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tables/table2.xml" ContentType="application/vnd.openxmlformats-officedocument.spreadsheetml.table+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xml" ContentType="application/vnd.openxmlformats-officedocument.drawing+xml"/>
  <Override PartName="/xl/tables/table3.xml" ContentType="application/vnd.openxmlformats-officedocument.spreadsheetml.table+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tables/table4.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workbookPr/>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4188CA34-C310-46FA-BE85-FD0AC932D306}" xr6:coauthVersionLast="47" xr6:coauthVersionMax="47" xr10:uidLastSave="{00000000-0000-0000-0000-000000000000}"/>
  <bookViews>
    <workbookView xWindow="-20700" yWindow="-20490" windowWidth="40185" windowHeight="18525" tabRatio="715" xr2:uid="{00000000-000D-0000-FFFF-FFFF00000000}"/>
  </bookViews>
  <sheets>
    <sheet name="Note" sheetId="1" r:id="rId1"/>
    <sheet name="Official Data" sheetId="2" r:id="rId2"/>
    <sheet name="Database" sheetId="3" r:id="rId3"/>
    <sheet name="Recap" sheetId="4" r:id="rId4"/>
    <sheet name="New Orders" sheetId="5" r:id="rId5"/>
    <sheet name="New Orders ex Aircraft" sheetId="6" r:id="rId6"/>
    <sheet name="New Orders ex Transport" sheetId="7" r:id="rId7"/>
    <sheet name="Other" sheetId="8" r:id="rId8"/>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75" i="8" l="1"/>
  <c r="B374" i="8"/>
  <c r="C375" i="8" s="1"/>
  <c r="B373" i="8"/>
  <c r="C374" i="8" s="1"/>
  <c r="B372" i="8"/>
  <c r="C373" i="8" s="1"/>
  <c r="B371" i="8"/>
  <c r="C372" i="8" s="1"/>
  <c r="B370" i="8"/>
  <c r="C371" i="8" s="1"/>
  <c r="B369" i="8"/>
  <c r="C370" i="8" s="1"/>
  <c r="B368" i="8"/>
  <c r="C369" i="8" s="1"/>
  <c r="B367" i="8"/>
  <c r="C368" i="8" s="1"/>
  <c r="C366" i="8"/>
  <c r="B366" i="8"/>
  <c r="C367" i="8" s="1"/>
  <c r="B365" i="8"/>
  <c r="B364" i="8"/>
  <c r="B363" i="8"/>
  <c r="C364" i="8" s="1"/>
  <c r="B362" i="8"/>
  <c r="C363" i="8" s="1"/>
  <c r="B361" i="8"/>
  <c r="B360" i="8"/>
  <c r="B359" i="8"/>
  <c r="C360" i="8" s="1"/>
  <c r="B358" i="8"/>
  <c r="B357" i="8"/>
  <c r="C358" i="8" s="1"/>
  <c r="B356" i="8"/>
  <c r="C357" i="8" s="1"/>
  <c r="B355" i="8"/>
  <c r="C354" i="8"/>
  <c r="B354" i="8"/>
  <c r="C355" i="8" s="1"/>
  <c r="B353" i="8"/>
  <c r="B352" i="8"/>
  <c r="C353" i="8" s="1"/>
  <c r="B351" i="8"/>
  <c r="B350" i="8"/>
  <c r="B349" i="8"/>
  <c r="C350" i="8" s="1"/>
  <c r="B348" i="8"/>
  <c r="C349" i="8" s="1"/>
  <c r="B347" i="8"/>
  <c r="C348" i="8" s="1"/>
  <c r="B346" i="8"/>
  <c r="C347" i="8" s="1"/>
  <c r="B345" i="8"/>
  <c r="B344" i="8"/>
  <c r="C345" i="8" s="1"/>
  <c r="B343" i="8"/>
  <c r="B342" i="8"/>
  <c r="C343" i="8" s="1"/>
  <c r="B341" i="8"/>
  <c r="C342" i="8" s="1"/>
  <c r="B340" i="8"/>
  <c r="B339" i="8"/>
  <c r="C340" i="8" s="1"/>
  <c r="B338" i="8"/>
  <c r="B337" i="8"/>
  <c r="C338" i="8" s="1"/>
  <c r="B336" i="8"/>
  <c r="C337" i="8" s="1"/>
  <c r="B335" i="8"/>
  <c r="C336" i="8" s="1"/>
  <c r="B334" i="8"/>
  <c r="C335" i="8" s="1"/>
  <c r="B333" i="8"/>
  <c r="B332" i="8"/>
  <c r="C333" i="8" s="1"/>
  <c r="B331" i="8"/>
  <c r="C332" i="8" s="1"/>
  <c r="C330" i="8"/>
  <c r="B330" i="8"/>
  <c r="B329" i="8"/>
  <c r="B328" i="8"/>
  <c r="B327" i="8"/>
  <c r="C328" i="8" s="1"/>
  <c r="B326" i="8"/>
  <c r="B325" i="8"/>
  <c r="C326" i="8" s="1"/>
  <c r="B324" i="8"/>
  <c r="B323" i="8"/>
  <c r="C324" i="8" s="1"/>
  <c r="B322" i="8"/>
  <c r="C323" i="8" s="1"/>
  <c r="B321" i="8"/>
  <c r="C322" i="8" s="1"/>
  <c r="B320" i="8"/>
  <c r="B319" i="8"/>
  <c r="B318" i="8"/>
  <c r="C319" i="8" s="1"/>
  <c r="B317" i="8"/>
  <c r="C318" i="8" s="1"/>
  <c r="B316" i="8"/>
  <c r="B315" i="8"/>
  <c r="C316" i="8" s="1"/>
  <c r="B314" i="8"/>
  <c r="B313" i="8"/>
  <c r="C314" i="8" s="1"/>
  <c r="B312" i="8"/>
  <c r="B311" i="8"/>
  <c r="C312" i="8" s="1"/>
  <c r="B310" i="8"/>
  <c r="B309" i="8"/>
  <c r="B308" i="8"/>
  <c r="C309" i="8" s="1"/>
  <c r="B307" i="8"/>
  <c r="C308" i="8" s="1"/>
  <c r="B306" i="8"/>
  <c r="B305" i="8"/>
  <c r="C306" i="8" s="1"/>
  <c r="B304" i="8"/>
  <c r="B303" i="8"/>
  <c r="C304" i="8" s="1"/>
  <c r="B302" i="8"/>
  <c r="B301" i="8"/>
  <c r="C302" i="8" s="1"/>
  <c r="C300" i="8"/>
  <c r="B300" i="8"/>
  <c r="C301" i="8" s="1"/>
  <c r="B299" i="8"/>
  <c r="B298" i="8"/>
  <c r="C299" i="8" s="1"/>
  <c r="B297" i="8"/>
  <c r="C298" i="8" s="1"/>
  <c r="B296" i="8"/>
  <c r="B295" i="8"/>
  <c r="C294" i="8"/>
  <c r="B294" i="8"/>
  <c r="C295" i="8" s="1"/>
  <c r="B293" i="8"/>
  <c r="B292" i="8"/>
  <c r="B291" i="8"/>
  <c r="C292" i="8" s="1"/>
  <c r="B290" i="8"/>
  <c r="C291" i="8" s="1"/>
  <c r="B289" i="8"/>
  <c r="B288" i="8"/>
  <c r="B287" i="8"/>
  <c r="C288" i="8" s="1"/>
  <c r="B286" i="8"/>
  <c r="B285" i="8"/>
  <c r="B284" i="8"/>
  <c r="C285" i="8" s="1"/>
  <c r="B283" i="8"/>
  <c r="C282" i="8"/>
  <c r="B282" i="8"/>
  <c r="C283" i="8" s="1"/>
  <c r="B281" i="8"/>
  <c r="B280" i="8"/>
  <c r="C281" i="8" s="1"/>
  <c r="B279" i="8"/>
  <c r="B278" i="8"/>
  <c r="B277" i="8"/>
  <c r="C278" i="8" s="1"/>
  <c r="B276" i="8"/>
  <c r="B275" i="8"/>
  <c r="C276" i="8" s="1"/>
  <c r="B274" i="8"/>
  <c r="C275" i="8" s="1"/>
  <c r="B273" i="8"/>
  <c r="B272" i="8"/>
  <c r="C273" i="8" s="1"/>
  <c r="B271" i="8"/>
  <c r="B270" i="8"/>
  <c r="C271" i="8" s="1"/>
  <c r="B269" i="8"/>
  <c r="B268" i="8"/>
  <c r="C269" i="8" s="1"/>
  <c r="B267" i="8"/>
  <c r="B266" i="8"/>
  <c r="C267" i="8" s="1"/>
  <c r="B265" i="8"/>
  <c r="C266" i="8" s="1"/>
  <c r="B264" i="8"/>
  <c r="C265" i="8" s="1"/>
  <c r="B263" i="8"/>
  <c r="C264" i="8" s="1"/>
  <c r="B262" i="8"/>
  <c r="C263" i="8" s="1"/>
  <c r="B261" i="8"/>
  <c r="B260" i="8"/>
  <c r="C261" i="8" s="1"/>
  <c r="B259" i="8"/>
  <c r="B258" i="8"/>
  <c r="C259" i="8" s="1"/>
  <c r="B257" i="8"/>
  <c r="C258" i="8" s="1"/>
  <c r="B256" i="8"/>
  <c r="C257" i="8" s="1"/>
  <c r="B255" i="8"/>
  <c r="B254" i="8"/>
  <c r="C255" i="8" s="1"/>
  <c r="B253" i="8"/>
  <c r="B252" i="8"/>
  <c r="C253" i="8" s="1"/>
  <c r="B251" i="8"/>
  <c r="B250" i="8"/>
  <c r="C251" i="8" s="1"/>
  <c r="B249" i="8"/>
  <c r="B248" i="8"/>
  <c r="C249" i="8" s="1"/>
  <c r="B247" i="8"/>
  <c r="C248" i="8" s="1"/>
  <c r="B246" i="8"/>
  <c r="C247" i="8" s="1"/>
  <c r="B245" i="8"/>
  <c r="C246" i="8" s="1"/>
  <c r="B244" i="8"/>
  <c r="C245" i="8" s="1"/>
  <c r="B243" i="8"/>
  <c r="B242" i="8"/>
  <c r="C243" i="8" s="1"/>
  <c r="B241" i="8"/>
  <c r="B240" i="8"/>
  <c r="C241" i="8" s="1"/>
  <c r="B239" i="8"/>
  <c r="C240" i="8" s="1"/>
  <c r="B238" i="8"/>
  <c r="C239" i="8" s="1"/>
  <c r="B237" i="8"/>
  <c r="B236" i="8"/>
  <c r="C237" i="8" s="1"/>
  <c r="B235" i="8"/>
  <c r="B234" i="8"/>
  <c r="C235" i="8" s="1"/>
  <c r="B233" i="8"/>
  <c r="B232" i="8"/>
  <c r="C233" i="8" s="1"/>
  <c r="B231" i="8"/>
  <c r="B230" i="8"/>
  <c r="C231" i="8" s="1"/>
  <c r="B229" i="8"/>
  <c r="C230" i="8" s="1"/>
  <c r="B228" i="8"/>
  <c r="C229" i="8" s="1"/>
  <c r="B227" i="8"/>
  <c r="C228" i="8" s="1"/>
  <c r="B226" i="8"/>
  <c r="C227" i="8" s="1"/>
  <c r="B225" i="8"/>
  <c r="B224" i="8"/>
  <c r="C225" i="8" s="1"/>
  <c r="B223" i="8"/>
  <c r="C224" i="8" s="1"/>
  <c r="B222" i="8"/>
  <c r="C223" i="8" s="1"/>
  <c r="B221" i="8"/>
  <c r="C222" i="8" s="1"/>
  <c r="B220" i="8"/>
  <c r="C221" i="8" s="1"/>
  <c r="B219" i="8"/>
  <c r="B218" i="8"/>
  <c r="C219" i="8" s="1"/>
  <c r="B217" i="8"/>
  <c r="C218" i="8" s="1"/>
  <c r="B216" i="8"/>
  <c r="C217" i="8" s="1"/>
  <c r="B215" i="8"/>
  <c r="B214" i="8"/>
  <c r="C215" i="8" s="1"/>
  <c r="B213" i="8"/>
  <c r="B212" i="8"/>
  <c r="C213" i="8" s="1"/>
  <c r="B211" i="8"/>
  <c r="C212" i="8" s="1"/>
  <c r="B210" i="8"/>
  <c r="C211" i="8" s="1"/>
  <c r="B209" i="8"/>
  <c r="C210" i="8" s="1"/>
  <c r="B208" i="8"/>
  <c r="C209" i="8" s="1"/>
  <c r="B207" i="8"/>
  <c r="B206" i="8"/>
  <c r="C207" i="8" s="1"/>
  <c r="B205" i="8"/>
  <c r="B204" i="8"/>
  <c r="C205" i="8" s="1"/>
  <c r="B203" i="8"/>
  <c r="C204" i="8" s="1"/>
  <c r="B202" i="8"/>
  <c r="C203" i="8" s="1"/>
  <c r="B201" i="8"/>
  <c r="B200" i="8"/>
  <c r="C201" i="8" s="1"/>
  <c r="B199" i="8"/>
  <c r="B198" i="8"/>
  <c r="C199" i="8" s="1"/>
  <c r="B197" i="8"/>
  <c r="B196" i="8"/>
  <c r="C197" i="8" s="1"/>
  <c r="B195" i="8"/>
  <c r="B194" i="8"/>
  <c r="C195" i="8" s="1"/>
  <c r="B193" i="8"/>
  <c r="C194" i="8" s="1"/>
  <c r="B192" i="8"/>
  <c r="B191" i="8"/>
  <c r="C192" i="8" s="1"/>
  <c r="B190" i="8"/>
  <c r="C191" i="8" s="1"/>
  <c r="B189" i="8"/>
  <c r="B188" i="8"/>
  <c r="C189" i="8" s="1"/>
  <c r="B187" i="8"/>
  <c r="B186" i="8"/>
  <c r="C187" i="8" s="1"/>
  <c r="B185" i="8"/>
  <c r="B184" i="8"/>
  <c r="C185" i="8" s="1"/>
  <c r="B183" i="8"/>
  <c r="B182" i="8"/>
  <c r="C183" i="8" s="1"/>
  <c r="B181" i="8"/>
  <c r="B180" i="8"/>
  <c r="C181" i="8" s="1"/>
  <c r="B179" i="8"/>
  <c r="B178" i="8"/>
  <c r="C179" i="8" s="1"/>
  <c r="B177" i="8"/>
  <c r="B176" i="8"/>
  <c r="C177" i="8" s="1"/>
  <c r="B175" i="8"/>
  <c r="C176" i="8" s="1"/>
  <c r="B174" i="8"/>
  <c r="C175" i="8" s="1"/>
  <c r="B173" i="8"/>
  <c r="C174" i="8" s="1"/>
  <c r="B172" i="8"/>
  <c r="C173" i="8" s="1"/>
  <c r="B171" i="8"/>
  <c r="B170" i="8"/>
  <c r="C171" i="8" s="1"/>
  <c r="B169" i="8"/>
  <c r="B168" i="8"/>
  <c r="C169" i="8" s="1"/>
  <c r="B167" i="8"/>
  <c r="B166" i="8"/>
  <c r="C167" i="8" s="1"/>
  <c r="B165" i="8"/>
  <c r="B164" i="8"/>
  <c r="C165" i="8" s="1"/>
  <c r="B163" i="8"/>
  <c r="B162" i="8"/>
  <c r="C163" i="8" s="1"/>
  <c r="B161" i="8"/>
  <c r="B160" i="8"/>
  <c r="C161" i="8" s="1"/>
  <c r="B159" i="8"/>
  <c r="B158" i="8"/>
  <c r="C159" i="8" s="1"/>
  <c r="B157" i="8"/>
  <c r="C158" i="8" s="1"/>
  <c r="B156" i="8"/>
  <c r="C157" i="8" s="1"/>
  <c r="B155" i="8"/>
  <c r="C156" i="8" s="1"/>
  <c r="B154" i="8"/>
  <c r="C155" i="8" s="1"/>
  <c r="B153" i="8"/>
  <c r="B152" i="8"/>
  <c r="C153" i="8" s="1"/>
  <c r="B151" i="8"/>
  <c r="B150" i="8"/>
  <c r="C151" i="8" s="1"/>
  <c r="B149" i="8"/>
  <c r="C150" i="8" s="1"/>
  <c r="B148" i="8"/>
  <c r="C149" i="8" s="1"/>
  <c r="B147" i="8"/>
  <c r="B146" i="8"/>
  <c r="C147" i="8" s="1"/>
  <c r="B145" i="8"/>
  <c r="B144" i="8"/>
  <c r="C145" i="8" s="1"/>
  <c r="B143" i="8"/>
  <c r="B142" i="8"/>
  <c r="C143" i="8" s="1"/>
  <c r="B141" i="8"/>
  <c r="B140" i="8"/>
  <c r="B139" i="8"/>
  <c r="C140" i="8" s="1"/>
  <c r="B138" i="8"/>
  <c r="C139" i="8" s="1"/>
  <c r="B137" i="8"/>
  <c r="C138" i="8" s="1"/>
  <c r="B136" i="8"/>
  <c r="C137" i="8" s="1"/>
  <c r="B135" i="8"/>
  <c r="C134" i="8"/>
  <c r="B134" i="8"/>
  <c r="C133" i="8"/>
  <c r="B133" i="8"/>
  <c r="B132" i="8"/>
  <c r="B131" i="8"/>
  <c r="C132" i="8" s="1"/>
  <c r="B130" i="8"/>
  <c r="B129" i="8"/>
  <c r="C130" i="8" s="1"/>
  <c r="B128" i="8"/>
  <c r="B127" i="8"/>
  <c r="C128" i="8" s="1"/>
  <c r="B126" i="8"/>
  <c r="C127" i="8" s="1"/>
  <c r="B125" i="8"/>
  <c r="B124" i="8"/>
  <c r="B123" i="8"/>
  <c r="C122" i="8"/>
  <c r="B122" i="8"/>
  <c r="C123" i="8" s="1"/>
  <c r="C121" i="8"/>
  <c r="B121" i="8"/>
  <c r="C120" i="8"/>
  <c r="B120" i="8"/>
  <c r="B119" i="8"/>
  <c r="B118" i="8"/>
  <c r="B117" i="8"/>
  <c r="C118" i="8" s="1"/>
  <c r="B116" i="8"/>
  <c r="B115" i="8"/>
  <c r="C116" i="8" s="1"/>
  <c r="B114" i="8"/>
  <c r="C115" i="8" s="1"/>
  <c r="B113" i="8"/>
  <c r="B112" i="8"/>
  <c r="C113" i="8" s="1"/>
  <c r="B111" i="8"/>
  <c r="C110" i="8"/>
  <c r="B110" i="8"/>
  <c r="C109" i="8"/>
  <c r="B109" i="8"/>
  <c r="B108" i="8"/>
  <c r="B107" i="8"/>
  <c r="C108" i="8" s="1"/>
  <c r="B106" i="8"/>
  <c r="B105" i="8"/>
  <c r="C106" i="8" s="1"/>
  <c r="B104" i="8"/>
  <c r="B103" i="8"/>
  <c r="C104" i="8" s="1"/>
  <c r="B102" i="8"/>
  <c r="C103" i="8" s="1"/>
  <c r="B101" i="8"/>
  <c r="B100" i="8"/>
  <c r="B99" i="8"/>
  <c r="C98" i="8"/>
  <c r="B98" i="8"/>
  <c r="C99" i="8" s="1"/>
  <c r="C97" i="8"/>
  <c r="B97" i="8"/>
  <c r="C96" i="8"/>
  <c r="B96" i="8"/>
  <c r="B95" i="8"/>
  <c r="B94" i="8"/>
  <c r="B93" i="8"/>
  <c r="C94" i="8" s="1"/>
  <c r="B92" i="8"/>
  <c r="B91" i="8"/>
  <c r="C92" i="8" s="1"/>
  <c r="B90" i="8"/>
  <c r="C91" i="8" s="1"/>
  <c r="B89" i="8"/>
  <c r="B88" i="8"/>
  <c r="C89" i="8" s="1"/>
  <c r="B87" i="8"/>
  <c r="C86" i="8"/>
  <c r="B86" i="8"/>
  <c r="C85" i="8"/>
  <c r="B85" i="8"/>
  <c r="B84" i="8"/>
  <c r="B83" i="8"/>
  <c r="C84" i="8" s="1"/>
  <c r="B82" i="8"/>
  <c r="B81" i="8"/>
  <c r="C82" i="8" s="1"/>
  <c r="B80" i="8"/>
  <c r="B79" i="8"/>
  <c r="C80" i="8" s="1"/>
  <c r="B78" i="8"/>
  <c r="C79" i="8" s="1"/>
  <c r="B77" i="8"/>
  <c r="B76" i="8"/>
  <c r="B75" i="8"/>
  <c r="C74" i="8"/>
  <c r="B74" i="8"/>
  <c r="C75" i="8" s="1"/>
  <c r="C73" i="8"/>
  <c r="B73" i="8"/>
  <c r="C72" i="8"/>
  <c r="B72" i="8"/>
  <c r="B71" i="8"/>
  <c r="B70" i="8"/>
  <c r="B69" i="8"/>
  <c r="C70" i="8" s="1"/>
  <c r="B68" i="8"/>
  <c r="B67" i="8"/>
  <c r="C68" i="8" s="1"/>
  <c r="B66" i="8"/>
  <c r="B65" i="8"/>
  <c r="B64" i="8"/>
  <c r="C65" i="8" s="1"/>
  <c r="B63" i="8"/>
  <c r="C62" i="8"/>
  <c r="B62" i="8"/>
  <c r="C61" i="8"/>
  <c r="B61" i="8"/>
  <c r="B60" i="8"/>
  <c r="B59" i="8"/>
  <c r="C60" i="8" s="1"/>
  <c r="B58" i="8"/>
  <c r="B57" i="8"/>
  <c r="C58" i="8" s="1"/>
  <c r="B56" i="8"/>
  <c r="B55" i="8"/>
  <c r="C56" i="8" s="1"/>
  <c r="B54" i="8"/>
  <c r="C55" i="8" s="1"/>
  <c r="B53" i="8"/>
  <c r="B52" i="8"/>
  <c r="B51" i="8"/>
  <c r="C50" i="8"/>
  <c r="B50" i="8"/>
  <c r="C51" i="8" s="1"/>
  <c r="C49" i="8"/>
  <c r="B49" i="8"/>
  <c r="C48" i="8"/>
  <c r="B48" i="8"/>
  <c r="B47" i="8"/>
  <c r="B46" i="8"/>
  <c r="B45" i="8"/>
  <c r="C46" i="8" s="1"/>
  <c r="B44" i="8"/>
  <c r="B43" i="8"/>
  <c r="C44" i="8" s="1"/>
  <c r="B42" i="8"/>
  <c r="B41" i="8"/>
  <c r="B40" i="8"/>
  <c r="C41" i="8" s="1"/>
  <c r="B39" i="8"/>
  <c r="C38" i="8"/>
  <c r="B38" i="8"/>
  <c r="C37" i="8"/>
  <c r="B37" i="8"/>
  <c r="B36" i="8"/>
  <c r="B35" i="8"/>
  <c r="C36" i="8" s="1"/>
  <c r="B34" i="8"/>
  <c r="B33" i="8"/>
  <c r="C34" i="8" s="1"/>
  <c r="B32" i="8"/>
  <c r="B31" i="8"/>
  <c r="C32" i="8" s="1"/>
  <c r="B30" i="8"/>
  <c r="C31" i="8" s="1"/>
  <c r="B29" i="8"/>
  <c r="B28" i="8"/>
  <c r="B27" i="8"/>
  <c r="C26" i="8"/>
  <c r="B26" i="8"/>
  <c r="C27" i="8" s="1"/>
  <c r="C25" i="8"/>
  <c r="B25" i="8"/>
  <c r="C24" i="8"/>
  <c r="B24" i="8"/>
  <c r="B23" i="8"/>
  <c r="B22" i="8"/>
  <c r="B21" i="8"/>
  <c r="C22" i="8" s="1"/>
  <c r="B20" i="8"/>
  <c r="B19" i="8"/>
  <c r="C20" i="8" s="1"/>
  <c r="B18" i="8"/>
  <c r="B17" i="8"/>
  <c r="B16" i="8"/>
  <c r="C17" i="8" s="1"/>
  <c r="B15" i="8"/>
  <c r="C14" i="8"/>
  <c r="B14" i="8"/>
  <c r="C13" i="8"/>
  <c r="B13" i="8"/>
  <c r="B12" i="8"/>
  <c r="B11" i="8"/>
  <c r="C12" i="8" s="1"/>
  <c r="B10" i="8"/>
  <c r="B9" i="8"/>
  <c r="C10" i="8" s="1"/>
  <c r="B8" i="8"/>
  <c r="B7" i="8"/>
  <c r="C8" i="8" s="1"/>
  <c r="B6" i="8"/>
  <c r="B1" i="8"/>
  <c r="B375" i="7"/>
  <c r="B374" i="7"/>
  <c r="B373" i="7"/>
  <c r="C372" i="7"/>
  <c r="B372" i="7"/>
  <c r="C373" i="7" s="1"/>
  <c r="C371" i="7"/>
  <c r="B371" i="7"/>
  <c r="C370" i="7"/>
  <c r="B370" i="7"/>
  <c r="B369" i="7"/>
  <c r="B368" i="7"/>
  <c r="B367" i="7"/>
  <c r="C368" i="7" s="1"/>
  <c r="B366" i="7"/>
  <c r="B365" i="7"/>
  <c r="C366" i="7" s="1"/>
  <c r="B364" i="7"/>
  <c r="B363" i="7"/>
  <c r="B362" i="7"/>
  <c r="C363" i="7" s="1"/>
  <c r="B361" i="7"/>
  <c r="C360" i="7"/>
  <c r="B360" i="7"/>
  <c r="C359" i="7"/>
  <c r="B359" i="7"/>
  <c r="B358" i="7"/>
  <c r="B357" i="7"/>
  <c r="C358" i="7" s="1"/>
  <c r="B356" i="7"/>
  <c r="B355" i="7"/>
  <c r="C356" i="7" s="1"/>
  <c r="B354" i="7"/>
  <c r="C355" i="7" s="1"/>
  <c r="B353" i="7"/>
  <c r="C354" i="7" s="1"/>
  <c r="B352" i="7"/>
  <c r="C353" i="7" s="1"/>
  <c r="B351" i="7"/>
  <c r="B350" i="7"/>
  <c r="B349" i="7"/>
  <c r="C348" i="7"/>
  <c r="B348" i="7"/>
  <c r="C349" i="7" s="1"/>
  <c r="C347" i="7"/>
  <c r="B347" i="7"/>
  <c r="C346" i="7"/>
  <c r="B346" i="7"/>
  <c r="B345" i="7"/>
  <c r="B344" i="7"/>
  <c r="B343" i="7"/>
  <c r="C344" i="7" s="1"/>
  <c r="B342" i="7"/>
  <c r="B341" i="7"/>
  <c r="C342" i="7" s="1"/>
  <c r="B340" i="7"/>
  <c r="B339" i="7"/>
  <c r="B338" i="7"/>
  <c r="C339" i="7" s="1"/>
  <c r="B337" i="7"/>
  <c r="C336" i="7"/>
  <c r="B336" i="7"/>
  <c r="C335" i="7"/>
  <c r="B335" i="7"/>
  <c r="B334" i="7"/>
  <c r="B333" i="7"/>
  <c r="C334" i="7" s="1"/>
  <c r="B332" i="7"/>
  <c r="B331" i="7"/>
  <c r="C332" i="7" s="1"/>
  <c r="B330" i="7"/>
  <c r="C331" i="7" s="1"/>
  <c r="B329" i="7"/>
  <c r="C330" i="7" s="1"/>
  <c r="B328" i="7"/>
  <c r="C329" i="7" s="1"/>
  <c r="B327" i="7"/>
  <c r="B326" i="7"/>
  <c r="B325" i="7"/>
  <c r="C324" i="7"/>
  <c r="B324" i="7"/>
  <c r="C325" i="7" s="1"/>
  <c r="C323" i="7"/>
  <c r="B323" i="7"/>
  <c r="C322" i="7"/>
  <c r="B322" i="7"/>
  <c r="B321" i="7"/>
  <c r="B320" i="7"/>
  <c r="B319" i="7"/>
  <c r="C320" i="7" s="1"/>
  <c r="B318" i="7"/>
  <c r="B317" i="7"/>
  <c r="C318" i="7" s="1"/>
  <c r="B316" i="7"/>
  <c r="B315" i="7"/>
  <c r="B314" i="7"/>
  <c r="C315" i="7" s="1"/>
  <c r="B313" i="7"/>
  <c r="C312" i="7"/>
  <c r="B312" i="7"/>
  <c r="C311" i="7"/>
  <c r="B311" i="7"/>
  <c r="B310" i="7"/>
  <c r="B309" i="7"/>
  <c r="C310" i="7" s="1"/>
  <c r="B308" i="7"/>
  <c r="B307" i="7"/>
  <c r="C308" i="7" s="1"/>
  <c r="B306" i="7"/>
  <c r="B305" i="7"/>
  <c r="B304" i="7"/>
  <c r="C305" i="7" s="1"/>
  <c r="B303" i="7"/>
  <c r="B302" i="7"/>
  <c r="B301" i="7"/>
  <c r="C300" i="7"/>
  <c r="B300" i="7"/>
  <c r="C301" i="7" s="1"/>
  <c r="C299" i="7"/>
  <c r="B299" i="7"/>
  <c r="C298" i="7"/>
  <c r="B298" i="7"/>
  <c r="B297" i="7"/>
  <c r="B296" i="7"/>
  <c r="B295" i="7"/>
  <c r="C296" i="7" s="1"/>
  <c r="B294" i="7"/>
  <c r="B293" i="7"/>
  <c r="C294" i="7" s="1"/>
  <c r="B292" i="7"/>
  <c r="B291" i="7"/>
  <c r="B290" i="7"/>
  <c r="C291" i="7" s="1"/>
  <c r="B289" i="7"/>
  <c r="C288" i="7"/>
  <c r="B288" i="7"/>
  <c r="C287" i="7"/>
  <c r="B287" i="7"/>
  <c r="B286" i="7"/>
  <c r="B285" i="7"/>
  <c r="C286" i="7" s="1"/>
  <c r="B284" i="7"/>
  <c r="B283" i="7"/>
  <c r="C284" i="7" s="1"/>
  <c r="B282" i="7"/>
  <c r="C283" i="7" s="1"/>
  <c r="B281" i="7"/>
  <c r="B280" i="7"/>
  <c r="B279" i="7"/>
  <c r="B278" i="7"/>
  <c r="B277" i="7"/>
  <c r="C276" i="7"/>
  <c r="B276" i="7"/>
  <c r="C277" i="7" s="1"/>
  <c r="C275" i="7"/>
  <c r="B275" i="7"/>
  <c r="C274" i="7"/>
  <c r="B274" i="7"/>
  <c r="B273" i="7"/>
  <c r="B272" i="7"/>
  <c r="B271" i="7"/>
  <c r="C272" i="7" s="1"/>
  <c r="B270" i="7"/>
  <c r="B269" i="7"/>
  <c r="C270" i="7" s="1"/>
  <c r="B268" i="7"/>
  <c r="B267" i="7"/>
  <c r="B266" i="7"/>
  <c r="C267" i="7" s="1"/>
  <c r="B265" i="7"/>
  <c r="C264" i="7"/>
  <c r="B264" i="7"/>
  <c r="C263" i="7"/>
  <c r="B263" i="7"/>
  <c r="B262" i="7"/>
  <c r="B261" i="7"/>
  <c r="C262" i="7" s="1"/>
  <c r="B260" i="7"/>
  <c r="B259" i="7"/>
  <c r="C260" i="7" s="1"/>
  <c r="B258" i="7"/>
  <c r="B257" i="7"/>
  <c r="B256" i="7"/>
  <c r="B255" i="7"/>
  <c r="B254" i="7"/>
  <c r="B253" i="7"/>
  <c r="C254" i="7" s="1"/>
  <c r="B252" i="7"/>
  <c r="B251" i="7"/>
  <c r="C252" i="7" s="1"/>
  <c r="B250" i="7"/>
  <c r="B249" i="7"/>
  <c r="C248" i="7"/>
  <c r="B248" i="7"/>
  <c r="B247" i="7"/>
  <c r="C246" i="7"/>
  <c r="B246" i="7"/>
  <c r="C247" i="7" s="1"/>
  <c r="C245" i="7"/>
  <c r="B245" i="7"/>
  <c r="C244" i="7"/>
  <c r="B244" i="7"/>
  <c r="B243" i="7"/>
  <c r="B242" i="7"/>
  <c r="B241" i="7"/>
  <c r="B240" i="7"/>
  <c r="C241" i="7" s="1"/>
  <c r="B239" i="7"/>
  <c r="C240" i="7" s="1"/>
  <c r="B238" i="7"/>
  <c r="B237" i="7"/>
  <c r="C236" i="7"/>
  <c r="B236" i="7"/>
  <c r="C235" i="7"/>
  <c r="B235" i="7"/>
  <c r="B234" i="7"/>
  <c r="C233" i="7"/>
  <c r="B233" i="7"/>
  <c r="C234" i="7" s="1"/>
  <c r="C232" i="7"/>
  <c r="B232" i="7"/>
  <c r="C231" i="7"/>
  <c r="B231" i="7"/>
  <c r="C230" i="7"/>
  <c r="B230" i="7"/>
  <c r="C229" i="7"/>
  <c r="B229" i="7"/>
  <c r="B228" i="7"/>
  <c r="C227" i="7"/>
  <c r="B227" i="7"/>
  <c r="C228" i="7" s="1"/>
  <c r="C226" i="7"/>
  <c r="B226" i="7"/>
  <c r="C225" i="7"/>
  <c r="B225" i="7"/>
  <c r="C224" i="7"/>
  <c r="B224" i="7"/>
  <c r="C223" i="7"/>
  <c r="B223" i="7"/>
  <c r="B222" i="7"/>
  <c r="C221" i="7"/>
  <c r="B221" i="7"/>
  <c r="C222" i="7" s="1"/>
  <c r="C220" i="7"/>
  <c r="B220" i="7"/>
  <c r="C219" i="7"/>
  <c r="B219" i="7"/>
  <c r="C218" i="7"/>
  <c r="B218" i="7"/>
  <c r="C217" i="7"/>
  <c r="B217" i="7"/>
  <c r="B216" i="7"/>
  <c r="C215" i="7"/>
  <c r="B215" i="7"/>
  <c r="C216" i="7" s="1"/>
  <c r="C214" i="7"/>
  <c r="B214" i="7"/>
  <c r="C213" i="7"/>
  <c r="B213" i="7"/>
  <c r="C212" i="7"/>
  <c r="B212" i="7"/>
  <c r="C211" i="7"/>
  <c r="B211" i="7"/>
  <c r="B210" i="7"/>
  <c r="C209" i="7"/>
  <c r="B209" i="7"/>
  <c r="C210" i="7" s="1"/>
  <c r="C208" i="7"/>
  <c r="B208" i="7"/>
  <c r="C207" i="7"/>
  <c r="B207" i="7"/>
  <c r="C206" i="7"/>
  <c r="B206" i="7"/>
  <c r="C205" i="7"/>
  <c r="B205" i="7"/>
  <c r="B204" i="7"/>
  <c r="C203" i="7"/>
  <c r="B203" i="7"/>
  <c r="C204" i="7" s="1"/>
  <c r="C202" i="7"/>
  <c r="B202" i="7"/>
  <c r="C201" i="7"/>
  <c r="B201" i="7"/>
  <c r="C200" i="7"/>
  <c r="B200" i="7"/>
  <c r="C199" i="7"/>
  <c r="B199" i="7"/>
  <c r="B198" i="7"/>
  <c r="C197" i="7"/>
  <c r="B197" i="7"/>
  <c r="C198" i="7" s="1"/>
  <c r="C196" i="7"/>
  <c r="B196" i="7"/>
  <c r="C195" i="7"/>
  <c r="B195" i="7"/>
  <c r="C194" i="7"/>
  <c r="B194" i="7"/>
  <c r="C193" i="7"/>
  <c r="B193" i="7"/>
  <c r="B192" i="7"/>
  <c r="C191" i="7"/>
  <c r="B191" i="7"/>
  <c r="C192" i="7" s="1"/>
  <c r="C190" i="7"/>
  <c r="B190" i="7"/>
  <c r="C189" i="7"/>
  <c r="B189" i="7"/>
  <c r="C188" i="7"/>
  <c r="B188" i="7"/>
  <c r="C187" i="7"/>
  <c r="B187" i="7"/>
  <c r="B186" i="7"/>
  <c r="C185" i="7"/>
  <c r="B185" i="7"/>
  <c r="C186" i="7" s="1"/>
  <c r="C184" i="7"/>
  <c r="B184" i="7"/>
  <c r="C183" i="7"/>
  <c r="B183" i="7"/>
  <c r="C182" i="7"/>
  <c r="B182" i="7"/>
  <c r="C181" i="7"/>
  <c r="B181" i="7"/>
  <c r="B180" i="7"/>
  <c r="C179" i="7"/>
  <c r="B179" i="7"/>
  <c r="C180" i="7" s="1"/>
  <c r="C178" i="7"/>
  <c r="B178" i="7"/>
  <c r="C177" i="7"/>
  <c r="B177" i="7"/>
  <c r="C176" i="7"/>
  <c r="B176" i="7"/>
  <c r="C175" i="7"/>
  <c r="B175" i="7"/>
  <c r="B174" i="7"/>
  <c r="C173" i="7"/>
  <c r="B173" i="7"/>
  <c r="C174" i="7" s="1"/>
  <c r="C172" i="7"/>
  <c r="B172" i="7"/>
  <c r="C171" i="7"/>
  <c r="B171" i="7"/>
  <c r="C170" i="7"/>
  <c r="B170" i="7"/>
  <c r="C169" i="7"/>
  <c r="B169" i="7"/>
  <c r="B168" i="7"/>
  <c r="C167" i="7"/>
  <c r="B167" i="7"/>
  <c r="C168" i="7" s="1"/>
  <c r="C166" i="7"/>
  <c r="B166" i="7"/>
  <c r="C165" i="7"/>
  <c r="B165" i="7"/>
  <c r="C164" i="7"/>
  <c r="B164" i="7"/>
  <c r="C163" i="7"/>
  <c r="B163" i="7"/>
  <c r="B162" i="7"/>
  <c r="C161" i="7"/>
  <c r="B161" i="7"/>
  <c r="C162" i="7" s="1"/>
  <c r="C160" i="7"/>
  <c r="B160" i="7"/>
  <c r="C159" i="7"/>
  <c r="B159" i="7"/>
  <c r="C158" i="7"/>
  <c r="B158" i="7"/>
  <c r="C157" i="7"/>
  <c r="B157" i="7"/>
  <c r="B156" i="7"/>
  <c r="C155" i="7"/>
  <c r="B155" i="7"/>
  <c r="C156" i="7" s="1"/>
  <c r="C154" i="7"/>
  <c r="B154" i="7"/>
  <c r="C153" i="7"/>
  <c r="B153" i="7"/>
  <c r="C152" i="7"/>
  <c r="B152" i="7"/>
  <c r="C151" i="7"/>
  <c r="B151" i="7"/>
  <c r="B150" i="7"/>
  <c r="C149" i="7"/>
  <c r="B149" i="7"/>
  <c r="C150" i="7" s="1"/>
  <c r="C148" i="7"/>
  <c r="B148" i="7"/>
  <c r="C147" i="7"/>
  <c r="B147" i="7"/>
  <c r="C146" i="7"/>
  <c r="B146" i="7"/>
  <c r="C145" i="7"/>
  <c r="B145" i="7"/>
  <c r="B144" i="7"/>
  <c r="C143" i="7"/>
  <c r="B143" i="7"/>
  <c r="C144" i="7" s="1"/>
  <c r="B142" i="7"/>
  <c r="B141" i="7"/>
  <c r="C142" i="7" s="1"/>
  <c r="C140" i="7"/>
  <c r="B140" i="7"/>
  <c r="C139" i="7"/>
  <c r="B139" i="7"/>
  <c r="B138" i="7"/>
  <c r="C137" i="7"/>
  <c r="B137" i="7"/>
  <c r="C138" i="7" s="1"/>
  <c r="C136" i="7"/>
  <c r="B136" i="7"/>
  <c r="C135" i="7"/>
  <c r="B135" i="7"/>
  <c r="C134" i="7"/>
  <c r="B134" i="7"/>
  <c r="C133" i="7"/>
  <c r="B133" i="7"/>
  <c r="B132" i="7"/>
  <c r="C131" i="7"/>
  <c r="B131" i="7"/>
  <c r="C132" i="7" s="1"/>
  <c r="C130" i="7"/>
  <c r="B130" i="7"/>
  <c r="B129" i="7"/>
  <c r="C129" i="7" s="1"/>
  <c r="C128" i="7"/>
  <c r="B128" i="7"/>
  <c r="C127" i="7"/>
  <c r="B127" i="7"/>
  <c r="B126" i="7"/>
  <c r="C125" i="7"/>
  <c r="B125" i="7"/>
  <c r="C126" i="7" s="1"/>
  <c r="B124" i="7"/>
  <c r="C123" i="7"/>
  <c r="B123" i="7"/>
  <c r="C124" i="7" s="1"/>
  <c r="C122" i="7"/>
  <c r="B122" i="7"/>
  <c r="C121" i="7"/>
  <c r="B121" i="7"/>
  <c r="B120" i="7"/>
  <c r="C119" i="7"/>
  <c r="B119" i="7"/>
  <c r="C120" i="7" s="1"/>
  <c r="B118" i="7"/>
  <c r="B117" i="7"/>
  <c r="C118" i="7" s="1"/>
  <c r="C116" i="7"/>
  <c r="B116" i="7"/>
  <c r="C115" i="7"/>
  <c r="B115" i="7"/>
  <c r="B114" i="7"/>
  <c r="C113" i="7"/>
  <c r="B113" i="7"/>
  <c r="C114" i="7" s="1"/>
  <c r="B112" i="7"/>
  <c r="B111" i="7"/>
  <c r="C110" i="7"/>
  <c r="B110" i="7"/>
  <c r="C109" i="7"/>
  <c r="B109" i="7"/>
  <c r="B108" i="7"/>
  <c r="C107" i="7"/>
  <c r="B107" i="7"/>
  <c r="C108" i="7" s="1"/>
  <c r="C106" i="7"/>
  <c r="B106" i="7"/>
  <c r="C105" i="7"/>
  <c r="B105" i="7"/>
  <c r="C104" i="7"/>
  <c r="B104" i="7"/>
  <c r="C103" i="7"/>
  <c r="B103" i="7"/>
  <c r="B102" i="7"/>
  <c r="C101" i="7"/>
  <c r="B101" i="7"/>
  <c r="C102" i="7" s="1"/>
  <c r="C100" i="7"/>
  <c r="B100" i="7"/>
  <c r="B99" i="7"/>
  <c r="C99" i="7" s="1"/>
  <c r="C98" i="7"/>
  <c r="B98" i="7"/>
  <c r="C97" i="7"/>
  <c r="B97" i="7"/>
  <c r="B96" i="7"/>
  <c r="C95" i="7"/>
  <c r="B95" i="7"/>
  <c r="C96" i="7" s="1"/>
  <c r="C94" i="7"/>
  <c r="B94" i="7"/>
  <c r="C93" i="7"/>
  <c r="B93" i="7"/>
  <c r="C92" i="7"/>
  <c r="B92" i="7"/>
  <c r="C91" i="7"/>
  <c r="B91" i="7"/>
  <c r="B90" i="7"/>
  <c r="C89" i="7"/>
  <c r="B89" i="7"/>
  <c r="C90" i="7" s="1"/>
  <c r="B88" i="7"/>
  <c r="B87" i="7"/>
  <c r="C86" i="7"/>
  <c r="B86" i="7"/>
  <c r="C85" i="7"/>
  <c r="B85" i="7"/>
  <c r="B84" i="7"/>
  <c r="B83" i="7"/>
  <c r="C84" i="7" s="1"/>
  <c r="B82" i="7"/>
  <c r="C81" i="7"/>
  <c r="B81" i="7"/>
  <c r="C82" i="7" s="1"/>
  <c r="C80" i="7"/>
  <c r="B80" i="7"/>
  <c r="C79" i="7"/>
  <c r="B79" i="7"/>
  <c r="B78" i="7"/>
  <c r="C77" i="7"/>
  <c r="B77" i="7"/>
  <c r="C78" i="7" s="1"/>
  <c r="B76" i="7"/>
  <c r="C75" i="7"/>
  <c r="B75" i="7"/>
  <c r="C76" i="7" s="1"/>
  <c r="C74" i="7"/>
  <c r="B74" i="7"/>
  <c r="C73" i="7"/>
  <c r="B73" i="7"/>
  <c r="B72" i="7"/>
  <c r="C71" i="7"/>
  <c r="B71" i="7"/>
  <c r="C72" i="7" s="1"/>
  <c r="B70" i="7"/>
  <c r="B69" i="7"/>
  <c r="C68" i="7"/>
  <c r="B68" i="7"/>
  <c r="C67" i="7"/>
  <c r="B67" i="7"/>
  <c r="B66" i="7"/>
  <c r="B65" i="7"/>
  <c r="C64" i="7"/>
  <c r="B64" i="7"/>
  <c r="C63" i="7"/>
  <c r="B63" i="7"/>
  <c r="C62" i="7"/>
  <c r="B62" i="7"/>
  <c r="C61" i="7"/>
  <c r="B61" i="7"/>
  <c r="B60" i="7"/>
  <c r="C59" i="7"/>
  <c r="B59" i="7"/>
  <c r="C60" i="7" s="1"/>
  <c r="C58" i="7"/>
  <c r="B58" i="7"/>
  <c r="B57" i="7"/>
  <c r="C57" i="7" s="1"/>
  <c r="C56" i="7"/>
  <c r="B56" i="7"/>
  <c r="C55" i="7"/>
  <c r="B55" i="7"/>
  <c r="B54" i="7"/>
  <c r="B53" i="7"/>
  <c r="C54" i="7" s="1"/>
  <c r="B52" i="7"/>
  <c r="C51" i="7"/>
  <c r="B51" i="7"/>
  <c r="C52" i="7" s="1"/>
  <c r="C50" i="7"/>
  <c r="B50" i="7"/>
  <c r="C49" i="7"/>
  <c r="B49" i="7"/>
  <c r="B48" i="7"/>
  <c r="C47" i="7"/>
  <c r="B47" i="7"/>
  <c r="C48" i="7" s="1"/>
  <c r="B46" i="7"/>
  <c r="C45" i="7"/>
  <c r="B45" i="7"/>
  <c r="C46" i="7" s="1"/>
  <c r="C44" i="7"/>
  <c r="B44" i="7"/>
  <c r="C43" i="7"/>
  <c r="B43" i="7"/>
  <c r="B42" i="7"/>
  <c r="C41" i="7"/>
  <c r="B41" i="7"/>
  <c r="C42" i="7" s="1"/>
  <c r="B40" i="7"/>
  <c r="B39" i="7"/>
  <c r="C38" i="7"/>
  <c r="B38" i="7"/>
  <c r="C37" i="7"/>
  <c r="B37" i="7"/>
  <c r="B36" i="7"/>
  <c r="B35" i="7"/>
  <c r="C36" i="7" s="1"/>
  <c r="C34" i="7"/>
  <c r="B34" i="7"/>
  <c r="B33" i="7"/>
  <c r="C32" i="7"/>
  <c r="B32" i="7"/>
  <c r="C33" i="7" s="1"/>
  <c r="C31" i="7"/>
  <c r="B31" i="7"/>
  <c r="B30" i="7"/>
  <c r="C29" i="7"/>
  <c r="B29" i="7"/>
  <c r="C30" i="7" s="1"/>
  <c r="B28" i="7"/>
  <c r="C28" i="7" s="1"/>
  <c r="B27" i="7"/>
  <c r="B26" i="7"/>
  <c r="C25" i="7"/>
  <c r="B25" i="7"/>
  <c r="B24" i="7"/>
  <c r="B23" i="7"/>
  <c r="C24" i="7" s="1"/>
  <c r="C22" i="7"/>
  <c r="B22" i="7"/>
  <c r="C21" i="7"/>
  <c r="B21" i="7"/>
  <c r="C20" i="7"/>
  <c r="B20" i="7"/>
  <c r="C19" i="7"/>
  <c r="B19" i="7"/>
  <c r="B18" i="7"/>
  <c r="B17" i="7"/>
  <c r="C18" i="7" s="1"/>
  <c r="B16" i="7"/>
  <c r="C17" i="7" s="1"/>
  <c r="C15" i="7"/>
  <c r="B15" i="7"/>
  <c r="C16" i="7" s="1"/>
  <c r="B14" i="7"/>
  <c r="C14" i="7" s="1"/>
  <c r="C13" i="7"/>
  <c r="B13" i="7"/>
  <c r="B12" i="7"/>
  <c r="B11" i="7"/>
  <c r="C12" i="7" s="1"/>
  <c r="B10" i="7"/>
  <c r="C11" i="7" s="1"/>
  <c r="C9" i="7"/>
  <c r="B9" i="7"/>
  <c r="C8" i="7"/>
  <c r="B8" i="7"/>
  <c r="C7" i="7"/>
  <c r="B7" i="7"/>
  <c r="B6" i="7"/>
  <c r="B375" i="6"/>
  <c r="B374" i="6"/>
  <c r="C375" i="6" s="1"/>
  <c r="B373" i="6"/>
  <c r="C374" i="6" s="1"/>
  <c r="B372" i="6"/>
  <c r="C373" i="6" s="1"/>
  <c r="C371" i="6"/>
  <c r="B371" i="6"/>
  <c r="B370" i="6"/>
  <c r="B369" i="6"/>
  <c r="C370" i="6" s="1"/>
  <c r="B368" i="6"/>
  <c r="C369" i="6" s="1"/>
  <c r="B367" i="6"/>
  <c r="C368" i="6" s="1"/>
  <c r="B366" i="6"/>
  <c r="B365" i="6"/>
  <c r="C366" i="6" s="1"/>
  <c r="B364" i="6"/>
  <c r="B363" i="6"/>
  <c r="C364" i="6" s="1"/>
  <c r="B362" i="6"/>
  <c r="B361" i="6"/>
  <c r="C362" i="6" s="1"/>
  <c r="B360" i="6"/>
  <c r="C361" i="6" s="1"/>
  <c r="B359" i="6"/>
  <c r="B358" i="6"/>
  <c r="B357" i="6"/>
  <c r="C358" i="6" s="1"/>
  <c r="C356" i="6"/>
  <c r="B356" i="6"/>
  <c r="B355" i="6"/>
  <c r="C354" i="6"/>
  <c r="B354" i="6"/>
  <c r="C355" i="6" s="1"/>
  <c r="B353" i="6"/>
  <c r="C353" i="6" s="1"/>
  <c r="B352" i="6"/>
  <c r="B351" i="6"/>
  <c r="C352" i="6" s="1"/>
  <c r="C350" i="6"/>
  <c r="B350" i="6"/>
  <c r="C351" i="6" s="1"/>
  <c r="C349" i="6"/>
  <c r="B349" i="6"/>
  <c r="B348" i="6"/>
  <c r="B347" i="6"/>
  <c r="C348" i="6" s="1"/>
  <c r="B346" i="6"/>
  <c r="B345" i="6"/>
  <c r="C346" i="6" s="1"/>
  <c r="B344" i="6"/>
  <c r="C343" i="6"/>
  <c r="B343" i="6"/>
  <c r="C342" i="6"/>
  <c r="B342" i="6"/>
  <c r="B341" i="6"/>
  <c r="C341" i="6" s="1"/>
  <c r="B340" i="6"/>
  <c r="B339" i="6"/>
  <c r="C340" i="6" s="1"/>
  <c r="B338" i="6"/>
  <c r="C339" i="6" s="1"/>
  <c r="B337" i="6"/>
  <c r="C338" i="6" s="1"/>
  <c r="B336" i="6"/>
  <c r="C337" i="6" s="1"/>
  <c r="C335" i="6"/>
  <c r="B335" i="6"/>
  <c r="B334" i="6"/>
  <c r="B333" i="6"/>
  <c r="C334" i="6" s="1"/>
  <c r="B332" i="6"/>
  <c r="C333" i="6" s="1"/>
  <c r="B331" i="6"/>
  <c r="C332" i="6" s="1"/>
  <c r="B330" i="6"/>
  <c r="B329" i="6"/>
  <c r="C330" i="6" s="1"/>
  <c r="B328" i="6"/>
  <c r="B327" i="6"/>
  <c r="C328" i="6" s="1"/>
  <c r="B326" i="6"/>
  <c r="B325" i="6"/>
  <c r="C326" i="6" s="1"/>
  <c r="B324" i="6"/>
  <c r="C325" i="6" s="1"/>
  <c r="B323" i="6"/>
  <c r="B322" i="6"/>
  <c r="B321" i="6"/>
  <c r="C322" i="6" s="1"/>
  <c r="C320" i="6"/>
  <c r="B320" i="6"/>
  <c r="B319" i="6"/>
  <c r="C318" i="6"/>
  <c r="B318" i="6"/>
  <c r="C319" i="6" s="1"/>
  <c r="B317" i="6"/>
  <c r="C317" i="6" s="1"/>
  <c r="B316" i="6"/>
  <c r="B315" i="6"/>
  <c r="C316" i="6" s="1"/>
  <c r="C314" i="6"/>
  <c r="B314" i="6"/>
  <c r="C315" i="6" s="1"/>
  <c r="C313" i="6"/>
  <c r="B313" i="6"/>
  <c r="B312" i="6"/>
  <c r="B311" i="6"/>
  <c r="C312" i="6" s="1"/>
  <c r="B310" i="6"/>
  <c r="B309" i="6"/>
  <c r="C310" i="6" s="1"/>
  <c r="B308" i="6"/>
  <c r="C307" i="6"/>
  <c r="B307" i="6"/>
  <c r="C306" i="6"/>
  <c r="B306" i="6"/>
  <c r="B305" i="6"/>
  <c r="C305" i="6" s="1"/>
  <c r="B304" i="6"/>
  <c r="B303" i="6"/>
  <c r="C304" i="6" s="1"/>
  <c r="B302" i="6"/>
  <c r="B301" i="6"/>
  <c r="C302" i="6" s="1"/>
  <c r="B300" i="6"/>
  <c r="C299" i="6"/>
  <c r="B299" i="6"/>
  <c r="B298" i="6"/>
  <c r="B297" i="6"/>
  <c r="C298" i="6" s="1"/>
  <c r="B296" i="6"/>
  <c r="C297" i="6" s="1"/>
  <c r="B295" i="6"/>
  <c r="C296" i="6" s="1"/>
  <c r="B294" i="6"/>
  <c r="B293" i="6"/>
  <c r="C294" i="6" s="1"/>
  <c r="B292" i="6"/>
  <c r="B291" i="6"/>
  <c r="C292" i="6" s="1"/>
  <c r="B290" i="6"/>
  <c r="B289" i="6"/>
  <c r="C290" i="6" s="1"/>
  <c r="B288" i="6"/>
  <c r="C289" i="6" s="1"/>
  <c r="B287" i="6"/>
  <c r="B286" i="6"/>
  <c r="B285" i="6"/>
  <c r="C286" i="6" s="1"/>
  <c r="C284" i="6"/>
  <c r="B284" i="6"/>
  <c r="B283" i="6"/>
  <c r="C282" i="6"/>
  <c r="B282" i="6"/>
  <c r="C283" i="6" s="1"/>
  <c r="B281" i="6"/>
  <c r="C281" i="6" s="1"/>
  <c r="B280" i="6"/>
  <c r="B279" i="6"/>
  <c r="C280" i="6" s="1"/>
  <c r="C278" i="6"/>
  <c r="B278" i="6"/>
  <c r="C279" i="6" s="1"/>
  <c r="C277" i="6"/>
  <c r="B277" i="6"/>
  <c r="B276" i="6"/>
  <c r="B275" i="6"/>
  <c r="C276" i="6" s="1"/>
  <c r="B274" i="6"/>
  <c r="B273" i="6"/>
  <c r="C274" i="6" s="1"/>
  <c r="B272" i="6"/>
  <c r="C271" i="6"/>
  <c r="B271" i="6"/>
  <c r="C270" i="6"/>
  <c r="B270" i="6"/>
  <c r="B269" i="6"/>
  <c r="C269" i="6" s="1"/>
  <c r="B268" i="6"/>
  <c r="B267" i="6"/>
  <c r="C268" i="6" s="1"/>
  <c r="B266" i="6"/>
  <c r="B265" i="6"/>
  <c r="C266" i="6" s="1"/>
  <c r="B264" i="6"/>
  <c r="C265" i="6" s="1"/>
  <c r="C263" i="6"/>
  <c r="B263" i="6"/>
  <c r="B262" i="6"/>
  <c r="B261" i="6"/>
  <c r="C262" i="6" s="1"/>
  <c r="B260" i="6"/>
  <c r="C261" i="6" s="1"/>
  <c r="B259" i="6"/>
  <c r="C260" i="6" s="1"/>
  <c r="B258" i="6"/>
  <c r="B257" i="6"/>
  <c r="C258" i="6" s="1"/>
  <c r="B256" i="6"/>
  <c r="B255" i="6"/>
  <c r="C256" i="6" s="1"/>
  <c r="B254" i="6"/>
  <c r="B253" i="6"/>
  <c r="C254" i="6" s="1"/>
  <c r="B252" i="6"/>
  <c r="C253" i="6" s="1"/>
  <c r="B251" i="6"/>
  <c r="B250" i="6"/>
  <c r="B249" i="6"/>
  <c r="C250" i="6" s="1"/>
  <c r="C248" i="6"/>
  <c r="B248" i="6"/>
  <c r="B247" i="6"/>
  <c r="C246" i="6"/>
  <c r="B246" i="6"/>
  <c r="C247" i="6" s="1"/>
  <c r="B245" i="6"/>
  <c r="C245" i="6" s="1"/>
  <c r="B244" i="6"/>
  <c r="B243" i="6"/>
  <c r="C244" i="6" s="1"/>
  <c r="B242" i="6"/>
  <c r="C243" i="6" s="1"/>
  <c r="C241" i="6"/>
  <c r="B241" i="6"/>
  <c r="B240" i="6"/>
  <c r="B239" i="6"/>
  <c r="C240" i="6" s="1"/>
  <c r="B238" i="6"/>
  <c r="B237" i="6"/>
  <c r="C238" i="6" s="1"/>
  <c r="B236" i="6"/>
  <c r="C235" i="6"/>
  <c r="B235" i="6"/>
  <c r="C234" i="6"/>
  <c r="B234" i="6"/>
  <c r="B233" i="6"/>
  <c r="C233" i="6" s="1"/>
  <c r="B232" i="6"/>
  <c r="B231" i="6"/>
  <c r="C232" i="6" s="1"/>
  <c r="B230" i="6"/>
  <c r="B229" i="6"/>
  <c r="C230" i="6" s="1"/>
  <c r="C228" i="6"/>
  <c r="B228" i="6"/>
  <c r="C229" i="6" s="1"/>
  <c r="C227" i="6"/>
  <c r="B227" i="6"/>
  <c r="B226" i="6"/>
  <c r="B225" i="6"/>
  <c r="C226" i="6" s="1"/>
  <c r="C224" i="6"/>
  <c r="B224" i="6"/>
  <c r="C225" i="6" s="1"/>
  <c r="C223" i="6"/>
  <c r="B223" i="6"/>
  <c r="B222" i="6"/>
  <c r="B221" i="6"/>
  <c r="B220" i="6"/>
  <c r="B219" i="6"/>
  <c r="C220" i="6" s="1"/>
  <c r="B218" i="6"/>
  <c r="B217" i="6"/>
  <c r="C218" i="6" s="1"/>
  <c r="B216" i="6"/>
  <c r="C217" i="6" s="1"/>
  <c r="B215" i="6"/>
  <c r="C215" i="6" s="1"/>
  <c r="B214" i="6"/>
  <c r="B213" i="6"/>
  <c r="C214" i="6" s="1"/>
  <c r="B212" i="6"/>
  <c r="C213" i="6" s="1"/>
  <c r="B211" i="6"/>
  <c r="C210" i="6"/>
  <c r="B210" i="6"/>
  <c r="B209" i="6"/>
  <c r="C209" i="6" s="1"/>
  <c r="B208" i="6"/>
  <c r="B207" i="6"/>
  <c r="C208" i="6" s="1"/>
  <c r="C206" i="6"/>
  <c r="B206" i="6"/>
  <c r="B205" i="6"/>
  <c r="B204" i="6"/>
  <c r="C205" i="6" s="1"/>
  <c r="C203" i="6"/>
  <c r="B203" i="6"/>
  <c r="B202" i="6"/>
  <c r="B201" i="6"/>
  <c r="C202" i="6" s="1"/>
  <c r="B200" i="6"/>
  <c r="C201" i="6" s="1"/>
  <c r="C199" i="6"/>
  <c r="B199" i="6"/>
  <c r="C198" i="6"/>
  <c r="B198" i="6"/>
  <c r="B197" i="6"/>
  <c r="C197" i="6" s="1"/>
  <c r="B196" i="6"/>
  <c r="B195" i="6"/>
  <c r="C196" i="6" s="1"/>
  <c r="C194" i="6"/>
  <c r="B194" i="6"/>
  <c r="B193" i="6"/>
  <c r="B192" i="6"/>
  <c r="C193" i="6" s="1"/>
  <c r="C191" i="6"/>
  <c r="B191" i="6"/>
  <c r="C192" i="6" s="1"/>
  <c r="B190" i="6"/>
  <c r="B189" i="6"/>
  <c r="C190" i="6" s="1"/>
  <c r="B188" i="6"/>
  <c r="C189" i="6" s="1"/>
  <c r="C187" i="6"/>
  <c r="B187" i="6"/>
  <c r="C188" i="6" s="1"/>
  <c r="B186" i="6"/>
  <c r="C185" i="6"/>
  <c r="B185" i="6"/>
  <c r="B184" i="6"/>
  <c r="B183" i="6"/>
  <c r="C184" i="6" s="1"/>
  <c r="B182" i="6"/>
  <c r="C181" i="6"/>
  <c r="B181" i="6"/>
  <c r="B180" i="6"/>
  <c r="B179" i="6"/>
  <c r="B178" i="6"/>
  <c r="B177" i="6"/>
  <c r="C178" i="6" s="1"/>
  <c r="B176" i="6"/>
  <c r="B175" i="6"/>
  <c r="C176" i="6" s="1"/>
  <c r="C174" i="6"/>
  <c r="B174" i="6"/>
  <c r="C173" i="6"/>
  <c r="B173" i="6"/>
  <c r="B172" i="6"/>
  <c r="B171" i="6"/>
  <c r="C172" i="6" s="1"/>
  <c r="C170" i="6"/>
  <c r="B170" i="6"/>
  <c r="C171" i="6" s="1"/>
  <c r="C169" i="6"/>
  <c r="B169" i="6"/>
  <c r="B168" i="6"/>
  <c r="C167" i="6"/>
  <c r="B167" i="6"/>
  <c r="C168" i="6" s="1"/>
  <c r="B166" i="6"/>
  <c r="B165" i="6"/>
  <c r="C166" i="6" s="1"/>
  <c r="B164" i="6"/>
  <c r="B163" i="6"/>
  <c r="C164" i="6" s="1"/>
  <c r="B162" i="6"/>
  <c r="C163" i="6" s="1"/>
  <c r="B161" i="6"/>
  <c r="C161" i="6" s="1"/>
  <c r="B160" i="6"/>
  <c r="B159" i="6"/>
  <c r="C160" i="6" s="1"/>
  <c r="C158" i="6"/>
  <c r="B158" i="6"/>
  <c r="C159" i="6" s="1"/>
  <c r="B157" i="6"/>
  <c r="C156" i="6"/>
  <c r="B156" i="6"/>
  <c r="B155" i="6"/>
  <c r="C155" i="6" s="1"/>
  <c r="B154" i="6"/>
  <c r="B153" i="6"/>
  <c r="C154" i="6" s="1"/>
  <c r="C152" i="6"/>
  <c r="B152" i="6"/>
  <c r="B151" i="6"/>
  <c r="B150" i="6"/>
  <c r="C151" i="6" s="1"/>
  <c r="B149" i="6"/>
  <c r="B148" i="6"/>
  <c r="B147" i="6"/>
  <c r="C148" i="6" s="1"/>
  <c r="B146" i="6"/>
  <c r="C147" i="6" s="1"/>
  <c r="C145" i="6"/>
  <c r="B145" i="6"/>
  <c r="C146" i="6" s="1"/>
  <c r="C144" i="6"/>
  <c r="B144" i="6"/>
  <c r="B143" i="6"/>
  <c r="C143" i="6" s="1"/>
  <c r="B142" i="6"/>
  <c r="B141" i="6"/>
  <c r="C142" i="6" s="1"/>
  <c r="B140" i="6"/>
  <c r="B139" i="6"/>
  <c r="B138" i="6"/>
  <c r="C139" i="6" s="1"/>
  <c r="C137" i="6"/>
  <c r="B137" i="6"/>
  <c r="C138" i="6" s="1"/>
  <c r="B136" i="6"/>
  <c r="B135" i="6"/>
  <c r="C136" i="6" s="1"/>
  <c r="B134" i="6"/>
  <c r="C135" i="6" s="1"/>
  <c r="B133" i="6"/>
  <c r="C134" i="6" s="1"/>
  <c r="B132" i="6"/>
  <c r="C133" i="6" s="1"/>
  <c r="C131" i="6"/>
  <c r="B131" i="6"/>
  <c r="B130" i="6"/>
  <c r="B129" i="6"/>
  <c r="C130" i="6" s="1"/>
  <c r="B128" i="6"/>
  <c r="C127" i="6"/>
  <c r="B127" i="6"/>
  <c r="B126" i="6"/>
  <c r="B125" i="6"/>
  <c r="C125" i="6" s="1"/>
  <c r="B124" i="6"/>
  <c r="B123" i="6"/>
  <c r="C124" i="6" s="1"/>
  <c r="B122" i="6"/>
  <c r="B121" i="6"/>
  <c r="C122" i="6" s="1"/>
  <c r="C120" i="6"/>
  <c r="B120" i="6"/>
  <c r="C121" i="6" s="1"/>
  <c r="C119" i="6"/>
  <c r="B119" i="6"/>
  <c r="B118" i="6"/>
  <c r="B117" i="6"/>
  <c r="C118" i="6" s="1"/>
  <c r="C116" i="6"/>
  <c r="B116" i="6"/>
  <c r="C115" i="6"/>
  <c r="B115" i="6"/>
  <c r="B114" i="6"/>
  <c r="B113" i="6"/>
  <c r="B112" i="6"/>
  <c r="B111" i="6"/>
  <c r="C112" i="6" s="1"/>
  <c r="B110" i="6"/>
  <c r="B109" i="6"/>
  <c r="C110" i="6" s="1"/>
  <c r="B108" i="6"/>
  <c r="C109" i="6" s="1"/>
  <c r="B107" i="6"/>
  <c r="C108" i="6" s="1"/>
  <c r="B106" i="6"/>
  <c r="B105" i="6"/>
  <c r="B104" i="6"/>
  <c r="C105" i="6" s="1"/>
  <c r="B103" i="6"/>
  <c r="C102" i="6"/>
  <c r="B102" i="6"/>
  <c r="B101" i="6"/>
  <c r="C101" i="6" s="1"/>
  <c r="B100" i="6"/>
  <c r="B99" i="6"/>
  <c r="C100" i="6" s="1"/>
  <c r="C98" i="6"/>
  <c r="B98" i="6"/>
  <c r="B97" i="6"/>
  <c r="B96" i="6"/>
  <c r="C97" i="6" s="1"/>
  <c r="B95" i="6"/>
  <c r="B94" i="6"/>
  <c r="B93" i="6"/>
  <c r="B92" i="6"/>
  <c r="C93" i="6" s="1"/>
  <c r="C91" i="6"/>
  <c r="B91" i="6"/>
  <c r="C90" i="6"/>
  <c r="B90" i="6"/>
  <c r="B89" i="6"/>
  <c r="B88" i="6"/>
  <c r="C89" i="6" s="1"/>
  <c r="B87" i="6"/>
  <c r="C88" i="6" s="1"/>
  <c r="B86" i="6"/>
  <c r="B85" i="6"/>
  <c r="B84" i="6"/>
  <c r="C85" i="6" s="1"/>
  <c r="C83" i="6"/>
  <c r="B83" i="6"/>
  <c r="C84" i="6" s="1"/>
  <c r="B82" i="6"/>
  <c r="B81" i="6"/>
  <c r="C82" i="6" s="1"/>
  <c r="B80" i="6"/>
  <c r="C81" i="6" s="1"/>
  <c r="B79" i="6"/>
  <c r="C80" i="6" s="1"/>
  <c r="B78" i="6"/>
  <c r="C79" i="6" s="1"/>
  <c r="B77" i="6"/>
  <c r="B76" i="6"/>
  <c r="C77" i="6" s="1"/>
  <c r="B75" i="6"/>
  <c r="B74" i="6"/>
  <c r="C73" i="6"/>
  <c r="B73" i="6"/>
  <c r="B72" i="6"/>
  <c r="B71" i="6"/>
  <c r="C72" i="6" s="1"/>
  <c r="B70" i="6"/>
  <c r="B69" i="6"/>
  <c r="C70" i="6" s="1"/>
  <c r="B68" i="6"/>
  <c r="B67" i="6"/>
  <c r="C68" i="6" s="1"/>
  <c r="C66" i="6"/>
  <c r="B66" i="6"/>
  <c r="C65" i="6"/>
  <c r="B65" i="6"/>
  <c r="B64" i="6"/>
  <c r="B63" i="6"/>
  <c r="C64" i="6" s="1"/>
  <c r="B62" i="6"/>
  <c r="C63" i="6" s="1"/>
  <c r="C61" i="6"/>
  <c r="B61" i="6"/>
  <c r="B60" i="6"/>
  <c r="C59" i="6"/>
  <c r="B59" i="6"/>
  <c r="C60" i="6" s="1"/>
  <c r="B58" i="6"/>
  <c r="B57" i="6"/>
  <c r="C58" i="6" s="1"/>
  <c r="B56" i="6"/>
  <c r="B55" i="6"/>
  <c r="C56" i="6" s="1"/>
  <c r="B54" i="6"/>
  <c r="C55" i="6" s="1"/>
  <c r="B53" i="6"/>
  <c r="C54" i="6" s="1"/>
  <c r="B52" i="6"/>
  <c r="B51" i="6"/>
  <c r="C50" i="6"/>
  <c r="B50" i="6"/>
  <c r="C51" i="6" s="1"/>
  <c r="B49" i="6"/>
  <c r="C48" i="6"/>
  <c r="B48" i="6"/>
  <c r="B47" i="6"/>
  <c r="B46" i="6"/>
  <c r="C47" i="6" s="1"/>
  <c r="B45" i="6"/>
  <c r="C46" i="6" s="1"/>
  <c r="C44" i="6"/>
  <c r="B44" i="6"/>
  <c r="B43" i="6"/>
  <c r="C42" i="6"/>
  <c r="B42" i="6"/>
  <c r="C43" i="6" s="1"/>
  <c r="C41" i="6"/>
  <c r="B41" i="6"/>
  <c r="B40" i="6"/>
  <c r="B39" i="6"/>
  <c r="C40" i="6" s="1"/>
  <c r="C38" i="6"/>
  <c r="B38" i="6"/>
  <c r="B37" i="6"/>
  <c r="B36" i="6"/>
  <c r="C37" i="6" s="1"/>
  <c r="C35" i="6"/>
  <c r="B35" i="6"/>
  <c r="C34" i="6"/>
  <c r="B34" i="6"/>
  <c r="B33" i="6"/>
  <c r="B32" i="6"/>
  <c r="C33" i="6" s="1"/>
  <c r="C31" i="6"/>
  <c r="B31" i="6"/>
  <c r="B30" i="6"/>
  <c r="B29" i="6"/>
  <c r="C30" i="6" s="1"/>
  <c r="B28" i="6"/>
  <c r="C28" i="6" s="1"/>
  <c r="B27" i="6"/>
  <c r="B26" i="6"/>
  <c r="B25" i="6"/>
  <c r="C26" i="6" s="1"/>
  <c r="B24" i="6"/>
  <c r="B23" i="6"/>
  <c r="B22" i="6"/>
  <c r="C23" i="6" s="1"/>
  <c r="B21" i="6"/>
  <c r="C20" i="6"/>
  <c r="B20" i="6"/>
  <c r="B19" i="6"/>
  <c r="B18" i="6"/>
  <c r="C17" i="6"/>
  <c r="B17" i="6"/>
  <c r="B16" i="6"/>
  <c r="B15" i="6"/>
  <c r="C16" i="6" s="1"/>
  <c r="C14" i="6"/>
  <c r="B14" i="6"/>
  <c r="B13" i="6"/>
  <c r="B12" i="6"/>
  <c r="B11" i="6"/>
  <c r="C12" i="6" s="1"/>
  <c r="B10" i="6"/>
  <c r="B9" i="6"/>
  <c r="C10" i="6" s="1"/>
  <c r="C8" i="6"/>
  <c r="B8" i="6"/>
  <c r="C7" i="6"/>
  <c r="B7" i="6"/>
  <c r="B6" i="6"/>
  <c r="C375" i="5"/>
  <c r="B375" i="5"/>
  <c r="B374" i="5"/>
  <c r="C374" i="5" s="1"/>
  <c r="B373" i="5"/>
  <c r="C372" i="5"/>
  <c r="B372" i="5"/>
  <c r="C373" i="5" s="1"/>
  <c r="B371" i="5"/>
  <c r="B370" i="5"/>
  <c r="C371" i="5" s="1"/>
  <c r="C369" i="5"/>
  <c r="B369" i="5"/>
  <c r="C368" i="5"/>
  <c r="B368" i="5"/>
  <c r="B367" i="5"/>
  <c r="B366" i="5"/>
  <c r="C367" i="5" s="1"/>
  <c r="C365" i="5"/>
  <c r="B365" i="5"/>
  <c r="B364" i="5"/>
  <c r="B363" i="5"/>
  <c r="C364" i="5" s="1"/>
  <c r="C362" i="5"/>
  <c r="B362" i="5"/>
  <c r="C363" i="5" s="1"/>
  <c r="B361" i="5"/>
  <c r="B360" i="5"/>
  <c r="C361" i="5" s="1"/>
  <c r="B359" i="5"/>
  <c r="C360" i="5" s="1"/>
  <c r="B358" i="5"/>
  <c r="C359" i="5" s="1"/>
  <c r="B357" i="5"/>
  <c r="B356" i="5"/>
  <c r="C356" i="5" s="1"/>
  <c r="B355" i="5"/>
  <c r="B354" i="5"/>
  <c r="B353" i="5"/>
  <c r="B352" i="5"/>
  <c r="C353" i="5" s="1"/>
  <c r="C351" i="5"/>
  <c r="B351" i="5"/>
  <c r="C352" i="5" s="1"/>
  <c r="C350" i="5"/>
  <c r="B350" i="5"/>
  <c r="B349" i="5"/>
  <c r="B348" i="5"/>
  <c r="C349" i="5" s="1"/>
  <c r="B347" i="5"/>
  <c r="C347" i="5" s="1"/>
  <c r="B346" i="5"/>
  <c r="B345" i="5"/>
  <c r="C346" i="5" s="1"/>
  <c r="C344" i="5"/>
  <c r="B344" i="5"/>
  <c r="C345" i="5" s="1"/>
  <c r="B343" i="5"/>
  <c r="B342" i="5"/>
  <c r="C343" i="5" s="1"/>
  <c r="B341" i="5"/>
  <c r="B340" i="5"/>
  <c r="C339" i="5"/>
  <c r="B339" i="5"/>
  <c r="B338" i="5"/>
  <c r="C338" i="5" s="1"/>
  <c r="B337" i="5"/>
  <c r="C336" i="5"/>
  <c r="B336" i="5"/>
  <c r="C337" i="5" s="1"/>
  <c r="C335" i="5"/>
  <c r="B335" i="5"/>
  <c r="B334" i="5"/>
  <c r="C333" i="5"/>
  <c r="B333" i="5"/>
  <c r="C332" i="5"/>
  <c r="B332" i="5"/>
  <c r="B331" i="5"/>
  <c r="B330" i="5"/>
  <c r="C331" i="5" s="1"/>
  <c r="B329" i="5"/>
  <c r="C330" i="5" s="1"/>
  <c r="B328" i="5"/>
  <c r="C329" i="5" s="1"/>
  <c r="B327" i="5"/>
  <c r="C328" i="5" s="1"/>
  <c r="C326" i="5"/>
  <c r="B326" i="5"/>
  <c r="B325" i="5"/>
  <c r="B324" i="5"/>
  <c r="C325" i="5" s="1"/>
  <c r="B323" i="5"/>
  <c r="C324" i="5" s="1"/>
  <c r="B322" i="5"/>
  <c r="C323" i="5" s="1"/>
  <c r="C321" i="5"/>
  <c r="B321" i="5"/>
  <c r="B320" i="5"/>
  <c r="C320" i="5" s="1"/>
  <c r="B319" i="5"/>
  <c r="B318" i="5"/>
  <c r="B317" i="5"/>
  <c r="B316" i="5"/>
  <c r="C317" i="5" s="1"/>
  <c r="B315" i="5"/>
  <c r="C316" i="5" s="1"/>
  <c r="C314" i="5"/>
  <c r="B314" i="5"/>
  <c r="C315" i="5" s="1"/>
  <c r="B313" i="5"/>
  <c r="C312" i="5"/>
  <c r="B312" i="5"/>
  <c r="C313" i="5" s="1"/>
  <c r="B311" i="5"/>
  <c r="C311" i="5" s="1"/>
  <c r="B310" i="5"/>
  <c r="B309" i="5"/>
  <c r="C310" i="5" s="1"/>
  <c r="C308" i="5"/>
  <c r="B308" i="5"/>
  <c r="C309" i="5" s="1"/>
  <c r="B307" i="5"/>
  <c r="B306" i="5"/>
  <c r="B305" i="5"/>
  <c r="C306" i="5" s="1"/>
  <c r="B304" i="5"/>
  <c r="C303" i="5"/>
  <c r="B303" i="5"/>
  <c r="B302" i="5"/>
  <c r="B301" i="5"/>
  <c r="C302" i="5" s="1"/>
  <c r="C300" i="5"/>
  <c r="B300" i="5"/>
  <c r="C301" i="5" s="1"/>
  <c r="B299" i="5"/>
  <c r="B298" i="5"/>
  <c r="C299" i="5" s="1"/>
  <c r="C297" i="5"/>
  <c r="B297" i="5"/>
  <c r="C296" i="5"/>
  <c r="B296" i="5"/>
  <c r="B295" i="5"/>
  <c r="B294" i="5"/>
  <c r="C295" i="5" s="1"/>
  <c r="B293" i="5"/>
  <c r="C294" i="5" s="1"/>
  <c r="B292" i="5"/>
  <c r="C293" i="5" s="1"/>
  <c r="B291" i="5"/>
  <c r="C292" i="5" s="1"/>
  <c r="B290" i="5"/>
  <c r="C291" i="5" s="1"/>
  <c r="B289" i="5"/>
  <c r="C290" i="5" s="1"/>
  <c r="B288" i="5"/>
  <c r="B287" i="5"/>
  <c r="C288" i="5" s="1"/>
  <c r="B286" i="5"/>
  <c r="B285" i="5"/>
  <c r="B284" i="5"/>
  <c r="C285" i="5" s="1"/>
  <c r="B283" i="5"/>
  <c r="C284" i="5" s="1"/>
  <c r="B282" i="5"/>
  <c r="B281" i="5"/>
  <c r="B280" i="5"/>
  <c r="C281" i="5" s="1"/>
  <c r="C279" i="5"/>
  <c r="B279" i="5"/>
  <c r="C280" i="5" s="1"/>
  <c r="C278" i="5"/>
  <c r="B278" i="5"/>
  <c r="B277" i="5"/>
  <c r="B276" i="5"/>
  <c r="C277" i="5" s="1"/>
  <c r="B275" i="5"/>
  <c r="C275" i="5" s="1"/>
  <c r="B274" i="5"/>
  <c r="B273" i="5"/>
  <c r="C274" i="5" s="1"/>
  <c r="B272" i="5"/>
  <c r="C273" i="5" s="1"/>
  <c r="B271" i="5"/>
  <c r="C272" i="5" s="1"/>
  <c r="C270" i="5"/>
  <c r="B270" i="5"/>
  <c r="C269" i="5"/>
  <c r="B269" i="5"/>
  <c r="B268" i="5"/>
  <c r="C267" i="5"/>
  <c r="B267" i="5"/>
  <c r="B266" i="5"/>
  <c r="B265" i="5"/>
  <c r="C266" i="5" s="1"/>
  <c r="C264" i="5"/>
  <c r="B264" i="5"/>
  <c r="C263" i="5"/>
  <c r="B263" i="5"/>
  <c r="B262" i="5"/>
  <c r="C261" i="5"/>
  <c r="B261" i="5"/>
  <c r="C260" i="5"/>
  <c r="B260" i="5"/>
  <c r="B259" i="5"/>
  <c r="B258" i="5"/>
  <c r="C259" i="5" s="1"/>
  <c r="B257" i="5"/>
  <c r="B256" i="5"/>
  <c r="B255" i="5"/>
  <c r="C256" i="5" s="1"/>
  <c r="C254" i="5"/>
  <c r="B254" i="5"/>
  <c r="B253" i="5"/>
  <c r="B252" i="5"/>
  <c r="B251" i="5"/>
  <c r="C252" i="5" s="1"/>
  <c r="B250" i="5"/>
  <c r="C251" i="5" s="1"/>
  <c r="B249" i="5"/>
  <c r="C250" i="5" s="1"/>
  <c r="B248" i="5"/>
  <c r="C249" i="5" s="1"/>
  <c r="B247" i="5"/>
  <c r="C248" i="5" s="1"/>
  <c r="B246" i="5"/>
  <c r="B245" i="5"/>
  <c r="B244" i="5"/>
  <c r="C245" i="5" s="1"/>
  <c r="C243" i="5"/>
  <c r="B243" i="5"/>
  <c r="C244" i="5" s="1"/>
  <c r="C242" i="5"/>
  <c r="B242" i="5"/>
  <c r="B241" i="5"/>
  <c r="B240" i="5"/>
  <c r="C241" i="5" s="1"/>
  <c r="B239" i="5"/>
  <c r="C239" i="5" s="1"/>
  <c r="B238" i="5"/>
  <c r="B237" i="5"/>
  <c r="C238" i="5" s="1"/>
  <c r="C236" i="5"/>
  <c r="B236" i="5"/>
  <c r="C237" i="5" s="1"/>
  <c r="B235" i="5"/>
  <c r="C234" i="5"/>
  <c r="B234" i="5"/>
  <c r="B233" i="5"/>
  <c r="C233" i="5" s="1"/>
  <c r="B232" i="5"/>
  <c r="C231" i="5"/>
  <c r="B231" i="5"/>
  <c r="B230" i="5"/>
  <c r="B229" i="5"/>
  <c r="C230" i="5" s="1"/>
  <c r="C228" i="5"/>
  <c r="B228" i="5"/>
  <c r="C229" i="5" s="1"/>
  <c r="C227" i="5"/>
  <c r="B227" i="5"/>
  <c r="B226" i="5"/>
  <c r="C225" i="5"/>
  <c r="B225" i="5"/>
  <c r="C224" i="5"/>
  <c r="B224" i="5"/>
  <c r="B223" i="5"/>
  <c r="B222" i="5"/>
  <c r="C223" i="5" s="1"/>
  <c r="B221" i="5"/>
  <c r="C222" i="5" s="1"/>
  <c r="B220" i="5"/>
  <c r="B219" i="5"/>
  <c r="C220" i="5" s="1"/>
  <c r="C218" i="5"/>
  <c r="B218" i="5"/>
  <c r="B217" i="5"/>
  <c r="B216" i="5"/>
  <c r="B215" i="5"/>
  <c r="C216" i="5" s="1"/>
  <c r="B214" i="5"/>
  <c r="C215" i="5" s="1"/>
  <c r="B213" i="5"/>
  <c r="B212" i="5"/>
  <c r="C213" i="5" s="1"/>
  <c r="B211" i="5"/>
  <c r="C212" i="5" s="1"/>
  <c r="B210" i="5"/>
  <c r="B209" i="5"/>
  <c r="B208" i="5"/>
  <c r="C209" i="5" s="1"/>
  <c r="C207" i="5"/>
  <c r="B207" i="5"/>
  <c r="C208" i="5" s="1"/>
  <c r="C206" i="5"/>
  <c r="B206" i="5"/>
  <c r="B205" i="5"/>
  <c r="B204" i="5"/>
  <c r="C205" i="5" s="1"/>
  <c r="B203" i="5"/>
  <c r="C203" i="5" s="1"/>
  <c r="B202" i="5"/>
  <c r="B201" i="5"/>
  <c r="C202" i="5" s="1"/>
  <c r="C200" i="5"/>
  <c r="B200" i="5"/>
  <c r="C201" i="5" s="1"/>
  <c r="B199" i="5"/>
  <c r="B198" i="5"/>
  <c r="B197" i="5"/>
  <c r="C198" i="5" s="1"/>
  <c r="B196" i="5"/>
  <c r="C195" i="5"/>
  <c r="B195" i="5"/>
  <c r="B194" i="5"/>
  <c r="B193" i="5"/>
  <c r="C194" i="5" s="1"/>
  <c r="C192" i="5"/>
  <c r="B192" i="5"/>
  <c r="B191" i="5"/>
  <c r="B190" i="5"/>
  <c r="C191" i="5" s="1"/>
  <c r="C189" i="5"/>
  <c r="B189" i="5"/>
  <c r="C188" i="5"/>
  <c r="B188" i="5"/>
  <c r="B187" i="5"/>
  <c r="B186" i="5"/>
  <c r="C187" i="5" s="1"/>
  <c r="B185" i="5"/>
  <c r="B184" i="5"/>
  <c r="B183" i="5"/>
  <c r="B182" i="5"/>
  <c r="B181" i="5"/>
  <c r="C182" i="5" s="1"/>
  <c r="B180" i="5"/>
  <c r="B179" i="5"/>
  <c r="C180" i="5" s="1"/>
  <c r="B178" i="5"/>
  <c r="C179" i="5" s="1"/>
  <c r="B177" i="5"/>
  <c r="C178" i="5" s="1"/>
  <c r="B176" i="5"/>
  <c r="B175" i="5"/>
  <c r="C176" i="5" s="1"/>
  <c r="B174" i="5"/>
  <c r="B173" i="5"/>
  <c r="B172" i="5"/>
  <c r="C173" i="5" s="1"/>
  <c r="C171" i="5"/>
  <c r="B171" i="5"/>
  <c r="C172" i="5" s="1"/>
  <c r="C170" i="5"/>
  <c r="B170" i="5"/>
  <c r="B169" i="5"/>
  <c r="B168" i="5"/>
  <c r="C169" i="5" s="1"/>
  <c r="B167" i="5"/>
  <c r="C167" i="5" s="1"/>
  <c r="B166" i="5"/>
  <c r="B165" i="5"/>
  <c r="C166" i="5" s="1"/>
  <c r="B164" i="5"/>
  <c r="C165" i="5" s="1"/>
  <c r="B163" i="5"/>
  <c r="C164" i="5" s="1"/>
  <c r="B162" i="5"/>
  <c r="B161" i="5"/>
  <c r="C162" i="5" s="1"/>
  <c r="B160" i="5"/>
  <c r="C159" i="5"/>
  <c r="B159" i="5"/>
  <c r="B158" i="5"/>
  <c r="B157" i="5"/>
  <c r="C158" i="5" s="1"/>
  <c r="C156" i="5"/>
  <c r="B156" i="5"/>
  <c r="B155" i="5"/>
  <c r="B154" i="5"/>
  <c r="C155" i="5" s="1"/>
  <c r="C153" i="5"/>
  <c r="B153" i="5"/>
  <c r="C152" i="5"/>
  <c r="B152" i="5"/>
  <c r="B151" i="5"/>
  <c r="C150" i="5"/>
  <c r="B150" i="5"/>
  <c r="C151" i="5" s="1"/>
  <c r="C149" i="5"/>
  <c r="B149" i="5"/>
  <c r="B148" i="5"/>
  <c r="B147" i="5"/>
  <c r="C148" i="5" s="1"/>
  <c r="B146" i="5"/>
  <c r="C146" i="5" s="1"/>
  <c r="B145" i="5"/>
  <c r="B144" i="5"/>
  <c r="C145" i="5" s="1"/>
  <c r="C143" i="5"/>
  <c r="B143" i="5"/>
  <c r="C144" i="5" s="1"/>
  <c r="B142" i="5"/>
  <c r="B141" i="5"/>
  <c r="C140" i="5"/>
  <c r="B140" i="5"/>
  <c r="C139" i="5"/>
  <c r="B139" i="5"/>
  <c r="B138" i="5"/>
  <c r="B137" i="5"/>
  <c r="C138" i="5" s="1"/>
  <c r="B136" i="5"/>
  <c r="C137" i="5" s="1"/>
  <c r="C135" i="5"/>
  <c r="B135" i="5"/>
  <c r="C134" i="5"/>
  <c r="B134" i="5"/>
  <c r="C133" i="5"/>
  <c r="B133" i="5"/>
  <c r="B132" i="5"/>
  <c r="B131" i="5"/>
  <c r="C132" i="5" s="1"/>
  <c r="B130" i="5"/>
  <c r="C131" i="5" s="1"/>
  <c r="B129" i="5"/>
  <c r="B128" i="5"/>
  <c r="C129" i="5" s="1"/>
  <c r="C127" i="5"/>
  <c r="B127" i="5"/>
  <c r="C128" i="5" s="1"/>
  <c r="C126" i="5"/>
  <c r="B126" i="5"/>
  <c r="B125" i="5"/>
  <c r="B124" i="5"/>
  <c r="C125" i="5" s="1"/>
  <c r="C123" i="5"/>
  <c r="B123" i="5"/>
  <c r="C124" i="5" s="1"/>
  <c r="C122" i="5"/>
  <c r="B122" i="5"/>
  <c r="B121" i="5"/>
  <c r="C120" i="5"/>
  <c r="B120" i="5"/>
  <c r="C121" i="5" s="1"/>
  <c r="B119" i="5"/>
  <c r="B118" i="5"/>
  <c r="C119" i="5" s="1"/>
  <c r="C117" i="5"/>
  <c r="B117" i="5"/>
  <c r="C118" i="5" s="1"/>
  <c r="B116" i="5"/>
  <c r="B115" i="5"/>
  <c r="C116" i="5" s="1"/>
  <c r="B114" i="5"/>
  <c r="C113" i="5"/>
  <c r="B113" i="5"/>
  <c r="B112" i="5"/>
  <c r="B111" i="5"/>
  <c r="C112" i="5" s="1"/>
  <c r="C110" i="5"/>
  <c r="B110" i="5"/>
  <c r="B109" i="5"/>
  <c r="B108" i="5"/>
  <c r="C109" i="5" s="1"/>
  <c r="B107" i="5"/>
  <c r="C108" i="5" s="1"/>
  <c r="B106" i="5"/>
  <c r="B105" i="5"/>
  <c r="C106" i="5" s="1"/>
  <c r="B104" i="5"/>
  <c r="C105" i="5" s="1"/>
  <c r="C103" i="5"/>
  <c r="B103" i="5"/>
  <c r="B102" i="5"/>
  <c r="B101" i="5"/>
  <c r="C102" i="5" s="1"/>
  <c r="B100" i="5"/>
  <c r="C101" i="5" s="1"/>
  <c r="B99" i="5"/>
  <c r="B98" i="5"/>
  <c r="C99" i="5" s="1"/>
  <c r="B97" i="5"/>
  <c r="C96" i="5"/>
  <c r="B96" i="5"/>
  <c r="C95" i="5"/>
  <c r="B95" i="5"/>
  <c r="B94" i="5"/>
  <c r="C93" i="5"/>
  <c r="B93" i="5"/>
  <c r="B92" i="5"/>
  <c r="B91" i="5"/>
  <c r="C92" i="5" s="1"/>
  <c r="B90" i="5"/>
  <c r="C91" i="5" s="1"/>
  <c r="B89" i="5"/>
  <c r="C90" i="5" s="1"/>
  <c r="B88" i="5"/>
  <c r="C89" i="5" s="1"/>
  <c r="C87" i="5"/>
  <c r="B87" i="5"/>
  <c r="B86" i="5"/>
  <c r="B85" i="5"/>
  <c r="C86" i="5" s="1"/>
  <c r="B84" i="5"/>
  <c r="C85" i="5" s="1"/>
  <c r="B83" i="5"/>
  <c r="B82" i="5"/>
  <c r="C83" i="5" s="1"/>
  <c r="C81" i="5"/>
  <c r="B81" i="5"/>
  <c r="C82" i="5" s="1"/>
  <c r="C80" i="5"/>
  <c r="B80" i="5"/>
  <c r="B79" i="5"/>
  <c r="B78" i="5"/>
  <c r="C79" i="5" s="1"/>
  <c r="B77" i="5"/>
  <c r="C78" i="5" s="1"/>
  <c r="B76" i="5"/>
  <c r="B75" i="5"/>
  <c r="C76" i="5" s="1"/>
  <c r="C74" i="5"/>
  <c r="B74" i="5"/>
  <c r="C75" i="5" s="1"/>
  <c r="B73" i="5"/>
  <c r="B72" i="5"/>
  <c r="C73" i="5" s="1"/>
  <c r="C71" i="5"/>
  <c r="B71" i="5"/>
  <c r="B70" i="5"/>
  <c r="B69" i="5"/>
  <c r="C68" i="5"/>
  <c r="B68" i="5"/>
  <c r="C69" i="5" s="1"/>
  <c r="C67" i="5"/>
  <c r="B67" i="5"/>
  <c r="B66" i="5"/>
  <c r="B65" i="5"/>
  <c r="C66" i="5" s="1"/>
  <c r="B64" i="5"/>
  <c r="C63" i="5"/>
  <c r="B63" i="5"/>
  <c r="C62" i="5"/>
  <c r="B62" i="5"/>
  <c r="C61" i="5"/>
  <c r="B61" i="5"/>
  <c r="B60" i="5"/>
  <c r="B59" i="5"/>
  <c r="C60" i="5" s="1"/>
  <c r="B58" i="5"/>
  <c r="C59" i="5" s="1"/>
  <c r="B57" i="5"/>
  <c r="B56" i="5"/>
  <c r="C55" i="5"/>
  <c r="B55" i="5"/>
  <c r="C54" i="5"/>
  <c r="B54" i="5"/>
  <c r="B53" i="5"/>
  <c r="B52" i="5"/>
  <c r="C53" i="5" s="1"/>
  <c r="C51" i="5"/>
  <c r="B51" i="5"/>
  <c r="C52" i="5" s="1"/>
  <c r="C50" i="5"/>
  <c r="B50" i="5"/>
  <c r="C49" i="5"/>
  <c r="B49" i="5"/>
  <c r="C48" i="5"/>
  <c r="B48" i="5"/>
  <c r="B47" i="5"/>
  <c r="B46" i="5"/>
  <c r="C47" i="5" s="1"/>
  <c r="C45" i="5"/>
  <c r="B45" i="5"/>
  <c r="C46" i="5" s="1"/>
  <c r="B44" i="5"/>
  <c r="C43" i="5"/>
  <c r="B43" i="5"/>
  <c r="C44" i="5" s="1"/>
  <c r="C42" i="5"/>
  <c r="B42" i="5"/>
  <c r="B41" i="5"/>
  <c r="B40" i="5"/>
  <c r="C41" i="5" s="1"/>
  <c r="C39" i="5"/>
  <c r="B39" i="5"/>
  <c r="C40" i="5" s="1"/>
  <c r="C38" i="5"/>
  <c r="B38" i="5"/>
  <c r="B37" i="5"/>
  <c r="C36" i="5"/>
  <c r="B36" i="5"/>
  <c r="C37" i="5" s="1"/>
  <c r="B35" i="5"/>
  <c r="B34" i="5"/>
  <c r="C35" i="5" s="1"/>
  <c r="C33" i="5"/>
  <c r="B33" i="5"/>
  <c r="C32" i="5"/>
  <c r="B32" i="5"/>
  <c r="C31" i="5"/>
  <c r="B31" i="5"/>
  <c r="C30" i="5"/>
  <c r="B30" i="5"/>
  <c r="B29" i="5"/>
  <c r="B28" i="5"/>
  <c r="C29" i="5" s="1"/>
  <c r="C27" i="5"/>
  <c r="B27" i="5"/>
  <c r="C26" i="5"/>
  <c r="B26" i="5"/>
  <c r="C25" i="5"/>
  <c r="B25" i="5"/>
  <c r="C24" i="5"/>
  <c r="B24" i="5"/>
  <c r="B23" i="5"/>
  <c r="B22" i="5"/>
  <c r="C23" i="5" s="1"/>
  <c r="C21" i="5"/>
  <c r="B21" i="5"/>
  <c r="C22" i="5" s="1"/>
  <c r="C20" i="5"/>
  <c r="B20" i="5"/>
  <c r="C19" i="5"/>
  <c r="B19" i="5"/>
  <c r="C18" i="5"/>
  <c r="B18" i="5"/>
  <c r="B17" i="5"/>
  <c r="B16" i="5"/>
  <c r="C17" i="5" s="1"/>
  <c r="C15" i="5"/>
  <c r="B15" i="5"/>
  <c r="C16" i="5" s="1"/>
  <c r="C14" i="5"/>
  <c r="B14" i="5"/>
  <c r="C13" i="5"/>
  <c r="B13" i="5"/>
  <c r="C12" i="5"/>
  <c r="B12" i="5"/>
  <c r="B11" i="5"/>
  <c r="B10" i="5"/>
  <c r="C11" i="5" s="1"/>
  <c r="C9" i="5"/>
  <c r="B9" i="5"/>
  <c r="C10" i="5" s="1"/>
  <c r="B8" i="5"/>
  <c r="C7" i="5"/>
  <c r="B7" i="5"/>
  <c r="C8" i="5" s="1"/>
  <c r="B6" i="5"/>
  <c r="V89" i="4"/>
  <c r="U89" i="4"/>
  <c r="S89" i="4"/>
  <c r="R89" i="4"/>
  <c r="Q89" i="4"/>
  <c r="O89" i="4"/>
  <c r="N89" i="4"/>
  <c r="M89" i="4"/>
  <c r="L89" i="4"/>
  <c r="K89" i="4"/>
  <c r="J89" i="4"/>
  <c r="I89" i="4"/>
  <c r="G89" i="4"/>
  <c r="E89" i="4"/>
  <c r="F89" i="4" s="1"/>
  <c r="C89" i="4"/>
  <c r="D89" i="4" s="1"/>
  <c r="U88" i="4"/>
  <c r="V88" i="4" s="1"/>
  <c r="S88" i="4"/>
  <c r="T88" i="4" s="1"/>
  <c r="R88" i="4"/>
  <c r="Q88" i="4"/>
  <c r="O88" i="4"/>
  <c r="P88" i="4" s="1"/>
  <c r="N88" i="4"/>
  <c r="M88" i="4"/>
  <c r="K88" i="4"/>
  <c r="I88" i="4"/>
  <c r="H88" i="4"/>
  <c r="G88" i="4"/>
  <c r="F88" i="4"/>
  <c r="E88" i="4"/>
  <c r="C88" i="4"/>
  <c r="D88" i="4" s="1"/>
  <c r="V87" i="4"/>
  <c r="U87" i="4"/>
  <c r="S87" i="4"/>
  <c r="Q87" i="4"/>
  <c r="R87" i="4" s="1"/>
  <c r="O87" i="4"/>
  <c r="P87" i="4" s="1"/>
  <c r="M87" i="4"/>
  <c r="K87" i="4"/>
  <c r="L87" i="4" s="1"/>
  <c r="J87" i="4"/>
  <c r="I87" i="4"/>
  <c r="J88" i="4" s="1"/>
  <c r="G87" i="4"/>
  <c r="E87" i="4"/>
  <c r="C87" i="4"/>
  <c r="V86" i="4"/>
  <c r="U86" i="4"/>
  <c r="S86" i="4"/>
  <c r="T86" i="4" s="1"/>
  <c r="Q86" i="4"/>
  <c r="R86" i="4" s="1"/>
  <c r="P86" i="4"/>
  <c r="O86" i="4"/>
  <c r="M86" i="4"/>
  <c r="K86" i="4"/>
  <c r="L86" i="4" s="1"/>
  <c r="I86" i="4"/>
  <c r="G86" i="4"/>
  <c r="F86" i="4"/>
  <c r="E86" i="4"/>
  <c r="F87" i="4" s="1"/>
  <c r="D86" i="4"/>
  <c r="C86" i="4"/>
  <c r="D87" i="4" s="1"/>
  <c r="U85" i="4"/>
  <c r="S85" i="4"/>
  <c r="Q85" i="4"/>
  <c r="O85" i="4"/>
  <c r="P85" i="4" s="1"/>
  <c r="M85" i="4"/>
  <c r="N85" i="4" s="1"/>
  <c r="K85" i="4"/>
  <c r="L85" i="4" s="1"/>
  <c r="J85" i="4"/>
  <c r="I85" i="4"/>
  <c r="J86" i="4" s="1"/>
  <c r="G85" i="4"/>
  <c r="E85" i="4"/>
  <c r="C85" i="4"/>
  <c r="V84" i="4"/>
  <c r="U84" i="4"/>
  <c r="V85" i="4" s="1"/>
  <c r="T84" i="4"/>
  <c r="S84" i="4"/>
  <c r="T85" i="4" s="1"/>
  <c r="R84" i="4"/>
  <c r="Q84" i="4"/>
  <c r="R85" i="4" s="1"/>
  <c r="O84" i="4"/>
  <c r="M84" i="4"/>
  <c r="K84" i="4"/>
  <c r="I84" i="4"/>
  <c r="J84" i="4" s="1"/>
  <c r="G84" i="4"/>
  <c r="H84" i="4" s="1"/>
  <c r="E84" i="4"/>
  <c r="F85" i="4" s="1"/>
  <c r="D84" i="4"/>
  <c r="C84" i="4"/>
  <c r="U83" i="4"/>
  <c r="S83" i="4"/>
  <c r="R83" i="4"/>
  <c r="Q83" i="4"/>
  <c r="P83" i="4"/>
  <c r="O83" i="4"/>
  <c r="P84" i="4" s="1"/>
  <c r="N83" i="4"/>
  <c r="M83" i="4"/>
  <c r="N84" i="4" s="1"/>
  <c r="L83" i="4"/>
  <c r="K83" i="4"/>
  <c r="I83" i="4"/>
  <c r="G83" i="4"/>
  <c r="E83" i="4"/>
  <c r="F83" i="4" s="1"/>
  <c r="C83" i="4"/>
  <c r="D83" i="4" s="1"/>
  <c r="U82" i="4"/>
  <c r="S82" i="4"/>
  <c r="T82" i="4" s="1"/>
  <c r="R82" i="4"/>
  <c r="Q82" i="4"/>
  <c r="O82" i="4"/>
  <c r="M82" i="4"/>
  <c r="K82" i="4"/>
  <c r="J82" i="4"/>
  <c r="I82" i="4"/>
  <c r="J83" i="4" s="1"/>
  <c r="H82" i="4"/>
  <c r="G82" i="4"/>
  <c r="F82" i="4"/>
  <c r="E82" i="4"/>
  <c r="C82" i="4"/>
  <c r="D82" i="4" s="1"/>
  <c r="U81" i="4"/>
  <c r="V81" i="4" s="1"/>
  <c r="S81" i="4"/>
  <c r="T81" i="4" s="1"/>
  <c r="Q81" i="4"/>
  <c r="R81" i="4" s="1"/>
  <c r="O81" i="4"/>
  <c r="P81" i="4" s="1"/>
  <c r="M81" i="4"/>
  <c r="N82" i="4" s="1"/>
  <c r="K81" i="4"/>
  <c r="L81" i="4" s="1"/>
  <c r="I81" i="4"/>
  <c r="G81" i="4"/>
  <c r="E81" i="4"/>
  <c r="D81" i="4"/>
  <c r="C81" i="4"/>
  <c r="V80" i="4"/>
  <c r="U80" i="4"/>
  <c r="S80" i="4"/>
  <c r="T80" i="4" s="1"/>
  <c r="R80" i="4"/>
  <c r="Q80" i="4"/>
  <c r="O80" i="4"/>
  <c r="M80" i="4"/>
  <c r="N80" i="4" s="1"/>
  <c r="K80" i="4"/>
  <c r="L80" i="4" s="1"/>
  <c r="I80" i="4"/>
  <c r="G80" i="4"/>
  <c r="H80" i="4" s="1"/>
  <c r="F80" i="4"/>
  <c r="E80" i="4"/>
  <c r="F81" i="4" s="1"/>
  <c r="C80" i="4"/>
  <c r="U79" i="4"/>
  <c r="S79" i="4"/>
  <c r="R79" i="4"/>
  <c r="Q79" i="4"/>
  <c r="O79" i="4"/>
  <c r="P79" i="4" s="1"/>
  <c r="M79" i="4"/>
  <c r="N79" i="4" s="1"/>
  <c r="L79" i="4"/>
  <c r="K79" i="4"/>
  <c r="I79" i="4"/>
  <c r="G79" i="4"/>
  <c r="H79" i="4" s="1"/>
  <c r="E79" i="4"/>
  <c r="F79" i="4" s="1"/>
  <c r="C79" i="4"/>
  <c r="V78" i="4"/>
  <c r="U78" i="4"/>
  <c r="V79" i="4" s="1"/>
  <c r="T78" i="4"/>
  <c r="S78" i="4"/>
  <c r="T79" i="4" s="1"/>
  <c r="Q78" i="4"/>
  <c r="O78" i="4"/>
  <c r="M78" i="4"/>
  <c r="K78" i="4"/>
  <c r="L78" i="4" s="1"/>
  <c r="I78" i="4"/>
  <c r="J78" i="4" s="1"/>
  <c r="G78" i="4"/>
  <c r="H78" i="4" s="1"/>
  <c r="F78" i="4"/>
  <c r="E78" i="4"/>
  <c r="C78" i="4"/>
  <c r="U77" i="4"/>
  <c r="V77" i="4" s="1"/>
  <c r="S77" i="4"/>
  <c r="R77" i="4"/>
  <c r="Q77" i="4"/>
  <c r="R78" i="4" s="1"/>
  <c r="P77" i="4"/>
  <c r="O77" i="4"/>
  <c r="P78" i="4" s="1"/>
  <c r="N77" i="4"/>
  <c r="M77" i="4"/>
  <c r="N78" i="4" s="1"/>
  <c r="K77" i="4"/>
  <c r="I77" i="4"/>
  <c r="G77" i="4"/>
  <c r="E77" i="4"/>
  <c r="F77" i="4" s="1"/>
  <c r="C77" i="4"/>
  <c r="D77" i="4" s="1"/>
  <c r="U76" i="4"/>
  <c r="V76" i="4" s="1"/>
  <c r="T76" i="4"/>
  <c r="S76" i="4"/>
  <c r="Q76" i="4"/>
  <c r="O76" i="4"/>
  <c r="N76" i="4"/>
  <c r="M76" i="4"/>
  <c r="L76" i="4"/>
  <c r="K76" i="4"/>
  <c r="L77" i="4" s="1"/>
  <c r="J76" i="4"/>
  <c r="I76" i="4"/>
  <c r="J77" i="4" s="1"/>
  <c r="H76" i="4"/>
  <c r="G76" i="4"/>
  <c r="E76" i="4"/>
  <c r="C76" i="4"/>
  <c r="U75" i="4"/>
  <c r="V75" i="4" s="1"/>
  <c r="S75" i="4"/>
  <c r="T75" i="4" s="1"/>
  <c r="Q75" i="4"/>
  <c r="R75" i="4" s="1"/>
  <c r="O75" i="4"/>
  <c r="P75" i="4" s="1"/>
  <c r="N75" i="4"/>
  <c r="M75" i="4"/>
  <c r="K75" i="4"/>
  <c r="I75" i="4"/>
  <c r="G75" i="4"/>
  <c r="F75" i="4"/>
  <c r="E75" i="4"/>
  <c r="F76" i="4" s="1"/>
  <c r="D75" i="4"/>
  <c r="C75" i="4"/>
  <c r="V74" i="4"/>
  <c r="U74" i="4"/>
  <c r="S74" i="4"/>
  <c r="T74" i="4" s="1"/>
  <c r="Q74" i="4"/>
  <c r="R74" i="4" s="1"/>
  <c r="O74" i="4"/>
  <c r="M74" i="4"/>
  <c r="N74" i="4" s="1"/>
  <c r="K74" i="4"/>
  <c r="L74" i="4" s="1"/>
  <c r="I74" i="4"/>
  <c r="G74" i="4"/>
  <c r="H74" i="4" s="1"/>
  <c r="E74" i="4"/>
  <c r="C74" i="4"/>
  <c r="U73" i="4"/>
  <c r="T73" i="4"/>
  <c r="S73" i="4"/>
  <c r="R73" i="4"/>
  <c r="Q73" i="4"/>
  <c r="O73" i="4"/>
  <c r="P73" i="4" s="1"/>
  <c r="N73" i="4"/>
  <c r="M73" i="4"/>
  <c r="K73" i="4"/>
  <c r="L73" i="4" s="1"/>
  <c r="I73" i="4"/>
  <c r="J73" i="4" s="1"/>
  <c r="G73" i="4"/>
  <c r="H73" i="4" s="1"/>
  <c r="E73" i="4"/>
  <c r="C73" i="4"/>
  <c r="D73" i="4" s="1"/>
  <c r="V72" i="4"/>
  <c r="U72" i="4"/>
  <c r="V73" i="4" s="1"/>
  <c r="T72" i="4"/>
  <c r="S72" i="4"/>
  <c r="Q72" i="4"/>
  <c r="O72" i="4"/>
  <c r="N72" i="4"/>
  <c r="M72" i="4"/>
  <c r="K72" i="4"/>
  <c r="L72" i="4" s="1"/>
  <c r="I72" i="4"/>
  <c r="J72" i="4" s="1"/>
  <c r="H72" i="4"/>
  <c r="G72" i="4"/>
  <c r="E72" i="4"/>
  <c r="C72" i="4"/>
  <c r="U71" i="4"/>
  <c r="V71" i="4" s="1"/>
  <c r="S71" i="4"/>
  <c r="R71" i="4"/>
  <c r="Q71" i="4"/>
  <c r="R72" i="4" s="1"/>
  <c r="P71" i="4"/>
  <c r="O71" i="4"/>
  <c r="P72" i="4" s="1"/>
  <c r="N71" i="4"/>
  <c r="M71" i="4"/>
  <c r="K71" i="4"/>
  <c r="I71" i="4"/>
  <c r="G71" i="4"/>
  <c r="H71" i="4" s="1"/>
  <c r="E71" i="4"/>
  <c r="F71" i="4" s="1"/>
  <c r="C71" i="4"/>
  <c r="D71" i="4" s="1"/>
  <c r="V70" i="4"/>
  <c r="U70" i="4"/>
  <c r="S70" i="4"/>
  <c r="Q70" i="4"/>
  <c r="O70" i="4"/>
  <c r="N70" i="4"/>
  <c r="M70" i="4"/>
  <c r="L70" i="4"/>
  <c r="K70" i="4"/>
  <c r="L71" i="4" s="1"/>
  <c r="J70" i="4"/>
  <c r="I70" i="4"/>
  <c r="J71" i="4" s="1"/>
  <c r="H70" i="4"/>
  <c r="G70" i="4"/>
  <c r="E70" i="4"/>
  <c r="C70" i="4"/>
  <c r="U69" i="4"/>
  <c r="V69" i="4" s="1"/>
  <c r="S69" i="4"/>
  <c r="T69" i="4" s="1"/>
  <c r="Q69" i="4"/>
  <c r="R69" i="4" s="1"/>
  <c r="P69" i="4"/>
  <c r="O69" i="4"/>
  <c r="M69" i="4"/>
  <c r="K69" i="4"/>
  <c r="J69" i="4"/>
  <c r="I69" i="4"/>
  <c r="H69" i="4"/>
  <c r="G69" i="4"/>
  <c r="F69" i="4"/>
  <c r="E69" i="4"/>
  <c r="F70" i="4" s="1"/>
  <c r="D69" i="4"/>
  <c r="C69" i="4"/>
  <c r="V68" i="4"/>
  <c r="U68" i="4"/>
  <c r="S68" i="4"/>
  <c r="Q68" i="4"/>
  <c r="R68" i="4" s="1"/>
  <c r="O68" i="4"/>
  <c r="P68" i="4" s="1"/>
  <c r="M68" i="4"/>
  <c r="N68" i="4" s="1"/>
  <c r="K68" i="4"/>
  <c r="L68" i="4" s="1"/>
  <c r="J68" i="4"/>
  <c r="I68" i="4"/>
  <c r="G68" i="4"/>
  <c r="E68" i="4"/>
  <c r="C68" i="4"/>
  <c r="V67" i="4"/>
  <c r="U67" i="4"/>
  <c r="T67" i="4"/>
  <c r="S67" i="4"/>
  <c r="R67" i="4"/>
  <c r="Q67" i="4"/>
  <c r="O67" i="4"/>
  <c r="P67" i="4" s="1"/>
  <c r="M67" i="4"/>
  <c r="N67" i="4" s="1"/>
  <c r="K67" i="4"/>
  <c r="I67" i="4"/>
  <c r="J67" i="4" s="1"/>
  <c r="G67" i="4"/>
  <c r="H67" i="4" s="1"/>
  <c r="E67" i="4"/>
  <c r="C67" i="4"/>
  <c r="D67" i="4" s="1"/>
  <c r="U66" i="4"/>
  <c r="S66" i="4"/>
  <c r="Q66" i="4"/>
  <c r="P66" i="4"/>
  <c r="O66" i="4"/>
  <c r="N66" i="4"/>
  <c r="M66" i="4"/>
  <c r="K66" i="4"/>
  <c r="L66" i="4" s="1"/>
  <c r="J66" i="4"/>
  <c r="I66" i="4"/>
  <c r="G66" i="4"/>
  <c r="H66" i="4" s="1"/>
  <c r="E66" i="4"/>
  <c r="C66" i="4"/>
  <c r="D66" i="4" s="1"/>
  <c r="U65" i="4"/>
  <c r="S65" i="4"/>
  <c r="T65" i="4" s="1"/>
  <c r="R65" i="4"/>
  <c r="Q65" i="4"/>
  <c r="R66" i="4" s="1"/>
  <c r="P65" i="4"/>
  <c r="O65" i="4"/>
  <c r="M65" i="4"/>
  <c r="K65" i="4"/>
  <c r="J65" i="4"/>
  <c r="I65" i="4"/>
  <c r="G65" i="4"/>
  <c r="H65" i="4" s="1"/>
  <c r="E65" i="4"/>
  <c r="F65" i="4" s="1"/>
  <c r="D65" i="4"/>
  <c r="C65" i="4"/>
  <c r="U64" i="4"/>
  <c r="S64" i="4"/>
  <c r="T64" i="4" s="1"/>
  <c r="Q64" i="4"/>
  <c r="R64" i="4" s="1"/>
  <c r="O64" i="4"/>
  <c r="N64" i="4"/>
  <c r="M64" i="4"/>
  <c r="N65" i="4" s="1"/>
  <c r="L64" i="4"/>
  <c r="K64" i="4"/>
  <c r="L65" i="4" s="1"/>
  <c r="J64" i="4"/>
  <c r="I64" i="4"/>
  <c r="G64" i="4"/>
  <c r="E64" i="4"/>
  <c r="C64" i="4"/>
  <c r="D64" i="4" s="1"/>
  <c r="U63" i="4"/>
  <c r="V63" i="4" s="1"/>
  <c r="S63" i="4"/>
  <c r="T63" i="4" s="1"/>
  <c r="R63" i="4"/>
  <c r="Q63" i="4"/>
  <c r="O63" i="4"/>
  <c r="M63" i="4"/>
  <c r="N63" i="4" s="1"/>
  <c r="K63" i="4"/>
  <c r="J63" i="4"/>
  <c r="I63" i="4"/>
  <c r="H63" i="4"/>
  <c r="G63" i="4"/>
  <c r="H64" i="4" s="1"/>
  <c r="F63" i="4"/>
  <c r="E63" i="4"/>
  <c r="F64" i="4" s="1"/>
  <c r="D63" i="4"/>
  <c r="C63" i="4"/>
  <c r="U62" i="4"/>
  <c r="S62" i="4"/>
  <c r="Q62" i="4"/>
  <c r="R62" i="4" s="1"/>
  <c r="O62" i="4"/>
  <c r="P62" i="4" s="1"/>
  <c r="M62" i="4"/>
  <c r="N62" i="4" s="1"/>
  <c r="L62" i="4"/>
  <c r="K62" i="4"/>
  <c r="I62" i="4"/>
  <c r="G62" i="4"/>
  <c r="F62" i="4"/>
  <c r="E62" i="4"/>
  <c r="D62" i="4"/>
  <c r="C62" i="4"/>
  <c r="V61" i="4"/>
  <c r="U61" i="4"/>
  <c r="V62" i="4" s="1"/>
  <c r="T61" i="4"/>
  <c r="S61" i="4"/>
  <c r="R61" i="4"/>
  <c r="Q61" i="4"/>
  <c r="O61" i="4"/>
  <c r="M61" i="4"/>
  <c r="N61" i="4" s="1"/>
  <c r="K61" i="4"/>
  <c r="L61" i="4" s="1"/>
  <c r="I61" i="4"/>
  <c r="J61" i="4" s="1"/>
  <c r="G61" i="4"/>
  <c r="H61" i="4" s="1"/>
  <c r="F61" i="4"/>
  <c r="E61" i="4"/>
  <c r="C61" i="4"/>
  <c r="U60" i="4"/>
  <c r="S60" i="4"/>
  <c r="R60" i="4"/>
  <c r="Q60" i="4"/>
  <c r="P60" i="4"/>
  <c r="O60" i="4"/>
  <c r="N60" i="4"/>
  <c r="M60" i="4"/>
  <c r="K60" i="4"/>
  <c r="L60" i="4" s="1"/>
  <c r="I60" i="4"/>
  <c r="J60" i="4" s="1"/>
  <c r="G60" i="4"/>
  <c r="E60" i="4"/>
  <c r="F60" i="4" s="1"/>
  <c r="C60" i="4"/>
  <c r="D60" i="4" s="1"/>
  <c r="U59" i="4"/>
  <c r="S59" i="4"/>
  <c r="T59" i="4" s="1"/>
  <c r="Q59" i="4"/>
  <c r="O59" i="4"/>
  <c r="M59" i="4"/>
  <c r="L59" i="4"/>
  <c r="K59" i="4"/>
  <c r="J59" i="4"/>
  <c r="I59" i="4"/>
  <c r="G59" i="4"/>
  <c r="H59" i="4" s="1"/>
  <c r="F59" i="4"/>
  <c r="E59" i="4"/>
  <c r="C59" i="4"/>
  <c r="U58" i="4"/>
  <c r="V58" i="4" s="1"/>
  <c r="S58" i="4"/>
  <c r="T58" i="4" s="1"/>
  <c r="Q58" i="4"/>
  <c r="O58" i="4"/>
  <c r="P58" i="4" s="1"/>
  <c r="N58" i="4"/>
  <c r="M58" i="4"/>
  <c r="N59" i="4" s="1"/>
  <c r="L58" i="4"/>
  <c r="K58" i="4"/>
  <c r="I58" i="4"/>
  <c r="G58" i="4"/>
  <c r="F58" i="4"/>
  <c r="E58" i="4"/>
  <c r="C58" i="4"/>
  <c r="D58" i="4" s="1"/>
  <c r="U57" i="4"/>
  <c r="V57" i="4" s="1"/>
  <c r="T57" i="4"/>
  <c r="S57" i="4"/>
  <c r="Q57" i="4"/>
  <c r="R57" i="4" s="1"/>
  <c r="O57" i="4"/>
  <c r="M57" i="4"/>
  <c r="N57" i="4" s="1"/>
  <c r="K57" i="4"/>
  <c r="J57" i="4"/>
  <c r="I57" i="4"/>
  <c r="J58" i="4" s="1"/>
  <c r="H57" i="4"/>
  <c r="G57" i="4"/>
  <c r="H58" i="4" s="1"/>
  <c r="F57" i="4"/>
  <c r="E57" i="4"/>
  <c r="C57" i="4"/>
  <c r="U56" i="4"/>
  <c r="S56" i="4"/>
  <c r="T56" i="4" s="1"/>
  <c r="Q56" i="4"/>
  <c r="R56" i="4" s="1"/>
  <c r="O56" i="4"/>
  <c r="P56" i="4" s="1"/>
  <c r="N56" i="4"/>
  <c r="M56" i="4"/>
  <c r="K56" i="4"/>
  <c r="L56" i="4" s="1"/>
  <c r="I56" i="4"/>
  <c r="J56" i="4" s="1"/>
  <c r="G56" i="4"/>
  <c r="F56" i="4"/>
  <c r="E56" i="4"/>
  <c r="D56" i="4"/>
  <c r="C56" i="4"/>
  <c r="D57" i="4" s="1"/>
  <c r="V55" i="4"/>
  <c r="U55" i="4"/>
  <c r="V56" i="4" s="1"/>
  <c r="T55" i="4"/>
  <c r="S55" i="4"/>
  <c r="Q55" i="4"/>
  <c r="O55" i="4"/>
  <c r="M55" i="4"/>
  <c r="N55" i="4" s="1"/>
  <c r="K55" i="4"/>
  <c r="L55" i="4" s="1"/>
  <c r="J55" i="4"/>
  <c r="I55" i="4"/>
  <c r="H55" i="4"/>
  <c r="G55" i="4"/>
  <c r="E55" i="4"/>
  <c r="F55" i="4" s="1"/>
  <c r="C55" i="4"/>
  <c r="V54" i="4"/>
  <c r="U54" i="4"/>
  <c r="T54" i="4"/>
  <c r="S54" i="4"/>
  <c r="R54" i="4"/>
  <c r="Q54" i="4"/>
  <c r="R55" i="4" s="1"/>
  <c r="P54" i="4"/>
  <c r="O54" i="4"/>
  <c r="N54" i="4"/>
  <c r="M54" i="4"/>
  <c r="K54" i="4"/>
  <c r="I54" i="4"/>
  <c r="J54" i="4" s="1"/>
  <c r="G54" i="4"/>
  <c r="H54" i="4" s="1"/>
  <c r="E54" i="4"/>
  <c r="F54" i="4" s="1"/>
  <c r="C54" i="4"/>
  <c r="D54" i="4" s="1"/>
  <c r="V53" i="4"/>
  <c r="U53" i="4"/>
  <c r="S53" i="4"/>
  <c r="Q53" i="4"/>
  <c r="O53" i="4"/>
  <c r="N53" i="4"/>
  <c r="M53" i="4"/>
  <c r="K53" i="4"/>
  <c r="L53" i="4" s="1"/>
  <c r="J53" i="4"/>
  <c r="I53" i="4"/>
  <c r="G53" i="4"/>
  <c r="H53" i="4" s="1"/>
  <c r="E53" i="4"/>
  <c r="F53" i="4" s="1"/>
  <c r="C53" i="4"/>
  <c r="U52" i="4"/>
  <c r="V52" i="4" s="1"/>
  <c r="S52" i="4"/>
  <c r="T52" i="4" s="1"/>
  <c r="Q52" i="4"/>
  <c r="R53" i="4" s="1"/>
  <c r="O52" i="4"/>
  <c r="M52" i="4"/>
  <c r="K52" i="4"/>
  <c r="I52" i="4"/>
  <c r="H52" i="4"/>
  <c r="G52" i="4"/>
  <c r="F52" i="4"/>
  <c r="E52" i="4"/>
  <c r="C52" i="4"/>
  <c r="D52" i="4" s="1"/>
  <c r="V51" i="4"/>
  <c r="U51" i="4"/>
  <c r="S51" i="4"/>
  <c r="T51" i="4" s="1"/>
  <c r="Q51" i="4"/>
  <c r="R51" i="4" s="1"/>
  <c r="O51" i="4"/>
  <c r="P51" i="4" s="1"/>
  <c r="M51" i="4"/>
  <c r="K51" i="4"/>
  <c r="I51" i="4"/>
  <c r="J52" i="4" s="1"/>
  <c r="H51" i="4"/>
  <c r="G51" i="4"/>
  <c r="E51" i="4"/>
  <c r="C51" i="4"/>
  <c r="V50" i="4"/>
  <c r="U50" i="4"/>
  <c r="S50" i="4"/>
  <c r="T50" i="4" s="1"/>
  <c r="R50" i="4"/>
  <c r="Q50" i="4"/>
  <c r="P50" i="4"/>
  <c r="O50" i="4"/>
  <c r="M50" i="4"/>
  <c r="K50" i="4"/>
  <c r="L50" i="4" s="1"/>
  <c r="I50" i="4"/>
  <c r="J50" i="4" s="1"/>
  <c r="G50" i="4"/>
  <c r="E50" i="4"/>
  <c r="F51" i="4" s="1"/>
  <c r="D50" i="4"/>
  <c r="C50" i="4"/>
  <c r="D51" i="4" s="1"/>
  <c r="V49" i="4"/>
  <c r="U49" i="4"/>
  <c r="S49" i="4"/>
  <c r="R49" i="4"/>
  <c r="Q49" i="4"/>
  <c r="O49" i="4"/>
  <c r="P49" i="4" s="1"/>
  <c r="M49" i="4"/>
  <c r="N49" i="4" s="1"/>
  <c r="K49" i="4"/>
  <c r="L49" i="4" s="1"/>
  <c r="J49" i="4"/>
  <c r="I49" i="4"/>
  <c r="G49" i="4"/>
  <c r="E49" i="4"/>
  <c r="C49" i="4"/>
  <c r="V48" i="4"/>
  <c r="U48" i="4"/>
  <c r="T48" i="4"/>
  <c r="S48" i="4"/>
  <c r="T49" i="4" s="1"/>
  <c r="R48" i="4"/>
  <c r="Q48" i="4"/>
  <c r="P48" i="4"/>
  <c r="O48" i="4"/>
  <c r="M48" i="4"/>
  <c r="K48" i="4"/>
  <c r="I48" i="4"/>
  <c r="J48" i="4" s="1"/>
  <c r="G48" i="4"/>
  <c r="H48" i="4" s="1"/>
  <c r="E48" i="4"/>
  <c r="F48" i="4" s="1"/>
  <c r="D48" i="4"/>
  <c r="C48" i="4"/>
  <c r="U47" i="4"/>
  <c r="S47" i="4"/>
  <c r="R47" i="4"/>
  <c r="Q47" i="4"/>
  <c r="P47" i="4"/>
  <c r="O47" i="4"/>
  <c r="N47" i="4"/>
  <c r="M47" i="4"/>
  <c r="N48" i="4" s="1"/>
  <c r="K47" i="4"/>
  <c r="L47" i="4" s="1"/>
  <c r="J47" i="4"/>
  <c r="I47" i="4"/>
  <c r="G47" i="4"/>
  <c r="E47" i="4"/>
  <c r="C47" i="4"/>
  <c r="D47" i="4" s="1"/>
  <c r="U46" i="4"/>
  <c r="V46" i="4" s="1"/>
  <c r="T46" i="4"/>
  <c r="S46" i="4"/>
  <c r="R46" i="4"/>
  <c r="Q46" i="4"/>
  <c r="O46" i="4"/>
  <c r="M46" i="4"/>
  <c r="L46" i="4"/>
  <c r="K46" i="4"/>
  <c r="J46" i="4"/>
  <c r="I46" i="4"/>
  <c r="G46" i="4"/>
  <c r="H46" i="4" s="1"/>
  <c r="F46" i="4"/>
  <c r="E46" i="4"/>
  <c r="C46" i="4"/>
  <c r="D46" i="4" s="1"/>
  <c r="U45" i="4"/>
  <c r="S45" i="4"/>
  <c r="Q45" i="4"/>
  <c r="R45" i="4" s="1"/>
  <c r="O45" i="4"/>
  <c r="P45" i="4" s="1"/>
  <c r="M45" i="4"/>
  <c r="N46" i="4" s="1"/>
  <c r="K45" i="4"/>
  <c r="L45" i="4" s="1"/>
  <c r="I45" i="4"/>
  <c r="G45" i="4"/>
  <c r="F45" i="4"/>
  <c r="E45" i="4"/>
  <c r="D45" i="4"/>
  <c r="C45" i="4"/>
  <c r="U44" i="4"/>
  <c r="V44" i="4" s="1"/>
  <c r="S44" i="4"/>
  <c r="T44" i="4" s="1"/>
  <c r="R44" i="4"/>
  <c r="Q44" i="4"/>
  <c r="O44" i="4"/>
  <c r="M44" i="4"/>
  <c r="K44" i="4"/>
  <c r="L44" i="4" s="1"/>
  <c r="I44" i="4"/>
  <c r="G44" i="4"/>
  <c r="F44" i="4"/>
  <c r="E44" i="4"/>
  <c r="D44" i="4"/>
  <c r="C44" i="4"/>
  <c r="U43" i="4"/>
  <c r="S43" i="4"/>
  <c r="R43" i="4"/>
  <c r="Q43" i="4"/>
  <c r="O43" i="4"/>
  <c r="P43" i="4" s="1"/>
  <c r="N43" i="4"/>
  <c r="M43" i="4"/>
  <c r="K43" i="4"/>
  <c r="I43" i="4"/>
  <c r="G43" i="4"/>
  <c r="H43" i="4" s="1"/>
  <c r="E43" i="4"/>
  <c r="F43" i="4" s="1"/>
  <c r="C43" i="4"/>
  <c r="U42" i="4"/>
  <c r="V43" i="4" s="1"/>
  <c r="S42" i="4"/>
  <c r="T43" i="4" s="1"/>
  <c r="R42" i="4"/>
  <c r="Q42" i="4"/>
  <c r="O42" i="4"/>
  <c r="N42" i="4"/>
  <c r="M42" i="4"/>
  <c r="K42" i="4"/>
  <c r="L42" i="4" s="1"/>
  <c r="I42" i="4"/>
  <c r="J42" i="4" s="1"/>
  <c r="G42" i="4"/>
  <c r="H42" i="4" s="1"/>
  <c r="E42" i="4"/>
  <c r="C42" i="4"/>
  <c r="D42" i="4" s="1"/>
  <c r="U41" i="4"/>
  <c r="V41" i="4" s="1"/>
  <c r="S41" i="4"/>
  <c r="R41" i="4"/>
  <c r="Q41" i="4"/>
  <c r="O41" i="4"/>
  <c r="P42" i="4" s="1"/>
  <c r="N41" i="4"/>
  <c r="M41" i="4"/>
  <c r="L41" i="4"/>
  <c r="K41" i="4"/>
  <c r="I41" i="4"/>
  <c r="G41" i="4"/>
  <c r="H41" i="4" s="1"/>
  <c r="E41" i="4"/>
  <c r="F41" i="4" s="1"/>
  <c r="C41" i="4"/>
  <c r="D41" i="4" s="1"/>
  <c r="U40" i="4"/>
  <c r="V40" i="4" s="1"/>
  <c r="S40" i="4"/>
  <c r="Q40" i="4"/>
  <c r="R40" i="4" s="1"/>
  <c r="O40" i="4"/>
  <c r="M40" i="4"/>
  <c r="L40" i="4"/>
  <c r="K40" i="4"/>
  <c r="J40" i="4"/>
  <c r="I40" i="4"/>
  <c r="J41" i="4" s="1"/>
  <c r="G40" i="4"/>
  <c r="H40" i="4" s="1"/>
  <c r="F40" i="4"/>
  <c r="E40" i="4"/>
  <c r="C40" i="4"/>
  <c r="U39" i="4"/>
  <c r="S39" i="4"/>
  <c r="Q39" i="4"/>
  <c r="R39" i="4" s="1"/>
  <c r="O39" i="4"/>
  <c r="P39" i="4" s="1"/>
  <c r="N39" i="4"/>
  <c r="M39" i="4"/>
  <c r="N40" i="4" s="1"/>
  <c r="K39" i="4"/>
  <c r="I39" i="4"/>
  <c r="G39" i="4"/>
  <c r="F39" i="4"/>
  <c r="E39" i="4"/>
  <c r="D39" i="4"/>
  <c r="C39" i="4"/>
  <c r="U38" i="4"/>
  <c r="V38" i="4" s="1"/>
  <c r="S38" i="4"/>
  <c r="T38" i="4" s="1"/>
  <c r="Q38" i="4"/>
  <c r="R38" i="4" s="1"/>
  <c r="O38" i="4"/>
  <c r="M38" i="4"/>
  <c r="N38" i="4" s="1"/>
  <c r="K38" i="4"/>
  <c r="L38" i="4" s="1"/>
  <c r="J38" i="4"/>
  <c r="I38" i="4"/>
  <c r="J39" i="4" s="1"/>
  <c r="G38" i="4"/>
  <c r="H38" i="4" s="1"/>
  <c r="E38" i="4"/>
  <c r="C38" i="4"/>
  <c r="V37" i="4"/>
  <c r="U37" i="4"/>
  <c r="T37" i="4"/>
  <c r="S37" i="4"/>
  <c r="R37" i="4"/>
  <c r="Q37" i="4"/>
  <c r="O37" i="4"/>
  <c r="P37" i="4" s="1"/>
  <c r="N37" i="4"/>
  <c r="M37" i="4"/>
  <c r="K37" i="4"/>
  <c r="I37" i="4"/>
  <c r="G37" i="4"/>
  <c r="E37" i="4"/>
  <c r="F37" i="4" s="1"/>
  <c r="C37" i="4"/>
  <c r="U36" i="4"/>
  <c r="V36" i="4" s="1"/>
  <c r="T36" i="4"/>
  <c r="S36" i="4"/>
  <c r="R36" i="4"/>
  <c r="Q36" i="4"/>
  <c r="O36" i="4"/>
  <c r="N36" i="4"/>
  <c r="M36" i="4"/>
  <c r="K36" i="4"/>
  <c r="L36" i="4" s="1"/>
  <c r="J36" i="4"/>
  <c r="I36" i="4"/>
  <c r="G36" i="4"/>
  <c r="H36" i="4" s="1"/>
  <c r="E36" i="4"/>
  <c r="C36" i="4"/>
  <c r="D36" i="4" s="1"/>
  <c r="U35" i="4"/>
  <c r="S35" i="4"/>
  <c r="Q35" i="4"/>
  <c r="O35" i="4"/>
  <c r="P36" i="4" s="1"/>
  <c r="N35" i="4"/>
  <c r="M35" i="4"/>
  <c r="L35" i="4"/>
  <c r="K35" i="4"/>
  <c r="I35" i="4"/>
  <c r="G35" i="4"/>
  <c r="H35" i="4" s="1"/>
  <c r="E35" i="4"/>
  <c r="F35" i="4" s="1"/>
  <c r="C35" i="4"/>
  <c r="U34" i="4"/>
  <c r="V34" i="4" s="1"/>
  <c r="S34" i="4"/>
  <c r="T34" i="4" s="1"/>
  <c r="Q34" i="4"/>
  <c r="R35" i="4" s="1"/>
  <c r="O34" i="4"/>
  <c r="N34" i="4"/>
  <c r="M34" i="4"/>
  <c r="L34" i="4"/>
  <c r="K34" i="4"/>
  <c r="I34" i="4"/>
  <c r="J35" i="4" s="1"/>
  <c r="H34" i="4"/>
  <c r="G34" i="4"/>
  <c r="E34" i="4"/>
  <c r="C34" i="4"/>
  <c r="D35" i="4" s="1"/>
  <c r="U33" i="4"/>
  <c r="V33" i="4" s="1"/>
  <c r="S33" i="4"/>
  <c r="T33" i="4" s="1"/>
  <c r="Q33" i="4"/>
  <c r="R33" i="4" s="1"/>
  <c r="P33" i="4"/>
  <c r="O33" i="4"/>
  <c r="M33" i="4"/>
  <c r="K33" i="4"/>
  <c r="I33" i="4"/>
  <c r="H33" i="4"/>
  <c r="G33" i="4"/>
  <c r="E33" i="4"/>
  <c r="F33" i="4" s="1"/>
  <c r="C33" i="4"/>
  <c r="D33" i="4" s="1"/>
  <c r="V32" i="4"/>
  <c r="U32" i="4"/>
  <c r="S32" i="4"/>
  <c r="Q32" i="4"/>
  <c r="O32" i="4"/>
  <c r="M32" i="4"/>
  <c r="N32" i="4" s="1"/>
  <c r="L32" i="4"/>
  <c r="K32" i="4"/>
  <c r="I32" i="4"/>
  <c r="J32" i="4" s="1"/>
  <c r="G32" i="4"/>
  <c r="F32" i="4"/>
  <c r="E32" i="4"/>
  <c r="D32" i="4"/>
  <c r="C32" i="4"/>
  <c r="V31" i="4"/>
  <c r="U31" i="4"/>
  <c r="S31" i="4"/>
  <c r="T31" i="4" s="1"/>
  <c r="Q31" i="4"/>
  <c r="R31" i="4" s="1"/>
  <c r="O31" i="4"/>
  <c r="P31" i="4" s="1"/>
  <c r="M31" i="4"/>
  <c r="K31" i="4"/>
  <c r="L31" i="4" s="1"/>
  <c r="I31" i="4"/>
  <c r="G31" i="4"/>
  <c r="E31" i="4"/>
  <c r="C31" i="4"/>
  <c r="U30" i="4"/>
  <c r="T30" i="4"/>
  <c r="S30" i="4"/>
  <c r="R30" i="4"/>
  <c r="Q30" i="4"/>
  <c r="P30" i="4"/>
  <c r="O30" i="4"/>
  <c r="M30" i="4"/>
  <c r="N30" i="4" s="1"/>
  <c r="K30" i="4"/>
  <c r="L30" i="4" s="1"/>
  <c r="I30" i="4"/>
  <c r="J30" i="4" s="1"/>
  <c r="G30" i="4"/>
  <c r="H30" i="4" s="1"/>
  <c r="E30" i="4"/>
  <c r="F31" i="4" s="1"/>
  <c r="C30" i="4"/>
  <c r="D30" i="4" s="1"/>
  <c r="U29" i="4"/>
  <c r="V29" i="4" s="1"/>
  <c r="S29" i="4"/>
  <c r="R29" i="4"/>
  <c r="Q29" i="4"/>
  <c r="P29" i="4"/>
  <c r="O29" i="4"/>
  <c r="M29" i="4"/>
  <c r="K29" i="4"/>
  <c r="J29" i="4"/>
  <c r="I29" i="4"/>
  <c r="G29" i="4"/>
  <c r="H29" i="4" s="1"/>
  <c r="E29" i="4"/>
  <c r="F29" i="4" s="1"/>
  <c r="D29" i="4"/>
  <c r="C29" i="4"/>
  <c r="U28" i="4"/>
  <c r="S28" i="4"/>
  <c r="Q28" i="4"/>
  <c r="O28" i="4"/>
  <c r="N28" i="4"/>
  <c r="M28" i="4"/>
  <c r="N29" i="4" s="1"/>
  <c r="K28" i="4"/>
  <c r="L28" i="4" s="1"/>
  <c r="J28" i="4"/>
  <c r="I28" i="4"/>
  <c r="H28" i="4"/>
  <c r="G28" i="4"/>
  <c r="E28" i="4"/>
  <c r="C28" i="4"/>
  <c r="D28" i="4" s="1"/>
  <c r="U27" i="4"/>
  <c r="V27" i="4" s="1"/>
  <c r="T27" i="4"/>
  <c r="S27" i="4"/>
  <c r="Q27" i="4"/>
  <c r="R27" i="4" s="1"/>
  <c r="O27" i="4"/>
  <c r="M27" i="4"/>
  <c r="N27" i="4" s="1"/>
  <c r="K27" i="4"/>
  <c r="I27" i="4"/>
  <c r="G27" i="4"/>
  <c r="H27" i="4" s="1"/>
  <c r="E27" i="4"/>
  <c r="F27" i="4" s="1"/>
  <c r="D27" i="4"/>
  <c r="C27" i="4"/>
  <c r="V26" i="4"/>
  <c r="U26" i="4"/>
  <c r="S26" i="4"/>
  <c r="T26" i="4" s="1"/>
  <c r="R26" i="4"/>
  <c r="Q26" i="4"/>
  <c r="O26" i="4"/>
  <c r="M26" i="4"/>
  <c r="N26" i="4" s="1"/>
  <c r="L26" i="4"/>
  <c r="K26" i="4"/>
  <c r="I26" i="4"/>
  <c r="J26" i="4" s="1"/>
  <c r="G26" i="4"/>
  <c r="E26" i="4"/>
  <c r="F26" i="4" s="1"/>
  <c r="D26" i="4"/>
  <c r="C26" i="4"/>
  <c r="V25" i="4"/>
  <c r="U25" i="4"/>
  <c r="S25" i="4"/>
  <c r="T25" i="4" s="1"/>
  <c r="R25" i="4"/>
  <c r="Q25" i="4"/>
  <c r="O25" i="4"/>
  <c r="P25" i="4" s="1"/>
  <c r="M25" i="4"/>
  <c r="N25" i="4" s="1"/>
  <c r="K25" i="4"/>
  <c r="L25" i="4" s="1"/>
  <c r="I25" i="4"/>
  <c r="G25" i="4"/>
  <c r="E25" i="4"/>
  <c r="F25" i="4" s="1"/>
  <c r="C25" i="4"/>
  <c r="V24" i="4"/>
  <c r="U24" i="4"/>
  <c r="T24" i="4"/>
  <c r="S24" i="4"/>
  <c r="R24" i="4"/>
  <c r="Q24" i="4"/>
  <c r="O24" i="4"/>
  <c r="P24" i="4" s="1"/>
  <c r="M24" i="4"/>
  <c r="K24" i="4"/>
  <c r="L24" i="4" s="1"/>
  <c r="I24" i="4"/>
  <c r="J24" i="4" s="1"/>
  <c r="G24" i="4"/>
  <c r="H24" i="4" s="1"/>
  <c r="E24" i="4"/>
  <c r="F24" i="4" s="1"/>
  <c r="C24" i="4"/>
  <c r="D24" i="4" s="1"/>
  <c r="U23" i="4"/>
  <c r="S23" i="4"/>
  <c r="Q23" i="4"/>
  <c r="P23" i="4"/>
  <c r="O23" i="4"/>
  <c r="M23" i="4"/>
  <c r="N23" i="4" s="1"/>
  <c r="L23" i="4"/>
  <c r="K23" i="4"/>
  <c r="J23" i="4"/>
  <c r="I23" i="4"/>
  <c r="G23" i="4"/>
  <c r="E23" i="4"/>
  <c r="C23" i="4"/>
  <c r="U22" i="4"/>
  <c r="T22" i="4"/>
  <c r="S22" i="4"/>
  <c r="Q22" i="4"/>
  <c r="R22" i="4" s="1"/>
  <c r="O22" i="4"/>
  <c r="N22" i="4"/>
  <c r="M22" i="4"/>
  <c r="K22" i="4"/>
  <c r="I22" i="4"/>
  <c r="G22" i="4"/>
  <c r="H22" i="4" s="1"/>
  <c r="E22" i="4"/>
  <c r="F22" i="4" s="1"/>
  <c r="C22" i="4"/>
  <c r="D22" i="4" s="1"/>
  <c r="U21" i="4"/>
  <c r="V21" i="4" s="1"/>
  <c r="S21" i="4"/>
  <c r="Q21" i="4"/>
  <c r="O21" i="4"/>
  <c r="M21" i="4"/>
  <c r="N21" i="4" s="1"/>
  <c r="L21" i="4"/>
  <c r="K21" i="4"/>
  <c r="L22" i="4" s="1"/>
  <c r="I21" i="4"/>
  <c r="J21" i="4" s="1"/>
  <c r="G21" i="4"/>
  <c r="H21" i="4" s="1"/>
  <c r="E21" i="4"/>
  <c r="C21" i="4"/>
  <c r="U20" i="4"/>
  <c r="S20" i="4"/>
  <c r="T21" i="4" s="1"/>
  <c r="R20" i="4"/>
  <c r="Q20" i="4"/>
  <c r="O20" i="4"/>
  <c r="P20" i="4" s="1"/>
  <c r="M20" i="4"/>
  <c r="K20" i="4"/>
  <c r="L20" i="4" s="1"/>
  <c r="I20" i="4"/>
  <c r="G20" i="4"/>
  <c r="E20" i="4"/>
  <c r="F20" i="4" s="1"/>
  <c r="D20" i="4"/>
  <c r="C20" i="4"/>
  <c r="U19" i="4"/>
  <c r="V19" i="4" s="1"/>
  <c r="S19" i="4"/>
  <c r="T19" i="4" s="1"/>
  <c r="Q19" i="4"/>
  <c r="R19" i="4" s="1"/>
  <c r="O19" i="4"/>
  <c r="M19" i="4"/>
  <c r="K19" i="4"/>
  <c r="L19" i="4" s="1"/>
  <c r="I19" i="4"/>
  <c r="J19" i="4" s="1"/>
  <c r="G19" i="4"/>
  <c r="H19" i="4" s="1"/>
  <c r="E19" i="4"/>
  <c r="F19" i="4" s="1"/>
  <c r="C19" i="4"/>
  <c r="D19" i="4" s="1"/>
  <c r="U18" i="4"/>
  <c r="S18" i="4"/>
  <c r="Q18" i="4"/>
  <c r="O18" i="4"/>
  <c r="N18" i="4"/>
  <c r="M18" i="4"/>
  <c r="N19" i="4" s="1"/>
  <c r="K18" i="4"/>
  <c r="L18" i="4" s="1"/>
  <c r="I18" i="4"/>
  <c r="J18" i="4" s="1"/>
  <c r="G18" i="4"/>
  <c r="H18" i="4" s="1"/>
  <c r="E18" i="4"/>
  <c r="C18" i="4"/>
  <c r="U17" i="4"/>
  <c r="V18" i="4" s="1"/>
  <c r="T17" i="4"/>
  <c r="S17" i="4"/>
  <c r="T18" i="4" s="1"/>
  <c r="Q17" i="4"/>
  <c r="R17" i="4" s="1"/>
  <c r="O17" i="4"/>
  <c r="P17" i="4" s="1"/>
  <c r="M17" i="4"/>
  <c r="K17" i="4"/>
  <c r="I17" i="4"/>
  <c r="J17" i="4" s="1"/>
  <c r="G17" i="4"/>
  <c r="H17" i="4" s="1"/>
  <c r="F17" i="4"/>
  <c r="E17" i="4"/>
  <c r="C17" i="4"/>
  <c r="D17" i="4" s="1"/>
  <c r="U16" i="4"/>
  <c r="S16" i="4"/>
  <c r="T16" i="4" s="1"/>
  <c r="Q16" i="4"/>
  <c r="R16" i="4" s="1"/>
  <c r="O16" i="4"/>
  <c r="P16" i="4" s="1"/>
  <c r="M16" i="4"/>
  <c r="N16" i="4" s="1"/>
  <c r="L16" i="4"/>
  <c r="K16" i="4"/>
  <c r="I16" i="4"/>
  <c r="J16" i="4" s="1"/>
  <c r="G16" i="4"/>
  <c r="H16" i="4" s="1"/>
  <c r="E16" i="4"/>
  <c r="F16" i="4" s="1"/>
  <c r="C16" i="4"/>
  <c r="D16" i="4" s="1"/>
  <c r="U15" i="4"/>
  <c r="V15" i="4" s="1"/>
  <c r="S15" i="4"/>
  <c r="T15" i="4" s="1"/>
  <c r="Q15" i="4"/>
  <c r="R15" i="4" s="1"/>
  <c r="O15" i="4"/>
  <c r="P15" i="4" s="1"/>
  <c r="M15" i="4"/>
  <c r="N15" i="4" s="1"/>
  <c r="K15" i="4"/>
  <c r="L15" i="4" s="1"/>
  <c r="I15" i="4"/>
  <c r="J15" i="4" s="1"/>
  <c r="G15" i="4"/>
  <c r="H15" i="4" s="1"/>
  <c r="E15" i="4"/>
  <c r="C15" i="4"/>
  <c r="V14" i="4"/>
  <c r="U14" i="4"/>
  <c r="S14" i="4"/>
  <c r="T14" i="4" s="1"/>
  <c r="Q14" i="4"/>
  <c r="R14" i="4" s="1"/>
  <c r="O14" i="4"/>
  <c r="P14" i="4" s="1"/>
  <c r="M14" i="4"/>
  <c r="K14" i="4"/>
  <c r="I14" i="4"/>
  <c r="J14" i="4" s="1"/>
  <c r="H14" i="4"/>
  <c r="G14" i="4"/>
  <c r="E14" i="4"/>
  <c r="F14" i="4" s="1"/>
  <c r="C14" i="4"/>
  <c r="D14" i="4" s="1"/>
  <c r="U13" i="4"/>
  <c r="S13" i="4"/>
  <c r="Q13" i="4"/>
  <c r="R13" i="4" s="1"/>
  <c r="O13" i="4"/>
  <c r="P13" i="4" s="1"/>
  <c r="N13" i="4"/>
  <c r="M13" i="4"/>
  <c r="K13" i="4"/>
  <c r="L13" i="4" s="1"/>
  <c r="I13" i="4"/>
  <c r="G13" i="4"/>
  <c r="H13" i="4" s="1"/>
  <c r="E13" i="4"/>
  <c r="F13" i="4" s="1"/>
  <c r="C13" i="4"/>
  <c r="D13" i="4" s="1"/>
  <c r="U12" i="4"/>
  <c r="V12" i="4" s="1"/>
  <c r="T12" i="4"/>
  <c r="S12" i="4"/>
  <c r="Q12" i="4"/>
  <c r="R12" i="4" s="1"/>
  <c r="O12" i="4"/>
  <c r="P12" i="4" s="1"/>
  <c r="M12" i="4"/>
  <c r="N12" i="4" s="1"/>
  <c r="K12" i="4"/>
  <c r="L12" i="4" s="1"/>
  <c r="I12" i="4"/>
  <c r="J12" i="4" s="1"/>
  <c r="H12" i="4"/>
  <c r="G12" i="4"/>
  <c r="E12" i="4"/>
  <c r="F12" i="4" s="1"/>
  <c r="C12" i="4"/>
  <c r="D12" i="4" s="1"/>
  <c r="U11" i="4"/>
  <c r="V11" i="4" s="1"/>
  <c r="S11" i="4"/>
  <c r="T11" i="4" s="1"/>
  <c r="Q11" i="4"/>
  <c r="R11" i="4" s="1"/>
  <c r="P11" i="4"/>
  <c r="O11" i="4"/>
  <c r="M11" i="4"/>
  <c r="N11" i="4" s="1"/>
  <c r="K11" i="4"/>
  <c r="L11" i="4" s="1"/>
  <c r="I11" i="4"/>
  <c r="J11" i="4" s="1"/>
  <c r="G11" i="4"/>
  <c r="H11" i="4" s="1"/>
  <c r="E11" i="4"/>
  <c r="F11" i="4" s="1"/>
  <c r="D11" i="4"/>
  <c r="C11" i="4"/>
  <c r="U10" i="4"/>
  <c r="V10" i="4" s="1"/>
  <c r="S10" i="4"/>
  <c r="T10" i="4" s="1"/>
  <c r="Q10" i="4"/>
  <c r="R10" i="4" s="1"/>
  <c r="O10" i="4"/>
  <c r="P10" i="4" s="1"/>
  <c r="M10" i="4"/>
  <c r="N10" i="4" s="1"/>
  <c r="L10" i="4"/>
  <c r="K10" i="4"/>
  <c r="I10" i="4"/>
  <c r="J10" i="4" s="1"/>
  <c r="G10" i="4"/>
  <c r="H10" i="4" s="1"/>
  <c r="E10" i="4"/>
  <c r="F10" i="4" s="1"/>
  <c r="C10" i="4"/>
  <c r="D10" i="4" s="1"/>
  <c r="U9" i="4"/>
  <c r="V9" i="4" s="1"/>
  <c r="T9" i="4"/>
  <c r="S9" i="4"/>
  <c r="Q9" i="4"/>
  <c r="R9" i="4" s="1"/>
  <c r="O9" i="4"/>
  <c r="P9" i="4" s="1"/>
  <c r="M9" i="4"/>
  <c r="N9" i="4" s="1"/>
  <c r="K9" i="4"/>
  <c r="L9" i="4" s="1"/>
  <c r="I9" i="4"/>
  <c r="J9" i="4" s="1"/>
  <c r="H9" i="4"/>
  <c r="G9" i="4"/>
  <c r="E9" i="4"/>
  <c r="F9" i="4" s="1"/>
  <c r="C9" i="4"/>
  <c r="D9" i="4" s="1"/>
  <c r="U8" i="4"/>
  <c r="V8" i="4" s="1"/>
  <c r="S8" i="4"/>
  <c r="T8" i="4" s="1"/>
  <c r="Q8" i="4"/>
  <c r="R8" i="4" s="1"/>
  <c r="P8" i="4"/>
  <c r="O8" i="4"/>
  <c r="M8" i="4"/>
  <c r="N8" i="4" s="1"/>
  <c r="K8" i="4"/>
  <c r="L8" i="4" s="1"/>
  <c r="I8" i="4"/>
  <c r="J8" i="4" s="1"/>
  <c r="G8" i="4"/>
  <c r="H8" i="4" s="1"/>
  <c r="E8" i="4"/>
  <c r="F8" i="4" s="1"/>
  <c r="D8" i="4"/>
  <c r="C8" i="4"/>
  <c r="U7" i="4"/>
  <c r="S7" i="4"/>
  <c r="Q7" i="4"/>
  <c r="O7" i="4"/>
  <c r="M7" i="4"/>
  <c r="K7" i="4"/>
  <c r="I7" i="4"/>
  <c r="G7" i="4"/>
  <c r="E7" i="4"/>
  <c r="C7" i="4"/>
  <c r="R32" i="2"/>
  <c r="Q25" i="1"/>
  <c r="P25" i="1"/>
  <c r="R25" i="1" s="1"/>
  <c r="Q24" i="1"/>
  <c r="P24" i="1"/>
  <c r="R24" i="1" s="1"/>
  <c r="P23" i="1"/>
  <c r="Q22" i="1"/>
  <c r="P22" i="1"/>
  <c r="R22" i="1" s="1"/>
  <c r="Q21" i="1"/>
  <c r="P21" i="1"/>
  <c r="R21" i="1" s="1"/>
  <c r="Q20" i="1"/>
  <c r="P20" i="1"/>
  <c r="R20" i="1" s="1"/>
  <c r="P19" i="1"/>
  <c r="Q18" i="1"/>
  <c r="P18" i="1"/>
  <c r="R18" i="1" s="1"/>
  <c r="Q17" i="1"/>
  <c r="P17" i="1"/>
  <c r="R17" i="1" s="1"/>
  <c r="Q16" i="1"/>
  <c r="P16" i="1"/>
  <c r="R16" i="1" s="1"/>
  <c r="Q14" i="1"/>
  <c r="Q23" i="1" s="1"/>
  <c r="R23" i="1" s="1"/>
  <c r="V64" i="4" l="1"/>
  <c r="D72" i="4"/>
  <c r="J81" i="4"/>
  <c r="J80" i="4"/>
  <c r="T87" i="4"/>
  <c r="F15" i="4"/>
  <c r="V17" i="4"/>
  <c r="R18" i="4"/>
  <c r="T20" i="4"/>
  <c r="D23" i="4"/>
  <c r="R28" i="4"/>
  <c r="D31" i="4"/>
  <c r="P32" i="4"/>
  <c r="J33" i="4"/>
  <c r="P35" i="4"/>
  <c r="H37" i="4"/>
  <c r="T42" i="4"/>
  <c r="N44" i="4"/>
  <c r="F50" i="4"/>
  <c r="R52" i="4"/>
  <c r="R59" i="4"/>
  <c r="R58" i="4"/>
  <c r="J62" i="4"/>
  <c r="F72" i="4"/>
  <c r="C25" i="6"/>
  <c r="C24" i="6"/>
  <c r="D37" i="4"/>
  <c r="D38" i="4"/>
  <c r="P52" i="4"/>
  <c r="P53" i="4"/>
  <c r="J79" i="4"/>
  <c r="D15" i="4"/>
  <c r="L14" i="4"/>
  <c r="D18" i="4"/>
  <c r="P21" i="4"/>
  <c r="J22" i="4"/>
  <c r="R23" i="4"/>
  <c r="N24" i="4"/>
  <c r="T28" i="4"/>
  <c r="R32" i="4"/>
  <c r="J37" i="4"/>
  <c r="F42" i="4"/>
  <c r="P44" i="4"/>
  <c r="F47" i="4"/>
  <c r="V66" i="4"/>
  <c r="V65" i="4"/>
  <c r="N69" i="4"/>
  <c r="R76" i="4"/>
  <c r="P18" i="4"/>
  <c r="V22" i="4"/>
  <c r="L29" i="4"/>
  <c r="V30" i="4"/>
  <c r="Q19" i="1"/>
  <c r="R19" i="1" s="1"/>
  <c r="N14" i="4"/>
  <c r="F18" i="4"/>
  <c r="H20" i="4"/>
  <c r="V20" i="4"/>
  <c r="R21" i="4"/>
  <c r="F23" i="4"/>
  <c r="T23" i="4"/>
  <c r="H25" i="4"/>
  <c r="P26" i="4"/>
  <c r="F28" i="4"/>
  <c r="V28" i="4"/>
  <c r="T32" i="4"/>
  <c r="N33" i="4"/>
  <c r="L37" i="4"/>
  <c r="F38" i="4"/>
  <c r="T39" i="4"/>
  <c r="V42" i="4"/>
  <c r="V47" i="4"/>
  <c r="F74" i="4"/>
  <c r="F73" i="4"/>
  <c r="P80" i="4"/>
  <c r="J45" i="4"/>
  <c r="J44" i="4"/>
  <c r="T13" i="4"/>
  <c r="L17" i="4"/>
  <c r="D21" i="4"/>
  <c r="H23" i="4"/>
  <c r="J27" i="4"/>
  <c r="H31" i="4"/>
  <c r="J34" i="4"/>
  <c r="V39" i="4"/>
  <c r="N45" i="4"/>
  <c r="D53" i="4"/>
  <c r="D59" i="4"/>
  <c r="V60" i="4"/>
  <c r="V59" i="4"/>
  <c r="F66" i="4"/>
  <c r="H85" i="4"/>
  <c r="C177" i="5"/>
  <c r="C301" i="6"/>
  <c r="C300" i="6"/>
  <c r="F34" i="4"/>
  <c r="V13" i="4"/>
  <c r="N17" i="4"/>
  <c r="P19" i="4"/>
  <c r="J20" i="4"/>
  <c r="F21" i="4"/>
  <c r="V23" i="4"/>
  <c r="J25" i="4"/>
  <c r="L27" i="4"/>
  <c r="J31" i="4"/>
  <c r="V35" i="4"/>
  <c r="N50" i="4"/>
  <c r="F68" i="4"/>
  <c r="F67" i="4"/>
  <c r="J75" i="4"/>
  <c r="J74" i="4"/>
  <c r="C342" i="5"/>
  <c r="C341" i="5"/>
  <c r="J13" i="4"/>
  <c r="V16" i="4"/>
  <c r="N20" i="4"/>
  <c r="P22" i="4"/>
  <c r="P27" i="4"/>
  <c r="T29" i="4"/>
  <c r="N31" i="4"/>
  <c r="F36" i="4"/>
  <c r="H39" i="4"/>
  <c r="T40" i="4"/>
  <c r="P41" i="4"/>
  <c r="J43" i="4"/>
  <c r="T45" i="4"/>
  <c r="J51" i="4"/>
  <c r="H60" i="4"/>
  <c r="P63" i="4"/>
  <c r="R70" i="4"/>
  <c r="D78" i="4"/>
  <c r="V45" i="4"/>
  <c r="L51" i="4"/>
  <c r="L52" i="4"/>
  <c r="L67" i="4"/>
  <c r="T70" i="4"/>
  <c r="N86" i="4"/>
  <c r="C221" i="5"/>
  <c r="P38" i="4"/>
  <c r="L43" i="4"/>
  <c r="F49" i="4"/>
  <c r="N52" i="4"/>
  <c r="N51" i="4"/>
  <c r="P74" i="4"/>
  <c r="V83" i="4"/>
  <c r="V82" i="4"/>
  <c r="F30" i="4"/>
  <c r="D34" i="4"/>
  <c r="R34" i="4"/>
  <c r="H44" i="4"/>
  <c r="H45" i="4"/>
  <c r="L48" i="4"/>
  <c r="H49" i="4"/>
  <c r="P57" i="4"/>
  <c r="C98" i="5"/>
  <c r="C97" i="5"/>
  <c r="C58" i="5"/>
  <c r="C186" i="5"/>
  <c r="C255" i="5"/>
  <c r="C358" i="5"/>
  <c r="C87" i="6"/>
  <c r="C96" i="6"/>
  <c r="C43" i="8"/>
  <c r="C42" i="8"/>
  <c r="N81" i="4"/>
  <c r="F84" i="4"/>
  <c r="C57" i="5"/>
  <c r="C65" i="5"/>
  <c r="C104" i="5"/>
  <c r="C185" i="5"/>
  <c r="C211" i="5"/>
  <c r="C210" i="5"/>
  <c r="C305" i="5"/>
  <c r="C348" i="5"/>
  <c r="C357" i="5"/>
  <c r="C86" i="6"/>
  <c r="C95" i="6"/>
  <c r="C222" i="6"/>
  <c r="C221" i="6"/>
  <c r="C365" i="7"/>
  <c r="C364" i="7"/>
  <c r="P28" i="4"/>
  <c r="T35" i="4"/>
  <c r="D43" i="4"/>
  <c r="H50" i="4"/>
  <c r="L57" i="4"/>
  <c r="P64" i="4"/>
  <c r="T71" i="4"/>
  <c r="D79" i="4"/>
  <c r="H86" i="4"/>
  <c r="N87" i="4"/>
  <c r="C168" i="5"/>
  <c r="C247" i="5"/>
  <c r="C246" i="5"/>
  <c r="C265" i="5"/>
  <c r="C212" i="6"/>
  <c r="C115" i="5"/>
  <c r="C130" i="5"/>
  <c r="C214" i="5"/>
  <c r="C258" i="5"/>
  <c r="C327" i="5"/>
  <c r="C88" i="7"/>
  <c r="C87" i="7"/>
  <c r="P34" i="4"/>
  <c r="T41" i="4"/>
  <c r="D49" i="4"/>
  <c r="H56" i="4"/>
  <c r="L63" i="4"/>
  <c r="P70" i="4"/>
  <c r="T77" i="4"/>
  <c r="D85" i="4"/>
  <c r="C107" i="5"/>
  <c r="C114" i="5"/>
  <c r="C161" i="5"/>
  <c r="C204" i="5"/>
  <c r="C257" i="5"/>
  <c r="C283" i="5"/>
  <c r="C282" i="5"/>
  <c r="C71" i="6"/>
  <c r="C129" i="6"/>
  <c r="C27" i="7"/>
  <c r="C26" i="7"/>
  <c r="P55" i="4"/>
  <c r="T60" i="4"/>
  <c r="T62" i="4"/>
  <c r="D68" i="4"/>
  <c r="D70" i="4"/>
  <c r="H75" i="4"/>
  <c r="H77" i="4"/>
  <c r="L82" i="4"/>
  <c r="L84" i="4"/>
  <c r="P89" i="4"/>
  <c r="H26" i="4"/>
  <c r="L33" i="4"/>
  <c r="P40" i="4"/>
  <c r="T47" i="4"/>
  <c r="D55" i="4"/>
  <c r="H62" i="4"/>
  <c r="L69" i="4"/>
  <c r="P76" i="4"/>
  <c r="T83" i="4"/>
  <c r="C70" i="5"/>
  <c r="C77" i="5"/>
  <c r="C84" i="5"/>
  <c r="C147" i="5"/>
  <c r="C197" i="5"/>
  <c r="C240" i="5"/>
  <c r="C319" i="5"/>
  <c r="C318" i="5"/>
  <c r="C19" i="6"/>
  <c r="C18" i="6"/>
  <c r="C62" i="6"/>
  <c r="C264" i="6"/>
  <c r="C372" i="6"/>
  <c r="D40" i="4"/>
  <c r="H47" i="4"/>
  <c r="L54" i="4"/>
  <c r="P59" i="4"/>
  <c r="P61" i="4"/>
  <c r="T66" i="4"/>
  <c r="T68" i="4"/>
  <c r="D74" i="4"/>
  <c r="D76" i="4"/>
  <c r="H81" i="4"/>
  <c r="H83" i="4"/>
  <c r="L88" i="4"/>
  <c r="C183" i="5"/>
  <c r="C286" i="5"/>
  <c r="D25" i="4"/>
  <c r="H32" i="4"/>
  <c r="L39" i="4"/>
  <c r="P46" i="4"/>
  <c r="T53" i="4"/>
  <c r="D61" i="4"/>
  <c r="H68" i="4"/>
  <c r="L75" i="4"/>
  <c r="P82" i="4"/>
  <c r="T89" i="4"/>
  <c r="C34" i="5"/>
  <c r="C56" i="5"/>
  <c r="C72" i="5"/>
  <c r="C141" i="5"/>
  <c r="C157" i="5"/>
  <c r="C276" i="5"/>
  <c r="C355" i="5"/>
  <c r="C354" i="5"/>
  <c r="C11" i="6"/>
  <c r="C29" i="6"/>
  <c r="C39" i="6"/>
  <c r="C114" i="6"/>
  <c r="C113" i="6"/>
  <c r="C179" i="6"/>
  <c r="C180" i="6"/>
  <c r="D80" i="4"/>
  <c r="H87" i="4"/>
  <c r="H89" i="4"/>
  <c r="C88" i="5"/>
  <c r="C111" i="5"/>
  <c r="C184" i="5"/>
  <c r="C219" i="5"/>
  <c r="C287" i="5"/>
  <c r="C322" i="5"/>
  <c r="C366" i="5"/>
  <c r="C28" i="5"/>
  <c r="C142" i="5"/>
  <c r="C175" i="5"/>
  <c r="C174" i="5"/>
  <c r="C193" i="5"/>
  <c r="C22" i="6"/>
  <c r="C32" i="6"/>
  <c r="C104" i="6"/>
  <c r="C162" i="6"/>
  <c r="C336" i="6"/>
  <c r="C100" i="5"/>
  <c r="C181" i="5"/>
  <c r="C217" i="5"/>
  <c r="C253" i="5"/>
  <c r="C289" i="5"/>
  <c r="C13" i="6"/>
  <c r="C27" i="6"/>
  <c r="C106" i="6"/>
  <c r="C123" i="6"/>
  <c r="C132" i="6"/>
  <c r="C231" i="6"/>
  <c r="C239" i="6"/>
  <c r="C257" i="6"/>
  <c r="C267" i="6"/>
  <c r="C275" i="6"/>
  <c r="C293" i="6"/>
  <c r="C303" i="6"/>
  <c r="C311" i="6"/>
  <c r="C329" i="6"/>
  <c r="C347" i="6"/>
  <c r="C365" i="6"/>
  <c r="C35" i="7"/>
  <c r="C66" i="7"/>
  <c r="C65" i="7"/>
  <c r="C94" i="5"/>
  <c r="C160" i="5"/>
  <c r="C196" i="5"/>
  <c r="C232" i="5"/>
  <c r="C268" i="5"/>
  <c r="C304" i="5"/>
  <c r="C340" i="5"/>
  <c r="C49" i="6"/>
  <c r="C57" i="6"/>
  <c r="C74" i="6"/>
  <c r="C99" i="6"/>
  <c r="C107" i="6"/>
  <c r="C157" i="6"/>
  <c r="C165" i="6"/>
  <c r="C182" i="6"/>
  <c r="C207" i="6"/>
  <c r="C259" i="6"/>
  <c r="C295" i="6"/>
  <c r="C331" i="6"/>
  <c r="C367" i="6"/>
  <c r="C141" i="6"/>
  <c r="C150" i="6"/>
  <c r="C154" i="5"/>
  <c r="C190" i="5"/>
  <c r="C226" i="5"/>
  <c r="C262" i="5"/>
  <c r="C298" i="5"/>
  <c r="C334" i="5"/>
  <c r="C370" i="5"/>
  <c r="C15" i="6"/>
  <c r="C36" i="6"/>
  <c r="C67" i="6"/>
  <c r="C75" i="6"/>
  <c r="C92" i="6"/>
  <c r="C117" i="6"/>
  <c r="C140" i="6"/>
  <c r="C149" i="6"/>
  <c r="C175" i="6"/>
  <c r="C183" i="6"/>
  <c r="C200" i="6"/>
  <c r="C23" i="7"/>
  <c r="C117" i="7"/>
  <c r="C76" i="6"/>
  <c r="C216" i="6"/>
  <c r="C252" i="6"/>
  <c r="C251" i="6"/>
  <c r="C288" i="6"/>
  <c r="C287" i="6"/>
  <c r="C324" i="6"/>
  <c r="C323" i="6"/>
  <c r="C360" i="6"/>
  <c r="C359" i="6"/>
  <c r="C242" i="6"/>
  <c r="C112" i="7"/>
  <c r="C111" i="7"/>
  <c r="C64" i="5"/>
  <c r="C136" i="5"/>
  <c r="C163" i="5"/>
  <c r="C199" i="5"/>
  <c r="C235" i="5"/>
  <c r="C271" i="5"/>
  <c r="C307" i="5"/>
  <c r="C9" i="6"/>
  <c r="C52" i="6"/>
  <c r="C69" i="6"/>
  <c r="C78" i="6"/>
  <c r="C94" i="6"/>
  <c r="C126" i="6"/>
  <c r="C177" i="6"/>
  <c r="C186" i="6"/>
  <c r="C236" i="6"/>
  <c r="C272" i="6"/>
  <c r="C308" i="6"/>
  <c r="C344" i="6"/>
  <c r="C40" i="7"/>
  <c r="C39" i="7"/>
  <c r="C70" i="7"/>
  <c r="C69" i="7"/>
  <c r="C45" i="6"/>
  <c r="C53" i="6"/>
  <c r="C103" i="6"/>
  <c r="C111" i="6"/>
  <c r="C128" i="6"/>
  <c r="C153" i="6"/>
  <c r="C211" i="6"/>
  <c r="C219" i="6"/>
  <c r="C10" i="7"/>
  <c r="C195" i="6"/>
  <c r="C204" i="6"/>
  <c r="C237" i="6"/>
  <c r="C273" i="6"/>
  <c r="C309" i="6"/>
  <c r="C345" i="6"/>
  <c r="C255" i="6"/>
  <c r="C291" i="6"/>
  <c r="C327" i="6"/>
  <c r="C363" i="6"/>
  <c r="C306" i="7"/>
  <c r="C114" i="8"/>
  <c r="C193" i="8"/>
  <c r="C21" i="6"/>
  <c r="C257" i="7"/>
  <c r="C256" i="7"/>
  <c r="C307" i="7"/>
  <c r="C317" i="7"/>
  <c r="C316" i="7"/>
  <c r="C249" i="6"/>
  <c r="C285" i="6"/>
  <c r="C321" i="6"/>
  <c r="C357" i="6"/>
  <c r="C53" i="7"/>
  <c r="C238" i="7"/>
  <c r="C258" i="7"/>
  <c r="C239" i="7"/>
  <c r="C259" i="7"/>
  <c r="C269" i="7"/>
  <c r="C268" i="7"/>
  <c r="C67" i="8"/>
  <c r="C66" i="8"/>
  <c r="C19" i="8"/>
  <c r="C18" i="8"/>
  <c r="C281" i="7"/>
  <c r="C280" i="7"/>
  <c r="C341" i="7"/>
  <c r="C340" i="7"/>
  <c r="C141" i="7"/>
  <c r="C243" i="7"/>
  <c r="C242" i="7"/>
  <c r="C251" i="7"/>
  <c r="C250" i="7"/>
  <c r="C282" i="7"/>
  <c r="C90" i="8"/>
  <c r="C293" i="7"/>
  <c r="C292" i="7"/>
  <c r="C83" i="7"/>
  <c r="C253" i="7"/>
  <c r="C325" i="8"/>
  <c r="C261" i="7"/>
  <c r="C285" i="7"/>
  <c r="C309" i="7"/>
  <c r="C333" i="7"/>
  <c r="C357" i="7"/>
  <c r="C11" i="8"/>
  <c r="C35" i="8"/>
  <c r="C59" i="8"/>
  <c r="C83" i="8"/>
  <c r="C107" i="8"/>
  <c r="C131" i="8"/>
  <c r="C148" i="8"/>
  <c r="C166" i="8"/>
  <c r="C184" i="8"/>
  <c r="C202" i="8"/>
  <c r="C220" i="8"/>
  <c r="C238" i="8"/>
  <c r="C256" i="8"/>
  <c r="C274" i="8"/>
  <c r="C284" i="8"/>
  <c r="C305" i="8"/>
  <c r="C315" i="8"/>
  <c r="C346" i="8"/>
  <c r="C356" i="8"/>
  <c r="C278" i="7"/>
  <c r="C302" i="7"/>
  <c r="C326" i="7"/>
  <c r="C350" i="7"/>
  <c r="C374" i="7"/>
  <c r="C28" i="8"/>
  <c r="C52" i="8"/>
  <c r="C76" i="8"/>
  <c r="C100" i="8"/>
  <c r="C124" i="8"/>
  <c r="C286" i="8"/>
  <c r="C296" i="8"/>
  <c r="C307" i="8"/>
  <c r="C317" i="8"/>
  <c r="C327" i="8"/>
  <c r="C255" i="7"/>
  <c r="C271" i="7"/>
  <c r="C279" i="7"/>
  <c r="C295" i="7"/>
  <c r="C303" i="7"/>
  <c r="C319" i="7"/>
  <c r="C327" i="7"/>
  <c r="C343" i="7"/>
  <c r="C351" i="7"/>
  <c r="C367" i="7"/>
  <c r="C375" i="7"/>
  <c r="C21" i="8"/>
  <c r="C29" i="8"/>
  <c r="C45" i="8"/>
  <c r="C53" i="8"/>
  <c r="C69" i="8"/>
  <c r="C77" i="8"/>
  <c r="C93" i="8"/>
  <c r="C101" i="8"/>
  <c r="C117" i="8"/>
  <c r="C125" i="8"/>
  <c r="C141" i="8"/>
  <c r="C277" i="8"/>
  <c r="C287" i="8"/>
  <c r="C297" i="8"/>
  <c r="C359" i="8"/>
  <c r="C249" i="7"/>
  <c r="C142" i="8"/>
  <c r="C160" i="8"/>
  <c r="C168" i="8"/>
  <c r="C178" i="8"/>
  <c r="C186" i="8"/>
  <c r="C196" i="8"/>
  <c r="C214" i="8"/>
  <c r="C232" i="8"/>
  <c r="C250" i="8"/>
  <c r="C268" i="8"/>
  <c r="C329" i="8"/>
  <c r="C339" i="8"/>
  <c r="C152" i="8"/>
  <c r="C170" i="8"/>
  <c r="C188" i="8"/>
  <c r="C206" i="8"/>
  <c r="C242" i="8"/>
  <c r="C260" i="8"/>
  <c r="C289" i="8"/>
  <c r="C361" i="8"/>
  <c r="C237" i="7"/>
  <c r="C265" i="7"/>
  <c r="C273" i="7"/>
  <c r="C289" i="7"/>
  <c r="C297" i="7"/>
  <c r="C304" i="7"/>
  <c r="C313" i="7"/>
  <c r="C321" i="7"/>
  <c r="C328" i="7"/>
  <c r="C337" i="7"/>
  <c r="C345" i="7"/>
  <c r="C352" i="7"/>
  <c r="C361" i="7"/>
  <c r="C369" i="7"/>
  <c r="C15" i="8"/>
  <c r="C23" i="8"/>
  <c r="C30" i="8"/>
  <c r="C39" i="8"/>
  <c r="C47" i="8"/>
  <c r="C54" i="8"/>
  <c r="C63" i="8"/>
  <c r="C71" i="8"/>
  <c r="C78" i="8"/>
  <c r="C87" i="8"/>
  <c r="C95" i="8"/>
  <c r="C102" i="8"/>
  <c r="C111" i="8"/>
  <c r="C119" i="8"/>
  <c r="C126" i="8"/>
  <c r="C135" i="8"/>
  <c r="C279" i="8"/>
  <c r="C310" i="8"/>
  <c r="C320" i="8"/>
  <c r="C331" i="8"/>
  <c r="C341" i="8"/>
  <c r="C351" i="8"/>
  <c r="C280" i="8"/>
  <c r="C290" i="8"/>
  <c r="C311" i="8"/>
  <c r="C321" i="8"/>
  <c r="C352" i="8"/>
  <c r="C362" i="8"/>
  <c r="C266" i="7"/>
  <c r="C290" i="7"/>
  <c r="C314" i="7"/>
  <c r="C338" i="7"/>
  <c r="C362" i="7"/>
  <c r="C7" i="8"/>
  <c r="C16" i="8"/>
  <c r="C40" i="8"/>
  <c r="C64" i="8"/>
  <c r="C88" i="8"/>
  <c r="C112" i="8"/>
  <c r="C136" i="8"/>
  <c r="C144" i="8"/>
  <c r="C154" i="8"/>
  <c r="C162" i="8"/>
  <c r="C172" i="8"/>
  <c r="C180" i="8"/>
  <c r="C190" i="8"/>
  <c r="C198" i="8"/>
  <c r="C208" i="8"/>
  <c r="C216" i="8"/>
  <c r="C226" i="8"/>
  <c r="C234" i="8"/>
  <c r="C244" i="8"/>
  <c r="C252" i="8"/>
  <c r="C262" i="8"/>
  <c r="C270" i="8"/>
  <c r="C9" i="8"/>
  <c r="C33" i="8"/>
  <c r="C57" i="8"/>
  <c r="C81" i="8"/>
  <c r="C105" i="8"/>
  <c r="C129" i="8"/>
  <c r="C146" i="8"/>
  <c r="C164" i="8"/>
  <c r="C182" i="8"/>
  <c r="C200" i="8"/>
  <c r="C236" i="8"/>
  <c r="C254" i="8"/>
  <c r="C272" i="8"/>
  <c r="C313" i="8"/>
  <c r="C293" i="8"/>
  <c r="C303" i="8"/>
  <c r="C334" i="8"/>
  <c r="C344" i="8"/>
  <c r="C365" i="8"/>
</calcChain>
</file>

<file path=xl/sharedStrings.xml><?xml version="1.0" encoding="utf-8"?>
<sst xmlns="http://schemas.openxmlformats.org/spreadsheetml/2006/main" count="252" uniqueCount="117">
  <si>
    <t>Durable Good Orders</t>
  </si>
  <si>
    <t>Definition</t>
  </si>
  <si>
    <t>Released every month by the Bureau of Census.
The survey has been conducted monthly by the US Census Bureau since 1957 and data are collected with the North American Industry Classification System – NAICS.
The purpose of the Manufacturers' Shipments, Inventories, and Orders survey is to provide broad-based monthly statistical data on current economic conditions and indications of future production commitments in the manufacturing sector.
The M3 is based upon data reported from manufacturing establishments with $500 million or more in annual shipments. Units may be divisions of diversified large companies, large homogenous companies, or single-unit manufacturers in 89 industry categories. Those large tickets last three years or more.</t>
  </si>
  <si>
    <t>https://www.census.gov/manufacturing/m3/definitions/index.html</t>
  </si>
  <si>
    <t>Process / TO DO LIST</t>
  </si>
  <si>
    <t>Summary</t>
  </si>
  <si>
    <t>TO DO LIST</t>
  </si>
  <si>
    <t>Comments</t>
  </si>
  <si>
    <t>https://fred.stlouisfed.org/series/DGORDER</t>
  </si>
  <si>
    <t>Durable Goods New Orders</t>
  </si>
  <si>
    <t>Last</t>
  </si>
  <si>
    <t>Var.</t>
  </si>
  <si>
    <t>https://fred.stlouisfed.org/series/ADXTNO</t>
  </si>
  <si>
    <t>New Orders ex Transport</t>
  </si>
  <si>
    <t>DGORDER</t>
  </si>
  <si>
    <t>https://fred.stlouisfed.org/series/NEWORDER</t>
  </si>
  <si>
    <t>New Orders Nondefense Ex Aircraft &amp; Parts= Core</t>
  </si>
  <si>
    <t>ADXTNO</t>
  </si>
  <si>
    <t>https://fred.stlouisfed.org/series/AMTUNO</t>
  </si>
  <si>
    <t>New Orders - Manufacturing</t>
  </si>
  <si>
    <t>New Orders Nondefense Ex Aircraft &amp; Parts = Core</t>
  </si>
  <si>
    <t>NEWORDER</t>
  </si>
  <si>
    <t>https://fred.stlouisfed.org/series/A36SNO</t>
  </si>
  <si>
    <t>New Orders - Transportation Equipment</t>
  </si>
  <si>
    <t>AMTUNO</t>
  </si>
  <si>
    <t>https://fred.stlouisfed.org/series/A32SNO</t>
  </si>
  <si>
    <t>New Orders - Fabricated Metal Products</t>
  </si>
  <si>
    <t>A36SNO</t>
  </si>
  <si>
    <t>https://fred.stlouisfed.org/series/A33SNO</t>
  </si>
  <si>
    <t>New Orders - Machinery</t>
  </si>
  <si>
    <t>A32SNO</t>
  </si>
  <si>
    <t>https://fred.stlouisfed.org/series/A34SNO</t>
  </si>
  <si>
    <t>New Orders - Computers</t>
  </si>
  <si>
    <t>A33SNO</t>
  </si>
  <si>
    <t>https://fred.stlouisfed.org/series/A31SNO</t>
  </si>
  <si>
    <t>New Orders - Primary Metals</t>
  </si>
  <si>
    <t>A34SNO</t>
  </si>
  <si>
    <t>https://fred.stlouisfed.org/series/A35SNO</t>
  </si>
  <si>
    <t>New Orders - Electrical Equipment</t>
  </si>
  <si>
    <t>A31SNO</t>
  </si>
  <si>
    <t>A35SNO</t>
  </si>
  <si>
    <t>*Compare with ISM Manufacturing (Leading Indicator) for confirmation</t>
  </si>
  <si>
    <t>* Month to modify after having downloaded data in Database</t>
  </si>
  <si>
    <t>Table 1.  Durable Goods Manufacturers' Shipments and New Orders 1</t>
  </si>
  <si>
    <t>[Estimates are shown in millions of dollars and are based on data from the Manufacturers' Shipments, Inventories, and Orders Survey.]</t>
  </si>
  <si>
    <t>Seasonally Adjusted</t>
  </si>
  <si>
    <t xml:space="preserve">Not Seasonally Adjusted </t>
  </si>
  <si>
    <t>Monthly</t>
  </si>
  <si>
    <t>Percent Change</t>
  </si>
  <si>
    <t>Year to Date</t>
  </si>
  <si>
    <t>Item</t>
  </si>
  <si>
    <t xml:space="preserve"> </t>
  </si>
  <si>
    <t>Percent</t>
  </si>
  <si>
    <t>May</t>
  </si>
  <si>
    <t>Apr</t>
  </si>
  <si>
    <t>Mar</t>
  </si>
  <si>
    <t>Apr -</t>
  </si>
  <si>
    <t>Mar -</t>
  </si>
  <si>
    <t>Feb -</t>
  </si>
  <si>
    <t>Change</t>
  </si>
  <si>
    <t>2019 2</t>
  </si>
  <si>
    <t>2019 r</t>
  </si>
  <si>
    <t>May 2</t>
  </si>
  <si>
    <t>Apr r</t>
  </si>
  <si>
    <t>2019/2018</t>
  </si>
  <si>
    <t>DURABLE GOODS</t>
  </si>
  <si>
    <t xml:space="preserve">   Total:</t>
  </si>
  <si>
    <t xml:space="preserve">               Shipments…………………………..</t>
  </si>
  <si>
    <t xml:space="preserve">               New Orders4…………………………</t>
  </si>
  <si>
    <t xml:space="preserve">         Excluding transportation:</t>
  </si>
  <si>
    <t xml:space="preserve">         Excluding defense:</t>
  </si>
  <si>
    <t xml:space="preserve">    Manufacturing with unfilled orders:</t>
  </si>
  <si>
    <t xml:space="preserve">               New Orders…………………………</t>
  </si>
  <si>
    <t xml:space="preserve">    Primary metals:</t>
  </si>
  <si>
    <t xml:space="preserve">    Fabricated metal products:</t>
  </si>
  <si>
    <t xml:space="preserve">    Machinery:</t>
  </si>
  <si>
    <t xml:space="preserve">    Computers and electronic products4:</t>
  </si>
  <si>
    <t xml:space="preserve">         Computers and related products:</t>
  </si>
  <si>
    <t xml:space="preserve">       </t>
  </si>
  <si>
    <t xml:space="preserve">         Communications equipment:</t>
  </si>
  <si>
    <t xml:space="preserve">    Electrical equipment, appliances,    </t>
  </si>
  <si>
    <t xml:space="preserve">       and components:                   </t>
  </si>
  <si>
    <t xml:space="preserve">    Transportation equipment:    </t>
  </si>
  <si>
    <t xml:space="preserve">         Motor vehicles and parts:</t>
  </si>
  <si>
    <t xml:space="preserve">           </t>
  </si>
  <si>
    <t xml:space="preserve">         Nondefense aircraft and parts:</t>
  </si>
  <si>
    <t xml:space="preserve">         Defense aircraft and parts:</t>
  </si>
  <si>
    <t xml:space="preserve">    All other durable goods:           </t>
  </si>
  <si>
    <t xml:space="preserve">    Capital goods3:</t>
  </si>
  <si>
    <t xml:space="preserve">           Nondefense capital goods:</t>
  </si>
  <si>
    <t xml:space="preserve">                Excluding aircraft:</t>
  </si>
  <si>
    <t xml:space="preserve">                    Shipments………………………</t>
  </si>
  <si>
    <t xml:space="preserve">                    New Orders……………………..</t>
  </si>
  <si>
    <t xml:space="preserve">           Defense capital goods:</t>
  </si>
  <si>
    <t xml:space="preserve">r  Revised data due to late receipts and concurrent seasonal adjustment.     
1 Estimates of shipments and new orders are for the duration of the period, while estimates of unfilled orders and total inventories are for the end of the period. Not seasonally adjusted estimates of    
shipments and new orders include adjusted data for non-calendar reporters. Seasonally adjusted estimates include concurrent adjustments for holiday and trading-day differences, where appropriate,  
as well as seasonal variation, based on the results of the latest annual review of the model parameters. Estimates are not adjusted for price changes.        
2 Based on advance sample. Estimates of manufacturers' shipments, inventories, and orders are subject to survey error and revision. One major component of survey error is nonsampling error, which includes errors of coverage, response and nonreporting. Since the survey panel is not a probability sample, estimates of sampling error cannot be calculated. For further details on survey design, methodology, and data limitations, see http://www.census.gov/manufacturing/m3.     
3 The Capital Goods Industries include Nondefense : small arms and ordnance; farm machinery and equipment; construction machinery; mining, oil, and gas field machinery; industrial machinery; vending, laundry, and other machinery; photographic equipment; metalworking machinery; turbines and generators; other power transmission equipment; pumps and compressors; material handling equipment; all other machinery; electronic computers; computer storage devices; other computer peripheral equipment; communications equipment; search and navigation equipment; electromedical, measuring, and  control instruments; electrical equipment; other electrical equipment, appliances, and components; heavy duty trucks; aircraft; railroad rolling stock; ships and boats; office and institutional furniture; and medical equipment and supplies. Defense Capital Goods include : small arms and ordnance, communications equipment, aircraft; missiles, space vehicles, and parts, ships and boats, and search and navigation equipment.   
4 Estimates and percent changes of shipments and inventories for the semiconductor industry are included in computers and electronic products, and all other applicable aggregate totals.  Estimates and percent changes for new orders and unfilled orders exclude semiconductor industry data.   
Source: U.S. Census Bureau, Manufacturers’ Shipments, Inventories, and Orders (M3) Survey, May Advance Report, June 26, 2019. Information on data sources and methodology can be found on our website at &lt;www.census.gov/manufacturing/m3/how_the_data_are_collected/index.html&gt;.  </t>
  </si>
  <si>
    <t>DATE</t>
  </si>
  <si>
    <t>ADXDNO</t>
  </si>
  <si>
    <t>ANXAVS</t>
  </si>
  <si>
    <t>New Orders</t>
  </si>
  <si>
    <t>New Orders Nondefense = Core</t>
  </si>
  <si>
    <t>Manufacturing</t>
  </si>
  <si>
    <t>Transportation Equipment</t>
  </si>
  <si>
    <t>Fabricated Metal Products</t>
  </si>
  <si>
    <t xml:space="preserve"> Machinery</t>
  </si>
  <si>
    <t>Computers</t>
  </si>
  <si>
    <t>Primary Metals</t>
  </si>
  <si>
    <t>Electrical Equipment</t>
  </si>
  <si>
    <t>mom</t>
  </si>
  <si>
    <t>Manufacturers' New Orders: Durable Goods</t>
  </si>
  <si>
    <t>Date</t>
  </si>
  <si>
    <t>mom %</t>
  </si>
  <si>
    <t>CORE ORDERS</t>
  </si>
  <si>
    <t>Manufacturers' New Orders: Nondefense Capital Goods Excluding Aircraft</t>
  </si>
  <si>
    <t>New Orders - Nondefense Capital Goods Excluding Aircraft</t>
  </si>
  <si>
    <t>*Modify name from Note List</t>
  </si>
  <si>
    <t>example AMTUNO for Manufacturing</t>
  </si>
  <si>
    <t>Durable Goods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</si>
</sst>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
    <numFmt numFmtId="167" formatCode="dd\-mm\-yyyy"/>
  </numFmts>
  <fonts count="31" x14ac:knownFonts="1">
    <font>
      <sz val="11"/>
      <color theme="1"/>
      <name val="Calibri"/>
      <family val="2"/>
      <scheme val="minor"/>
    </font>
    <font>
      <b/>
      <sz val="11"/>
      <color theme="1"/>
      <name val="Calibri"/>
      <family val="2"/>
      <scheme val="minor"/>
    </font>
    <font>
      <sz val="8"/>
      <color theme="1"/>
      <name val="Calibri"/>
      <family val="2"/>
      <scheme val="minor"/>
    </font>
    <font>
      <sz val="10"/>
      <color rgb="FF333333"/>
      <name val="Verdana"/>
      <family val="2"/>
    </font>
    <font>
      <sz val="9"/>
      <color theme="1"/>
      <name val="Calibri"/>
      <family val="2"/>
      <scheme val="minor"/>
    </font>
    <font>
      <sz val="11"/>
      <color theme="1"/>
      <name val="Calibri"/>
      <family val="2"/>
      <scheme val="minor"/>
    </font>
    <font>
      <sz val="10"/>
      <name val="Calibri"/>
      <family val="2"/>
      <scheme val="minor"/>
    </font>
    <font>
      <b/>
      <sz val="20"/>
      <name val="Calibri"/>
      <family val="2"/>
      <scheme val="minor"/>
    </font>
    <font>
      <b/>
      <sz val="14"/>
      <name val="Calibri"/>
      <family val="2"/>
      <scheme val="minor"/>
    </font>
    <font>
      <b/>
      <sz val="13"/>
      <name val="Calibri"/>
      <family val="2"/>
      <scheme val="minor"/>
    </font>
    <font>
      <sz val="13"/>
      <name val="Calibri"/>
      <family val="2"/>
      <scheme val="minor"/>
    </font>
    <font>
      <b/>
      <u/>
      <sz val="13"/>
      <name val="Calibri"/>
      <family val="2"/>
      <scheme val="minor"/>
    </font>
    <font>
      <sz val="12"/>
      <name val="Calibri"/>
      <family val="2"/>
      <scheme val="minor"/>
    </font>
    <font>
      <b/>
      <sz val="11"/>
      <name val="Calibri"/>
      <family val="2"/>
      <scheme val="minor"/>
    </font>
    <font>
      <b/>
      <sz val="11"/>
      <name val="Arial"/>
      <family val="2"/>
    </font>
    <font>
      <b/>
      <sz val="11"/>
      <name val="Lucida Sans"/>
      <family val="2"/>
    </font>
    <font>
      <sz val="10"/>
      <name val="Lucida Sans"/>
      <family val="2"/>
    </font>
    <font>
      <b/>
      <vertAlign val="superscript"/>
      <sz val="11"/>
      <name val="Lucida Sans"/>
      <family val="2"/>
    </font>
    <font>
      <b/>
      <sz val="18"/>
      <name val="Lucida Sans"/>
      <family val="2"/>
    </font>
    <font>
      <b/>
      <i/>
      <sz val="14"/>
      <name val="Lucida Sans"/>
      <family val="2"/>
    </font>
    <font>
      <u/>
      <sz val="11"/>
      <color theme="10"/>
      <name val="Calibri"/>
      <family val="2"/>
      <scheme val="minor"/>
    </font>
    <font>
      <b/>
      <sz val="11"/>
      <color theme="0"/>
      <name val="Calibri"/>
      <family val="2"/>
      <scheme val="minor"/>
    </font>
    <font>
      <b/>
      <sz val="11"/>
      <color rgb="FF00B0F0"/>
      <name val="Calibri"/>
      <family val="2"/>
      <scheme val="minor"/>
    </font>
    <font>
      <sz val="11"/>
      <color rgb="FF333333"/>
      <name val="Calibri"/>
      <family val="2"/>
      <scheme val="minor"/>
    </font>
    <font>
      <sz val="12"/>
      <color theme="1"/>
      <name val="Calibri"/>
      <family val="2"/>
      <scheme val="minor"/>
    </font>
    <font>
      <b/>
      <sz val="11"/>
      <color rgb="FFFF0000"/>
      <name val="Calibri"/>
      <family val="2"/>
      <scheme val="minor"/>
    </font>
    <font>
      <sz val="11"/>
      <color rgb="FF00B0F0"/>
      <name val="Calibri"/>
      <family val="2"/>
      <scheme val="minor"/>
    </font>
    <font>
      <sz val="8"/>
      <color rgb="FF00B0F0"/>
      <name val="Calibri"/>
      <family val="2"/>
      <scheme val="minor"/>
    </font>
    <font>
      <sz val="9"/>
      <color theme="0"/>
      <name val="Calibri"/>
      <family val="2"/>
      <scheme val="minor"/>
    </font>
    <font>
      <b/>
      <sz val="14"/>
      <color theme="0"/>
      <name val="Calibri"/>
      <family val="2"/>
      <scheme val="minor"/>
    </font>
    <font>
      <sz val="10"/>
      <name val="Arial"/>
      <family val="2"/>
    </font>
  </fonts>
  <fills count="7">
    <fill>
      <patternFill patternType="none"/>
    </fill>
    <fill>
      <patternFill patternType="gray125"/>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rgb="FF00B050"/>
        <bgColor indexed="64"/>
      </patternFill>
    </fill>
    <fill>
      <patternFill patternType="solid">
        <fgColor theme="4" tint="0.79998168889431442"/>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style="hair">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hair">
        <color indexed="64"/>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s>
  <cellStyleXfs count="7">
    <xf numFmtId="0" fontId="0" fillId="0" borderId="0"/>
    <xf numFmtId="0" fontId="30" fillId="0" borderId="0"/>
    <xf numFmtId="0" fontId="30" fillId="0" borderId="0"/>
    <xf numFmtId="0" fontId="30" fillId="0" borderId="0"/>
    <xf numFmtId="9" fontId="5" fillId="0" borderId="0"/>
    <xf numFmtId="0" fontId="20" fillId="0" borderId="0"/>
    <xf numFmtId="0" fontId="30" fillId="0" borderId="0"/>
  </cellStyleXfs>
  <cellXfs count="147">
    <xf numFmtId="0" fontId="0" fillId="0" borderId="0" xfId="0"/>
    <xf numFmtId="0" fontId="2" fillId="0" borderId="0" xfId="0" applyFont="1" applyAlignment="1">
      <alignment horizontal="center" vertical="center"/>
    </xf>
    <xf numFmtId="14" fontId="0" fillId="3" borderId="0" xfId="0" applyNumberFormat="1" applyFill="1"/>
    <xf numFmtId="0" fontId="6" fillId="0" borderId="0" xfId="0" applyFont="1"/>
    <xf numFmtId="0" fontId="6" fillId="0" borderId="0" xfId="0" applyFont="1" applyAlignment="1">
      <alignment horizontal="centerContinuous"/>
    </xf>
    <xf numFmtId="0" fontId="6" fillId="0" borderId="0" xfId="0" applyFont="1" applyAlignment="1">
      <alignment horizontal="right"/>
    </xf>
    <xf numFmtId="0" fontId="7" fillId="0" borderId="0" xfId="0" applyFont="1" applyAlignment="1">
      <alignment horizontal="left" vertical="center"/>
    </xf>
    <xf numFmtId="0" fontId="8" fillId="0" borderId="0" xfId="0" quotePrefix="1" applyFont="1" applyAlignment="1">
      <alignment horizontal="left" vertical="center"/>
    </xf>
    <xf numFmtId="0" fontId="9" fillId="0" borderId="6" xfId="0" applyFont="1" applyBorder="1"/>
    <xf numFmtId="0" fontId="9" fillId="0" borderId="7" xfId="0" applyFont="1" applyBorder="1"/>
    <xf numFmtId="0" fontId="9" fillId="0" borderId="8" xfId="0" applyFont="1" applyBorder="1" applyAlignment="1">
      <alignment horizontal="centerContinuous" vertical="center"/>
    </xf>
    <xf numFmtId="0" fontId="9" fillId="0" borderId="8" xfId="0" applyFont="1" applyBorder="1" applyAlignment="1">
      <alignment horizontal="centerContinuous"/>
    </xf>
    <xf numFmtId="0" fontId="9" fillId="0" borderId="9" xfId="0" applyFont="1" applyBorder="1" applyAlignment="1">
      <alignment horizontal="centerContinuous"/>
    </xf>
    <xf numFmtId="0" fontId="9" fillId="0" borderId="2" xfId="0" applyFont="1" applyBorder="1" applyAlignment="1">
      <alignment horizontal="centerContinuous" vertical="center"/>
    </xf>
    <xf numFmtId="0" fontId="9" fillId="0" borderId="10" xfId="0" applyFont="1" applyBorder="1" applyAlignment="1">
      <alignment horizontal="centerContinuous"/>
    </xf>
    <xf numFmtId="0" fontId="9" fillId="0" borderId="10" xfId="0" applyFont="1" applyBorder="1" applyAlignment="1">
      <alignment horizontal="right"/>
    </xf>
    <xf numFmtId="0" fontId="9" fillId="0" borderId="0" xfId="0" applyFont="1"/>
    <xf numFmtId="0" fontId="9" fillId="0" borderId="11" xfId="0" applyFont="1" applyBorder="1" applyAlignment="1">
      <alignment horizontal="centerContinuous"/>
    </xf>
    <xf numFmtId="0" fontId="9" fillId="0" borderId="9" xfId="0" applyFont="1" applyBorder="1" applyAlignment="1">
      <alignment horizontal="centerContinuous" vertical="center"/>
    </xf>
    <xf numFmtId="0" fontId="9" fillId="0" borderId="3" xfId="0" applyFont="1" applyBorder="1" applyAlignment="1">
      <alignment horizontal="centerContinuous"/>
    </xf>
    <xf numFmtId="0" fontId="9" fillId="0" borderId="2" xfId="0" applyFont="1" applyBorder="1" applyAlignment="1">
      <alignment horizontal="centerContinuous"/>
    </xf>
    <xf numFmtId="0" fontId="9" fillId="0" borderId="0" xfId="0" applyFont="1" applyAlignment="1">
      <alignment horizontal="centerContinuous" vertical="center"/>
    </xf>
    <xf numFmtId="0" fontId="10" fillId="0" borderId="5" xfId="0" applyFont="1" applyBorder="1" applyAlignment="1">
      <alignment horizontal="center" vertical="center"/>
    </xf>
    <xf numFmtId="49" fontId="10" fillId="0" borderId="5" xfId="0" applyNumberFormat="1" applyFont="1" applyBorder="1" applyAlignment="1">
      <alignment horizontal="center" vertical="center"/>
    </xf>
    <xf numFmtId="0" fontId="10" fillId="0" borderId="0" xfId="0" applyFont="1" applyAlignment="1">
      <alignment horizontal="center" vertical="center"/>
    </xf>
    <xf numFmtId="49" fontId="9" fillId="0" borderId="4" xfId="0" applyNumberFormat="1" applyFont="1" applyBorder="1" applyAlignment="1">
      <alignment horizontal="center" vertical="center"/>
    </xf>
    <xf numFmtId="0" fontId="9" fillId="0" borderId="11" xfId="0" applyFont="1" applyBorder="1"/>
    <xf numFmtId="0" fontId="10" fillId="0" borderId="5" xfId="0" applyFont="1" applyBorder="1" applyAlignment="1" applyProtection="1">
      <alignment horizontal="center" vertical="center"/>
      <protection locked="0"/>
    </xf>
    <xf numFmtId="0" fontId="10" fillId="0" borderId="0" xfId="0" quotePrefix="1" applyFont="1" applyAlignment="1" applyProtection="1">
      <alignment horizontal="center" vertical="center"/>
      <protection locked="0"/>
    </xf>
    <xf numFmtId="49" fontId="10" fillId="0" borderId="4" xfId="0" applyNumberFormat="1" applyFont="1" applyBorder="1" applyAlignment="1" applyProtection="1">
      <alignment horizontal="center" vertical="center"/>
      <protection locked="0"/>
    </xf>
    <xf numFmtId="0" fontId="6" fillId="0" borderId="12" xfId="0" applyFont="1" applyBorder="1"/>
    <xf numFmtId="0" fontId="6" fillId="0" borderId="13" xfId="0" applyFont="1" applyBorder="1"/>
    <xf numFmtId="0" fontId="6" fillId="0" borderId="14" xfId="0" applyFont="1" applyBorder="1" applyAlignment="1">
      <alignment horizontal="right"/>
    </xf>
    <xf numFmtId="0" fontId="6" fillId="0" borderId="11" xfId="0" applyFont="1" applyBorder="1"/>
    <xf numFmtId="3" fontId="6" fillId="0" borderId="11" xfId="0" applyNumberFormat="1" applyFont="1" applyBorder="1" applyAlignment="1">
      <alignment horizontal="center"/>
    </xf>
    <xf numFmtId="0" fontId="11" fillId="0" borderId="0" xfId="0" applyFont="1" applyAlignment="1">
      <alignment horizontal="centerContinuous" vertical="center"/>
    </xf>
    <xf numFmtId="0" fontId="11" fillId="0" borderId="11" xfId="0" applyFont="1" applyBorder="1" applyAlignment="1">
      <alignment horizontal="centerContinuous"/>
    </xf>
    <xf numFmtId="3" fontId="12" fillId="0" borderId="11" xfId="0" applyNumberFormat="1" applyFont="1" applyBorder="1" applyAlignment="1">
      <alignment horizontal="right" vertical="center"/>
    </xf>
    <xf numFmtId="0" fontId="12" fillId="0" borderId="0" xfId="0" applyFont="1" applyAlignment="1">
      <alignment vertical="center"/>
    </xf>
    <xf numFmtId="0" fontId="9" fillId="0" borderId="0" xfId="0" quotePrefix="1" applyFont="1" applyAlignment="1">
      <alignment vertical="center"/>
    </xf>
    <xf numFmtId="0" fontId="10" fillId="0" borderId="0" xfId="0" quotePrefix="1" applyFont="1" applyAlignment="1">
      <alignment vertical="center"/>
    </xf>
    <xf numFmtId="3" fontId="10" fillId="0" borderId="11" xfId="0" applyNumberFormat="1" applyFont="1" applyBorder="1" applyAlignment="1">
      <alignment horizontal="right" vertical="center"/>
    </xf>
    <xf numFmtId="0" fontId="9" fillId="0" borderId="0" xfId="0" quotePrefix="1" applyFont="1" applyAlignment="1">
      <alignment horizontal="left" vertical="center"/>
    </xf>
    <xf numFmtId="0" fontId="10" fillId="0" borderId="0" xfId="0" applyFont="1"/>
    <xf numFmtId="0" fontId="10" fillId="0" borderId="0" xfId="0" quotePrefix="1" applyFont="1" applyAlignment="1">
      <alignment horizontal="left" vertical="center"/>
    </xf>
    <xf numFmtId="0" fontId="10" fillId="0" borderId="0" xfId="0" applyFont="1" applyAlignment="1">
      <alignment vertical="center"/>
    </xf>
    <xf numFmtId="3" fontId="6" fillId="0" borderId="13" xfId="0" applyNumberFormat="1" applyFont="1" applyBorder="1" applyAlignment="1">
      <alignment horizontal="center"/>
    </xf>
    <xf numFmtId="3" fontId="6" fillId="0" borderId="0" xfId="0" applyNumberFormat="1" applyFont="1" applyAlignment="1">
      <alignment horizontal="center"/>
    </xf>
    <xf numFmtId="0" fontId="14" fillId="0" borderId="0" xfId="0" quotePrefix="1" applyFont="1" applyAlignment="1">
      <alignment horizontal="left" vertical="center" wrapText="1"/>
    </xf>
    <xf numFmtId="0" fontId="14" fillId="0" borderId="0" xfId="0" applyFont="1" applyAlignment="1">
      <alignment horizontal="left" vertical="center"/>
    </xf>
    <xf numFmtId="0" fontId="15" fillId="0" borderId="0" xfId="0" applyFont="1" applyAlignment="1">
      <alignment vertical="center"/>
    </xf>
    <xf numFmtId="0" fontId="16" fillId="0" borderId="0" xfId="0" applyFont="1"/>
    <xf numFmtId="0" fontId="17" fillId="0" borderId="0" xfId="0" quotePrefix="1" applyFont="1" applyAlignment="1">
      <alignment vertical="center"/>
    </xf>
    <xf numFmtId="0" fontId="0" fillId="0" borderId="0" xfId="0" applyAlignment="1">
      <alignment horizontal="centerContinuous"/>
    </xf>
    <xf numFmtId="0" fontId="18" fillId="0" borderId="0" xfId="0" applyFont="1" applyAlignment="1">
      <alignment horizontal="centerContinuous" vertical="center"/>
    </xf>
    <xf numFmtId="0" fontId="19" fillId="0" borderId="0" xfId="0" quotePrefix="1" applyFont="1" applyAlignment="1">
      <alignment horizontal="centerContinuous" vertical="center"/>
    </xf>
    <xf numFmtId="0" fontId="0" fillId="0" borderId="0" xfId="0" applyAlignment="1">
      <alignment horizontal="center"/>
    </xf>
    <xf numFmtId="49" fontId="0" fillId="0" borderId="0" xfId="0" applyNumberFormat="1"/>
    <xf numFmtId="3" fontId="0" fillId="0" borderId="0" xfId="0" applyNumberFormat="1"/>
    <xf numFmtId="3" fontId="10" fillId="4" borderId="11" xfId="0" applyNumberFormat="1" applyFont="1" applyFill="1" applyBorder="1" applyAlignment="1">
      <alignment horizontal="right" vertical="center"/>
    </xf>
    <xf numFmtId="3" fontId="0" fillId="4" borderId="0" xfId="0" applyNumberFormat="1" applyFill="1"/>
    <xf numFmtId="0" fontId="0" fillId="3" borderId="0" xfId="0" applyFill="1" applyAlignment="1">
      <alignment vertical="center"/>
    </xf>
    <xf numFmtId="14" fontId="22" fillId="3" borderId="17" xfId="0" applyNumberFormat="1" applyFont="1" applyFill="1" applyBorder="1" applyAlignment="1">
      <alignment horizontal="center"/>
    </xf>
    <xf numFmtId="0" fontId="1" fillId="3" borderId="7" xfId="0" applyFont="1" applyFill="1" applyBorder="1" applyAlignment="1">
      <alignment horizontal="center"/>
    </xf>
    <xf numFmtId="0" fontId="1" fillId="3" borderId="19" xfId="0" applyFont="1" applyFill="1" applyBorder="1" applyAlignment="1">
      <alignment horizontal="center"/>
    </xf>
    <xf numFmtId="0" fontId="1" fillId="3" borderId="11" xfId="0" applyFont="1" applyFill="1" applyBorder="1" applyAlignment="1">
      <alignment horizontal="center"/>
    </xf>
    <xf numFmtId="0" fontId="1" fillId="3" borderId="0" xfId="0" applyFont="1" applyFill="1"/>
    <xf numFmtId="0" fontId="0" fillId="0" borderId="0" xfId="0" applyAlignment="1">
      <alignment vertical="center"/>
    </xf>
    <xf numFmtId="0" fontId="2" fillId="3" borderId="0" xfId="0" applyFont="1" applyFill="1" applyAlignment="1">
      <alignment horizontal="center" vertical="center"/>
    </xf>
    <xf numFmtId="3" fontId="2" fillId="3" borderId="0" xfId="0" applyNumberFormat="1" applyFont="1" applyFill="1" applyAlignment="1">
      <alignment horizontal="center" vertical="center"/>
    </xf>
    <xf numFmtId="0" fontId="3" fillId="3" borderId="0" xfId="0" applyFont="1" applyFill="1"/>
    <xf numFmtId="0" fontId="2" fillId="3" borderId="0" xfId="0" applyFont="1" applyFill="1" applyAlignment="1">
      <alignment vertical="center"/>
    </xf>
    <xf numFmtId="0" fontId="24" fillId="5" borderId="18" xfId="0" applyFont="1" applyFill="1" applyBorder="1" applyAlignment="1">
      <alignment vertical="center" wrapText="1"/>
    </xf>
    <xf numFmtId="3" fontId="24" fillId="5" borderId="6" xfId="0" applyNumberFormat="1" applyFont="1" applyFill="1" applyBorder="1" applyAlignment="1">
      <alignment horizontal="center" vertical="center" wrapText="1"/>
    </xf>
    <xf numFmtId="14" fontId="0" fillId="3" borderId="1" xfId="0" applyNumberFormat="1" applyFill="1" applyBorder="1"/>
    <xf numFmtId="3" fontId="2" fillId="3" borderId="1" xfId="0" applyNumberFormat="1" applyFont="1" applyFill="1" applyBorder="1" applyAlignment="1">
      <alignment horizontal="center" vertical="center"/>
    </xf>
    <xf numFmtId="0" fontId="1" fillId="3" borderId="5" xfId="0" applyFont="1" applyFill="1" applyBorder="1" applyAlignment="1">
      <alignment horizontal="center"/>
    </xf>
    <xf numFmtId="3" fontId="0" fillId="3" borderId="21" xfId="0" applyNumberFormat="1" applyFill="1" applyBorder="1" applyAlignment="1">
      <alignment horizontal="center"/>
    </xf>
    <xf numFmtId="0" fontId="4" fillId="3" borderId="22" xfId="0" applyFont="1" applyFill="1" applyBorder="1" applyAlignment="1">
      <alignment horizontal="center"/>
    </xf>
    <xf numFmtId="0" fontId="4" fillId="3" borderId="23" xfId="0" applyFont="1" applyFill="1" applyBorder="1" applyAlignment="1">
      <alignment horizontal="center"/>
    </xf>
    <xf numFmtId="0" fontId="4" fillId="3" borderId="23" xfId="0" applyFont="1" applyFill="1" applyBorder="1" applyAlignment="1">
      <alignment horizontal="center" vertical="center"/>
    </xf>
    <xf numFmtId="3" fontId="0" fillId="3" borderId="24" xfId="0" applyNumberFormat="1" applyFill="1" applyBorder="1" applyAlignment="1">
      <alignment horizontal="center"/>
    </xf>
    <xf numFmtId="0" fontId="4" fillId="3" borderId="25" xfId="0" applyFont="1" applyFill="1" applyBorder="1" applyAlignment="1">
      <alignment horizontal="center" vertical="center"/>
    </xf>
    <xf numFmtId="14" fontId="1" fillId="3" borderId="17" xfId="0" applyNumberFormat="1" applyFont="1" applyFill="1" applyBorder="1" applyAlignment="1">
      <alignment horizontal="center"/>
    </xf>
    <xf numFmtId="0" fontId="26" fillId="3" borderId="0" xfId="0" applyFont="1" applyFill="1"/>
    <xf numFmtId="0" fontId="27" fillId="0" borderId="0" xfId="0" applyFont="1" applyAlignment="1">
      <alignment horizontal="center" vertical="center"/>
    </xf>
    <xf numFmtId="14" fontId="0" fillId="3" borderId="28" xfId="0" applyNumberFormat="1" applyFill="1" applyBorder="1"/>
    <xf numFmtId="3" fontId="2" fillId="3" borderId="28" xfId="0" applyNumberFormat="1" applyFont="1" applyFill="1" applyBorder="1" applyAlignment="1">
      <alignment horizontal="center" vertical="center"/>
    </xf>
    <xf numFmtId="0" fontId="24" fillId="5" borderId="2" xfId="0" applyFont="1" applyFill="1" applyBorder="1" applyAlignment="1">
      <alignment vertical="center" wrapText="1"/>
    </xf>
    <xf numFmtId="3" fontId="24" fillId="5" borderId="10" xfId="0" applyNumberFormat="1" applyFont="1" applyFill="1" applyBorder="1" applyAlignment="1">
      <alignment horizontal="center" vertical="center" wrapText="1"/>
    </xf>
    <xf numFmtId="0" fontId="28" fillId="5" borderId="20" xfId="0" applyFont="1" applyFill="1" applyBorder="1" applyAlignment="1">
      <alignment horizontal="center"/>
    </xf>
    <xf numFmtId="0" fontId="21" fillId="5" borderId="13" xfId="0" applyFont="1" applyFill="1" applyBorder="1" applyAlignment="1">
      <alignment horizontal="center"/>
    </xf>
    <xf numFmtId="0" fontId="28" fillId="5" borderId="20" xfId="0" applyFont="1" applyFill="1" applyBorder="1" applyAlignment="1">
      <alignment horizontal="center" vertical="center"/>
    </xf>
    <xf numFmtId="14" fontId="0" fillId="3" borderId="1" xfId="0" applyNumberFormat="1" applyFill="1" applyBorder="1" applyAlignment="1">
      <alignment horizontal="center"/>
    </xf>
    <xf numFmtId="3" fontId="0" fillId="3" borderId="1" xfId="0" applyNumberFormat="1" applyFill="1" applyBorder="1" applyAlignment="1">
      <alignment horizontal="center"/>
    </xf>
    <xf numFmtId="0" fontId="0" fillId="3" borderId="1" xfId="0" applyFill="1" applyBorder="1" applyAlignment="1">
      <alignment horizontal="center"/>
    </xf>
    <xf numFmtId="10" fontId="0" fillId="3" borderId="1" xfId="4" applyNumberFormat="1" applyFont="1" applyFill="1" applyBorder="1" applyAlignment="1">
      <alignment horizontal="center"/>
    </xf>
    <xf numFmtId="164" fontId="0" fillId="3" borderId="21" xfId="4" applyNumberFormat="1" applyFont="1" applyFill="1" applyBorder="1" applyAlignment="1">
      <alignment horizontal="center"/>
    </xf>
    <xf numFmtId="164" fontId="0" fillId="3" borderId="1" xfId="4" applyNumberFormat="1" applyFont="1" applyFill="1" applyBorder="1" applyAlignment="1">
      <alignment horizontal="center"/>
    </xf>
    <xf numFmtId="164" fontId="0" fillId="3" borderId="24" xfId="4" applyNumberFormat="1" applyFont="1" applyFill="1" applyBorder="1" applyAlignment="1">
      <alignment horizontal="center"/>
    </xf>
    <xf numFmtId="165" fontId="6" fillId="0" borderId="11" xfId="0" applyNumberFormat="1" applyFont="1" applyBorder="1" applyAlignment="1">
      <alignment horizontal="center"/>
    </xf>
    <xf numFmtId="165" fontId="6" fillId="0" borderId="0" xfId="0" applyNumberFormat="1" applyFont="1" applyAlignment="1">
      <alignment horizontal="right"/>
    </xf>
    <xf numFmtId="165" fontId="12" fillId="0" borderId="11" xfId="0" applyNumberFormat="1" applyFont="1" applyBorder="1" applyAlignment="1">
      <alignment horizontal="right" vertical="center"/>
    </xf>
    <xf numFmtId="165" fontId="12" fillId="0" borderId="0" xfId="0" applyNumberFormat="1" applyFont="1" applyAlignment="1">
      <alignment horizontal="right" vertical="center"/>
    </xf>
    <xf numFmtId="165" fontId="10" fillId="0" borderId="11" xfId="0" applyNumberFormat="1" applyFont="1" applyBorder="1" applyAlignment="1">
      <alignment horizontal="right" vertical="center"/>
    </xf>
    <xf numFmtId="165" fontId="10" fillId="0" borderId="4" xfId="0" applyNumberFormat="1" applyFont="1" applyBorder="1" applyAlignment="1">
      <alignment horizontal="right" vertical="center"/>
    </xf>
    <xf numFmtId="165" fontId="10" fillId="0" borderId="0" xfId="0" applyNumberFormat="1" applyFont="1" applyAlignment="1">
      <alignment horizontal="right" vertical="center"/>
    </xf>
    <xf numFmtId="166" fontId="10" fillId="0" borderId="11" xfId="0" applyNumberFormat="1" applyFont="1" applyBorder="1" applyAlignment="1">
      <alignment horizontal="right" vertical="center"/>
    </xf>
    <xf numFmtId="165" fontId="6" fillId="0" borderId="13" xfId="0" applyNumberFormat="1" applyFont="1" applyBorder="1" applyAlignment="1">
      <alignment horizontal="center"/>
    </xf>
    <xf numFmtId="165" fontId="6" fillId="0" borderId="12" xfId="0" applyNumberFormat="1" applyFont="1" applyBorder="1" applyAlignment="1">
      <alignment horizontal="right"/>
    </xf>
    <xf numFmtId="165" fontId="6" fillId="0" borderId="0" xfId="0" applyNumberFormat="1" applyFont="1" applyAlignment="1">
      <alignment horizontal="center"/>
    </xf>
    <xf numFmtId="165" fontId="24" fillId="5" borderId="6" xfId="0" applyNumberFormat="1" applyFont="1" applyFill="1" applyBorder="1" applyAlignment="1">
      <alignment horizontal="center" vertical="center" wrapText="1"/>
    </xf>
    <xf numFmtId="165" fontId="2" fillId="3" borderId="1" xfId="0" applyNumberFormat="1" applyFont="1" applyFill="1" applyBorder="1" applyAlignment="1">
      <alignment horizontal="center" vertical="center"/>
    </xf>
    <xf numFmtId="164" fontId="2" fillId="3" borderId="1" xfId="0" applyNumberFormat="1" applyFont="1" applyFill="1" applyBorder="1" applyAlignment="1">
      <alignment horizontal="center" vertical="center"/>
    </xf>
    <xf numFmtId="165" fontId="24" fillId="5" borderId="9" xfId="0" applyNumberFormat="1" applyFont="1" applyFill="1" applyBorder="1" applyAlignment="1">
      <alignment horizontal="center" vertical="center" wrapText="1"/>
    </xf>
    <xf numFmtId="165" fontId="2" fillId="3" borderId="28" xfId="0" applyNumberFormat="1" applyFont="1" applyFill="1" applyBorder="1" applyAlignment="1">
      <alignment horizontal="center" vertical="center"/>
    </xf>
    <xf numFmtId="0" fontId="20" fillId="3" borderId="0" xfId="5" applyFill="1"/>
    <xf numFmtId="0" fontId="0" fillId="3" borderId="0" xfId="0" applyFill="1"/>
    <xf numFmtId="0" fontId="0" fillId="0" borderId="0" xfId="0" applyAlignment="1">
      <alignment horizontal="right"/>
    </xf>
    <xf numFmtId="165" fontId="2" fillId="3" borderId="0" xfId="0" applyNumberFormat="1" applyFont="1" applyFill="1" applyAlignment="1">
      <alignment horizontal="center" vertical="center"/>
    </xf>
    <xf numFmtId="167" fontId="0" fillId="0" borderId="0" xfId="0" applyNumberFormat="1"/>
    <xf numFmtId="0" fontId="1" fillId="3" borderId="30" xfId="0" applyFont="1" applyFill="1" applyBorder="1" applyAlignment="1">
      <alignment wrapText="1"/>
    </xf>
    <xf numFmtId="0" fontId="0" fillId="0" borderId="27" xfId="0" applyBorder="1"/>
    <xf numFmtId="0" fontId="1" fillId="3" borderId="29" xfId="0" applyFont="1" applyFill="1" applyBorder="1" applyAlignment="1">
      <alignment wrapText="1"/>
    </xf>
    <xf numFmtId="0" fontId="0" fillId="0" borderId="16" xfId="0" applyBorder="1"/>
    <xf numFmtId="0" fontId="1" fillId="3" borderId="31" xfId="0" applyFont="1" applyFill="1" applyBorder="1" applyAlignment="1">
      <alignment wrapText="1"/>
    </xf>
    <xf numFmtId="0" fontId="0" fillId="0" borderId="26" xfId="0" applyBorder="1"/>
    <xf numFmtId="0" fontId="20" fillId="3" borderId="0" xfId="5" applyFill="1"/>
    <xf numFmtId="0" fontId="0" fillId="3" borderId="0" xfId="0" applyFill="1"/>
    <xf numFmtId="0" fontId="23" fillId="3" borderId="0" xfId="0" applyFont="1" applyFill="1" applyAlignment="1">
      <alignment wrapText="1"/>
    </xf>
    <xf numFmtId="0" fontId="25" fillId="3" borderId="29" xfId="0" applyFont="1" applyFill="1" applyBorder="1" applyAlignment="1">
      <alignment wrapText="1"/>
    </xf>
    <xf numFmtId="0" fontId="1" fillId="3" borderId="12" xfId="0" applyFont="1" applyFill="1" applyBorder="1" applyAlignment="1">
      <alignment horizontal="center" vertical="center"/>
    </xf>
    <xf numFmtId="0" fontId="0" fillId="0" borderId="12" xfId="0" applyBorder="1"/>
    <xf numFmtId="0" fontId="21" fillId="5" borderId="3" xfId="0" applyFont="1" applyFill="1" applyBorder="1" applyAlignment="1">
      <alignment horizontal="center"/>
    </xf>
    <xf numFmtId="0" fontId="0" fillId="0" borderId="10" xfId="0" applyBorder="1"/>
    <xf numFmtId="0" fontId="0" fillId="0" borderId="9" xfId="0" applyBorder="1"/>
    <xf numFmtId="0" fontId="1" fillId="6" borderId="1" xfId="0" applyFont="1" applyFill="1" applyBorder="1" applyAlignment="1">
      <alignment horizontal="center"/>
    </xf>
    <xf numFmtId="0" fontId="0" fillId="0" borderId="15" xfId="0" applyBorder="1"/>
    <xf numFmtId="0" fontId="0" fillId="3" borderId="0" xfId="0" applyFill="1" applyAlignment="1">
      <alignment vertical="center" wrapText="1"/>
    </xf>
    <xf numFmtId="0" fontId="0" fillId="3" borderId="0" xfId="0" applyFill="1" applyAlignment="1">
      <alignment wrapText="1"/>
    </xf>
    <xf numFmtId="0" fontId="13" fillId="0" borderId="0" xfId="0" quotePrefix="1" applyFont="1" applyAlignment="1">
      <alignment horizontal="left" vertical="center" wrapText="1"/>
    </xf>
    <xf numFmtId="0" fontId="0" fillId="0" borderId="0" xfId="0"/>
    <xf numFmtId="0" fontId="0" fillId="0" borderId="0" xfId="0" applyAlignment="1">
      <alignment horizontal="right"/>
    </xf>
    <xf numFmtId="0" fontId="29" fillId="5" borderId="17" xfId="0" applyFont="1" applyFill="1" applyBorder="1" applyAlignment="1">
      <alignment horizontal="center" wrapText="1"/>
    </xf>
    <xf numFmtId="0" fontId="0" fillId="0" borderId="7" xfId="0" applyBorder="1"/>
    <xf numFmtId="0" fontId="29" fillId="2" borderId="17" xfId="0" applyFont="1" applyFill="1" applyBorder="1" applyAlignment="1">
      <alignment horizontal="center" wrapText="1"/>
    </xf>
    <xf numFmtId="165" fontId="2" fillId="3" borderId="0" xfId="0" applyNumberFormat="1" applyFont="1" applyFill="1" applyAlignment="1">
      <alignment horizontal="center" vertical="center"/>
    </xf>
  </cellXfs>
  <cellStyles count="7">
    <cellStyle name="Hyperlink" xfId="5" builtinId="8"/>
    <cellStyle name="Normal" xfId="0" builtinId="0"/>
    <cellStyle name="Normal 2" xfId="1" xr:uid="{00000000-0005-0000-0000-000001000000}"/>
    <cellStyle name="Normal 3" xfId="2" xr:uid="{00000000-0005-0000-0000-000002000000}"/>
    <cellStyle name="Normal 4" xfId="3" xr:uid="{00000000-0005-0000-0000-000003000000}"/>
    <cellStyle name="Normal 5" xfId="6" xr:uid="{00000000-0005-0000-0000-000006000000}"/>
    <cellStyle name="Percent" xfId="4" builtinId="5"/>
  </cellStyles>
  <dxfs count="26">
    <dxf>
      <font>
        <strike val="0"/>
        <condense val="0"/>
        <extend val="0"/>
        <outline val="0"/>
        <shadow val="0"/>
        <vertAlign val="baseline"/>
        <sz val="8"/>
        <color theme="1"/>
        <name val="Calibri"/>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strike val="0"/>
        <condense val="0"/>
        <extend val="0"/>
        <outline val="0"/>
        <shadow val="0"/>
        <vertAlign val="baseline"/>
        <sz val="12"/>
        <color theme="1"/>
        <name val="Calibri"/>
        <family val="2"/>
        <scheme val="minor"/>
      </font>
      <fill>
        <patternFill patternType="solid">
          <fgColor indexed="64"/>
          <bgColor rgb="FF00B050"/>
        </patternFill>
      </fill>
      <alignment horizontal="general" vertical="center" wrapText="1"/>
      <border>
        <left/>
        <right/>
        <top/>
        <bottom/>
        <vertical/>
        <horizontal/>
      </border>
    </dxf>
    <dxf>
      <font>
        <strike val="0"/>
        <condense val="0"/>
        <extend val="0"/>
        <outline val="0"/>
        <shadow val="0"/>
        <vertAlign val="baseline"/>
        <sz val="8"/>
        <color theme="1"/>
        <name val="Calibri"/>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strike val="0"/>
        <condense val="0"/>
        <extend val="0"/>
        <outline val="0"/>
        <shadow val="0"/>
        <vertAlign val="baseline"/>
        <sz val="12"/>
        <color theme="1"/>
        <name val="Calibri"/>
        <family val="2"/>
        <scheme val="minor"/>
      </font>
      <fill>
        <patternFill patternType="solid">
          <fgColor indexed="64"/>
          <bgColor rgb="FF00B050"/>
        </patternFill>
      </fill>
      <alignment horizontal="general" vertical="center" wrapText="1"/>
      <border outline="0">
        <left/>
        <right/>
        <top/>
        <bottom/>
      </border>
    </dxf>
    <dxf>
      <font>
        <strike val="0"/>
        <condense val="0"/>
        <extend val="0"/>
        <outline val="0"/>
        <shadow val="0"/>
        <vertAlign val="baseline"/>
        <sz val="8"/>
        <color theme="1"/>
        <name val="Calibri"/>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strike val="0"/>
        <condense val="0"/>
        <extend val="0"/>
        <outline val="0"/>
        <shadow val="0"/>
        <vertAlign val="baseline"/>
        <sz val="12"/>
        <color theme="1"/>
        <name val="Calibri"/>
        <family val="2"/>
        <scheme val="minor"/>
      </font>
      <fill>
        <patternFill patternType="solid">
          <fgColor indexed="64"/>
          <bgColor rgb="FF00B050"/>
        </patternFill>
      </fill>
      <alignment horizontal="general" vertical="center" wrapText="1"/>
      <border outline="0">
        <left/>
        <right/>
        <top/>
        <bottom/>
      </border>
    </dxf>
    <dxf>
      <font>
        <strike val="0"/>
        <condense val="0"/>
        <extend val="0"/>
        <outline val="0"/>
        <shadow val="0"/>
        <vertAlign val="baseline"/>
        <sz val="8"/>
        <color theme="1"/>
        <name val="Calibri"/>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strike val="0"/>
        <condense val="0"/>
        <extend val="0"/>
        <outline val="0"/>
        <shadow val="0"/>
        <vertAlign val="baseline"/>
        <sz val="12"/>
        <color theme="1"/>
        <name val="Calibri"/>
        <family val="2"/>
        <scheme val="minor"/>
      </font>
      <fill>
        <patternFill patternType="solid">
          <fgColor indexed="64"/>
          <bgColor rgb="FF00B050"/>
        </patternFill>
      </fill>
      <alignment horizontal="general" vertical="center" wrapText="1"/>
      <border outline="0">
        <left/>
        <right/>
        <top/>
        <bottom/>
      </border>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US"/>
              <a:t>New</a:t>
            </a:r>
            <a:r>
              <a:rPr lang="en-US" baseline="0"/>
              <a:t> Orders Since 1992</a:t>
            </a:r>
            <a:endParaRPr lang="en-US"/>
          </a:p>
        </c:rich>
      </c:tx>
      <c:overlay val="0"/>
      <c:spPr>
        <a:noFill/>
        <a:ln>
          <a:noFill/>
          <a:prstDash val="solid"/>
        </a:ln>
      </c:spPr>
    </c:title>
    <c:autoTitleDeleted val="0"/>
    <c:plotArea>
      <c:layout/>
      <c:lineChart>
        <c:grouping val="standard"/>
        <c:varyColors val="0"/>
        <c:ser>
          <c:idx val="0"/>
          <c:order val="0"/>
          <c:tx>
            <c:strRef>
              <c:f>'New Orders'!$B$5</c:f>
              <c:strCache>
                <c:ptCount val="1"/>
                <c:pt idx="0">
                  <c:v>Manufacturers' New Orders: Durable Goods</c:v>
                </c:pt>
              </c:strCache>
            </c:strRef>
          </c:tx>
          <c:spPr>
            <a:ln w="28575" cap="rnd">
              <a:solidFill>
                <a:schemeClr val="accent1"/>
              </a:solidFill>
              <a:prstDash val="solid"/>
              <a:round/>
            </a:ln>
          </c:spPr>
          <c:marker>
            <c:symbol val="none"/>
          </c:marker>
          <c:cat>
            <c:numRef>
              <c:f>'New Orders'!$A$6:$A$375</c:f>
              <c:numCache>
                <c:formatCode>m/d/yyyy</c:formatCode>
                <c:ptCount val="370"/>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numCache>
            </c:numRef>
          </c:cat>
          <c:val>
            <c:numRef>
              <c:f>'New Orders'!$B$6:$B$375</c:f>
              <c:numCache>
                <c:formatCode>#,##0</c:formatCode>
                <c:ptCount val="370"/>
                <c:pt idx="0">
                  <c:v>114535</c:v>
                </c:pt>
                <c:pt idx="1">
                  <c:v>120025</c:v>
                </c:pt>
                <c:pt idx="2">
                  <c:v>124470</c:v>
                </c:pt>
                <c:pt idx="3">
                  <c:v>125822</c:v>
                </c:pt>
                <c:pt idx="4">
                  <c:v>122834</c:v>
                </c:pt>
                <c:pt idx="5">
                  <c:v>122590</c:v>
                </c:pt>
                <c:pt idx="6">
                  <c:v>120411</c:v>
                </c:pt>
                <c:pt idx="7">
                  <c:v>120711</c:v>
                </c:pt>
                <c:pt idx="8">
                  <c:v>127392</c:v>
                </c:pt>
                <c:pt idx="9">
                  <c:v>122374</c:v>
                </c:pt>
                <c:pt idx="10">
                  <c:v>126080</c:v>
                </c:pt>
                <c:pt idx="11">
                  <c:v>121637</c:v>
                </c:pt>
                <c:pt idx="12">
                  <c:v>128854</c:v>
                </c:pt>
                <c:pt idx="13">
                  <c:v>126762</c:v>
                </c:pt>
                <c:pt idx="14">
                  <c:v>127395</c:v>
                </c:pt>
                <c:pt idx="15">
                  <c:v>126529</c:v>
                </c:pt>
                <c:pt idx="16">
                  <c:v>130212</c:v>
                </c:pt>
                <c:pt idx="17">
                  <c:v>128111</c:v>
                </c:pt>
                <c:pt idx="18">
                  <c:v>129378</c:v>
                </c:pt>
                <c:pt idx="19">
                  <c:v>127233</c:v>
                </c:pt>
                <c:pt idx="20">
                  <c:v>133168</c:v>
                </c:pt>
                <c:pt idx="21">
                  <c:v>130391</c:v>
                </c:pt>
                <c:pt idx="22">
                  <c:v>133565</c:v>
                </c:pt>
                <c:pt idx="23">
                  <c:v>138498</c:v>
                </c:pt>
                <c:pt idx="24">
                  <c:v>137141</c:v>
                </c:pt>
                <c:pt idx="25">
                  <c:v>136548</c:v>
                </c:pt>
                <c:pt idx="26">
                  <c:v>140336</c:v>
                </c:pt>
                <c:pt idx="27">
                  <c:v>142630</c:v>
                </c:pt>
                <c:pt idx="28">
                  <c:v>145063</c:v>
                </c:pt>
                <c:pt idx="29">
                  <c:v>145013</c:v>
                </c:pt>
                <c:pt idx="30">
                  <c:v>145884</c:v>
                </c:pt>
                <c:pt idx="31">
                  <c:v>145487</c:v>
                </c:pt>
                <c:pt idx="32">
                  <c:v>149547</c:v>
                </c:pt>
                <c:pt idx="33">
                  <c:v>150038</c:v>
                </c:pt>
                <c:pt idx="34">
                  <c:v>152489</c:v>
                </c:pt>
                <c:pt idx="35">
                  <c:v>150459</c:v>
                </c:pt>
                <c:pt idx="36">
                  <c:v>153856</c:v>
                </c:pt>
                <c:pt idx="37">
                  <c:v>152888</c:v>
                </c:pt>
                <c:pt idx="38">
                  <c:v>151401</c:v>
                </c:pt>
                <c:pt idx="39">
                  <c:v>152838</c:v>
                </c:pt>
                <c:pt idx="40">
                  <c:v>150051</c:v>
                </c:pt>
                <c:pt idx="41">
                  <c:v>148915</c:v>
                </c:pt>
                <c:pt idx="42">
                  <c:v>154372</c:v>
                </c:pt>
                <c:pt idx="43">
                  <c:v>160175</c:v>
                </c:pt>
                <c:pt idx="44">
                  <c:v>155473</c:v>
                </c:pt>
                <c:pt idx="45">
                  <c:v>156146</c:v>
                </c:pt>
                <c:pt idx="46">
                  <c:v>163279</c:v>
                </c:pt>
                <c:pt idx="47">
                  <c:v>155806</c:v>
                </c:pt>
                <c:pt idx="48">
                  <c:v>150773</c:v>
                </c:pt>
                <c:pt idx="49">
                  <c:v>164976</c:v>
                </c:pt>
                <c:pt idx="50">
                  <c:v>156830</c:v>
                </c:pt>
                <c:pt idx="51">
                  <c:v>164502</c:v>
                </c:pt>
                <c:pt idx="52">
                  <c:v>164599</c:v>
                </c:pt>
                <c:pt idx="53">
                  <c:v>163588</c:v>
                </c:pt>
                <c:pt idx="54">
                  <c:v>157310</c:v>
                </c:pt>
                <c:pt idx="55">
                  <c:v>165442</c:v>
                </c:pt>
                <c:pt idx="56">
                  <c:v>165266</c:v>
                </c:pt>
                <c:pt idx="57">
                  <c:v>170783</c:v>
                </c:pt>
                <c:pt idx="58">
                  <c:v>162332</c:v>
                </c:pt>
                <c:pt idx="59">
                  <c:v>161827</c:v>
                </c:pt>
                <c:pt idx="60">
                  <c:v>170221</c:v>
                </c:pt>
                <c:pt idx="61">
                  <c:v>167568</c:v>
                </c:pt>
                <c:pt idx="62">
                  <c:v>174054</c:v>
                </c:pt>
                <c:pt idx="63">
                  <c:v>168586</c:v>
                </c:pt>
                <c:pt idx="64">
                  <c:v>174828</c:v>
                </c:pt>
                <c:pt idx="65">
                  <c:v>178860</c:v>
                </c:pt>
                <c:pt idx="66">
                  <c:v>177302</c:v>
                </c:pt>
                <c:pt idx="67">
                  <c:v>177835</c:v>
                </c:pt>
                <c:pt idx="68">
                  <c:v>177801</c:v>
                </c:pt>
                <c:pt idx="69">
                  <c:v>191187</c:v>
                </c:pt>
                <c:pt idx="70">
                  <c:v>173770</c:v>
                </c:pt>
                <c:pt idx="71">
                  <c:v>174288</c:v>
                </c:pt>
                <c:pt idx="72">
                  <c:v>181270</c:v>
                </c:pt>
                <c:pt idx="73">
                  <c:v>176886</c:v>
                </c:pt>
                <c:pt idx="74">
                  <c:v>180915</c:v>
                </c:pt>
                <c:pt idx="75">
                  <c:v>180634</c:v>
                </c:pt>
                <c:pt idx="76">
                  <c:v>172189</c:v>
                </c:pt>
                <c:pt idx="77">
                  <c:v>170459</c:v>
                </c:pt>
                <c:pt idx="78">
                  <c:v>179033</c:v>
                </c:pt>
                <c:pt idx="79">
                  <c:v>181422</c:v>
                </c:pt>
                <c:pt idx="80">
                  <c:v>178527</c:v>
                </c:pt>
                <c:pt idx="81">
                  <c:v>182400</c:v>
                </c:pt>
                <c:pt idx="82">
                  <c:v>178424</c:v>
                </c:pt>
                <c:pt idx="83">
                  <c:v>186527</c:v>
                </c:pt>
                <c:pt idx="84">
                  <c:v>185546</c:v>
                </c:pt>
                <c:pt idx="85">
                  <c:v>184689</c:v>
                </c:pt>
                <c:pt idx="86">
                  <c:v>182993</c:v>
                </c:pt>
                <c:pt idx="87">
                  <c:v>185963</c:v>
                </c:pt>
                <c:pt idx="88">
                  <c:v>182590</c:v>
                </c:pt>
                <c:pt idx="89">
                  <c:v>189083</c:v>
                </c:pt>
                <c:pt idx="90">
                  <c:v>189414</c:v>
                </c:pt>
                <c:pt idx="91">
                  <c:v>188910</c:v>
                </c:pt>
                <c:pt idx="92">
                  <c:v>194547</c:v>
                </c:pt>
                <c:pt idx="93">
                  <c:v>186597</c:v>
                </c:pt>
                <c:pt idx="94">
                  <c:v>196344</c:v>
                </c:pt>
                <c:pt idx="95">
                  <c:v>201360</c:v>
                </c:pt>
                <c:pt idx="96">
                  <c:v>183911</c:v>
                </c:pt>
                <c:pt idx="97">
                  <c:v>192130</c:v>
                </c:pt>
                <c:pt idx="98">
                  <c:v>195044</c:v>
                </c:pt>
                <c:pt idx="99">
                  <c:v>188606</c:v>
                </c:pt>
                <c:pt idx="100">
                  <c:v>219745</c:v>
                </c:pt>
                <c:pt idx="101">
                  <c:v>189265</c:v>
                </c:pt>
                <c:pt idx="102">
                  <c:v>188730</c:v>
                </c:pt>
                <c:pt idx="103">
                  <c:v>199947</c:v>
                </c:pt>
                <c:pt idx="104">
                  <c:v>186158</c:v>
                </c:pt>
                <c:pt idx="105">
                  <c:v>189392</c:v>
                </c:pt>
                <c:pt idx="106">
                  <c:v>188659</c:v>
                </c:pt>
                <c:pt idx="107">
                  <c:v>177056</c:v>
                </c:pt>
                <c:pt idx="108">
                  <c:v>180276</c:v>
                </c:pt>
                <c:pt idx="109">
                  <c:v>182209</c:v>
                </c:pt>
                <c:pt idx="110">
                  <c:v>171850</c:v>
                </c:pt>
                <c:pt idx="111">
                  <c:v>177749</c:v>
                </c:pt>
                <c:pt idx="112">
                  <c:v>176350</c:v>
                </c:pt>
                <c:pt idx="113">
                  <c:v>170129</c:v>
                </c:pt>
                <c:pt idx="114">
                  <c:v>170484</c:v>
                </c:pt>
                <c:pt idx="115">
                  <c:v>164123</c:v>
                </c:pt>
                <c:pt idx="116">
                  <c:v>171530</c:v>
                </c:pt>
                <c:pt idx="117">
                  <c:v>163811</c:v>
                </c:pt>
                <c:pt idx="118">
                  <c:v>165304</c:v>
                </c:pt>
                <c:pt idx="119">
                  <c:v>163324</c:v>
                </c:pt>
                <c:pt idx="120">
                  <c:v>172406</c:v>
                </c:pt>
                <c:pt idx="121">
                  <c:v>167853</c:v>
                </c:pt>
                <c:pt idx="122">
                  <c:v>171852</c:v>
                </c:pt>
                <c:pt idx="123">
                  <c:v>171854</c:v>
                </c:pt>
                <c:pt idx="124">
                  <c:v>166070</c:v>
                </c:pt>
                <c:pt idx="125">
                  <c:v>174282</c:v>
                </c:pt>
                <c:pt idx="126">
                  <c:v>177126</c:v>
                </c:pt>
                <c:pt idx="127">
                  <c:v>166838</c:v>
                </c:pt>
                <c:pt idx="128">
                  <c:v>169134</c:v>
                </c:pt>
                <c:pt idx="129">
                  <c:v>170023</c:v>
                </c:pt>
                <c:pt idx="130">
                  <c:v>163962</c:v>
                </c:pt>
                <c:pt idx="131">
                  <c:v>169994</c:v>
                </c:pt>
                <c:pt idx="132">
                  <c:v>174113</c:v>
                </c:pt>
                <c:pt idx="133">
                  <c:v>172245</c:v>
                </c:pt>
                <c:pt idx="134">
                  <c:v>169347</c:v>
                </c:pt>
                <c:pt idx="135">
                  <c:v>171542</c:v>
                </c:pt>
                <c:pt idx="136">
                  <c:v>173507</c:v>
                </c:pt>
                <c:pt idx="137">
                  <c:v>173320</c:v>
                </c:pt>
                <c:pt idx="138">
                  <c:v>173044</c:v>
                </c:pt>
                <c:pt idx="139">
                  <c:v>178690</c:v>
                </c:pt>
                <c:pt idx="140">
                  <c:v>183704</c:v>
                </c:pt>
                <c:pt idx="141">
                  <c:v>181685</c:v>
                </c:pt>
                <c:pt idx="142">
                  <c:v>181513</c:v>
                </c:pt>
                <c:pt idx="143">
                  <c:v>178696</c:v>
                </c:pt>
                <c:pt idx="144">
                  <c:v>181662</c:v>
                </c:pt>
                <c:pt idx="145">
                  <c:v>190869</c:v>
                </c:pt>
                <c:pt idx="146">
                  <c:v>184368</c:v>
                </c:pt>
                <c:pt idx="147">
                  <c:v>183459</c:v>
                </c:pt>
                <c:pt idx="148">
                  <c:v>185640</c:v>
                </c:pt>
                <c:pt idx="149">
                  <c:v>186835</c:v>
                </c:pt>
                <c:pt idx="150">
                  <c:v>183728</c:v>
                </c:pt>
                <c:pt idx="151">
                  <c:v>188444</c:v>
                </c:pt>
                <c:pt idx="152">
                  <c:v>185187</c:v>
                </c:pt>
                <c:pt idx="153">
                  <c:v>192545</c:v>
                </c:pt>
                <c:pt idx="154">
                  <c:v>193578</c:v>
                </c:pt>
                <c:pt idx="155">
                  <c:v>194875</c:v>
                </c:pt>
                <c:pt idx="156">
                  <c:v>196475</c:v>
                </c:pt>
                <c:pt idx="157">
                  <c:v>186608</c:v>
                </c:pt>
                <c:pt idx="158">
                  <c:v>194847</c:v>
                </c:pt>
                <c:pt idx="159">
                  <c:v>206623</c:v>
                </c:pt>
                <c:pt idx="160">
                  <c:v>210020</c:v>
                </c:pt>
                <c:pt idx="161">
                  <c:v>194475</c:v>
                </c:pt>
                <c:pt idx="162">
                  <c:v>204839</c:v>
                </c:pt>
                <c:pt idx="163">
                  <c:v>203997</c:v>
                </c:pt>
                <c:pt idx="164">
                  <c:v>209901</c:v>
                </c:pt>
                <c:pt idx="165">
                  <c:v>220733</c:v>
                </c:pt>
                <c:pt idx="166">
                  <c:v>221499</c:v>
                </c:pt>
                <c:pt idx="167">
                  <c:v>209540</c:v>
                </c:pt>
                <c:pt idx="168">
                  <c:v>219738</c:v>
                </c:pt>
                <c:pt idx="169">
                  <c:v>227188</c:v>
                </c:pt>
                <c:pt idx="170">
                  <c:v>214625</c:v>
                </c:pt>
                <c:pt idx="171">
                  <c:v>215819</c:v>
                </c:pt>
                <c:pt idx="172">
                  <c:v>221220</c:v>
                </c:pt>
                <c:pt idx="173">
                  <c:v>209494</c:v>
                </c:pt>
                <c:pt idx="174">
                  <c:v>210473</c:v>
                </c:pt>
                <c:pt idx="175">
                  <c:v>234701</c:v>
                </c:pt>
                <c:pt idx="176">
                  <c:v>216952</c:v>
                </c:pt>
                <c:pt idx="177">
                  <c:v>224809</c:v>
                </c:pt>
                <c:pt idx="178">
                  <c:v>229243</c:v>
                </c:pt>
                <c:pt idx="179">
                  <c:v>222969</c:v>
                </c:pt>
                <c:pt idx="180">
                  <c:v>220962</c:v>
                </c:pt>
                <c:pt idx="181">
                  <c:v>229526</c:v>
                </c:pt>
                <c:pt idx="182">
                  <c:v>233420</c:v>
                </c:pt>
                <c:pt idx="183">
                  <c:v>228836</c:v>
                </c:pt>
                <c:pt idx="184">
                  <c:v>228868</c:v>
                </c:pt>
                <c:pt idx="185">
                  <c:v>233176</c:v>
                </c:pt>
                <c:pt idx="186">
                  <c:v>235758</c:v>
                </c:pt>
                <c:pt idx="187">
                  <c:v>226473</c:v>
                </c:pt>
                <c:pt idx="188">
                  <c:v>230700</c:v>
                </c:pt>
                <c:pt idx="189">
                  <c:v>227005</c:v>
                </c:pt>
                <c:pt idx="190">
                  <c:v>244443</c:v>
                </c:pt>
                <c:pt idx="191">
                  <c:v>239389</c:v>
                </c:pt>
                <c:pt idx="192">
                  <c:v>235037</c:v>
                </c:pt>
                <c:pt idx="193">
                  <c:v>234868</c:v>
                </c:pt>
                <c:pt idx="194">
                  <c:v>231086</c:v>
                </c:pt>
                <c:pt idx="195">
                  <c:v>227370</c:v>
                </c:pt>
                <c:pt idx="196">
                  <c:v>229262</c:v>
                </c:pt>
                <c:pt idx="197">
                  <c:v>220411</c:v>
                </c:pt>
                <c:pt idx="198">
                  <c:v>214106</c:v>
                </c:pt>
                <c:pt idx="199">
                  <c:v>215245</c:v>
                </c:pt>
                <c:pt idx="200">
                  <c:v>191912</c:v>
                </c:pt>
                <c:pt idx="201">
                  <c:v>181552</c:v>
                </c:pt>
                <c:pt idx="202">
                  <c:v>173849</c:v>
                </c:pt>
                <c:pt idx="203">
                  <c:v>151085</c:v>
                </c:pt>
                <c:pt idx="204">
                  <c:v>148834</c:v>
                </c:pt>
                <c:pt idx="205">
                  <c:v>146323</c:v>
                </c:pt>
                <c:pt idx="206">
                  <c:v>147467</c:v>
                </c:pt>
                <c:pt idx="207">
                  <c:v>149255</c:v>
                </c:pt>
                <c:pt idx="208">
                  <c:v>147033</c:v>
                </c:pt>
                <c:pt idx="209">
                  <c:v>153691</c:v>
                </c:pt>
                <c:pt idx="210">
                  <c:v>157489</c:v>
                </c:pt>
                <c:pt idx="211">
                  <c:v>158041</c:v>
                </c:pt>
                <c:pt idx="212">
                  <c:v>161097</c:v>
                </c:pt>
                <c:pt idx="213">
                  <c:v>160419</c:v>
                </c:pt>
                <c:pt idx="214">
                  <c:v>160520</c:v>
                </c:pt>
                <c:pt idx="215">
                  <c:v>181016</c:v>
                </c:pt>
                <c:pt idx="216">
                  <c:v>180450</c:v>
                </c:pt>
                <c:pt idx="217">
                  <c:v>182148</c:v>
                </c:pt>
                <c:pt idx="218">
                  <c:v>182948</c:v>
                </c:pt>
                <c:pt idx="219">
                  <c:v>189932</c:v>
                </c:pt>
                <c:pt idx="220">
                  <c:v>185667</c:v>
                </c:pt>
                <c:pt idx="221">
                  <c:v>187506</c:v>
                </c:pt>
                <c:pt idx="222">
                  <c:v>191745</c:v>
                </c:pt>
                <c:pt idx="223">
                  <c:v>201932</c:v>
                </c:pt>
                <c:pt idx="224">
                  <c:v>193066</c:v>
                </c:pt>
                <c:pt idx="225">
                  <c:v>197202</c:v>
                </c:pt>
                <c:pt idx="226">
                  <c:v>193452</c:v>
                </c:pt>
                <c:pt idx="227">
                  <c:v>203636</c:v>
                </c:pt>
                <c:pt idx="228">
                  <c:v>196393</c:v>
                </c:pt>
                <c:pt idx="229">
                  <c:v>212748</c:v>
                </c:pt>
                <c:pt idx="230">
                  <c:v>200733</c:v>
                </c:pt>
                <c:pt idx="231">
                  <c:v>207170</c:v>
                </c:pt>
                <c:pt idx="232">
                  <c:v>201579</c:v>
                </c:pt>
                <c:pt idx="233">
                  <c:v>206458</c:v>
                </c:pt>
                <c:pt idx="234">
                  <c:v>216705</c:v>
                </c:pt>
                <c:pt idx="235">
                  <c:v>204738</c:v>
                </c:pt>
                <c:pt idx="236">
                  <c:v>210799</c:v>
                </c:pt>
                <c:pt idx="237">
                  <c:v>215531</c:v>
                </c:pt>
                <c:pt idx="238">
                  <c:v>223835</c:v>
                </c:pt>
                <c:pt idx="239">
                  <c:v>225182</c:v>
                </c:pt>
                <c:pt idx="240">
                  <c:v>227597</c:v>
                </c:pt>
                <c:pt idx="241">
                  <c:v>219960</c:v>
                </c:pt>
                <c:pt idx="242">
                  <c:v>218414</c:v>
                </c:pt>
                <c:pt idx="243">
                  <c:v>219076</c:v>
                </c:pt>
                <c:pt idx="244">
                  <c:v>218755</c:v>
                </c:pt>
                <c:pt idx="245">
                  <c:v>225223</c:v>
                </c:pt>
                <c:pt idx="246">
                  <c:v>200423</c:v>
                </c:pt>
                <c:pt idx="247">
                  <c:v>217241</c:v>
                </c:pt>
                <c:pt idx="248">
                  <c:v>219017</c:v>
                </c:pt>
                <c:pt idx="249">
                  <c:v>214689</c:v>
                </c:pt>
                <c:pt idx="250">
                  <c:v>230992</c:v>
                </c:pt>
                <c:pt idx="251">
                  <c:v>222797</c:v>
                </c:pt>
                <c:pt idx="252">
                  <c:v>235952</c:v>
                </c:pt>
                <c:pt idx="253">
                  <c:v>215188</c:v>
                </c:pt>
                <c:pt idx="254">
                  <c:v>226541</c:v>
                </c:pt>
                <c:pt idx="255">
                  <c:v>235258</c:v>
                </c:pt>
                <c:pt idx="256">
                  <c:v>248010</c:v>
                </c:pt>
                <c:pt idx="257">
                  <c:v>223780</c:v>
                </c:pt>
                <c:pt idx="258">
                  <c:v>225010</c:v>
                </c:pt>
                <c:pt idx="259">
                  <c:v>238632</c:v>
                </c:pt>
                <c:pt idx="260">
                  <c:v>231962</c:v>
                </c:pt>
                <c:pt idx="261">
                  <c:v>241389</c:v>
                </c:pt>
                <c:pt idx="262">
                  <c:v>238377</c:v>
                </c:pt>
                <c:pt idx="263">
                  <c:v>223144</c:v>
                </c:pt>
                <c:pt idx="264">
                  <c:v>232711</c:v>
                </c:pt>
                <c:pt idx="265">
                  <c:v>233153</c:v>
                </c:pt>
                <c:pt idx="266">
                  <c:v>237372</c:v>
                </c:pt>
                <c:pt idx="267">
                  <c:v>232959</c:v>
                </c:pt>
                <c:pt idx="268">
                  <c:v>240181</c:v>
                </c:pt>
                <c:pt idx="269">
                  <c:v>303162</c:v>
                </c:pt>
                <c:pt idx="270">
                  <c:v>236666</c:v>
                </c:pt>
                <c:pt idx="271">
                  <c:v>237534</c:v>
                </c:pt>
                <c:pt idx="272">
                  <c:v>232089</c:v>
                </c:pt>
                <c:pt idx="273">
                  <c:v>226155</c:v>
                </c:pt>
                <c:pt idx="274">
                  <c:v>225835</c:v>
                </c:pt>
                <c:pt idx="275">
                  <c:v>224061</c:v>
                </c:pt>
                <c:pt idx="276">
                  <c:v>218966</c:v>
                </c:pt>
                <c:pt idx="277">
                  <c:v>227573</c:v>
                </c:pt>
                <c:pt idx="278">
                  <c:v>224339</c:v>
                </c:pt>
                <c:pt idx="279">
                  <c:v>217332</c:v>
                </c:pt>
                <c:pt idx="280">
                  <c:v>232766</c:v>
                </c:pt>
                <c:pt idx="281">
                  <c:v>230189</c:v>
                </c:pt>
                <c:pt idx="282">
                  <c:v>222647</c:v>
                </c:pt>
                <c:pt idx="283">
                  <c:v>218738</c:v>
                </c:pt>
                <c:pt idx="284">
                  <c:v>226032</c:v>
                </c:pt>
                <c:pt idx="285">
                  <c:v>223223</c:v>
                </c:pt>
                <c:pt idx="286">
                  <c:v>217474</c:v>
                </c:pt>
                <c:pt idx="287">
                  <c:v>226905</c:v>
                </c:pt>
                <c:pt idx="288">
                  <c:v>217371</c:v>
                </c:pt>
                <c:pt idx="289">
                  <c:v>216899</c:v>
                </c:pt>
                <c:pt idx="290">
                  <c:v>228585</c:v>
                </c:pt>
                <c:pt idx="291">
                  <c:v>221991</c:v>
                </c:pt>
                <c:pt idx="292">
                  <c:v>209356</c:v>
                </c:pt>
                <c:pt idx="293">
                  <c:v>217997</c:v>
                </c:pt>
                <c:pt idx="294">
                  <c:v>219140</c:v>
                </c:pt>
                <c:pt idx="295">
                  <c:v>216058</c:v>
                </c:pt>
                <c:pt idx="296">
                  <c:v>234217</c:v>
                </c:pt>
                <c:pt idx="297">
                  <c:v>216703</c:v>
                </c:pt>
                <c:pt idx="298">
                  <c:v>218450</c:v>
                </c:pt>
                <c:pt idx="299">
                  <c:v>218011</c:v>
                </c:pt>
                <c:pt idx="300">
                  <c:v>221815</c:v>
                </c:pt>
                <c:pt idx="301">
                  <c:v>221965</c:v>
                </c:pt>
                <c:pt idx="302">
                  <c:v>222025</c:v>
                </c:pt>
                <c:pt idx="303">
                  <c:v>222398</c:v>
                </c:pt>
                <c:pt idx="304">
                  <c:v>238347</c:v>
                </c:pt>
                <c:pt idx="305">
                  <c:v>218978</c:v>
                </c:pt>
                <c:pt idx="306">
                  <c:v>223602</c:v>
                </c:pt>
                <c:pt idx="307">
                  <c:v>228198</c:v>
                </c:pt>
                <c:pt idx="308">
                  <c:v>229757</c:v>
                </c:pt>
                <c:pt idx="309">
                  <c:v>229646</c:v>
                </c:pt>
                <c:pt idx="310">
                  <c:v>239903</c:v>
                </c:pt>
                <c:pt idx="311">
                  <c:v>225906</c:v>
                </c:pt>
                <c:pt idx="312">
                  <c:v>234140</c:v>
                </c:pt>
                <c:pt idx="313">
                  <c:v>242658</c:v>
                </c:pt>
                <c:pt idx="314">
                  <c:v>239492</c:v>
                </c:pt>
                <c:pt idx="315">
                  <c:v>240608</c:v>
                </c:pt>
                <c:pt idx="316">
                  <c:v>243274</c:v>
                </c:pt>
                <c:pt idx="317">
                  <c:v>234585</c:v>
                </c:pt>
                <c:pt idx="318">
                  <c:v>244108</c:v>
                </c:pt>
                <c:pt idx="319">
                  <c:v>244834</c:v>
                </c:pt>
                <c:pt idx="320">
                  <c:v>239723</c:v>
                </c:pt>
                <c:pt idx="321">
                  <c:v>231653</c:v>
                </c:pt>
                <c:pt idx="322">
                  <c:v>238448</c:v>
                </c:pt>
                <c:pt idx="323">
                  <c:v>229028</c:v>
                </c:pt>
                <c:pt idx="324">
                  <c:v>223455</c:v>
                </c:pt>
                <c:pt idx="325">
                  <c:v>233044</c:v>
                </c:pt>
                <c:pt idx="326">
                  <c:v>223929</c:v>
                </c:pt>
                <c:pt idx="327">
                  <c:v>217479</c:v>
                </c:pt>
                <c:pt idx="328">
                  <c:v>219553</c:v>
                </c:pt>
                <c:pt idx="329">
                  <c:v>225239</c:v>
                </c:pt>
                <c:pt idx="330">
                  <c:v>224546</c:v>
                </c:pt>
                <c:pt idx="331">
                  <c:v>221949</c:v>
                </c:pt>
                <c:pt idx="332">
                  <c:v>222975</c:v>
                </c:pt>
                <c:pt idx="333">
                  <c:v>212779</c:v>
                </c:pt>
                <c:pt idx="334">
                  <c:v>215324</c:v>
                </c:pt>
                <c:pt idx="335">
                  <c:v>225551</c:v>
                </c:pt>
                <c:pt idx="336">
                  <c:v>231488</c:v>
                </c:pt>
                <c:pt idx="337">
                  <c:v>200119</c:v>
                </c:pt>
                <c:pt idx="338">
                  <c:v>159130</c:v>
                </c:pt>
                <c:pt idx="339">
                  <c:v>179384</c:v>
                </c:pt>
                <c:pt idx="340">
                  <c:v>198774</c:v>
                </c:pt>
                <c:pt idx="341">
                  <c:v>218041</c:v>
                </c:pt>
                <c:pt idx="342">
                  <c:v>221086</c:v>
                </c:pt>
                <c:pt idx="343">
                  <c:v>225593</c:v>
                </c:pt>
                <c:pt idx="344">
                  <c:v>229735</c:v>
                </c:pt>
                <c:pt idx="345">
                  <c:v>228470</c:v>
                </c:pt>
                <c:pt idx="346">
                  <c:v>231460</c:v>
                </c:pt>
                <c:pt idx="347">
                  <c:v>237284</c:v>
                </c:pt>
                <c:pt idx="348">
                  <c:v>237479</c:v>
                </c:pt>
                <c:pt idx="349">
                  <c:v>241392</c:v>
                </c:pt>
                <c:pt idx="350">
                  <c:v>236566</c:v>
                </c:pt>
                <c:pt idx="351">
                  <c:v>241545</c:v>
                </c:pt>
                <c:pt idx="352">
                  <c:v>245826</c:v>
                </c:pt>
                <c:pt idx="353">
                  <c:v>246741</c:v>
                </c:pt>
                <c:pt idx="354">
                  <c:v>250577</c:v>
                </c:pt>
                <c:pt idx="355">
                  <c:v>246849</c:v>
                </c:pt>
                <c:pt idx="356">
                  <c:v>250503</c:v>
                </c:pt>
                <c:pt idx="357">
                  <c:v>254074</c:v>
                </c:pt>
                <c:pt idx="358">
                  <c:v>256464</c:v>
                </c:pt>
                <c:pt idx="359">
                  <c:v>264356</c:v>
                </c:pt>
                <c:pt idx="360">
                  <c:v>262494</c:v>
                </c:pt>
                <c:pt idx="361">
                  <c:v>264258</c:v>
                </c:pt>
                <c:pt idx="362">
                  <c:v>265376</c:v>
                </c:pt>
                <c:pt idx="363">
                  <c:v>267533</c:v>
                </c:pt>
                <c:pt idx="364">
                  <c:v>273571</c:v>
                </c:pt>
                <c:pt idx="365">
                  <c:v>273203</c:v>
                </c:pt>
                <c:pt idx="366">
                  <c:v>273841</c:v>
                </c:pt>
                <c:pt idx="367">
                  <c:v>274399</c:v>
                </c:pt>
                <c:pt idx="368">
                  <c:v>276366</c:v>
                </c:pt>
                <c:pt idx="369">
                  <c:v>270473</c:v>
                </c:pt>
              </c:numCache>
            </c:numRef>
          </c:val>
          <c:smooth val="0"/>
          <c:extLst>
            <c:ext xmlns:c16="http://schemas.microsoft.com/office/drawing/2014/chart" uri="{C3380CC4-5D6E-409C-BE32-E72D297353CC}">
              <c16:uniqueId val="{00000000-8FEC-4A1C-883F-97D62D4D07D8}"/>
            </c:ext>
          </c:extLst>
        </c:ser>
        <c:dLbls>
          <c:showLegendKey val="0"/>
          <c:showVal val="0"/>
          <c:showCatName val="0"/>
          <c:showSerName val="0"/>
          <c:showPercent val="0"/>
          <c:showBubbleSize val="0"/>
        </c:dLbls>
        <c:smooth val="0"/>
        <c:axId val="504145232"/>
        <c:axId val="504145624"/>
      </c:lineChart>
      <c:dateAx>
        <c:axId val="5041452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11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'New Orders'!$C$5</c:f>
              <c:strCache>
                <c:ptCount val="1"/>
                <c:pt idx="0">
                  <c:v>mom %</c:v>
                </c:pt>
              </c:strCache>
            </c:strRef>
          </c:tx>
          <c:spPr>
            <a:solidFill>
              <a:srgbClr val="92D050"/>
            </a:solidFill>
            <a:ln>
              <a:noFill/>
              <a:prstDash val="solid"/>
            </a:ln>
          </c:spPr>
          <c:invertIfNegative val="1"/>
          <c:cat>
            <c:numRef>
              <c:f>'New Orders'!$A$6:$A$375</c:f>
              <c:numCache>
                <c:formatCode>m/d/yyyy</c:formatCode>
                <c:ptCount val="370"/>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numCache>
            </c:numRef>
          </c:cat>
          <c:val>
            <c:numRef>
              <c:f>'New Orders'!$C$6:$C$375</c:f>
              <c:numCache>
                <c:formatCode>0.0%</c:formatCode>
                <c:ptCount val="370"/>
                <c:pt idx="1">
                  <c:v>4.7932946260968265E-2</c:v>
                </c:pt>
                <c:pt idx="2">
                  <c:v>3.7033951260154137E-2</c:v>
                </c:pt>
                <c:pt idx="3">
                  <c:v>1.0862055113682012E-2</c:v>
                </c:pt>
                <c:pt idx="4">
                  <c:v>-2.3747834242024448E-2</c:v>
                </c:pt>
                <c:pt idx="5">
                  <c:v>-1.9864206978523861E-3</c:v>
                </c:pt>
                <c:pt idx="6">
                  <c:v>-1.7774696141610244E-2</c:v>
                </c:pt>
                <c:pt idx="7">
                  <c:v>2.491466726461868E-3</c:v>
                </c:pt>
                <c:pt idx="8">
                  <c:v>5.5347068618435767E-2</c:v>
                </c:pt>
                <c:pt idx="9">
                  <c:v>-3.9390228585782464E-2</c:v>
                </c:pt>
                <c:pt idx="10">
                  <c:v>3.0284210698350956E-2</c:v>
                </c:pt>
                <c:pt idx="11">
                  <c:v>-3.523953045685279E-2</c:v>
                </c:pt>
                <c:pt idx="12">
                  <c:v>5.933227554115935E-2</c:v>
                </c:pt>
                <c:pt idx="13">
                  <c:v>-1.6235429245502662E-2</c:v>
                </c:pt>
                <c:pt idx="14">
                  <c:v>4.993610072419179E-3</c:v>
                </c:pt>
                <c:pt idx="15">
                  <c:v>-6.797755013933043E-3</c:v>
                </c:pt>
                <c:pt idx="16">
                  <c:v>2.9107951536801839E-2</c:v>
                </c:pt>
                <c:pt idx="17">
                  <c:v>-1.6135225632046203E-2</c:v>
                </c:pt>
                <c:pt idx="18">
                  <c:v>9.8898611360460856E-3</c:v>
                </c:pt>
                <c:pt idx="19">
                  <c:v>-1.6579325696795436E-2</c:v>
                </c:pt>
                <c:pt idx="20">
                  <c:v>4.6646703292384836E-2</c:v>
                </c:pt>
                <c:pt idx="21">
                  <c:v>-2.0853358164123512E-2</c:v>
                </c:pt>
                <c:pt idx="22">
                  <c:v>2.4342170855350447E-2</c:v>
                </c:pt>
                <c:pt idx="23">
                  <c:v>3.6933328342005765E-2</c:v>
                </c:pt>
                <c:pt idx="24">
                  <c:v>-9.7979754220277552E-3</c:v>
                </c:pt>
                <c:pt idx="25">
                  <c:v>-4.3240168877286883E-3</c:v>
                </c:pt>
                <c:pt idx="26">
                  <c:v>2.7741160617511789E-2</c:v>
                </c:pt>
                <c:pt idx="27">
                  <c:v>1.6346482727169081E-2</c:v>
                </c:pt>
                <c:pt idx="28">
                  <c:v>1.7058122414639276E-2</c:v>
                </c:pt>
                <c:pt idx="29">
                  <c:v>-3.4467782963264236E-4</c:v>
                </c:pt>
                <c:pt idx="30">
                  <c:v>6.0063580506575275E-3</c:v>
                </c:pt>
                <c:pt idx="31">
                  <c:v>-2.7213402429327412E-3</c:v>
                </c:pt>
                <c:pt idx="32">
                  <c:v>2.7906273412744782E-2</c:v>
                </c:pt>
                <c:pt idx="33">
                  <c:v>3.2832487445418495E-3</c:v>
                </c:pt>
                <c:pt idx="34">
                  <c:v>1.6335861581732627E-2</c:v>
                </c:pt>
                <c:pt idx="35">
                  <c:v>-1.3312435651096145E-2</c:v>
                </c:pt>
                <c:pt idx="36">
                  <c:v>2.2577579274087958E-2</c:v>
                </c:pt>
                <c:pt idx="37">
                  <c:v>-6.2915973377703823E-3</c:v>
                </c:pt>
                <c:pt idx="38">
                  <c:v>-9.7260739888022606E-3</c:v>
                </c:pt>
                <c:pt idx="39">
                  <c:v>9.4913507836804252E-3</c:v>
                </c:pt>
                <c:pt idx="40">
                  <c:v>-1.823499391512582E-2</c:v>
                </c:pt>
                <c:pt idx="41">
                  <c:v>-7.570759275179772E-3</c:v>
                </c:pt>
                <c:pt idx="42">
                  <c:v>3.6645065977235339E-2</c:v>
                </c:pt>
                <c:pt idx="43">
                  <c:v>3.759101391444044E-2</c:v>
                </c:pt>
                <c:pt idx="44">
                  <c:v>-2.9355392539410021E-2</c:v>
                </c:pt>
                <c:pt idx="45">
                  <c:v>4.3287258880963251E-3</c:v>
                </c:pt>
                <c:pt idx="46">
                  <c:v>4.5681605676738436E-2</c:v>
                </c:pt>
                <c:pt idx="47">
                  <c:v>-4.5768286184996232E-2</c:v>
                </c:pt>
                <c:pt idx="48">
                  <c:v>-3.2302992182586039E-2</c:v>
                </c:pt>
                <c:pt idx="49">
                  <c:v>9.420121639816148E-2</c:v>
                </c:pt>
                <c:pt idx="50">
                  <c:v>-4.9376879061196782E-2</c:v>
                </c:pt>
                <c:pt idx="51">
                  <c:v>4.8919211885481095E-2</c:v>
                </c:pt>
                <c:pt idx="52">
                  <c:v>5.8965848439532654E-4</c:v>
                </c:pt>
                <c:pt idx="53">
                  <c:v>-6.1422001348732371E-3</c:v>
                </c:pt>
                <c:pt idx="54">
                  <c:v>-3.8376898060982469E-2</c:v>
                </c:pt>
                <c:pt idx="55">
                  <c:v>5.1694107176911828E-2</c:v>
                </c:pt>
                <c:pt idx="56">
                  <c:v>-1.0638169267779645E-3</c:v>
                </c:pt>
                <c:pt idx="57">
                  <c:v>3.3382546924352254E-2</c:v>
                </c:pt>
                <c:pt idx="58">
                  <c:v>-4.9483847923973701E-2</c:v>
                </c:pt>
                <c:pt idx="59">
                  <c:v>-3.1109085084887762E-3</c:v>
                </c:pt>
                <c:pt idx="60">
                  <c:v>5.1870207072985348E-2</c:v>
                </c:pt>
                <c:pt idx="61">
                  <c:v>-1.5585621045581919E-2</c:v>
                </c:pt>
                <c:pt idx="62">
                  <c:v>3.8706674305356632E-2</c:v>
                </c:pt>
                <c:pt idx="63">
                  <c:v>-3.1415537706688729E-2</c:v>
                </c:pt>
                <c:pt idx="64">
                  <c:v>3.7025613040228729E-2</c:v>
                </c:pt>
                <c:pt idx="65">
                  <c:v>2.3062667307296315E-2</c:v>
                </c:pt>
                <c:pt idx="66">
                  <c:v>-8.7107234708710731E-3</c:v>
                </c:pt>
                <c:pt idx="67">
                  <c:v>3.0061702631668003E-3</c:v>
                </c:pt>
                <c:pt idx="68">
                  <c:v>-1.9118846121404673E-4</c:v>
                </c:pt>
                <c:pt idx="69">
                  <c:v>7.5286415711947621E-2</c:v>
                </c:pt>
                <c:pt idx="70">
                  <c:v>-9.1099290223707677E-2</c:v>
                </c:pt>
                <c:pt idx="71">
                  <c:v>2.9809518328825458E-3</c:v>
                </c:pt>
                <c:pt idx="72">
                  <c:v>4.0060130358946115E-2</c:v>
                </c:pt>
                <c:pt idx="73">
                  <c:v>-2.4184917526341922E-2</c:v>
                </c:pt>
                <c:pt idx="74">
                  <c:v>2.2777382042671553E-2</c:v>
                </c:pt>
                <c:pt idx="75">
                  <c:v>-1.5532155984854766E-3</c:v>
                </c:pt>
                <c:pt idx="76">
                  <c:v>-4.6751995748308732E-2</c:v>
                </c:pt>
                <c:pt idx="77">
                  <c:v>-1.0047099408208422E-2</c:v>
                </c:pt>
                <c:pt idx="78">
                  <c:v>5.0299485506778756E-2</c:v>
                </c:pt>
                <c:pt idx="79">
                  <c:v>1.334390866488301E-2</c:v>
                </c:pt>
                <c:pt idx="80">
                  <c:v>-1.5957270893276448E-2</c:v>
                </c:pt>
                <c:pt idx="81">
                  <c:v>2.1694197516342065E-2</c:v>
                </c:pt>
                <c:pt idx="82">
                  <c:v>-2.1798245614035087E-2</c:v>
                </c:pt>
                <c:pt idx="83">
                  <c:v>4.5414294041160382E-2</c:v>
                </c:pt>
                <c:pt idx="84">
                  <c:v>-5.2592922204292144E-3</c:v>
                </c:pt>
                <c:pt idx="85">
                  <c:v>-4.6188007286602781E-3</c:v>
                </c:pt>
                <c:pt idx="86">
                  <c:v>-9.1830049434454674E-3</c:v>
                </c:pt>
                <c:pt idx="87">
                  <c:v>1.6230129021328685E-2</c:v>
                </c:pt>
                <c:pt idx="88">
                  <c:v>-1.8138016702247222E-2</c:v>
                </c:pt>
                <c:pt idx="89">
                  <c:v>3.5560545484418643E-2</c:v>
                </c:pt>
                <c:pt idx="90">
                  <c:v>1.7505539895178307E-3</c:v>
                </c:pt>
                <c:pt idx="91">
                  <c:v>-2.6608381640216669E-3</c:v>
                </c:pt>
                <c:pt idx="92">
                  <c:v>2.9839606161664284E-2</c:v>
                </c:pt>
                <c:pt idx="93">
                  <c:v>-4.0864161359465835E-2</c:v>
                </c:pt>
                <c:pt idx="94">
                  <c:v>5.2235566488207208E-2</c:v>
                </c:pt>
                <c:pt idx="95">
                  <c:v>2.554699914435888E-2</c:v>
                </c:pt>
                <c:pt idx="96">
                  <c:v>-8.6655740961462058E-2</c:v>
                </c:pt>
                <c:pt idx="97">
                  <c:v>4.4690094665354438E-2</c:v>
                </c:pt>
                <c:pt idx="98">
                  <c:v>1.5166814136261905E-2</c:v>
                </c:pt>
                <c:pt idx="99">
                  <c:v>-3.3007936670699942E-2</c:v>
                </c:pt>
                <c:pt idx="100">
                  <c:v>0.16510079212750389</c:v>
                </c:pt>
                <c:pt idx="101">
                  <c:v>-0.1387062276729846</c:v>
                </c:pt>
                <c:pt idx="102">
                  <c:v>-2.8267244339946636E-3</c:v>
                </c:pt>
                <c:pt idx="103">
                  <c:v>5.9434112223811793E-2</c:v>
                </c:pt>
                <c:pt idx="104">
                  <c:v>-6.8963275267946003E-2</c:v>
                </c:pt>
                <c:pt idx="105">
                  <c:v>1.7372339625479433E-2</c:v>
                </c:pt>
                <c:pt idx="106">
                  <c:v>-3.8702796316634281E-3</c:v>
                </c:pt>
                <c:pt idx="107">
                  <c:v>-6.1502499218166112E-2</c:v>
                </c:pt>
                <c:pt idx="108">
                  <c:v>1.8186336526296764E-2</c:v>
                </c:pt>
                <c:pt idx="109">
                  <c:v>1.0722447802258759E-2</c:v>
                </c:pt>
                <c:pt idx="110">
                  <c:v>-5.6852295989769992E-2</c:v>
                </c:pt>
                <c:pt idx="111">
                  <c:v>3.4326447483270295E-2</c:v>
                </c:pt>
                <c:pt idx="112">
                  <c:v>-7.870649061316801E-3</c:v>
                </c:pt>
                <c:pt idx="113">
                  <c:v>-3.5276438899914941E-2</c:v>
                </c:pt>
                <c:pt idx="114">
                  <c:v>2.0866518935631199E-3</c:v>
                </c:pt>
                <c:pt idx="115">
                  <c:v>-3.7311419253419673E-2</c:v>
                </c:pt>
                <c:pt idx="116">
                  <c:v>4.5130786056798863E-2</c:v>
                </c:pt>
                <c:pt idx="117">
                  <c:v>-4.5000874482597798E-2</c:v>
                </c:pt>
                <c:pt idx="118">
                  <c:v>9.1141620526094102E-3</c:v>
                </c:pt>
                <c:pt idx="119">
                  <c:v>-1.197793156850409E-2</c:v>
                </c:pt>
                <c:pt idx="120">
                  <c:v>5.5607259190321078E-2</c:v>
                </c:pt>
                <c:pt idx="121">
                  <c:v>-2.6408593668433813E-2</c:v>
                </c:pt>
                <c:pt idx="122">
                  <c:v>2.3824417794141302E-2</c:v>
                </c:pt>
                <c:pt idx="123">
                  <c:v>1.163792100179224E-5</c:v>
                </c:pt>
                <c:pt idx="124">
                  <c:v>-3.3656475845776065E-2</c:v>
                </c:pt>
                <c:pt idx="125">
                  <c:v>4.9449027518516285E-2</c:v>
                </c:pt>
                <c:pt idx="126">
                  <c:v>1.6318380555651185E-2</c:v>
                </c:pt>
                <c:pt idx="127">
                  <c:v>-5.8082946602983188E-2</c:v>
                </c:pt>
                <c:pt idx="128">
                  <c:v>1.3761852815305866E-2</c:v>
                </c:pt>
                <c:pt idx="129">
                  <c:v>5.2561874017051568E-3</c:v>
                </c:pt>
                <c:pt idx="130">
                  <c:v>-3.5648118195773515E-2</c:v>
                </c:pt>
                <c:pt idx="131">
                  <c:v>3.6789012088166768E-2</c:v>
                </c:pt>
                <c:pt idx="132">
                  <c:v>2.4230266950598257E-2</c:v>
                </c:pt>
                <c:pt idx="133">
                  <c:v>-1.0728664717740777E-2</c:v>
                </c:pt>
                <c:pt idx="134">
                  <c:v>-1.6824871549246712E-2</c:v>
                </c:pt>
                <c:pt idx="135">
                  <c:v>1.2961552315659562E-2</c:v>
                </c:pt>
                <c:pt idx="136">
                  <c:v>1.1454920660829418E-2</c:v>
                </c:pt>
                <c:pt idx="137">
                  <c:v>-1.0777663149037216E-3</c:v>
                </c:pt>
                <c:pt idx="138">
                  <c:v>-1.5924301869374568E-3</c:v>
                </c:pt>
                <c:pt idx="139">
                  <c:v>3.2627539816462867E-2</c:v>
                </c:pt>
                <c:pt idx="140">
                  <c:v>2.8059768313839609E-2</c:v>
                </c:pt>
                <c:pt idx="141">
                  <c:v>-1.0990506466925053E-2</c:v>
                </c:pt>
                <c:pt idx="142">
                  <c:v>-9.4669345295428906E-4</c:v>
                </c:pt>
                <c:pt idx="143">
                  <c:v>-1.5519549563943079E-2</c:v>
                </c:pt>
                <c:pt idx="144">
                  <c:v>1.659802122039665E-2</c:v>
                </c:pt>
                <c:pt idx="145">
                  <c:v>5.0682035868811308E-2</c:v>
                </c:pt>
                <c:pt idx="146">
                  <c:v>-3.4060009744903572E-2</c:v>
                </c:pt>
                <c:pt idx="147">
                  <c:v>-4.9303566779484512E-3</c:v>
                </c:pt>
                <c:pt idx="148">
                  <c:v>1.1888214805487875E-2</c:v>
                </c:pt>
                <c:pt idx="149">
                  <c:v>6.4371902607196722E-3</c:v>
                </c:pt>
                <c:pt idx="150">
                  <c:v>-1.662964647951401E-2</c:v>
                </c:pt>
                <c:pt idx="151">
                  <c:v>2.5668379343377165E-2</c:v>
                </c:pt>
                <c:pt idx="152">
                  <c:v>-1.7283649253889751E-2</c:v>
                </c:pt>
                <c:pt idx="153">
                  <c:v>3.973281061845594E-2</c:v>
                </c:pt>
                <c:pt idx="154">
                  <c:v>5.364979615154899E-3</c:v>
                </c:pt>
                <c:pt idx="155">
                  <c:v>6.7001415450102797E-3</c:v>
                </c:pt>
                <c:pt idx="156">
                  <c:v>8.2103912764592696E-3</c:v>
                </c:pt>
                <c:pt idx="157">
                  <c:v>-5.0220129787504772E-2</c:v>
                </c:pt>
                <c:pt idx="158">
                  <c:v>4.415137614678899E-2</c:v>
                </c:pt>
                <c:pt idx="159">
                  <c:v>6.0437163518042361E-2</c:v>
                </c:pt>
                <c:pt idx="160">
                  <c:v>1.6440570507639519E-2</c:v>
                </c:pt>
                <c:pt idx="161">
                  <c:v>-7.401676030854204E-2</c:v>
                </c:pt>
                <c:pt idx="162">
                  <c:v>5.3292196940480784E-2</c:v>
                </c:pt>
                <c:pt idx="163">
                  <c:v>-4.1105453551325676E-3</c:v>
                </c:pt>
                <c:pt idx="164">
                  <c:v>2.8941602082383566E-2</c:v>
                </c:pt>
                <c:pt idx="165">
                  <c:v>5.1605280584656577E-2</c:v>
                </c:pt>
                <c:pt idx="166">
                  <c:v>3.4702559200482032E-3</c:v>
                </c:pt>
                <c:pt idx="167">
                  <c:v>-5.3991214407288518E-2</c:v>
                </c:pt>
                <c:pt idx="168">
                  <c:v>4.8668511978619836E-2</c:v>
                </c:pt>
                <c:pt idx="169">
                  <c:v>3.3904012960889789E-2</c:v>
                </c:pt>
                <c:pt idx="170">
                  <c:v>-5.5297815025441482E-2</c:v>
                </c:pt>
                <c:pt idx="171">
                  <c:v>5.5631916132789748E-3</c:v>
                </c:pt>
                <c:pt idx="172">
                  <c:v>2.5025600155686015E-2</c:v>
                </c:pt>
                <c:pt idx="173">
                  <c:v>-5.3006057318506467E-2</c:v>
                </c:pt>
                <c:pt idx="174">
                  <c:v>4.6731648639101835E-3</c:v>
                </c:pt>
                <c:pt idx="175">
                  <c:v>0.11511215215253263</c:v>
                </c:pt>
                <c:pt idx="176">
                  <c:v>-7.5623878892718821E-2</c:v>
                </c:pt>
                <c:pt idx="177">
                  <c:v>3.6215384048084366E-2</c:v>
                </c:pt>
                <c:pt idx="178">
                  <c:v>1.972340964996953E-2</c:v>
                </c:pt>
                <c:pt idx="179">
                  <c:v>-2.7368338400736335E-2</c:v>
                </c:pt>
                <c:pt idx="180">
                  <c:v>-9.0012512950230755E-3</c:v>
                </c:pt>
                <c:pt idx="181">
                  <c:v>3.875779545804256E-2</c:v>
                </c:pt>
                <c:pt idx="182">
                  <c:v>1.6965398255535322E-2</c:v>
                </c:pt>
                <c:pt idx="183">
                  <c:v>-1.9638420015422844E-2</c:v>
                </c:pt>
                <c:pt idx="184">
                  <c:v>1.3983813735601042E-4</c:v>
                </c:pt>
                <c:pt idx="185">
                  <c:v>1.8823077057517869E-2</c:v>
                </c:pt>
                <c:pt idx="186">
                  <c:v>1.107318077332144E-2</c:v>
                </c:pt>
                <c:pt idx="187">
                  <c:v>-3.9383605222304226E-2</c:v>
                </c:pt>
                <c:pt idx="188">
                  <c:v>1.8664476560119748E-2</c:v>
                </c:pt>
                <c:pt idx="189">
                  <c:v>-1.6016471608149112E-2</c:v>
                </c:pt>
                <c:pt idx="190">
                  <c:v>7.6817691240281052E-2</c:v>
                </c:pt>
                <c:pt idx="191">
                  <c:v>-2.0675576719316979E-2</c:v>
                </c:pt>
                <c:pt idx="192">
                  <c:v>-1.8179615604727035E-2</c:v>
                </c:pt>
                <c:pt idx="193">
                  <c:v>-7.1903572628990325E-4</c:v>
                </c:pt>
                <c:pt idx="194">
                  <c:v>-1.6102661920738458E-2</c:v>
                </c:pt>
                <c:pt idx="195">
                  <c:v>-1.6080593372164477E-2</c:v>
                </c:pt>
                <c:pt idx="196">
                  <c:v>8.3212385099177555E-3</c:v>
                </c:pt>
                <c:pt idx="197">
                  <c:v>-3.8606485156720258E-2</c:v>
                </c:pt>
                <c:pt idx="198">
                  <c:v>-2.8605650353203789E-2</c:v>
                </c:pt>
                <c:pt idx="199">
                  <c:v>5.3197948679625977E-3</c:v>
                </c:pt>
                <c:pt idx="200">
                  <c:v>-0.1084020534739483</c:v>
                </c:pt>
                <c:pt idx="201">
                  <c:v>-5.3983075576305807E-2</c:v>
                </c:pt>
                <c:pt idx="202">
                  <c:v>-4.242861549308187E-2</c:v>
                </c:pt>
                <c:pt idx="203">
                  <c:v>-0.13094121910393502</c:v>
                </c:pt>
                <c:pt idx="204">
                  <c:v>-1.4898897971340636E-2</c:v>
                </c:pt>
                <c:pt idx="205">
                  <c:v>-1.6871145034064797E-2</c:v>
                </c:pt>
                <c:pt idx="206">
                  <c:v>7.818319744674453E-3</c:v>
                </c:pt>
                <c:pt idx="207">
                  <c:v>1.2124746553466199E-2</c:v>
                </c:pt>
                <c:pt idx="208">
                  <c:v>-1.4887273458175606E-2</c:v>
                </c:pt>
                <c:pt idx="209">
                  <c:v>4.5282351580937616E-2</c:v>
                </c:pt>
                <c:pt idx="210">
                  <c:v>2.4711921973310083E-2</c:v>
                </c:pt>
                <c:pt idx="211">
                  <c:v>3.5050066988805569E-3</c:v>
                </c:pt>
                <c:pt idx="212">
                  <c:v>1.9336754386519953E-2</c:v>
                </c:pt>
                <c:pt idx="213">
                  <c:v>-4.2086444812752567E-3</c:v>
                </c:pt>
                <c:pt idx="214">
                  <c:v>6.2960123177429109E-4</c:v>
                </c:pt>
                <c:pt idx="215">
                  <c:v>0.12768502367306256</c:v>
                </c:pt>
                <c:pt idx="216">
                  <c:v>-3.1267954213992132E-3</c:v>
                </c:pt>
                <c:pt idx="217">
                  <c:v>9.4098088113050704E-3</c:v>
                </c:pt>
                <c:pt idx="218">
                  <c:v>4.392032852405736E-3</c:v>
                </c:pt>
                <c:pt idx="219">
                  <c:v>3.8174781905240832E-2</c:v>
                </c:pt>
                <c:pt idx="220">
                  <c:v>-2.2455405092348842E-2</c:v>
                </c:pt>
                <c:pt idx="221">
                  <c:v>9.9048296143094891E-3</c:v>
                </c:pt>
                <c:pt idx="222">
                  <c:v>2.260727656714985E-2</c:v>
                </c:pt>
                <c:pt idx="223">
                  <c:v>5.3127852095230646E-2</c:v>
                </c:pt>
                <c:pt idx="224">
                  <c:v>-4.3905869302537488E-2</c:v>
                </c:pt>
                <c:pt idx="225">
                  <c:v>2.1422725907202719E-2</c:v>
                </c:pt>
                <c:pt idx="226">
                  <c:v>-1.901603432013874E-2</c:v>
                </c:pt>
                <c:pt idx="227">
                  <c:v>5.2643549821144262E-2</c:v>
                </c:pt>
                <c:pt idx="228">
                  <c:v>-3.5568367086369797E-2</c:v>
                </c:pt>
                <c:pt idx="229">
                  <c:v>8.3276898871141022E-2</c:v>
                </c:pt>
                <c:pt idx="230">
                  <c:v>-5.6475266512493655E-2</c:v>
                </c:pt>
                <c:pt idx="231">
                  <c:v>3.2067472712508656E-2</c:v>
                </c:pt>
                <c:pt idx="232">
                  <c:v>-2.6987498189892357E-2</c:v>
                </c:pt>
                <c:pt idx="233">
                  <c:v>2.420391012952738E-2</c:v>
                </c:pt>
                <c:pt idx="234">
                  <c:v>4.9632370748529969E-2</c:v>
                </c:pt>
                <c:pt idx="235">
                  <c:v>-5.522253755104866E-2</c:v>
                </c:pt>
                <c:pt idx="236">
                  <c:v>2.9603688616671061E-2</c:v>
                </c:pt>
                <c:pt idx="237">
                  <c:v>2.2447924326016729E-2</c:v>
                </c:pt>
                <c:pt idx="238">
                  <c:v>3.8528100366072633E-2</c:v>
                </c:pt>
                <c:pt idx="239">
                  <c:v>6.0178256304867428E-3</c:v>
                </c:pt>
                <c:pt idx="240">
                  <c:v>1.072465827641641E-2</c:v>
                </c:pt>
                <c:pt idx="241">
                  <c:v>-3.3554923834672692E-2</c:v>
                </c:pt>
                <c:pt idx="242">
                  <c:v>-7.028550645571922E-3</c:v>
                </c:pt>
                <c:pt idx="243">
                  <c:v>3.030941240030401E-3</c:v>
                </c:pt>
                <c:pt idx="244">
                  <c:v>-1.4652449378297942E-3</c:v>
                </c:pt>
                <c:pt idx="245">
                  <c:v>2.9567324175447419E-2</c:v>
                </c:pt>
                <c:pt idx="246">
                  <c:v>-0.11011308791730862</c:v>
                </c:pt>
                <c:pt idx="247">
                  <c:v>8.391252500960468E-2</c:v>
                </c:pt>
                <c:pt idx="248">
                  <c:v>8.1752523694882638E-3</c:v>
                </c:pt>
                <c:pt idx="249">
                  <c:v>-1.9761023116926995E-2</c:v>
                </c:pt>
                <c:pt idx="250">
                  <c:v>7.5937751817745675E-2</c:v>
                </c:pt>
                <c:pt idx="251">
                  <c:v>-3.5477419131398492E-2</c:v>
                </c:pt>
                <c:pt idx="252">
                  <c:v>5.9044780674784671E-2</c:v>
                </c:pt>
                <c:pt idx="253">
                  <c:v>-8.8000949345629617E-2</c:v>
                </c:pt>
                <c:pt idx="254">
                  <c:v>5.2758518132981394E-2</c:v>
                </c:pt>
                <c:pt idx="255">
                  <c:v>3.8478685977372751E-2</c:v>
                </c:pt>
                <c:pt idx="256">
                  <c:v>5.4204320363175747E-2</c:v>
                </c:pt>
                <c:pt idx="257">
                  <c:v>-9.7697673480908034E-2</c:v>
                </c:pt>
                <c:pt idx="258">
                  <c:v>5.4964697470730184E-3</c:v>
                </c:pt>
                <c:pt idx="259">
                  <c:v>6.0539531576374386E-2</c:v>
                </c:pt>
                <c:pt idx="260">
                  <c:v>-2.7950987294243855E-2</c:v>
                </c:pt>
                <c:pt idx="261">
                  <c:v>4.0640277286796977E-2</c:v>
                </c:pt>
                <c:pt idx="262">
                  <c:v>-1.2477784820352212E-2</c:v>
                </c:pt>
                <c:pt idx="263">
                  <c:v>-6.3902977216761678E-2</c:v>
                </c:pt>
                <c:pt idx="264">
                  <c:v>4.2873660058079091E-2</c:v>
                </c:pt>
                <c:pt idx="265">
                  <c:v>1.8993515562220952E-3</c:v>
                </c:pt>
                <c:pt idx="266">
                  <c:v>1.8095413741191408E-2</c:v>
                </c:pt>
                <c:pt idx="267">
                  <c:v>-1.859107224103938E-2</c:v>
                </c:pt>
                <c:pt idx="268">
                  <c:v>3.1001163294828705E-2</c:v>
                </c:pt>
                <c:pt idx="269">
                  <c:v>0.26222307343211992</c:v>
                </c:pt>
                <c:pt idx="270">
                  <c:v>-0.21934147419531472</c:v>
                </c:pt>
                <c:pt idx="271">
                  <c:v>3.6676159651153947E-3</c:v>
                </c:pt>
                <c:pt idx="272">
                  <c:v>-2.2923034176160043E-2</c:v>
                </c:pt>
                <c:pt idx="273">
                  <c:v>-2.5567777878313921E-2</c:v>
                </c:pt>
                <c:pt idx="274">
                  <c:v>-1.4149587672171741E-3</c:v>
                </c:pt>
                <c:pt idx="275">
                  <c:v>-7.8552925808665613E-3</c:v>
                </c:pt>
                <c:pt idx="276">
                  <c:v>-2.2739343303832437E-2</c:v>
                </c:pt>
                <c:pt idx="277">
                  <c:v>3.9307472392974253E-2</c:v>
                </c:pt>
                <c:pt idx="278">
                  <c:v>-1.4210824658461241E-2</c:v>
                </c:pt>
                <c:pt idx="279">
                  <c:v>-3.1233980716683235E-2</c:v>
                </c:pt>
                <c:pt idx="280">
                  <c:v>7.1015773102902469E-2</c:v>
                </c:pt>
                <c:pt idx="281">
                  <c:v>-1.1071204557366626E-2</c:v>
                </c:pt>
                <c:pt idx="282">
                  <c:v>-3.2764380574223789E-2</c:v>
                </c:pt>
                <c:pt idx="283">
                  <c:v>-1.7556939909363252E-2</c:v>
                </c:pt>
                <c:pt idx="284">
                  <c:v>3.3345829256919236E-2</c:v>
                </c:pt>
                <c:pt idx="285">
                  <c:v>-1.2427443901748426E-2</c:v>
                </c:pt>
                <c:pt idx="286">
                  <c:v>-2.5754514543752213E-2</c:v>
                </c:pt>
                <c:pt idx="287">
                  <c:v>4.3366103534215585E-2</c:v>
                </c:pt>
                <c:pt idx="288">
                  <c:v>-4.2017584451642755E-2</c:v>
                </c:pt>
                <c:pt idx="289">
                  <c:v>-2.1714028090223628E-3</c:v>
                </c:pt>
                <c:pt idx="290">
                  <c:v>5.3877611238410505E-2</c:v>
                </c:pt>
                <c:pt idx="291">
                  <c:v>-2.8847037207165825E-2</c:v>
                </c:pt>
                <c:pt idx="292">
                  <c:v>-5.6916721849083973E-2</c:v>
                </c:pt>
                <c:pt idx="293">
                  <c:v>4.1274193240222398E-2</c:v>
                </c:pt>
                <c:pt idx="294">
                  <c:v>5.2431914200654134E-3</c:v>
                </c:pt>
                <c:pt idx="295">
                  <c:v>-1.4064068631924796E-2</c:v>
                </c:pt>
                <c:pt idx="296">
                  <c:v>8.4046876301733797E-2</c:v>
                </c:pt>
                <c:pt idx="297">
                  <c:v>-7.4776809539871147E-2</c:v>
                </c:pt>
                <c:pt idx="298">
                  <c:v>8.0617250338020242E-3</c:v>
                </c:pt>
                <c:pt idx="299">
                  <c:v>-2.0096131837949189E-3</c:v>
                </c:pt>
                <c:pt idx="300">
                  <c:v>1.7448660847388435E-2</c:v>
                </c:pt>
                <c:pt idx="301">
                  <c:v>6.7623920834930008E-4</c:v>
                </c:pt>
                <c:pt idx="302">
                  <c:v>2.703128871668957E-4</c:v>
                </c:pt>
                <c:pt idx="303">
                  <c:v>1.6799909920054048E-3</c:v>
                </c:pt>
                <c:pt idx="304">
                  <c:v>7.1713774404446082E-2</c:v>
                </c:pt>
                <c:pt idx="305">
                  <c:v>-8.1263871582188993E-2</c:v>
                </c:pt>
                <c:pt idx="306">
                  <c:v>2.1116276520929043E-2</c:v>
                </c:pt>
                <c:pt idx="307">
                  <c:v>2.0554377867818715E-2</c:v>
                </c:pt>
                <c:pt idx="308">
                  <c:v>6.8317864310817799E-3</c:v>
                </c:pt>
                <c:pt idx="309">
                  <c:v>-4.8311912150663527E-4</c:v>
                </c:pt>
                <c:pt idx="310">
                  <c:v>4.4664396505926511E-2</c:v>
                </c:pt>
                <c:pt idx="311">
                  <c:v>-5.8344414200739464E-2</c:v>
                </c:pt>
                <c:pt idx="312">
                  <c:v>3.6448788434127466E-2</c:v>
                </c:pt>
                <c:pt idx="313">
                  <c:v>3.6379943623473139E-2</c:v>
                </c:pt>
                <c:pt idx="314">
                  <c:v>-1.3047169267034262E-2</c:v>
                </c:pt>
                <c:pt idx="315">
                  <c:v>4.6598633774823373E-3</c:v>
                </c:pt>
                <c:pt idx="316">
                  <c:v>1.1080263332890012E-2</c:v>
                </c:pt>
                <c:pt idx="317">
                  <c:v>-3.5716928237296219E-2</c:v>
                </c:pt>
                <c:pt idx="318">
                  <c:v>4.0595093462923885E-2</c:v>
                </c:pt>
                <c:pt idx="319">
                  <c:v>2.9740934340537796E-3</c:v>
                </c:pt>
                <c:pt idx="320">
                  <c:v>-2.0875368617103835E-2</c:v>
                </c:pt>
                <c:pt idx="321">
                  <c:v>-3.3663853697809554E-2</c:v>
                </c:pt>
                <c:pt idx="322">
                  <c:v>2.9332665668046605E-2</c:v>
                </c:pt>
                <c:pt idx="323">
                  <c:v>-3.9505468697577671E-2</c:v>
                </c:pt>
                <c:pt idx="324">
                  <c:v>-2.4333269294584067E-2</c:v>
                </c:pt>
                <c:pt idx="325">
                  <c:v>4.2912443221230223E-2</c:v>
                </c:pt>
                <c:pt idx="326">
                  <c:v>-3.9112785568390519E-2</c:v>
                </c:pt>
                <c:pt idx="327">
                  <c:v>-2.8803772624358615E-2</c:v>
                </c:pt>
                <c:pt idx="328">
                  <c:v>9.5365529545381397E-3</c:v>
                </c:pt>
                <c:pt idx="329">
                  <c:v>2.5898074724553979E-2</c:v>
                </c:pt>
                <c:pt idx="330">
                  <c:v>-3.0767318270814555E-3</c:v>
                </c:pt>
                <c:pt idx="331">
                  <c:v>-1.1565558950059231E-2</c:v>
                </c:pt>
                <c:pt idx="332">
                  <c:v>4.6226835894732574E-3</c:v>
                </c:pt>
                <c:pt idx="333">
                  <c:v>-4.5727099450611056E-2</c:v>
                </c:pt>
                <c:pt idx="334">
                  <c:v>1.1960766804994853E-2</c:v>
                </c:pt>
                <c:pt idx="335">
                  <c:v>4.7495866693912432E-2</c:v>
                </c:pt>
                <c:pt idx="336">
                  <c:v>2.6322206507619121E-2</c:v>
                </c:pt>
                <c:pt idx="337">
                  <c:v>-0.13551026403096489</c:v>
                </c:pt>
                <c:pt idx="338">
                  <c:v>-0.20482313023750867</c:v>
                </c:pt>
                <c:pt idx="339">
                  <c:v>0.12727958273110035</c:v>
                </c:pt>
                <c:pt idx="340">
                  <c:v>0.10809213753735004</c:v>
                </c:pt>
                <c:pt idx="341">
                  <c:v>9.6929175847947927E-2</c:v>
                </c:pt>
                <c:pt idx="342">
                  <c:v>1.3965263413761631E-2</c:v>
                </c:pt>
                <c:pt idx="343">
                  <c:v>2.038573224898908E-2</c:v>
                </c:pt>
                <c:pt idx="344">
                  <c:v>1.8360498774341403E-2</c:v>
                </c:pt>
                <c:pt idx="345">
                  <c:v>-5.5063442662197752E-3</c:v>
                </c:pt>
                <c:pt idx="346">
                  <c:v>1.3087057381713136E-2</c:v>
                </c:pt>
                <c:pt idx="347">
                  <c:v>2.5162015034995249E-2</c:v>
                </c:pt>
                <c:pt idx="348">
                  <c:v>8.218000370863607E-4</c:v>
                </c:pt>
                <c:pt idx="349">
                  <c:v>1.6477246409156179E-2</c:v>
                </c:pt>
                <c:pt idx="350">
                  <c:v>-1.9992377543580565E-2</c:v>
                </c:pt>
                <c:pt idx="351">
                  <c:v>2.1046980546655054E-2</c:v>
                </c:pt>
                <c:pt idx="352">
                  <c:v>1.7723405576600633E-2</c:v>
                </c:pt>
                <c:pt idx="353">
                  <c:v>3.7221449317810158E-3</c:v>
                </c:pt>
                <c:pt idx="354">
                  <c:v>1.5546666342440049E-2</c:v>
                </c:pt>
                <c:pt idx="355">
                  <c:v>-1.4877662355284005E-2</c:v>
                </c:pt>
                <c:pt idx="356">
                  <c:v>1.4802571612605278E-2</c:v>
                </c:pt>
                <c:pt idx="357">
                  <c:v>1.4255318299581243E-2</c:v>
                </c:pt>
                <c:pt idx="358">
                  <c:v>9.406708281839149E-3</c:v>
                </c:pt>
                <c:pt idx="359">
                  <c:v>3.0772350115415809E-2</c:v>
                </c:pt>
                <c:pt idx="360">
                  <c:v>-7.0435322065699286E-3</c:v>
                </c:pt>
                <c:pt idx="361">
                  <c:v>6.7201536035109378E-3</c:v>
                </c:pt>
                <c:pt idx="362">
                  <c:v>4.2307139235141416E-3</c:v>
                </c:pt>
                <c:pt idx="363">
                  <c:v>8.1280899553840581E-3</c:v>
                </c:pt>
                <c:pt idx="364">
                  <c:v>2.2569178381732346E-2</c:v>
                </c:pt>
                <c:pt idx="365">
                  <c:v>-1.345171820112512E-3</c:v>
                </c:pt>
                <c:pt idx="366">
                  <c:v>2.3352598617145492E-3</c:v>
                </c:pt>
                <c:pt idx="367">
                  <c:v>2.0376787990111049E-3</c:v>
                </c:pt>
                <c:pt idx="368">
                  <c:v>7.1683934708216867E-3</c:v>
                </c:pt>
                <c:pt idx="369">
                  <c:v>-2.132317289391604E-2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841E-4930-92DA-479F547F52D2}"/>
            </c:ext>
          </c:extLst>
        </c:ser>
        <c:dLbls>
          <c:showLegendKey val="0"/>
          <c:showVal val="0"/>
          <c:showCatName val="0"/>
          <c:showSerName val="0"/>
          <c:showPercent val="0"/>
          <c:showBubbleSize val="0"/>
        </c:dLbls>
        <c:gapWidth val="219"/>
        <c:overlap val="-27"/>
        <c:axId val="504147584"/>
        <c:axId val="504147976"/>
      </c:barChart>
      <c:dateAx>
        <c:axId val="504147584"/>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976"/>
        <c:crosses val="autoZero"/>
        <c:auto val="0"/>
        <c:lblOffset val="100"/>
        <c:baseTimeUnit val="months"/>
      </c:dateAx>
      <c:valAx>
        <c:axId val="504147976"/>
        <c:scaling>
          <c:orientation val="minMax"/>
          <c:max val="0.2"/>
          <c:min val="-0.2"/>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58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'New Orders'!$C$5</c:f>
              <c:strCache>
                <c:ptCount val="1"/>
                <c:pt idx="0">
                  <c:v>mom %</c:v>
                </c:pt>
              </c:strCache>
            </c:strRef>
          </c:tx>
          <c:spPr>
            <a:solidFill>
              <a:srgbClr val="92D050"/>
            </a:solidFill>
            <a:ln w="6350">
              <a:solidFill>
                <a:schemeClr val="tx1"/>
              </a:solidFill>
              <a:prstDash val="solid"/>
            </a:ln>
          </c:spPr>
          <c:invertIfNegative val="1"/>
          <c:cat>
            <c:numRef>
              <c:f>'New Orders'!$A$251:$A$376</c:f>
              <c:numCache>
                <c:formatCode>m/d/yyyy</c:formatCode>
                <c:ptCount val="126"/>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pt idx="115">
                  <c:v>44593</c:v>
                </c:pt>
                <c:pt idx="116">
                  <c:v>44621</c:v>
                </c:pt>
                <c:pt idx="117">
                  <c:v>44652</c:v>
                </c:pt>
                <c:pt idx="118">
                  <c:v>44682</c:v>
                </c:pt>
                <c:pt idx="119">
                  <c:v>44713</c:v>
                </c:pt>
                <c:pt idx="120">
                  <c:v>44743</c:v>
                </c:pt>
                <c:pt idx="121">
                  <c:v>44774</c:v>
                </c:pt>
                <c:pt idx="122">
                  <c:v>44805</c:v>
                </c:pt>
                <c:pt idx="123">
                  <c:v>44835</c:v>
                </c:pt>
                <c:pt idx="124">
                  <c:v>44866</c:v>
                </c:pt>
              </c:numCache>
            </c:numRef>
          </c:cat>
          <c:val>
            <c:numRef>
              <c:f>'New Orders'!$C$251:$C$376</c:f>
              <c:numCache>
                <c:formatCode>0.0%</c:formatCode>
                <c:ptCount val="126"/>
                <c:pt idx="0">
                  <c:v>2.9567324175447419E-2</c:v>
                </c:pt>
                <c:pt idx="1">
                  <c:v>-0.11011308791730862</c:v>
                </c:pt>
                <c:pt idx="2">
                  <c:v>8.391252500960468E-2</c:v>
                </c:pt>
                <c:pt idx="3">
                  <c:v>8.1752523694882638E-3</c:v>
                </c:pt>
                <c:pt idx="4">
                  <c:v>-1.9761023116926995E-2</c:v>
                </c:pt>
                <c:pt idx="5">
                  <c:v>7.5937751817745675E-2</c:v>
                </c:pt>
                <c:pt idx="6">
                  <c:v>-3.5477419131398492E-2</c:v>
                </c:pt>
                <c:pt idx="7">
                  <c:v>5.9044780674784671E-2</c:v>
                </c:pt>
                <c:pt idx="8">
                  <c:v>-8.8000949345629617E-2</c:v>
                </c:pt>
                <c:pt idx="9">
                  <c:v>5.2758518132981394E-2</c:v>
                </c:pt>
                <c:pt idx="10">
                  <c:v>3.8478685977372751E-2</c:v>
                </c:pt>
                <c:pt idx="11">
                  <c:v>5.4204320363175747E-2</c:v>
                </c:pt>
                <c:pt idx="12">
                  <c:v>-9.7697673480908034E-2</c:v>
                </c:pt>
                <c:pt idx="13">
                  <c:v>5.4964697470730184E-3</c:v>
                </c:pt>
                <c:pt idx="14">
                  <c:v>6.0539531576374386E-2</c:v>
                </c:pt>
                <c:pt idx="15">
                  <c:v>-2.7950987294243855E-2</c:v>
                </c:pt>
                <c:pt idx="16">
                  <c:v>4.0640277286796977E-2</c:v>
                </c:pt>
                <c:pt idx="17">
                  <c:v>-1.2477784820352212E-2</c:v>
                </c:pt>
                <c:pt idx="18">
                  <c:v>-6.3902977216761678E-2</c:v>
                </c:pt>
                <c:pt idx="19">
                  <c:v>4.2873660058079091E-2</c:v>
                </c:pt>
                <c:pt idx="20">
                  <c:v>1.8993515562220952E-3</c:v>
                </c:pt>
                <c:pt idx="21">
                  <c:v>1.8095413741191408E-2</c:v>
                </c:pt>
                <c:pt idx="22">
                  <c:v>-1.859107224103938E-2</c:v>
                </c:pt>
                <c:pt idx="23">
                  <c:v>3.1001163294828705E-2</c:v>
                </c:pt>
                <c:pt idx="24">
                  <c:v>0.26222307343211992</c:v>
                </c:pt>
                <c:pt idx="25">
                  <c:v>-0.21934147419531472</c:v>
                </c:pt>
                <c:pt idx="26">
                  <c:v>3.6676159651153947E-3</c:v>
                </c:pt>
                <c:pt idx="27">
                  <c:v>-2.2923034176160043E-2</c:v>
                </c:pt>
                <c:pt idx="28">
                  <c:v>-2.5567777878313921E-2</c:v>
                </c:pt>
                <c:pt idx="29">
                  <c:v>-1.4149587672171741E-3</c:v>
                </c:pt>
                <c:pt idx="30">
                  <c:v>-7.8552925808665613E-3</c:v>
                </c:pt>
                <c:pt idx="31">
                  <c:v>-2.2739343303832437E-2</c:v>
                </c:pt>
                <c:pt idx="32">
                  <c:v>3.9307472392974253E-2</c:v>
                </c:pt>
                <c:pt idx="33">
                  <c:v>-1.4210824658461241E-2</c:v>
                </c:pt>
                <c:pt idx="34">
                  <c:v>-3.1233980716683235E-2</c:v>
                </c:pt>
                <c:pt idx="35">
                  <c:v>7.1015773102902469E-2</c:v>
                </c:pt>
                <c:pt idx="36">
                  <c:v>-1.1071204557366626E-2</c:v>
                </c:pt>
                <c:pt idx="37">
                  <c:v>-3.2764380574223789E-2</c:v>
                </c:pt>
                <c:pt idx="38">
                  <c:v>-1.7556939909363252E-2</c:v>
                </c:pt>
                <c:pt idx="39">
                  <c:v>3.3345829256919236E-2</c:v>
                </c:pt>
                <c:pt idx="40">
                  <c:v>-1.2427443901748426E-2</c:v>
                </c:pt>
                <c:pt idx="41">
                  <c:v>-2.5754514543752213E-2</c:v>
                </c:pt>
                <c:pt idx="42">
                  <c:v>4.3366103534215585E-2</c:v>
                </c:pt>
                <c:pt idx="43">
                  <c:v>-4.2017584451642755E-2</c:v>
                </c:pt>
                <c:pt idx="44">
                  <c:v>-2.1714028090223628E-3</c:v>
                </c:pt>
                <c:pt idx="45">
                  <c:v>5.3877611238410505E-2</c:v>
                </c:pt>
                <c:pt idx="46">
                  <c:v>-2.8847037207165825E-2</c:v>
                </c:pt>
                <c:pt idx="47">
                  <c:v>-5.6916721849083973E-2</c:v>
                </c:pt>
                <c:pt idx="48">
                  <c:v>4.1274193240222398E-2</c:v>
                </c:pt>
                <c:pt idx="49">
                  <c:v>5.2431914200654134E-3</c:v>
                </c:pt>
                <c:pt idx="50">
                  <c:v>-1.4064068631924796E-2</c:v>
                </c:pt>
                <c:pt idx="51">
                  <c:v>8.4046876301733797E-2</c:v>
                </c:pt>
                <c:pt idx="52">
                  <c:v>-7.4776809539871147E-2</c:v>
                </c:pt>
                <c:pt idx="53">
                  <c:v>8.0617250338020242E-3</c:v>
                </c:pt>
                <c:pt idx="54">
                  <c:v>-2.0096131837949189E-3</c:v>
                </c:pt>
                <c:pt idx="55">
                  <c:v>1.7448660847388435E-2</c:v>
                </c:pt>
                <c:pt idx="56">
                  <c:v>6.7623920834930008E-4</c:v>
                </c:pt>
                <c:pt idx="57">
                  <c:v>2.703128871668957E-4</c:v>
                </c:pt>
                <c:pt idx="58">
                  <c:v>1.6799909920054048E-3</c:v>
                </c:pt>
                <c:pt idx="59">
                  <c:v>7.1713774404446082E-2</c:v>
                </c:pt>
                <c:pt idx="60">
                  <c:v>-8.1263871582188993E-2</c:v>
                </c:pt>
                <c:pt idx="61">
                  <c:v>2.1116276520929043E-2</c:v>
                </c:pt>
                <c:pt idx="62">
                  <c:v>2.0554377867818715E-2</c:v>
                </c:pt>
                <c:pt idx="63">
                  <c:v>6.8317864310817799E-3</c:v>
                </c:pt>
                <c:pt idx="64">
                  <c:v>-4.8311912150663527E-4</c:v>
                </c:pt>
                <c:pt idx="65">
                  <c:v>4.4664396505926511E-2</c:v>
                </c:pt>
                <c:pt idx="66">
                  <c:v>-5.8344414200739464E-2</c:v>
                </c:pt>
                <c:pt idx="67">
                  <c:v>3.6448788434127466E-2</c:v>
                </c:pt>
                <c:pt idx="68">
                  <c:v>3.6379943623473139E-2</c:v>
                </c:pt>
                <c:pt idx="69">
                  <c:v>-1.3047169267034262E-2</c:v>
                </c:pt>
                <c:pt idx="70">
                  <c:v>4.6598633774823373E-3</c:v>
                </c:pt>
                <c:pt idx="71">
                  <c:v>1.1080263332890012E-2</c:v>
                </c:pt>
                <c:pt idx="72">
                  <c:v>-3.5716928237296219E-2</c:v>
                </c:pt>
                <c:pt idx="73">
                  <c:v>4.0595093462923885E-2</c:v>
                </c:pt>
                <c:pt idx="74">
                  <c:v>2.9740934340537796E-3</c:v>
                </c:pt>
                <c:pt idx="75">
                  <c:v>-2.0875368617103835E-2</c:v>
                </c:pt>
                <c:pt idx="76">
                  <c:v>-3.3663853697809554E-2</c:v>
                </c:pt>
                <c:pt idx="77">
                  <c:v>2.9332665668046605E-2</c:v>
                </c:pt>
                <c:pt idx="78">
                  <c:v>-3.9505468697577671E-2</c:v>
                </c:pt>
                <c:pt idx="79">
                  <c:v>-2.4333269294584067E-2</c:v>
                </c:pt>
                <c:pt idx="80">
                  <c:v>4.2912443221230223E-2</c:v>
                </c:pt>
                <c:pt idx="81">
                  <c:v>-3.9112785568390519E-2</c:v>
                </c:pt>
                <c:pt idx="82">
                  <c:v>-2.8803772624358615E-2</c:v>
                </c:pt>
                <c:pt idx="83">
                  <c:v>9.5365529545381397E-3</c:v>
                </c:pt>
                <c:pt idx="84">
                  <c:v>2.5898074724553979E-2</c:v>
                </c:pt>
                <c:pt idx="85">
                  <c:v>-3.0767318270814555E-3</c:v>
                </c:pt>
                <c:pt idx="86">
                  <c:v>-1.1565558950059231E-2</c:v>
                </c:pt>
                <c:pt idx="87">
                  <c:v>4.6226835894732574E-3</c:v>
                </c:pt>
                <c:pt idx="88">
                  <c:v>-4.5727099450611056E-2</c:v>
                </c:pt>
                <c:pt idx="89">
                  <c:v>1.1960766804994853E-2</c:v>
                </c:pt>
                <c:pt idx="90">
                  <c:v>4.7495866693912432E-2</c:v>
                </c:pt>
                <c:pt idx="91">
                  <c:v>2.6322206507619121E-2</c:v>
                </c:pt>
                <c:pt idx="92">
                  <c:v>-0.13551026403096489</c:v>
                </c:pt>
                <c:pt idx="93">
                  <c:v>-0.20482313023750867</c:v>
                </c:pt>
                <c:pt idx="94">
                  <c:v>0.12727958273110035</c:v>
                </c:pt>
                <c:pt idx="95">
                  <c:v>0.10809213753735004</c:v>
                </c:pt>
                <c:pt idx="96">
                  <c:v>9.6929175847947927E-2</c:v>
                </c:pt>
                <c:pt idx="97">
                  <c:v>1.3965263413761631E-2</c:v>
                </c:pt>
                <c:pt idx="98">
                  <c:v>2.038573224898908E-2</c:v>
                </c:pt>
                <c:pt idx="99">
                  <c:v>1.8360498774341403E-2</c:v>
                </c:pt>
                <c:pt idx="100">
                  <c:v>-5.5063442662197752E-3</c:v>
                </c:pt>
                <c:pt idx="101">
                  <c:v>1.3087057381713136E-2</c:v>
                </c:pt>
                <c:pt idx="102">
                  <c:v>2.5162015034995249E-2</c:v>
                </c:pt>
                <c:pt idx="103">
                  <c:v>8.218000370863607E-4</c:v>
                </c:pt>
                <c:pt idx="104">
                  <c:v>1.6477246409156179E-2</c:v>
                </c:pt>
                <c:pt idx="105">
                  <c:v>-1.9992377543580565E-2</c:v>
                </c:pt>
                <c:pt idx="106">
                  <c:v>2.1046980546655054E-2</c:v>
                </c:pt>
                <c:pt idx="107">
                  <c:v>1.7723405576600633E-2</c:v>
                </c:pt>
                <c:pt idx="108">
                  <c:v>3.7221449317810158E-3</c:v>
                </c:pt>
                <c:pt idx="109">
                  <c:v>1.5546666342440049E-2</c:v>
                </c:pt>
                <c:pt idx="110">
                  <c:v>-1.4877662355284005E-2</c:v>
                </c:pt>
                <c:pt idx="111">
                  <c:v>1.4802571612605278E-2</c:v>
                </c:pt>
                <c:pt idx="112">
                  <c:v>1.4255318299581243E-2</c:v>
                </c:pt>
                <c:pt idx="113">
                  <c:v>9.406708281839149E-3</c:v>
                </c:pt>
                <c:pt idx="114">
                  <c:v>3.0772350115415809E-2</c:v>
                </c:pt>
                <c:pt idx="115">
                  <c:v>-7.0435322065699286E-3</c:v>
                </c:pt>
                <c:pt idx="116">
                  <c:v>6.7201536035109378E-3</c:v>
                </c:pt>
                <c:pt idx="117">
                  <c:v>4.2307139235141416E-3</c:v>
                </c:pt>
                <c:pt idx="118">
                  <c:v>8.1280899553840581E-3</c:v>
                </c:pt>
                <c:pt idx="119">
                  <c:v>2.2569178381732346E-2</c:v>
                </c:pt>
                <c:pt idx="120">
                  <c:v>-1.345171820112512E-3</c:v>
                </c:pt>
                <c:pt idx="121">
                  <c:v>2.3352598617145492E-3</c:v>
                </c:pt>
                <c:pt idx="122">
                  <c:v>2.0376787990111049E-3</c:v>
                </c:pt>
                <c:pt idx="123">
                  <c:v>7.1683934708216867E-3</c:v>
                </c:pt>
                <c:pt idx="124">
                  <c:v>-2.132317289391604E-2</c:v>
                </c:pt>
              </c:numCache>
            </c:numRef>
          </c:val>
          <c:extLst>
            <c:ext xmlns:c14="http://schemas.microsoft.com/office/drawing/2007/8/2/chart" uri="{6F2FDCE9-48DA-4B69-8628-5D25D57E5C99}">
              <c14:invertSolidFillFmt>
                <c14:spPr xmlns:c14="http://schemas.microsoft.com/office/drawing/2007/8/2/chart">
                  <a:solidFill>
                    <a:srgbClr val="FFFFFF"/>
                  </a:solidFill>
                  <a:ln w="6350">
                    <a:solidFill>
                      <a:schemeClr val="tx1"/>
                    </a:solidFill>
                    <a:prstDash val="solid"/>
                  </a:ln>
                </c14:spPr>
              </c14:invertSolidFillFmt>
            </c:ext>
            <c:ext xmlns:c16="http://schemas.microsoft.com/office/drawing/2014/chart" uri="{C3380CC4-5D6E-409C-BE32-E72D297353CC}">
              <c16:uniqueId val="{00000000-BF6E-4CFC-99D0-8739EE4CDBA6}"/>
            </c:ext>
          </c:extLst>
        </c:ser>
        <c:dLbls>
          <c:showLegendKey val="0"/>
          <c:showVal val="0"/>
          <c:showCatName val="0"/>
          <c:showSerName val="0"/>
          <c:showPercent val="0"/>
          <c:showBubbleSize val="0"/>
        </c:dLbls>
        <c:gapWidth val="219"/>
        <c:overlap val="-27"/>
        <c:axId val="504150328"/>
        <c:axId val="504150720"/>
      </c:barChart>
      <c:dateAx>
        <c:axId val="504150328"/>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720"/>
        <c:crosses val="autoZero"/>
        <c:auto val="0"/>
        <c:lblOffset val="100"/>
        <c:baseTimeUnit val="months"/>
        <c:majorUnit val="6"/>
        <c:majorTimeUnit val="months"/>
      </c:dateAx>
      <c:valAx>
        <c:axId val="5041507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328"/>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r>
              <a:rPr lang="en-SG" baseline="0"/>
              <a:t> Since 2009</a:t>
            </a:r>
            <a:endParaRPr lang="en-SG"/>
          </a:p>
        </c:rich>
      </c:tx>
      <c:overlay val="0"/>
      <c:spPr>
        <a:noFill/>
        <a:ln>
          <a:noFill/>
          <a:prstDash val="solid"/>
        </a:ln>
      </c:spPr>
    </c:title>
    <c:autoTitleDeleted val="0"/>
    <c:plotArea>
      <c:layout/>
      <c:lineChart>
        <c:grouping val="standard"/>
        <c:varyColors val="0"/>
        <c:ser>
          <c:idx val="0"/>
          <c:order val="0"/>
          <c:tx>
            <c:strRef>
              <c:f>'New Orders'!$B$5</c:f>
              <c:strCache>
                <c:ptCount val="1"/>
                <c:pt idx="0">
                  <c:v>Manufacturers' New Orders: Durable Goods</c:v>
                </c:pt>
              </c:strCache>
            </c:strRef>
          </c:tx>
          <c:spPr>
            <a:ln w="28575" cap="rnd">
              <a:solidFill>
                <a:schemeClr val="accent1"/>
              </a:solidFill>
              <a:prstDash val="solid"/>
              <a:round/>
            </a:ln>
          </c:spPr>
          <c:marker>
            <c:symbol val="none"/>
          </c:marker>
          <c:cat>
            <c:numRef>
              <c:f>'New Orders'!$A$6:$A$375</c:f>
              <c:numCache>
                <c:formatCode>m/d/yyyy</c:formatCode>
                <c:ptCount val="370"/>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numCache>
            </c:numRef>
          </c:cat>
          <c:val>
            <c:numRef>
              <c:f>'New Orders'!$B$6:$B$375</c:f>
              <c:numCache>
                <c:formatCode>#,##0</c:formatCode>
                <c:ptCount val="370"/>
                <c:pt idx="0">
                  <c:v>114535</c:v>
                </c:pt>
                <c:pt idx="1">
                  <c:v>120025</c:v>
                </c:pt>
                <c:pt idx="2">
                  <c:v>124470</c:v>
                </c:pt>
                <c:pt idx="3">
                  <c:v>125822</c:v>
                </c:pt>
                <c:pt idx="4">
                  <c:v>122834</c:v>
                </c:pt>
                <c:pt idx="5">
                  <c:v>122590</c:v>
                </c:pt>
                <c:pt idx="6">
                  <c:v>120411</c:v>
                </c:pt>
                <c:pt idx="7">
                  <c:v>120711</c:v>
                </c:pt>
                <c:pt idx="8">
                  <c:v>127392</c:v>
                </c:pt>
                <c:pt idx="9">
                  <c:v>122374</c:v>
                </c:pt>
                <c:pt idx="10">
                  <c:v>126080</c:v>
                </c:pt>
                <c:pt idx="11">
                  <c:v>121637</c:v>
                </c:pt>
                <c:pt idx="12">
                  <c:v>128854</c:v>
                </c:pt>
                <c:pt idx="13">
                  <c:v>126762</c:v>
                </c:pt>
                <c:pt idx="14">
                  <c:v>127395</c:v>
                </c:pt>
                <c:pt idx="15">
                  <c:v>126529</c:v>
                </c:pt>
                <c:pt idx="16">
                  <c:v>130212</c:v>
                </c:pt>
                <c:pt idx="17">
                  <c:v>128111</c:v>
                </c:pt>
                <c:pt idx="18">
                  <c:v>129378</c:v>
                </c:pt>
                <c:pt idx="19">
                  <c:v>127233</c:v>
                </c:pt>
                <c:pt idx="20">
                  <c:v>133168</c:v>
                </c:pt>
                <c:pt idx="21">
                  <c:v>130391</c:v>
                </c:pt>
                <c:pt idx="22">
                  <c:v>133565</c:v>
                </c:pt>
                <c:pt idx="23">
                  <c:v>138498</c:v>
                </c:pt>
                <c:pt idx="24">
                  <c:v>137141</c:v>
                </c:pt>
                <c:pt idx="25">
                  <c:v>136548</c:v>
                </c:pt>
                <c:pt idx="26">
                  <c:v>140336</c:v>
                </c:pt>
                <c:pt idx="27">
                  <c:v>142630</c:v>
                </c:pt>
                <c:pt idx="28">
                  <c:v>145063</c:v>
                </c:pt>
                <c:pt idx="29">
                  <c:v>145013</c:v>
                </c:pt>
                <c:pt idx="30">
                  <c:v>145884</c:v>
                </c:pt>
                <c:pt idx="31">
                  <c:v>145487</c:v>
                </c:pt>
                <c:pt idx="32">
                  <c:v>149547</c:v>
                </c:pt>
                <c:pt idx="33">
                  <c:v>150038</c:v>
                </c:pt>
                <c:pt idx="34">
                  <c:v>152489</c:v>
                </c:pt>
                <c:pt idx="35">
                  <c:v>150459</c:v>
                </c:pt>
                <c:pt idx="36">
                  <c:v>153856</c:v>
                </c:pt>
                <c:pt idx="37">
                  <c:v>152888</c:v>
                </c:pt>
                <c:pt idx="38">
                  <c:v>151401</c:v>
                </c:pt>
                <c:pt idx="39">
                  <c:v>152838</c:v>
                </c:pt>
                <c:pt idx="40">
                  <c:v>150051</c:v>
                </c:pt>
                <c:pt idx="41">
                  <c:v>148915</c:v>
                </c:pt>
                <c:pt idx="42">
                  <c:v>154372</c:v>
                </c:pt>
                <c:pt idx="43">
                  <c:v>160175</c:v>
                </c:pt>
                <c:pt idx="44">
                  <c:v>155473</c:v>
                </c:pt>
                <c:pt idx="45">
                  <c:v>156146</c:v>
                </c:pt>
                <c:pt idx="46">
                  <c:v>163279</c:v>
                </c:pt>
                <c:pt idx="47">
                  <c:v>155806</c:v>
                </c:pt>
                <c:pt idx="48">
                  <c:v>150773</c:v>
                </c:pt>
                <c:pt idx="49">
                  <c:v>164976</c:v>
                </c:pt>
                <c:pt idx="50">
                  <c:v>156830</c:v>
                </c:pt>
                <c:pt idx="51">
                  <c:v>164502</c:v>
                </c:pt>
                <c:pt idx="52">
                  <c:v>164599</c:v>
                </c:pt>
                <c:pt idx="53">
                  <c:v>163588</c:v>
                </c:pt>
                <c:pt idx="54">
                  <c:v>157310</c:v>
                </c:pt>
                <c:pt idx="55">
                  <c:v>165442</c:v>
                </c:pt>
                <c:pt idx="56">
                  <c:v>165266</c:v>
                </c:pt>
                <c:pt idx="57">
                  <c:v>170783</c:v>
                </c:pt>
                <c:pt idx="58">
                  <c:v>162332</c:v>
                </c:pt>
                <c:pt idx="59">
                  <c:v>161827</c:v>
                </c:pt>
                <c:pt idx="60">
                  <c:v>170221</c:v>
                </c:pt>
                <c:pt idx="61">
                  <c:v>167568</c:v>
                </c:pt>
                <c:pt idx="62">
                  <c:v>174054</c:v>
                </c:pt>
                <c:pt idx="63">
                  <c:v>168586</c:v>
                </c:pt>
                <c:pt idx="64">
                  <c:v>174828</c:v>
                </c:pt>
                <c:pt idx="65">
                  <c:v>178860</c:v>
                </c:pt>
                <c:pt idx="66">
                  <c:v>177302</c:v>
                </c:pt>
                <c:pt idx="67">
                  <c:v>177835</c:v>
                </c:pt>
                <c:pt idx="68">
                  <c:v>177801</c:v>
                </c:pt>
                <c:pt idx="69">
                  <c:v>191187</c:v>
                </c:pt>
                <c:pt idx="70">
                  <c:v>173770</c:v>
                </c:pt>
                <c:pt idx="71">
                  <c:v>174288</c:v>
                </c:pt>
                <c:pt idx="72">
                  <c:v>181270</c:v>
                </c:pt>
                <c:pt idx="73">
                  <c:v>176886</c:v>
                </c:pt>
                <c:pt idx="74">
                  <c:v>180915</c:v>
                </c:pt>
                <c:pt idx="75">
                  <c:v>180634</c:v>
                </c:pt>
                <c:pt idx="76">
                  <c:v>172189</c:v>
                </c:pt>
                <c:pt idx="77">
                  <c:v>170459</c:v>
                </c:pt>
                <c:pt idx="78">
                  <c:v>179033</c:v>
                </c:pt>
                <c:pt idx="79">
                  <c:v>181422</c:v>
                </c:pt>
                <c:pt idx="80">
                  <c:v>178527</c:v>
                </c:pt>
                <c:pt idx="81">
                  <c:v>182400</c:v>
                </c:pt>
                <c:pt idx="82">
                  <c:v>178424</c:v>
                </c:pt>
                <c:pt idx="83">
                  <c:v>186527</c:v>
                </c:pt>
                <c:pt idx="84">
                  <c:v>185546</c:v>
                </c:pt>
                <c:pt idx="85">
                  <c:v>184689</c:v>
                </c:pt>
                <c:pt idx="86">
                  <c:v>182993</c:v>
                </c:pt>
                <c:pt idx="87">
                  <c:v>185963</c:v>
                </c:pt>
                <c:pt idx="88">
                  <c:v>182590</c:v>
                </c:pt>
                <c:pt idx="89">
                  <c:v>189083</c:v>
                </c:pt>
                <c:pt idx="90">
                  <c:v>189414</c:v>
                </c:pt>
                <c:pt idx="91">
                  <c:v>188910</c:v>
                </c:pt>
                <c:pt idx="92">
                  <c:v>194547</c:v>
                </c:pt>
                <c:pt idx="93">
                  <c:v>186597</c:v>
                </c:pt>
                <c:pt idx="94">
                  <c:v>196344</c:v>
                </c:pt>
                <c:pt idx="95">
                  <c:v>201360</c:v>
                </c:pt>
                <c:pt idx="96">
                  <c:v>183911</c:v>
                </c:pt>
                <c:pt idx="97">
                  <c:v>192130</c:v>
                </c:pt>
                <c:pt idx="98">
                  <c:v>195044</c:v>
                </c:pt>
                <c:pt idx="99">
                  <c:v>188606</c:v>
                </c:pt>
                <c:pt idx="100">
                  <c:v>219745</c:v>
                </c:pt>
                <c:pt idx="101">
                  <c:v>189265</c:v>
                </c:pt>
                <c:pt idx="102">
                  <c:v>188730</c:v>
                </c:pt>
                <c:pt idx="103">
                  <c:v>199947</c:v>
                </c:pt>
                <c:pt idx="104">
                  <c:v>186158</c:v>
                </c:pt>
                <c:pt idx="105">
                  <c:v>189392</c:v>
                </c:pt>
                <c:pt idx="106">
                  <c:v>188659</c:v>
                </c:pt>
                <c:pt idx="107">
                  <c:v>177056</c:v>
                </c:pt>
                <c:pt idx="108">
                  <c:v>180276</c:v>
                </c:pt>
                <c:pt idx="109">
                  <c:v>182209</c:v>
                </c:pt>
                <c:pt idx="110">
                  <c:v>171850</c:v>
                </c:pt>
                <c:pt idx="111">
                  <c:v>177749</c:v>
                </c:pt>
                <c:pt idx="112">
                  <c:v>176350</c:v>
                </c:pt>
                <c:pt idx="113">
                  <c:v>170129</c:v>
                </c:pt>
                <c:pt idx="114">
                  <c:v>170484</c:v>
                </c:pt>
                <c:pt idx="115">
                  <c:v>164123</c:v>
                </c:pt>
                <c:pt idx="116">
                  <c:v>171530</c:v>
                </c:pt>
                <c:pt idx="117">
                  <c:v>163811</c:v>
                </c:pt>
                <c:pt idx="118">
                  <c:v>165304</c:v>
                </c:pt>
                <c:pt idx="119">
                  <c:v>163324</c:v>
                </c:pt>
                <c:pt idx="120">
                  <c:v>172406</c:v>
                </c:pt>
                <c:pt idx="121">
                  <c:v>167853</c:v>
                </c:pt>
                <c:pt idx="122">
                  <c:v>171852</c:v>
                </c:pt>
                <c:pt idx="123">
                  <c:v>171854</c:v>
                </c:pt>
                <c:pt idx="124">
                  <c:v>166070</c:v>
                </c:pt>
                <c:pt idx="125">
                  <c:v>174282</c:v>
                </c:pt>
                <c:pt idx="126">
                  <c:v>177126</c:v>
                </c:pt>
                <c:pt idx="127">
                  <c:v>166838</c:v>
                </c:pt>
                <c:pt idx="128">
                  <c:v>169134</c:v>
                </c:pt>
                <c:pt idx="129">
                  <c:v>170023</c:v>
                </c:pt>
                <c:pt idx="130">
                  <c:v>163962</c:v>
                </c:pt>
                <c:pt idx="131">
                  <c:v>169994</c:v>
                </c:pt>
                <c:pt idx="132">
                  <c:v>174113</c:v>
                </c:pt>
                <c:pt idx="133">
                  <c:v>172245</c:v>
                </c:pt>
                <c:pt idx="134">
                  <c:v>169347</c:v>
                </c:pt>
                <c:pt idx="135">
                  <c:v>171542</c:v>
                </c:pt>
                <c:pt idx="136">
                  <c:v>173507</c:v>
                </c:pt>
                <c:pt idx="137">
                  <c:v>173320</c:v>
                </c:pt>
                <c:pt idx="138">
                  <c:v>173044</c:v>
                </c:pt>
                <c:pt idx="139">
                  <c:v>178690</c:v>
                </c:pt>
                <c:pt idx="140">
                  <c:v>183704</c:v>
                </c:pt>
                <c:pt idx="141">
                  <c:v>181685</c:v>
                </c:pt>
                <c:pt idx="142">
                  <c:v>181513</c:v>
                </c:pt>
                <c:pt idx="143">
                  <c:v>178696</c:v>
                </c:pt>
                <c:pt idx="144">
                  <c:v>181662</c:v>
                </c:pt>
                <c:pt idx="145">
                  <c:v>190869</c:v>
                </c:pt>
                <c:pt idx="146">
                  <c:v>184368</c:v>
                </c:pt>
                <c:pt idx="147">
                  <c:v>183459</c:v>
                </c:pt>
                <c:pt idx="148">
                  <c:v>185640</c:v>
                </c:pt>
                <c:pt idx="149">
                  <c:v>186835</c:v>
                </c:pt>
                <c:pt idx="150">
                  <c:v>183728</c:v>
                </c:pt>
                <c:pt idx="151">
                  <c:v>188444</c:v>
                </c:pt>
                <c:pt idx="152">
                  <c:v>185187</c:v>
                </c:pt>
                <c:pt idx="153">
                  <c:v>192545</c:v>
                </c:pt>
                <c:pt idx="154">
                  <c:v>193578</c:v>
                </c:pt>
                <c:pt idx="155">
                  <c:v>194875</c:v>
                </c:pt>
                <c:pt idx="156">
                  <c:v>196475</c:v>
                </c:pt>
                <c:pt idx="157">
                  <c:v>186608</c:v>
                </c:pt>
                <c:pt idx="158">
                  <c:v>194847</c:v>
                </c:pt>
                <c:pt idx="159">
                  <c:v>206623</c:v>
                </c:pt>
                <c:pt idx="160">
                  <c:v>210020</c:v>
                </c:pt>
                <c:pt idx="161">
                  <c:v>194475</c:v>
                </c:pt>
                <c:pt idx="162">
                  <c:v>204839</c:v>
                </c:pt>
                <c:pt idx="163">
                  <c:v>203997</c:v>
                </c:pt>
                <c:pt idx="164">
                  <c:v>209901</c:v>
                </c:pt>
                <c:pt idx="165">
                  <c:v>220733</c:v>
                </c:pt>
                <c:pt idx="166">
                  <c:v>221499</c:v>
                </c:pt>
                <c:pt idx="167">
                  <c:v>209540</c:v>
                </c:pt>
                <c:pt idx="168">
                  <c:v>219738</c:v>
                </c:pt>
                <c:pt idx="169">
                  <c:v>227188</c:v>
                </c:pt>
                <c:pt idx="170">
                  <c:v>214625</c:v>
                </c:pt>
                <c:pt idx="171">
                  <c:v>215819</c:v>
                </c:pt>
                <c:pt idx="172">
                  <c:v>221220</c:v>
                </c:pt>
                <c:pt idx="173">
                  <c:v>209494</c:v>
                </c:pt>
                <c:pt idx="174">
                  <c:v>210473</c:v>
                </c:pt>
                <c:pt idx="175">
                  <c:v>234701</c:v>
                </c:pt>
                <c:pt idx="176">
                  <c:v>216952</c:v>
                </c:pt>
                <c:pt idx="177">
                  <c:v>224809</c:v>
                </c:pt>
                <c:pt idx="178">
                  <c:v>229243</c:v>
                </c:pt>
                <c:pt idx="179">
                  <c:v>222969</c:v>
                </c:pt>
                <c:pt idx="180">
                  <c:v>220962</c:v>
                </c:pt>
                <c:pt idx="181">
                  <c:v>229526</c:v>
                </c:pt>
                <c:pt idx="182">
                  <c:v>233420</c:v>
                </c:pt>
                <c:pt idx="183">
                  <c:v>228836</c:v>
                </c:pt>
                <c:pt idx="184">
                  <c:v>228868</c:v>
                </c:pt>
                <c:pt idx="185">
                  <c:v>233176</c:v>
                </c:pt>
                <c:pt idx="186">
                  <c:v>235758</c:v>
                </c:pt>
                <c:pt idx="187">
                  <c:v>226473</c:v>
                </c:pt>
                <c:pt idx="188">
                  <c:v>230700</c:v>
                </c:pt>
                <c:pt idx="189">
                  <c:v>227005</c:v>
                </c:pt>
                <c:pt idx="190">
                  <c:v>244443</c:v>
                </c:pt>
                <c:pt idx="191">
                  <c:v>239389</c:v>
                </c:pt>
                <c:pt idx="192">
                  <c:v>235037</c:v>
                </c:pt>
                <c:pt idx="193">
                  <c:v>234868</c:v>
                </c:pt>
                <c:pt idx="194">
                  <c:v>231086</c:v>
                </c:pt>
                <c:pt idx="195">
                  <c:v>227370</c:v>
                </c:pt>
                <c:pt idx="196">
                  <c:v>229262</c:v>
                </c:pt>
                <c:pt idx="197">
                  <c:v>220411</c:v>
                </c:pt>
                <c:pt idx="198">
                  <c:v>214106</c:v>
                </c:pt>
                <c:pt idx="199">
                  <c:v>215245</c:v>
                </c:pt>
                <c:pt idx="200">
                  <c:v>191912</c:v>
                </c:pt>
                <c:pt idx="201">
                  <c:v>181552</c:v>
                </c:pt>
                <c:pt idx="202">
                  <c:v>173849</c:v>
                </c:pt>
                <c:pt idx="203">
                  <c:v>151085</c:v>
                </c:pt>
                <c:pt idx="204">
                  <c:v>148834</c:v>
                </c:pt>
                <c:pt idx="205">
                  <c:v>146323</c:v>
                </c:pt>
                <c:pt idx="206">
                  <c:v>147467</c:v>
                </c:pt>
                <c:pt idx="207">
                  <c:v>149255</c:v>
                </c:pt>
                <c:pt idx="208">
                  <c:v>147033</c:v>
                </c:pt>
                <c:pt idx="209">
                  <c:v>153691</c:v>
                </c:pt>
                <c:pt idx="210">
                  <c:v>157489</c:v>
                </c:pt>
                <c:pt idx="211">
                  <c:v>158041</c:v>
                </c:pt>
                <c:pt idx="212">
                  <c:v>161097</c:v>
                </c:pt>
                <c:pt idx="213">
                  <c:v>160419</c:v>
                </c:pt>
                <c:pt idx="214">
                  <c:v>160520</c:v>
                </c:pt>
                <c:pt idx="215">
                  <c:v>181016</c:v>
                </c:pt>
                <c:pt idx="216">
                  <c:v>180450</c:v>
                </c:pt>
                <c:pt idx="217">
                  <c:v>182148</c:v>
                </c:pt>
                <c:pt idx="218">
                  <c:v>182948</c:v>
                </c:pt>
                <c:pt idx="219">
                  <c:v>189932</c:v>
                </c:pt>
                <c:pt idx="220">
                  <c:v>185667</c:v>
                </c:pt>
                <c:pt idx="221">
                  <c:v>187506</c:v>
                </c:pt>
                <c:pt idx="222">
                  <c:v>191745</c:v>
                </c:pt>
                <c:pt idx="223">
                  <c:v>201932</c:v>
                </c:pt>
                <c:pt idx="224">
                  <c:v>193066</c:v>
                </c:pt>
                <c:pt idx="225">
                  <c:v>197202</c:v>
                </c:pt>
                <c:pt idx="226">
                  <c:v>193452</c:v>
                </c:pt>
                <c:pt idx="227">
                  <c:v>203636</c:v>
                </c:pt>
                <c:pt idx="228">
                  <c:v>196393</c:v>
                </c:pt>
                <c:pt idx="229">
                  <c:v>212748</c:v>
                </c:pt>
                <c:pt idx="230">
                  <c:v>200733</c:v>
                </c:pt>
                <c:pt idx="231">
                  <c:v>207170</c:v>
                </c:pt>
                <c:pt idx="232">
                  <c:v>201579</c:v>
                </c:pt>
                <c:pt idx="233">
                  <c:v>206458</c:v>
                </c:pt>
                <c:pt idx="234">
                  <c:v>216705</c:v>
                </c:pt>
                <c:pt idx="235">
                  <c:v>204738</c:v>
                </c:pt>
                <c:pt idx="236">
                  <c:v>210799</c:v>
                </c:pt>
                <c:pt idx="237">
                  <c:v>215531</c:v>
                </c:pt>
                <c:pt idx="238">
                  <c:v>223835</c:v>
                </c:pt>
                <c:pt idx="239">
                  <c:v>225182</c:v>
                </c:pt>
                <c:pt idx="240">
                  <c:v>227597</c:v>
                </c:pt>
                <c:pt idx="241">
                  <c:v>219960</c:v>
                </c:pt>
                <c:pt idx="242">
                  <c:v>218414</c:v>
                </c:pt>
                <c:pt idx="243">
                  <c:v>219076</c:v>
                </c:pt>
                <c:pt idx="244">
                  <c:v>218755</c:v>
                </c:pt>
                <c:pt idx="245">
                  <c:v>225223</c:v>
                </c:pt>
                <c:pt idx="246">
                  <c:v>200423</c:v>
                </c:pt>
                <c:pt idx="247">
                  <c:v>217241</c:v>
                </c:pt>
                <c:pt idx="248">
                  <c:v>219017</c:v>
                </c:pt>
                <c:pt idx="249">
                  <c:v>214689</c:v>
                </c:pt>
                <c:pt idx="250">
                  <c:v>230992</c:v>
                </c:pt>
                <c:pt idx="251">
                  <c:v>222797</c:v>
                </c:pt>
                <c:pt idx="252">
                  <c:v>235952</c:v>
                </c:pt>
                <c:pt idx="253">
                  <c:v>215188</c:v>
                </c:pt>
                <c:pt idx="254">
                  <c:v>226541</c:v>
                </c:pt>
                <c:pt idx="255">
                  <c:v>235258</c:v>
                </c:pt>
                <c:pt idx="256">
                  <c:v>248010</c:v>
                </c:pt>
                <c:pt idx="257">
                  <c:v>223780</c:v>
                </c:pt>
                <c:pt idx="258">
                  <c:v>225010</c:v>
                </c:pt>
                <c:pt idx="259">
                  <c:v>238632</c:v>
                </c:pt>
                <c:pt idx="260">
                  <c:v>231962</c:v>
                </c:pt>
                <c:pt idx="261">
                  <c:v>241389</c:v>
                </c:pt>
                <c:pt idx="262">
                  <c:v>238377</c:v>
                </c:pt>
                <c:pt idx="263">
                  <c:v>223144</c:v>
                </c:pt>
                <c:pt idx="264">
                  <c:v>232711</c:v>
                </c:pt>
                <c:pt idx="265">
                  <c:v>233153</c:v>
                </c:pt>
                <c:pt idx="266">
                  <c:v>237372</c:v>
                </c:pt>
                <c:pt idx="267">
                  <c:v>232959</c:v>
                </c:pt>
                <c:pt idx="268">
                  <c:v>240181</c:v>
                </c:pt>
                <c:pt idx="269">
                  <c:v>303162</c:v>
                </c:pt>
                <c:pt idx="270">
                  <c:v>236666</c:v>
                </c:pt>
                <c:pt idx="271">
                  <c:v>237534</c:v>
                </c:pt>
                <c:pt idx="272">
                  <c:v>232089</c:v>
                </c:pt>
                <c:pt idx="273">
                  <c:v>226155</c:v>
                </c:pt>
                <c:pt idx="274">
                  <c:v>225835</c:v>
                </c:pt>
                <c:pt idx="275">
                  <c:v>224061</c:v>
                </c:pt>
                <c:pt idx="276">
                  <c:v>218966</c:v>
                </c:pt>
                <c:pt idx="277">
                  <c:v>227573</c:v>
                </c:pt>
                <c:pt idx="278">
                  <c:v>224339</c:v>
                </c:pt>
                <c:pt idx="279">
                  <c:v>217332</c:v>
                </c:pt>
                <c:pt idx="280">
                  <c:v>232766</c:v>
                </c:pt>
                <c:pt idx="281">
                  <c:v>230189</c:v>
                </c:pt>
                <c:pt idx="282">
                  <c:v>222647</c:v>
                </c:pt>
                <c:pt idx="283">
                  <c:v>218738</c:v>
                </c:pt>
                <c:pt idx="284">
                  <c:v>226032</c:v>
                </c:pt>
                <c:pt idx="285">
                  <c:v>223223</c:v>
                </c:pt>
                <c:pt idx="286">
                  <c:v>217474</c:v>
                </c:pt>
                <c:pt idx="287">
                  <c:v>226905</c:v>
                </c:pt>
                <c:pt idx="288">
                  <c:v>217371</c:v>
                </c:pt>
                <c:pt idx="289">
                  <c:v>216899</c:v>
                </c:pt>
                <c:pt idx="290">
                  <c:v>228585</c:v>
                </c:pt>
                <c:pt idx="291">
                  <c:v>221991</c:v>
                </c:pt>
                <c:pt idx="292">
                  <c:v>209356</c:v>
                </c:pt>
                <c:pt idx="293">
                  <c:v>217997</c:v>
                </c:pt>
                <c:pt idx="294">
                  <c:v>219140</c:v>
                </c:pt>
                <c:pt idx="295">
                  <c:v>216058</c:v>
                </c:pt>
                <c:pt idx="296">
                  <c:v>234217</c:v>
                </c:pt>
                <c:pt idx="297">
                  <c:v>216703</c:v>
                </c:pt>
                <c:pt idx="298">
                  <c:v>218450</c:v>
                </c:pt>
                <c:pt idx="299">
                  <c:v>218011</c:v>
                </c:pt>
                <c:pt idx="300">
                  <c:v>221815</c:v>
                </c:pt>
                <c:pt idx="301">
                  <c:v>221965</c:v>
                </c:pt>
                <c:pt idx="302">
                  <c:v>222025</c:v>
                </c:pt>
                <c:pt idx="303">
                  <c:v>222398</c:v>
                </c:pt>
                <c:pt idx="304">
                  <c:v>238347</c:v>
                </c:pt>
                <c:pt idx="305">
                  <c:v>218978</c:v>
                </c:pt>
                <c:pt idx="306">
                  <c:v>223602</c:v>
                </c:pt>
                <c:pt idx="307">
                  <c:v>228198</c:v>
                </c:pt>
                <c:pt idx="308">
                  <c:v>229757</c:v>
                </c:pt>
                <c:pt idx="309">
                  <c:v>229646</c:v>
                </c:pt>
                <c:pt idx="310">
                  <c:v>239903</c:v>
                </c:pt>
                <c:pt idx="311">
                  <c:v>225906</c:v>
                </c:pt>
                <c:pt idx="312">
                  <c:v>234140</c:v>
                </c:pt>
                <c:pt idx="313">
                  <c:v>242658</c:v>
                </c:pt>
                <c:pt idx="314">
                  <c:v>239492</c:v>
                </c:pt>
                <c:pt idx="315">
                  <c:v>240608</c:v>
                </c:pt>
                <c:pt idx="316">
                  <c:v>243274</c:v>
                </c:pt>
                <c:pt idx="317">
                  <c:v>234585</c:v>
                </c:pt>
                <c:pt idx="318">
                  <c:v>244108</c:v>
                </c:pt>
                <c:pt idx="319">
                  <c:v>244834</c:v>
                </c:pt>
                <c:pt idx="320">
                  <c:v>239723</c:v>
                </c:pt>
                <c:pt idx="321">
                  <c:v>231653</c:v>
                </c:pt>
                <c:pt idx="322">
                  <c:v>238448</c:v>
                </c:pt>
                <c:pt idx="323">
                  <c:v>229028</c:v>
                </c:pt>
                <c:pt idx="324">
                  <c:v>223455</c:v>
                </c:pt>
                <c:pt idx="325">
                  <c:v>233044</c:v>
                </c:pt>
                <c:pt idx="326">
                  <c:v>223929</c:v>
                </c:pt>
                <c:pt idx="327">
                  <c:v>217479</c:v>
                </c:pt>
                <c:pt idx="328">
                  <c:v>219553</c:v>
                </c:pt>
                <c:pt idx="329">
                  <c:v>225239</c:v>
                </c:pt>
                <c:pt idx="330">
                  <c:v>224546</c:v>
                </c:pt>
                <c:pt idx="331">
                  <c:v>221949</c:v>
                </c:pt>
                <c:pt idx="332">
                  <c:v>222975</c:v>
                </c:pt>
                <c:pt idx="333">
                  <c:v>212779</c:v>
                </c:pt>
                <c:pt idx="334">
                  <c:v>215324</c:v>
                </c:pt>
                <c:pt idx="335">
                  <c:v>225551</c:v>
                </c:pt>
                <c:pt idx="336">
                  <c:v>231488</c:v>
                </c:pt>
                <c:pt idx="337">
                  <c:v>200119</c:v>
                </c:pt>
                <c:pt idx="338">
                  <c:v>159130</c:v>
                </c:pt>
                <c:pt idx="339">
                  <c:v>179384</c:v>
                </c:pt>
                <c:pt idx="340">
                  <c:v>198774</c:v>
                </c:pt>
                <c:pt idx="341">
                  <c:v>218041</c:v>
                </c:pt>
                <c:pt idx="342">
                  <c:v>221086</c:v>
                </c:pt>
                <c:pt idx="343">
                  <c:v>225593</c:v>
                </c:pt>
                <c:pt idx="344">
                  <c:v>229735</c:v>
                </c:pt>
                <c:pt idx="345">
                  <c:v>228470</c:v>
                </c:pt>
                <c:pt idx="346">
                  <c:v>231460</c:v>
                </c:pt>
                <c:pt idx="347">
                  <c:v>237284</c:v>
                </c:pt>
                <c:pt idx="348">
                  <c:v>237479</c:v>
                </c:pt>
                <c:pt idx="349">
                  <c:v>241392</c:v>
                </c:pt>
                <c:pt idx="350">
                  <c:v>236566</c:v>
                </c:pt>
                <c:pt idx="351">
                  <c:v>241545</c:v>
                </c:pt>
                <c:pt idx="352">
                  <c:v>245826</c:v>
                </c:pt>
                <c:pt idx="353">
                  <c:v>246741</c:v>
                </c:pt>
                <c:pt idx="354">
                  <c:v>250577</c:v>
                </c:pt>
                <c:pt idx="355">
                  <c:v>246849</c:v>
                </c:pt>
                <c:pt idx="356">
                  <c:v>250503</c:v>
                </c:pt>
                <c:pt idx="357">
                  <c:v>254074</c:v>
                </c:pt>
                <c:pt idx="358">
                  <c:v>256464</c:v>
                </c:pt>
                <c:pt idx="359">
                  <c:v>264356</c:v>
                </c:pt>
                <c:pt idx="360">
                  <c:v>262494</c:v>
                </c:pt>
                <c:pt idx="361">
                  <c:v>264258</c:v>
                </c:pt>
                <c:pt idx="362">
                  <c:v>265376</c:v>
                </c:pt>
                <c:pt idx="363">
                  <c:v>267533</c:v>
                </c:pt>
                <c:pt idx="364">
                  <c:v>273571</c:v>
                </c:pt>
                <c:pt idx="365">
                  <c:v>273203</c:v>
                </c:pt>
                <c:pt idx="366">
                  <c:v>273841</c:v>
                </c:pt>
                <c:pt idx="367">
                  <c:v>274399</c:v>
                </c:pt>
                <c:pt idx="368">
                  <c:v>276366</c:v>
                </c:pt>
                <c:pt idx="369">
                  <c:v>270473</c:v>
                </c:pt>
              </c:numCache>
            </c:numRef>
          </c:val>
          <c:smooth val="0"/>
          <c:extLst>
            <c:ext xmlns:c16="http://schemas.microsoft.com/office/drawing/2014/chart" uri="{C3380CC4-5D6E-409C-BE32-E72D297353CC}">
              <c16:uniqueId val="{00000000-949A-42D1-A5B5-555C97888A2D}"/>
            </c:ext>
          </c:extLst>
        </c:ser>
        <c:dLbls>
          <c:showLegendKey val="0"/>
          <c:showVal val="0"/>
          <c:showCatName val="0"/>
          <c:showSerName val="0"/>
          <c:showPercent val="0"/>
          <c:showBubbleSize val="0"/>
        </c:dLbls>
        <c:smooth val="0"/>
        <c:axId val="504145232"/>
        <c:axId val="504145624"/>
      </c:lineChart>
      <c:dateAx>
        <c:axId val="504145232"/>
        <c:scaling>
          <c:orientation val="minMax"/>
          <c:min val="3981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11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 1992</a:t>
            </a:r>
          </a:p>
        </c:rich>
      </c:tx>
      <c:overlay val="0"/>
      <c:spPr>
        <a:noFill/>
        <a:ln>
          <a:noFill/>
          <a:prstDash val="solid"/>
        </a:ln>
      </c:spPr>
    </c:title>
    <c:autoTitleDeleted val="0"/>
    <c:plotArea>
      <c:layout/>
      <c:lineChart>
        <c:grouping val="standard"/>
        <c:varyColors val="0"/>
        <c:ser>
          <c:idx val="0"/>
          <c:order val="0"/>
          <c:tx>
            <c:strRef>
              <c:f>'New Orders ex Aircraft'!$B$5</c:f>
              <c:strCache>
                <c:ptCount val="1"/>
                <c:pt idx="0">
                  <c:v>New Orders - Nondefense Capital Goods Excluding Aircraft</c:v>
                </c:pt>
              </c:strCache>
            </c:strRef>
          </c:tx>
          <c:spPr>
            <a:ln w="28575" cap="rnd">
              <a:solidFill>
                <a:schemeClr val="accent1"/>
              </a:solidFill>
              <a:prstDash val="solid"/>
              <a:round/>
            </a:ln>
          </c:spPr>
          <c:marker>
            <c:symbol val="none"/>
          </c:marker>
          <c:cat>
            <c:numRef>
              <c:f>'New Orders ex Aircraft'!$A$6:$A$375</c:f>
              <c:numCache>
                <c:formatCode>m/d/yyyy</c:formatCode>
                <c:ptCount val="370"/>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numCache>
            </c:numRef>
          </c:cat>
          <c:val>
            <c:numRef>
              <c:f>'New Orders ex Aircraft'!$B$6:$B$375</c:f>
              <c:numCache>
                <c:formatCode>#,##0</c:formatCode>
                <c:ptCount val="370"/>
                <c:pt idx="0">
                  <c:v>33857</c:v>
                </c:pt>
                <c:pt idx="1">
                  <c:v>35258</c:v>
                </c:pt>
                <c:pt idx="2">
                  <c:v>35992</c:v>
                </c:pt>
                <c:pt idx="3">
                  <c:v>36811</c:v>
                </c:pt>
                <c:pt idx="4">
                  <c:v>36666</c:v>
                </c:pt>
                <c:pt idx="5">
                  <c:v>36629</c:v>
                </c:pt>
                <c:pt idx="6">
                  <c:v>36131</c:v>
                </c:pt>
                <c:pt idx="7">
                  <c:v>37629</c:v>
                </c:pt>
                <c:pt idx="8">
                  <c:v>36668</c:v>
                </c:pt>
                <c:pt idx="9">
                  <c:v>37573</c:v>
                </c:pt>
                <c:pt idx="10">
                  <c:v>38374</c:v>
                </c:pt>
                <c:pt idx="11">
                  <c:v>37041</c:v>
                </c:pt>
                <c:pt idx="12">
                  <c:v>36962</c:v>
                </c:pt>
                <c:pt idx="13">
                  <c:v>36895</c:v>
                </c:pt>
                <c:pt idx="14">
                  <c:v>37729</c:v>
                </c:pt>
                <c:pt idx="15">
                  <c:v>37869</c:v>
                </c:pt>
                <c:pt idx="16">
                  <c:v>38381</c:v>
                </c:pt>
                <c:pt idx="17">
                  <c:v>38915</c:v>
                </c:pt>
                <c:pt idx="18">
                  <c:v>39309</c:v>
                </c:pt>
                <c:pt idx="19">
                  <c:v>39307</c:v>
                </c:pt>
                <c:pt idx="20">
                  <c:v>40550</c:v>
                </c:pt>
                <c:pt idx="21">
                  <c:v>40301</c:v>
                </c:pt>
                <c:pt idx="22">
                  <c:v>43296</c:v>
                </c:pt>
                <c:pt idx="23">
                  <c:v>39801</c:v>
                </c:pt>
                <c:pt idx="24">
                  <c:v>41736</c:v>
                </c:pt>
                <c:pt idx="25">
                  <c:v>41245</c:v>
                </c:pt>
                <c:pt idx="26">
                  <c:v>42992</c:v>
                </c:pt>
                <c:pt idx="27">
                  <c:v>42849</c:v>
                </c:pt>
                <c:pt idx="28">
                  <c:v>44555</c:v>
                </c:pt>
                <c:pt idx="29">
                  <c:v>44016</c:v>
                </c:pt>
                <c:pt idx="30">
                  <c:v>44406</c:v>
                </c:pt>
                <c:pt idx="31">
                  <c:v>44507</c:v>
                </c:pt>
                <c:pt idx="32">
                  <c:v>45959</c:v>
                </c:pt>
                <c:pt idx="33">
                  <c:v>45942</c:v>
                </c:pt>
                <c:pt idx="34">
                  <c:v>46186</c:v>
                </c:pt>
                <c:pt idx="35">
                  <c:v>47317</c:v>
                </c:pt>
                <c:pt idx="36">
                  <c:v>46200</c:v>
                </c:pt>
                <c:pt idx="37">
                  <c:v>46095</c:v>
                </c:pt>
                <c:pt idx="38">
                  <c:v>46776</c:v>
                </c:pt>
                <c:pt idx="39">
                  <c:v>48401</c:v>
                </c:pt>
                <c:pt idx="40">
                  <c:v>47970</c:v>
                </c:pt>
                <c:pt idx="41">
                  <c:v>45962</c:v>
                </c:pt>
                <c:pt idx="42">
                  <c:v>47502</c:v>
                </c:pt>
                <c:pt idx="43">
                  <c:v>49431</c:v>
                </c:pt>
                <c:pt idx="44">
                  <c:v>50283</c:v>
                </c:pt>
                <c:pt idx="45">
                  <c:v>49798</c:v>
                </c:pt>
                <c:pt idx="46">
                  <c:v>51221</c:v>
                </c:pt>
                <c:pt idx="47">
                  <c:v>47931</c:v>
                </c:pt>
                <c:pt idx="48">
                  <c:v>49183</c:v>
                </c:pt>
                <c:pt idx="49">
                  <c:v>49780</c:v>
                </c:pt>
                <c:pt idx="50">
                  <c:v>48102</c:v>
                </c:pt>
                <c:pt idx="51">
                  <c:v>50505</c:v>
                </c:pt>
                <c:pt idx="52">
                  <c:v>51556</c:v>
                </c:pt>
                <c:pt idx="53">
                  <c:v>51047</c:v>
                </c:pt>
                <c:pt idx="54">
                  <c:v>50780</c:v>
                </c:pt>
                <c:pt idx="55">
                  <c:v>49824</c:v>
                </c:pt>
                <c:pt idx="56">
                  <c:v>52556</c:v>
                </c:pt>
                <c:pt idx="57">
                  <c:v>52664</c:v>
                </c:pt>
                <c:pt idx="58">
                  <c:v>50765</c:v>
                </c:pt>
                <c:pt idx="59">
                  <c:v>51958</c:v>
                </c:pt>
                <c:pt idx="60">
                  <c:v>54285</c:v>
                </c:pt>
                <c:pt idx="61">
                  <c:v>54195</c:v>
                </c:pt>
                <c:pt idx="62">
                  <c:v>55044</c:v>
                </c:pt>
                <c:pt idx="63">
                  <c:v>53924</c:v>
                </c:pt>
                <c:pt idx="64">
                  <c:v>55972</c:v>
                </c:pt>
                <c:pt idx="65">
                  <c:v>58969</c:v>
                </c:pt>
                <c:pt idx="66">
                  <c:v>58232</c:v>
                </c:pt>
                <c:pt idx="67">
                  <c:v>60143</c:v>
                </c:pt>
                <c:pt idx="68">
                  <c:v>57582</c:v>
                </c:pt>
                <c:pt idx="69">
                  <c:v>57967</c:v>
                </c:pt>
                <c:pt idx="70">
                  <c:v>58401</c:v>
                </c:pt>
                <c:pt idx="71">
                  <c:v>56811</c:v>
                </c:pt>
                <c:pt idx="72">
                  <c:v>59362</c:v>
                </c:pt>
                <c:pt idx="73">
                  <c:v>57672</c:v>
                </c:pt>
                <c:pt idx="74">
                  <c:v>55909</c:v>
                </c:pt>
                <c:pt idx="75">
                  <c:v>58575</c:v>
                </c:pt>
                <c:pt idx="76">
                  <c:v>59020</c:v>
                </c:pt>
                <c:pt idx="77">
                  <c:v>56670</c:v>
                </c:pt>
                <c:pt idx="78">
                  <c:v>57658</c:v>
                </c:pt>
                <c:pt idx="79">
                  <c:v>60257</c:v>
                </c:pt>
                <c:pt idx="80">
                  <c:v>56319</c:v>
                </c:pt>
                <c:pt idx="81">
                  <c:v>58162</c:v>
                </c:pt>
                <c:pt idx="82">
                  <c:v>60818</c:v>
                </c:pt>
                <c:pt idx="83">
                  <c:v>57160</c:v>
                </c:pt>
                <c:pt idx="84">
                  <c:v>58576</c:v>
                </c:pt>
                <c:pt idx="85">
                  <c:v>59657</c:v>
                </c:pt>
                <c:pt idx="86">
                  <c:v>58929</c:v>
                </c:pt>
                <c:pt idx="87">
                  <c:v>59814</c:v>
                </c:pt>
                <c:pt idx="88">
                  <c:v>59045</c:v>
                </c:pt>
                <c:pt idx="89">
                  <c:v>62074</c:v>
                </c:pt>
                <c:pt idx="90">
                  <c:v>61732</c:v>
                </c:pt>
                <c:pt idx="91">
                  <c:v>63231</c:v>
                </c:pt>
                <c:pt idx="92">
                  <c:v>61451</c:v>
                </c:pt>
                <c:pt idx="93">
                  <c:v>61849</c:v>
                </c:pt>
                <c:pt idx="94">
                  <c:v>65451</c:v>
                </c:pt>
                <c:pt idx="95">
                  <c:v>63975</c:v>
                </c:pt>
                <c:pt idx="96">
                  <c:v>58497</c:v>
                </c:pt>
                <c:pt idx="97">
                  <c:v>63642</c:v>
                </c:pt>
                <c:pt idx="98">
                  <c:v>64414</c:v>
                </c:pt>
                <c:pt idx="99">
                  <c:v>63753</c:v>
                </c:pt>
                <c:pt idx="100">
                  <c:v>68292</c:v>
                </c:pt>
                <c:pt idx="101">
                  <c:v>63581</c:v>
                </c:pt>
                <c:pt idx="102">
                  <c:v>64759</c:v>
                </c:pt>
                <c:pt idx="103">
                  <c:v>66733</c:v>
                </c:pt>
                <c:pt idx="104">
                  <c:v>63580</c:v>
                </c:pt>
                <c:pt idx="105">
                  <c:v>62569</c:v>
                </c:pt>
                <c:pt idx="106">
                  <c:v>62554</c:v>
                </c:pt>
                <c:pt idx="107">
                  <c:v>60808</c:v>
                </c:pt>
                <c:pt idx="108">
                  <c:v>60697</c:v>
                </c:pt>
                <c:pt idx="109">
                  <c:v>58146</c:v>
                </c:pt>
                <c:pt idx="110">
                  <c:v>54841</c:v>
                </c:pt>
                <c:pt idx="111">
                  <c:v>56599</c:v>
                </c:pt>
                <c:pt idx="112">
                  <c:v>55428</c:v>
                </c:pt>
                <c:pt idx="113">
                  <c:v>53436</c:v>
                </c:pt>
                <c:pt idx="114">
                  <c:v>54169</c:v>
                </c:pt>
                <c:pt idx="115">
                  <c:v>50735</c:v>
                </c:pt>
                <c:pt idx="116">
                  <c:v>49736</c:v>
                </c:pt>
                <c:pt idx="117">
                  <c:v>51335</c:v>
                </c:pt>
                <c:pt idx="118">
                  <c:v>51290</c:v>
                </c:pt>
                <c:pt idx="119">
                  <c:v>47643</c:v>
                </c:pt>
                <c:pt idx="120">
                  <c:v>50422</c:v>
                </c:pt>
                <c:pt idx="121">
                  <c:v>47371</c:v>
                </c:pt>
                <c:pt idx="122">
                  <c:v>49964</c:v>
                </c:pt>
                <c:pt idx="123">
                  <c:v>50680</c:v>
                </c:pt>
                <c:pt idx="124">
                  <c:v>48847</c:v>
                </c:pt>
                <c:pt idx="125">
                  <c:v>49531</c:v>
                </c:pt>
                <c:pt idx="126">
                  <c:v>51112</c:v>
                </c:pt>
                <c:pt idx="127">
                  <c:v>48089</c:v>
                </c:pt>
                <c:pt idx="128">
                  <c:v>49106</c:v>
                </c:pt>
                <c:pt idx="129">
                  <c:v>49620</c:v>
                </c:pt>
                <c:pt idx="130">
                  <c:v>48744</c:v>
                </c:pt>
                <c:pt idx="131">
                  <c:v>48896</c:v>
                </c:pt>
                <c:pt idx="132">
                  <c:v>49128</c:v>
                </c:pt>
                <c:pt idx="133">
                  <c:v>51757</c:v>
                </c:pt>
                <c:pt idx="134">
                  <c:v>49199</c:v>
                </c:pt>
                <c:pt idx="135">
                  <c:v>50849</c:v>
                </c:pt>
                <c:pt idx="136">
                  <c:v>49941</c:v>
                </c:pt>
                <c:pt idx="137">
                  <c:v>49408</c:v>
                </c:pt>
                <c:pt idx="138">
                  <c:v>50447</c:v>
                </c:pt>
                <c:pt idx="139">
                  <c:v>51971</c:v>
                </c:pt>
                <c:pt idx="140">
                  <c:v>51088</c:v>
                </c:pt>
                <c:pt idx="141">
                  <c:v>52318</c:v>
                </c:pt>
                <c:pt idx="142">
                  <c:v>53325</c:v>
                </c:pt>
                <c:pt idx="143">
                  <c:v>50190</c:v>
                </c:pt>
                <c:pt idx="144">
                  <c:v>51210</c:v>
                </c:pt>
                <c:pt idx="145">
                  <c:v>54995</c:v>
                </c:pt>
                <c:pt idx="146">
                  <c:v>52065</c:v>
                </c:pt>
                <c:pt idx="147">
                  <c:v>52405</c:v>
                </c:pt>
                <c:pt idx="148">
                  <c:v>53213</c:v>
                </c:pt>
                <c:pt idx="149">
                  <c:v>53699</c:v>
                </c:pt>
                <c:pt idx="150">
                  <c:v>51950</c:v>
                </c:pt>
                <c:pt idx="151">
                  <c:v>56227</c:v>
                </c:pt>
                <c:pt idx="152">
                  <c:v>53948</c:v>
                </c:pt>
                <c:pt idx="153">
                  <c:v>55318</c:v>
                </c:pt>
                <c:pt idx="154">
                  <c:v>56631</c:v>
                </c:pt>
                <c:pt idx="155">
                  <c:v>57884</c:v>
                </c:pt>
                <c:pt idx="156">
                  <c:v>57580</c:v>
                </c:pt>
                <c:pt idx="157">
                  <c:v>56576</c:v>
                </c:pt>
                <c:pt idx="158">
                  <c:v>58138</c:v>
                </c:pt>
                <c:pt idx="159">
                  <c:v>57105</c:v>
                </c:pt>
                <c:pt idx="160">
                  <c:v>58903</c:v>
                </c:pt>
                <c:pt idx="161">
                  <c:v>57606</c:v>
                </c:pt>
                <c:pt idx="162">
                  <c:v>60352</c:v>
                </c:pt>
                <c:pt idx="163">
                  <c:v>58344</c:v>
                </c:pt>
                <c:pt idx="164">
                  <c:v>59751</c:v>
                </c:pt>
                <c:pt idx="165">
                  <c:v>60459</c:v>
                </c:pt>
                <c:pt idx="166">
                  <c:v>61271</c:v>
                </c:pt>
                <c:pt idx="167">
                  <c:v>62469</c:v>
                </c:pt>
                <c:pt idx="168">
                  <c:v>62592</c:v>
                </c:pt>
                <c:pt idx="169">
                  <c:v>65096</c:v>
                </c:pt>
                <c:pt idx="170">
                  <c:v>63272</c:v>
                </c:pt>
                <c:pt idx="171">
                  <c:v>64145</c:v>
                </c:pt>
                <c:pt idx="172">
                  <c:v>63601</c:v>
                </c:pt>
                <c:pt idx="173">
                  <c:v>63922</c:v>
                </c:pt>
                <c:pt idx="174">
                  <c:v>64379</c:v>
                </c:pt>
                <c:pt idx="175">
                  <c:v>66981</c:v>
                </c:pt>
                <c:pt idx="176">
                  <c:v>66492</c:v>
                </c:pt>
                <c:pt idx="177">
                  <c:v>66484</c:v>
                </c:pt>
                <c:pt idx="178">
                  <c:v>65935</c:v>
                </c:pt>
                <c:pt idx="179">
                  <c:v>64155</c:v>
                </c:pt>
                <c:pt idx="180">
                  <c:v>63735</c:v>
                </c:pt>
                <c:pt idx="181">
                  <c:v>66936</c:v>
                </c:pt>
                <c:pt idx="182">
                  <c:v>66118</c:v>
                </c:pt>
                <c:pt idx="183">
                  <c:v>64975</c:v>
                </c:pt>
                <c:pt idx="184">
                  <c:v>64874</c:v>
                </c:pt>
                <c:pt idx="185">
                  <c:v>64902</c:v>
                </c:pt>
                <c:pt idx="186">
                  <c:v>66265</c:v>
                </c:pt>
                <c:pt idx="187">
                  <c:v>65393</c:v>
                </c:pt>
                <c:pt idx="188">
                  <c:v>64974</c:v>
                </c:pt>
                <c:pt idx="189">
                  <c:v>65466</c:v>
                </c:pt>
                <c:pt idx="190">
                  <c:v>68096</c:v>
                </c:pt>
                <c:pt idx="191">
                  <c:v>68408</c:v>
                </c:pt>
                <c:pt idx="192">
                  <c:v>66568</c:v>
                </c:pt>
                <c:pt idx="193">
                  <c:v>66526</c:v>
                </c:pt>
                <c:pt idx="194">
                  <c:v>69373</c:v>
                </c:pt>
                <c:pt idx="195">
                  <c:v>68443</c:v>
                </c:pt>
                <c:pt idx="196">
                  <c:v>67754</c:v>
                </c:pt>
                <c:pt idx="197">
                  <c:v>67856</c:v>
                </c:pt>
                <c:pt idx="198">
                  <c:v>66142</c:v>
                </c:pt>
                <c:pt idx="199">
                  <c:v>63854</c:v>
                </c:pt>
                <c:pt idx="200">
                  <c:v>59330</c:v>
                </c:pt>
                <c:pt idx="201">
                  <c:v>60759</c:v>
                </c:pt>
                <c:pt idx="202">
                  <c:v>55512</c:v>
                </c:pt>
                <c:pt idx="203">
                  <c:v>49530</c:v>
                </c:pt>
                <c:pt idx="204">
                  <c:v>50163</c:v>
                </c:pt>
                <c:pt idx="205">
                  <c:v>49254</c:v>
                </c:pt>
                <c:pt idx="206">
                  <c:v>47096</c:v>
                </c:pt>
                <c:pt idx="207">
                  <c:v>48652</c:v>
                </c:pt>
                <c:pt idx="208">
                  <c:v>50533</c:v>
                </c:pt>
                <c:pt idx="209">
                  <c:v>50984</c:v>
                </c:pt>
                <c:pt idx="210">
                  <c:v>49900</c:v>
                </c:pt>
                <c:pt idx="211">
                  <c:v>53034</c:v>
                </c:pt>
                <c:pt idx="212">
                  <c:v>51978</c:v>
                </c:pt>
                <c:pt idx="213">
                  <c:v>52771</c:v>
                </c:pt>
                <c:pt idx="214">
                  <c:v>54616</c:v>
                </c:pt>
                <c:pt idx="215">
                  <c:v>52331</c:v>
                </c:pt>
                <c:pt idx="216">
                  <c:v>53488</c:v>
                </c:pt>
                <c:pt idx="217">
                  <c:v>56487</c:v>
                </c:pt>
                <c:pt idx="218">
                  <c:v>52283</c:v>
                </c:pt>
                <c:pt idx="219">
                  <c:v>57262</c:v>
                </c:pt>
                <c:pt idx="220">
                  <c:v>59605</c:v>
                </c:pt>
                <c:pt idx="221">
                  <c:v>56474</c:v>
                </c:pt>
                <c:pt idx="222">
                  <c:v>58224</c:v>
                </c:pt>
                <c:pt idx="223">
                  <c:v>60134</c:v>
                </c:pt>
                <c:pt idx="224">
                  <c:v>57479</c:v>
                </c:pt>
                <c:pt idx="225">
                  <c:v>60405</c:v>
                </c:pt>
                <c:pt idx="226">
                  <c:v>61939</c:v>
                </c:pt>
                <c:pt idx="227">
                  <c:v>60963</c:v>
                </c:pt>
                <c:pt idx="228">
                  <c:v>59078</c:v>
                </c:pt>
                <c:pt idx="229">
                  <c:v>62497</c:v>
                </c:pt>
                <c:pt idx="230">
                  <c:v>61562</c:v>
                </c:pt>
                <c:pt idx="231">
                  <c:v>63711</c:v>
                </c:pt>
                <c:pt idx="232">
                  <c:v>63751</c:v>
                </c:pt>
                <c:pt idx="233">
                  <c:v>64756</c:v>
                </c:pt>
                <c:pt idx="234">
                  <c:v>64464</c:v>
                </c:pt>
                <c:pt idx="235">
                  <c:v>65581</c:v>
                </c:pt>
                <c:pt idx="236">
                  <c:v>67427</c:v>
                </c:pt>
                <c:pt idx="237">
                  <c:v>64660</c:v>
                </c:pt>
                <c:pt idx="238">
                  <c:v>68881</c:v>
                </c:pt>
                <c:pt idx="239">
                  <c:v>67658</c:v>
                </c:pt>
                <c:pt idx="240">
                  <c:v>69902</c:v>
                </c:pt>
                <c:pt idx="241">
                  <c:v>69522</c:v>
                </c:pt>
                <c:pt idx="242">
                  <c:v>67518</c:v>
                </c:pt>
                <c:pt idx="243">
                  <c:v>69183</c:v>
                </c:pt>
                <c:pt idx="244">
                  <c:v>67129</c:v>
                </c:pt>
                <c:pt idx="245">
                  <c:v>65294</c:v>
                </c:pt>
                <c:pt idx="246">
                  <c:v>63721</c:v>
                </c:pt>
                <c:pt idx="247">
                  <c:v>63976</c:v>
                </c:pt>
                <c:pt idx="248">
                  <c:v>65937</c:v>
                </c:pt>
                <c:pt idx="249">
                  <c:v>66473</c:v>
                </c:pt>
                <c:pt idx="250">
                  <c:v>66630</c:v>
                </c:pt>
                <c:pt idx="251">
                  <c:v>69758</c:v>
                </c:pt>
                <c:pt idx="252">
                  <c:v>66190</c:v>
                </c:pt>
                <c:pt idx="253">
                  <c:v>66275</c:v>
                </c:pt>
                <c:pt idx="254">
                  <c:v>67553</c:v>
                </c:pt>
                <c:pt idx="255">
                  <c:v>69186</c:v>
                </c:pt>
                <c:pt idx="256">
                  <c:v>69443</c:v>
                </c:pt>
                <c:pt idx="257">
                  <c:v>66557</c:v>
                </c:pt>
                <c:pt idx="258">
                  <c:v>65935</c:v>
                </c:pt>
                <c:pt idx="259">
                  <c:v>66636</c:v>
                </c:pt>
                <c:pt idx="260">
                  <c:v>64799</c:v>
                </c:pt>
                <c:pt idx="261">
                  <c:v>68592</c:v>
                </c:pt>
                <c:pt idx="262">
                  <c:v>67496</c:v>
                </c:pt>
                <c:pt idx="263">
                  <c:v>68106</c:v>
                </c:pt>
                <c:pt idx="264">
                  <c:v>67227</c:v>
                </c:pt>
                <c:pt idx="265">
                  <c:v>68502</c:v>
                </c:pt>
                <c:pt idx="266">
                  <c:v>66341</c:v>
                </c:pt>
                <c:pt idx="267">
                  <c:v>65817</c:v>
                </c:pt>
                <c:pt idx="268">
                  <c:v>69872</c:v>
                </c:pt>
                <c:pt idx="269">
                  <c:v>67931</c:v>
                </c:pt>
                <c:pt idx="270">
                  <c:v>68554</c:v>
                </c:pt>
                <c:pt idx="271">
                  <c:v>69426</c:v>
                </c:pt>
                <c:pt idx="272">
                  <c:v>65645</c:v>
                </c:pt>
                <c:pt idx="273">
                  <c:v>63854</c:v>
                </c:pt>
                <c:pt idx="274">
                  <c:v>65875</c:v>
                </c:pt>
                <c:pt idx="275">
                  <c:v>64666</c:v>
                </c:pt>
                <c:pt idx="276">
                  <c:v>64257</c:v>
                </c:pt>
                <c:pt idx="277">
                  <c:v>64721</c:v>
                </c:pt>
                <c:pt idx="278">
                  <c:v>64152</c:v>
                </c:pt>
                <c:pt idx="279">
                  <c:v>62533</c:v>
                </c:pt>
                <c:pt idx="280">
                  <c:v>63930</c:v>
                </c:pt>
                <c:pt idx="281">
                  <c:v>63774</c:v>
                </c:pt>
                <c:pt idx="282">
                  <c:v>63370</c:v>
                </c:pt>
                <c:pt idx="283">
                  <c:v>63318</c:v>
                </c:pt>
                <c:pt idx="284">
                  <c:v>63051</c:v>
                </c:pt>
                <c:pt idx="285">
                  <c:v>62049</c:v>
                </c:pt>
                <c:pt idx="286">
                  <c:v>60165</c:v>
                </c:pt>
                <c:pt idx="287">
                  <c:v>61709</c:v>
                </c:pt>
                <c:pt idx="288">
                  <c:v>61077</c:v>
                </c:pt>
                <c:pt idx="289">
                  <c:v>60564</c:v>
                </c:pt>
                <c:pt idx="290">
                  <c:v>60970</c:v>
                </c:pt>
                <c:pt idx="291">
                  <c:v>59565</c:v>
                </c:pt>
                <c:pt idx="292">
                  <c:v>59505</c:v>
                </c:pt>
                <c:pt idx="293">
                  <c:v>59899</c:v>
                </c:pt>
                <c:pt idx="294">
                  <c:v>61743</c:v>
                </c:pt>
                <c:pt idx="295">
                  <c:v>59290</c:v>
                </c:pt>
                <c:pt idx="296">
                  <c:v>59413</c:v>
                </c:pt>
                <c:pt idx="297">
                  <c:v>59262</c:v>
                </c:pt>
                <c:pt idx="298">
                  <c:v>59355</c:v>
                </c:pt>
                <c:pt idx="299">
                  <c:v>60689</c:v>
                </c:pt>
                <c:pt idx="300">
                  <c:v>60752</c:v>
                </c:pt>
                <c:pt idx="301">
                  <c:v>61176</c:v>
                </c:pt>
                <c:pt idx="302">
                  <c:v>61339</c:v>
                </c:pt>
                <c:pt idx="303">
                  <c:v>61398</c:v>
                </c:pt>
                <c:pt idx="304">
                  <c:v>60227</c:v>
                </c:pt>
                <c:pt idx="305">
                  <c:v>61403</c:v>
                </c:pt>
                <c:pt idx="306">
                  <c:v>61643</c:v>
                </c:pt>
                <c:pt idx="307">
                  <c:v>63497</c:v>
                </c:pt>
                <c:pt idx="308">
                  <c:v>63980</c:v>
                </c:pt>
                <c:pt idx="309">
                  <c:v>63558</c:v>
                </c:pt>
                <c:pt idx="310">
                  <c:v>63745</c:v>
                </c:pt>
                <c:pt idx="311">
                  <c:v>63816</c:v>
                </c:pt>
                <c:pt idx="312">
                  <c:v>65257</c:v>
                </c:pt>
                <c:pt idx="313">
                  <c:v>64073</c:v>
                </c:pt>
                <c:pt idx="314">
                  <c:v>65444</c:v>
                </c:pt>
                <c:pt idx="315">
                  <c:v>66748</c:v>
                </c:pt>
                <c:pt idx="316">
                  <c:v>67678</c:v>
                </c:pt>
                <c:pt idx="317">
                  <c:v>68406</c:v>
                </c:pt>
                <c:pt idx="318">
                  <c:v>67270</c:v>
                </c:pt>
                <c:pt idx="319">
                  <c:v>67127</c:v>
                </c:pt>
                <c:pt idx="320">
                  <c:v>67931</c:v>
                </c:pt>
                <c:pt idx="321">
                  <c:v>65255</c:v>
                </c:pt>
                <c:pt idx="322">
                  <c:v>65773</c:v>
                </c:pt>
                <c:pt idx="323">
                  <c:v>67110</c:v>
                </c:pt>
                <c:pt idx="324">
                  <c:v>66772</c:v>
                </c:pt>
                <c:pt idx="325">
                  <c:v>67615</c:v>
                </c:pt>
                <c:pt idx="326">
                  <c:v>67038</c:v>
                </c:pt>
                <c:pt idx="327">
                  <c:v>66680</c:v>
                </c:pt>
                <c:pt idx="328">
                  <c:v>66243</c:v>
                </c:pt>
                <c:pt idx="329">
                  <c:v>65872</c:v>
                </c:pt>
                <c:pt idx="330">
                  <c:v>65829</c:v>
                </c:pt>
                <c:pt idx="331">
                  <c:v>65203</c:v>
                </c:pt>
                <c:pt idx="332">
                  <c:v>65207</c:v>
                </c:pt>
                <c:pt idx="333">
                  <c:v>63805</c:v>
                </c:pt>
                <c:pt idx="334">
                  <c:v>62950</c:v>
                </c:pt>
                <c:pt idx="335">
                  <c:v>62298</c:v>
                </c:pt>
                <c:pt idx="336">
                  <c:v>61245</c:v>
                </c:pt>
                <c:pt idx="337">
                  <c:v>60715</c:v>
                </c:pt>
                <c:pt idx="338">
                  <c:v>55545</c:v>
                </c:pt>
                <c:pt idx="339">
                  <c:v>56463</c:v>
                </c:pt>
                <c:pt idx="340">
                  <c:v>58548</c:v>
                </c:pt>
                <c:pt idx="341">
                  <c:v>60095</c:v>
                </c:pt>
                <c:pt idx="342">
                  <c:v>60687</c:v>
                </c:pt>
                <c:pt idx="343">
                  <c:v>62159</c:v>
                </c:pt>
                <c:pt idx="344">
                  <c:v>62801</c:v>
                </c:pt>
                <c:pt idx="345">
                  <c:v>62967</c:v>
                </c:pt>
                <c:pt idx="346">
                  <c:v>63944</c:v>
                </c:pt>
                <c:pt idx="347">
                  <c:v>64750</c:v>
                </c:pt>
                <c:pt idx="348">
                  <c:v>64562</c:v>
                </c:pt>
                <c:pt idx="349">
                  <c:v>65886</c:v>
                </c:pt>
                <c:pt idx="350">
                  <c:v>67955</c:v>
                </c:pt>
                <c:pt idx="351">
                  <c:v>66882</c:v>
                </c:pt>
                <c:pt idx="352">
                  <c:v>68158</c:v>
                </c:pt>
                <c:pt idx="353">
                  <c:v>68660</c:v>
                </c:pt>
                <c:pt idx="354">
                  <c:v>69530</c:v>
                </c:pt>
                <c:pt idx="355">
                  <c:v>69298</c:v>
                </c:pt>
                <c:pt idx="356">
                  <c:v>70632</c:v>
                </c:pt>
                <c:pt idx="357">
                  <c:v>71135</c:v>
                </c:pt>
                <c:pt idx="358">
                  <c:v>71199</c:v>
                </c:pt>
                <c:pt idx="359">
                  <c:v>72217</c:v>
                </c:pt>
                <c:pt idx="360">
                  <c:v>72038</c:v>
                </c:pt>
                <c:pt idx="361">
                  <c:v>72857</c:v>
                </c:pt>
                <c:pt idx="362">
                  <c:v>73115</c:v>
                </c:pt>
                <c:pt idx="363">
                  <c:v>73477</c:v>
                </c:pt>
                <c:pt idx="364">
                  <c:v>74190</c:v>
                </c:pt>
                <c:pt idx="365">
                  <c:v>74709</c:v>
                </c:pt>
                <c:pt idx="366">
                  <c:v>75379</c:v>
                </c:pt>
                <c:pt idx="367">
                  <c:v>74819</c:v>
                </c:pt>
                <c:pt idx="368">
                  <c:v>75055</c:v>
                </c:pt>
                <c:pt idx="369">
                  <c:v>75124</c:v>
                </c:pt>
              </c:numCache>
            </c:numRef>
          </c:val>
          <c:smooth val="0"/>
          <c:extLst>
            <c:ext xmlns:c16="http://schemas.microsoft.com/office/drawing/2014/chart" uri="{C3380CC4-5D6E-409C-BE32-E72D297353CC}">
              <c16:uniqueId val="{00000000-D9A3-4862-B31D-89FCC07BB22B}"/>
            </c:ext>
          </c:extLst>
        </c:ser>
        <c:dLbls>
          <c:showLegendKey val="0"/>
          <c:showVal val="0"/>
          <c:showCatName val="0"/>
          <c:showSerName val="0"/>
          <c:showPercent val="0"/>
          <c:showBubbleSize val="0"/>
        </c:dLbls>
        <c:smooth val="0"/>
        <c:axId val="504145232"/>
        <c:axId val="504145624"/>
      </c:lineChart>
      <c:dateAx>
        <c:axId val="5041452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3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a:t>
            </a:r>
            <a:r>
              <a:rPr lang="en-US" b="1" baseline="0"/>
              <a:t> 2009</a:t>
            </a:r>
            <a:endParaRPr lang="en-US" b="1"/>
          </a:p>
        </c:rich>
      </c:tx>
      <c:overlay val="0"/>
      <c:spPr>
        <a:noFill/>
        <a:ln>
          <a:noFill/>
          <a:prstDash val="solid"/>
        </a:ln>
      </c:spPr>
    </c:title>
    <c:autoTitleDeleted val="0"/>
    <c:plotArea>
      <c:layout/>
      <c:lineChart>
        <c:grouping val="standard"/>
        <c:varyColors val="0"/>
        <c:ser>
          <c:idx val="0"/>
          <c:order val="0"/>
          <c:tx>
            <c:strRef>
              <c:f>'New Orders ex Aircraft'!$B$5</c:f>
              <c:strCache>
                <c:ptCount val="1"/>
                <c:pt idx="0">
                  <c:v>New Orders - Nondefense Capital Goods Excluding Aircraft</c:v>
                </c:pt>
              </c:strCache>
            </c:strRef>
          </c:tx>
          <c:spPr>
            <a:ln w="28575" cap="rnd">
              <a:solidFill>
                <a:schemeClr val="accent1"/>
              </a:solidFill>
              <a:prstDash val="solid"/>
              <a:round/>
            </a:ln>
          </c:spPr>
          <c:marker>
            <c:symbol val="none"/>
          </c:marker>
          <c:cat>
            <c:numRef>
              <c:f>'New Orders ex Aircraft'!$A$209:$A$377</c:f>
              <c:numCache>
                <c:formatCode>m/d/yyyy</c:formatCode>
                <c:ptCount val="169"/>
                <c:pt idx="0">
                  <c:v>39814</c:v>
                </c:pt>
                <c:pt idx="1">
                  <c:v>39845</c:v>
                </c:pt>
                <c:pt idx="2">
                  <c:v>39873</c:v>
                </c:pt>
                <c:pt idx="3">
                  <c:v>39904</c:v>
                </c:pt>
                <c:pt idx="4">
                  <c:v>39934</c:v>
                </c:pt>
                <c:pt idx="5">
                  <c:v>39965</c:v>
                </c:pt>
                <c:pt idx="6">
                  <c:v>39995</c:v>
                </c:pt>
                <c:pt idx="7">
                  <c:v>40026</c:v>
                </c:pt>
                <c:pt idx="8">
                  <c:v>40057</c:v>
                </c:pt>
                <c:pt idx="9">
                  <c:v>40087</c:v>
                </c:pt>
                <c:pt idx="10">
                  <c:v>40118</c:v>
                </c:pt>
                <c:pt idx="11">
                  <c:v>40148</c:v>
                </c:pt>
                <c:pt idx="12">
                  <c:v>40179</c:v>
                </c:pt>
                <c:pt idx="13">
                  <c:v>40210</c:v>
                </c:pt>
                <c:pt idx="14">
                  <c:v>40238</c:v>
                </c:pt>
                <c:pt idx="15">
                  <c:v>40269</c:v>
                </c:pt>
                <c:pt idx="16">
                  <c:v>40299</c:v>
                </c:pt>
                <c:pt idx="17">
                  <c:v>40330</c:v>
                </c:pt>
                <c:pt idx="18">
                  <c:v>40360</c:v>
                </c:pt>
                <c:pt idx="19">
                  <c:v>40391</c:v>
                </c:pt>
                <c:pt idx="20">
                  <c:v>40422</c:v>
                </c:pt>
                <c:pt idx="21">
                  <c:v>40452</c:v>
                </c:pt>
                <c:pt idx="22">
                  <c:v>40483</c:v>
                </c:pt>
                <c:pt idx="23">
                  <c:v>40513</c:v>
                </c:pt>
                <c:pt idx="24">
                  <c:v>40544</c:v>
                </c:pt>
                <c:pt idx="25">
                  <c:v>40575</c:v>
                </c:pt>
                <c:pt idx="26">
                  <c:v>40603</c:v>
                </c:pt>
                <c:pt idx="27">
                  <c:v>40634</c:v>
                </c:pt>
                <c:pt idx="28">
                  <c:v>40664</c:v>
                </c:pt>
                <c:pt idx="29">
                  <c:v>40695</c:v>
                </c:pt>
                <c:pt idx="30">
                  <c:v>40725</c:v>
                </c:pt>
                <c:pt idx="31">
                  <c:v>40756</c:v>
                </c:pt>
                <c:pt idx="32">
                  <c:v>40787</c:v>
                </c:pt>
                <c:pt idx="33">
                  <c:v>40817</c:v>
                </c:pt>
                <c:pt idx="34">
                  <c:v>40848</c:v>
                </c:pt>
                <c:pt idx="35">
                  <c:v>40878</c:v>
                </c:pt>
                <c:pt idx="36">
                  <c:v>40909</c:v>
                </c:pt>
                <c:pt idx="37">
                  <c:v>40940</c:v>
                </c:pt>
                <c:pt idx="38">
                  <c:v>40969</c:v>
                </c:pt>
                <c:pt idx="39">
                  <c:v>41000</c:v>
                </c:pt>
                <c:pt idx="40">
                  <c:v>41030</c:v>
                </c:pt>
                <c:pt idx="41">
                  <c:v>41061</c:v>
                </c:pt>
                <c:pt idx="42">
                  <c:v>41091</c:v>
                </c:pt>
                <c:pt idx="43">
                  <c:v>41122</c:v>
                </c:pt>
                <c:pt idx="44">
                  <c:v>41153</c:v>
                </c:pt>
                <c:pt idx="45">
                  <c:v>41183</c:v>
                </c:pt>
                <c:pt idx="46">
                  <c:v>41214</c:v>
                </c:pt>
                <c:pt idx="47">
                  <c:v>41244</c:v>
                </c:pt>
                <c:pt idx="48">
                  <c:v>41275</c:v>
                </c:pt>
                <c:pt idx="49">
                  <c:v>41306</c:v>
                </c:pt>
                <c:pt idx="50">
                  <c:v>41334</c:v>
                </c:pt>
                <c:pt idx="51">
                  <c:v>41365</c:v>
                </c:pt>
                <c:pt idx="52">
                  <c:v>41395</c:v>
                </c:pt>
                <c:pt idx="53">
                  <c:v>41426</c:v>
                </c:pt>
                <c:pt idx="54">
                  <c:v>41456</c:v>
                </c:pt>
                <c:pt idx="55">
                  <c:v>41487</c:v>
                </c:pt>
                <c:pt idx="56">
                  <c:v>41518</c:v>
                </c:pt>
                <c:pt idx="57">
                  <c:v>41548</c:v>
                </c:pt>
                <c:pt idx="58">
                  <c:v>41579</c:v>
                </c:pt>
                <c:pt idx="59">
                  <c:v>41609</c:v>
                </c:pt>
                <c:pt idx="60">
                  <c:v>41640</c:v>
                </c:pt>
                <c:pt idx="61">
                  <c:v>41671</c:v>
                </c:pt>
                <c:pt idx="62">
                  <c:v>41699</c:v>
                </c:pt>
                <c:pt idx="63">
                  <c:v>41730</c:v>
                </c:pt>
                <c:pt idx="64">
                  <c:v>41760</c:v>
                </c:pt>
                <c:pt idx="65">
                  <c:v>41791</c:v>
                </c:pt>
                <c:pt idx="66">
                  <c:v>41821</c:v>
                </c:pt>
                <c:pt idx="67">
                  <c:v>41852</c:v>
                </c:pt>
                <c:pt idx="68">
                  <c:v>41883</c:v>
                </c:pt>
                <c:pt idx="69">
                  <c:v>41913</c:v>
                </c:pt>
                <c:pt idx="70">
                  <c:v>41944</c:v>
                </c:pt>
                <c:pt idx="71">
                  <c:v>41974</c:v>
                </c:pt>
                <c:pt idx="72">
                  <c:v>42005</c:v>
                </c:pt>
                <c:pt idx="73">
                  <c:v>42036</c:v>
                </c:pt>
                <c:pt idx="74">
                  <c:v>42064</c:v>
                </c:pt>
                <c:pt idx="75">
                  <c:v>42095</c:v>
                </c:pt>
                <c:pt idx="76">
                  <c:v>42125</c:v>
                </c:pt>
                <c:pt idx="77">
                  <c:v>42156</c:v>
                </c:pt>
                <c:pt idx="78">
                  <c:v>42186</c:v>
                </c:pt>
                <c:pt idx="79">
                  <c:v>42217</c:v>
                </c:pt>
                <c:pt idx="80">
                  <c:v>42248</c:v>
                </c:pt>
                <c:pt idx="81">
                  <c:v>42278</c:v>
                </c:pt>
                <c:pt idx="82">
                  <c:v>42309</c:v>
                </c:pt>
                <c:pt idx="83">
                  <c:v>42339</c:v>
                </c:pt>
                <c:pt idx="84">
                  <c:v>42370</c:v>
                </c:pt>
                <c:pt idx="85">
                  <c:v>42401</c:v>
                </c:pt>
                <c:pt idx="86">
                  <c:v>42430</c:v>
                </c:pt>
                <c:pt idx="87">
                  <c:v>42461</c:v>
                </c:pt>
                <c:pt idx="88">
                  <c:v>42491</c:v>
                </c:pt>
                <c:pt idx="89">
                  <c:v>42522</c:v>
                </c:pt>
                <c:pt idx="90">
                  <c:v>42552</c:v>
                </c:pt>
                <c:pt idx="91">
                  <c:v>42583</c:v>
                </c:pt>
                <c:pt idx="92">
                  <c:v>42614</c:v>
                </c:pt>
                <c:pt idx="93">
                  <c:v>42644</c:v>
                </c:pt>
                <c:pt idx="94">
                  <c:v>42675</c:v>
                </c:pt>
                <c:pt idx="95">
                  <c:v>42705</c:v>
                </c:pt>
                <c:pt idx="96">
                  <c:v>42736</c:v>
                </c:pt>
                <c:pt idx="97">
                  <c:v>42767</c:v>
                </c:pt>
                <c:pt idx="98">
                  <c:v>42795</c:v>
                </c:pt>
                <c:pt idx="99">
                  <c:v>42826</c:v>
                </c:pt>
                <c:pt idx="100">
                  <c:v>42856</c:v>
                </c:pt>
                <c:pt idx="101">
                  <c:v>42887</c:v>
                </c:pt>
                <c:pt idx="102">
                  <c:v>42917</c:v>
                </c:pt>
                <c:pt idx="103">
                  <c:v>42948</c:v>
                </c:pt>
                <c:pt idx="104">
                  <c:v>42979</c:v>
                </c:pt>
                <c:pt idx="105">
                  <c:v>43009</c:v>
                </c:pt>
                <c:pt idx="106">
                  <c:v>43040</c:v>
                </c:pt>
                <c:pt idx="107">
                  <c:v>43070</c:v>
                </c:pt>
                <c:pt idx="108">
                  <c:v>43101</c:v>
                </c:pt>
                <c:pt idx="109">
                  <c:v>43132</c:v>
                </c:pt>
                <c:pt idx="110">
                  <c:v>43160</c:v>
                </c:pt>
                <c:pt idx="111">
                  <c:v>43191</c:v>
                </c:pt>
                <c:pt idx="112">
                  <c:v>43221</c:v>
                </c:pt>
                <c:pt idx="113">
                  <c:v>43252</c:v>
                </c:pt>
                <c:pt idx="114">
                  <c:v>43282</c:v>
                </c:pt>
                <c:pt idx="115">
                  <c:v>43313</c:v>
                </c:pt>
                <c:pt idx="116">
                  <c:v>43344</c:v>
                </c:pt>
                <c:pt idx="117">
                  <c:v>43374</c:v>
                </c:pt>
                <c:pt idx="118">
                  <c:v>43405</c:v>
                </c:pt>
                <c:pt idx="119">
                  <c:v>43435</c:v>
                </c:pt>
                <c:pt idx="120">
                  <c:v>43466</c:v>
                </c:pt>
                <c:pt idx="121">
                  <c:v>43497</c:v>
                </c:pt>
                <c:pt idx="122">
                  <c:v>43525</c:v>
                </c:pt>
                <c:pt idx="123">
                  <c:v>43556</c:v>
                </c:pt>
                <c:pt idx="124">
                  <c:v>43586</c:v>
                </c:pt>
                <c:pt idx="125">
                  <c:v>43617</c:v>
                </c:pt>
                <c:pt idx="126">
                  <c:v>43647</c:v>
                </c:pt>
                <c:pt idx="127">
                  <c:v>43678</c:v>
                </c:pt>
                <c:pt idx="128">
                  <c:v>43709</c:v>
                </c:pt>
                <c:pt idx="129">
                  <c:v>43739</c:v>
                </c:pt>
                <c:pt idx="130">
                  <c:v>43770</c:v>
                </c:pt>
                <c:pt idx="131">
                  <c:v>43800</c:v>
                </c:pt>
                <c:pt idx="132">
                  <c:v>43831</c:v>
                </c:pt>
                <c:pt idx="133">
                  <c:v>43862</c:v>
                </c:pt>
                <c:pt idx="134">
                  <c:v>43891</c:v>
                </c:pt>
                <c:pt idx="135">
                  <c:v>43922</c:v>
                </c:pt>
                <c:pt idx="136">
                  <c:v>43952</c:v>
                </c:pt>
                <c:pt idx="137">
                  <c:v>43983</c:v>
                </c:pt>
                <c:pt idx="138">
                  <c:v>44013</c:v>
                </c:pt>
                <c:pt idx="139">
                  <c:v>44044</c:v>
                </c:pt>
                <c:pt idx="140">
                  <c:v>44075</c:v>
                </c:pt>
                <c:pt idx="141">
                  <c:v>44105</c:v>
                </c:pt>
                <c:pt idx="142">
                  <c:v>44136</c:v>
                </c:pt>
                <c:pt idx="143">
                  <c:v>44166</c:v>
                </c:pt>
                <c:pt idx="144">
                  <c:v>44197</c:v>
                </c:pt>
                <c:pt idx="145">
                  <c:v>44228</c:v>
                </c:pt>
                <c:pt idx="146">
                  <c:v>44256</c:v>
                </c:pt>
                <c:pt idx="147">
                  <c:v>44287</c:v>
                </c:pt>
                <c:pt idx="148">
                  <c:v>44317</c:v>
                </c:pt>
                <c:pt idx="149">
                  <c:v>44348</c:v>
                </c:pt>
                <c:pt idx="150">
                  <c:v>44378</c:v>
                </c:pt>
                <c:pt idx="151">
                  <c:v>44409</c:v>
                </c:pt>
                <c:pt idx="152">
                  <c:v>44440</c:v>
                </c:pt>
                <c:pt idx="153">
                  <c:v>44470</c:v>
                </c:pt>
                <c:pt idx="154">
                  <c:v>44501</c:v>
                </c:pt>
                <c:pt idx="155">
                  <c:v>44531</c:v>
                </c:pt>
                <c:pt idx="156">
                  <c:v>44562</c:v>
                </c:pt>
                <c:pt idx="157">
                  <c:v>44593</c:v>
                </c:pt>
                <c:pt idx="158">
                  <c:v>44621</c:v>
                </c:pt>
                <c:pt idx="159">
                  <c:v>44652</c:v>
                </c:pt>
                <c:pt idx="160">
                  <c:v>44682</c:v>
                </c:pt>
                <c:pt idx="161">
                  <c:v>44713</c:v>
                </c:pt>
                <c:pt idx="162">
                  <c:v>44743</c:v>
                </c:pt>
                <c:pt idx="163">
                  <c:v>44774</c:v>
                </c:pt>
                <c:pt idx="164">
                  <c:v>44805</c:v>
                </c:pt>
                <c:pt idx="165">
                  <c:v>44835</c:v>
                </c:pt>
                <c:pt idx="166">
                  <c:v>44866</c:v>
                </c:pt>
              </c:numCache>
            </c:numRef>
          </c:cat>
          <c:val>
            <c:numRef>
              <c:f>'New Orders ex Aircraft'!$B$209:$B$377</c:f>
              <c:numCache>
                <c:formatCode>#,##0</c:formatCode>
                <c:ptCount val="169"/>
                <c:pt idx="0">
                  <c:v>49530</c:v>
                </c:pt>
                <c:pt idx="1">
                  <c:v>50163</c:v>
                </c:pt>
                <c:pt idx="2">
                  <c:v>49254</c:v>
                </c:pt>
                <c:pt idx="3">
                  <c:v>47096</c:v>
                </c:pt>
                <c:pt idx="4">
                  <c:v>48652</c:v>
                </c:pt>
                <c:pt idx="5">
                  <c:v>50533</c:v>
                </c:pt>
                <c:pt idx="6">
                  <c:v>50984</c:v>
                </c:pt>
                <c:pt idx="7">
                  <c:v>49900</c:v>
                </c:pt>
                <c:pt idx="8">
                  <c:v>53034</c:v>
                </c:pt>
                <c:pt idx="9">
                  <c:v>51978</c:v>
                </c:pt>
                <c:pt idx="10">
                  <c:v>52771</c:v>
                </c:pt>
                <c:pt idx="11">
                  <c:v>54616</c:v>
                </c:pt>
                <c:pt idx="12">
                  <c:v>52331</c:v>
                </c:pt>
                <c:pt idx="13">
                  <c:v>53488</c:v>
                </c:pt>
                <c:pt idx="14">
                  <c:v>56487</c:v>
                </c:pt>
                <c:pt idx="15">
                  <c:v>52283</c:v>
                </c:pt>
                <c:pt idx="16">
                  <c:v>57262</c:v>
                </c:pt>
                <c:pt idx="17">
                  <c:v>59605</c:v>
                </c:pt>
                <c:pt idx="18">
                  <c:v>56474</c:v>
                </c:pt>
                <c:pt idx="19">
                  <c:v>58224</c:v>
                </c:pt>
                <c:pt idx="20">
                  <c:v>60134</c:v>
                </c:pt>
                <c:pt idx="21">
                  <c:v>57479</c:v>
                </c:pt>
                <c:pt idx="22">
                  <c:v>60405</c:v>
                </c:pt>
                <c:pt idx="23">
                  <c:v>61939</c:v>
                </c:pt>
                <c:pt idx="24">
                  <c:v>60963</c:v>
                </c:pt>
                <c:pt idx="25">
                  <c:v>59078</c:v>
                </c:pt>
                <c:pt idx="26">
                  <c:v>62497</c:v>
                </c:pt>
                <c:pt idx="27">
                  <c:v>61562</c:v>
                </c:pt>
                <c:pt idx="28">
                  <c:v>63711</c:v>
                </c:pt>
                <c:pt idx="29">
                  <c:v>63751</c:v>
                </c:pt>
                <c:pt idx="30">
                  <c:v>64756</c:v>
                </c:pt>
                <c:pt idx="31">
                  <c:v>64464</c:v>
                </c:pt>
                <c:pt idx="32">
                  <c:v>65581</c:v>
                </c:pt>
                <c:pt idx="33">
                  <c:v>67427</c:v>
                </c:pt>
                <c:pt idx="34">
                  <c:v>64660</c:v>
                </c:pt>
                <c:pt idx="35">
                  <c:v>68881</c:v>
                </c:pt>
                <c:pt idx="36">
                  <c:v>67658</c:v>
                </c:pt>
                <c:pt idx="37">
                  <c:v>69902</c:v>
                </c:pt>
                <c:pt idx="38">
                  <c:v>69522</c:v>
                </c:pt>
                <c:pt idx="39">
                  <c:v>67518</c:v>
                </c:pt>
                <c:pt idx="40">
                  <c:v>69183</c:v>
                </c:pt>
                <c:pt idx="41">
                  <c:v>67129</c:v>
                </c:pt>
                <c:pt idx="42">
                  <c:v>65294</c:v>
                </c:pt>
                <c:pt idx="43">
                  <c:v>63721</c:v>
                </c:pt>
                <c:pt idx="44">
                  <c:v>63976</c:v>
                </c:pt>
                <c:pt idx="45">
                  <c:v>65937</c:v>
                </c:pt>
                <c:pt idx="46">
                  <c:v>66473</c:v>
                </c:pt>
                <c:pt idx="47">
                  <c:v>66630</c:v>
                </c:pt>
                <c:pt idx="48">
                  <c:v>69758</c:v>
                </c:pt>
                <c:pt idx="49">
                  <c:v>66190</c:v>
                </c:pt>
                <c:pt idx="50">
                  <c:v>66275</c:v>
                </c:pt>
                <c:pt idx="51">
                  <c:v>67553</c:v>
                </c:pt>
                <c:pt idx="52">
                  <c:v>69186</c:v>
                </c:pt>
                <c:pt idx="53">
                  <c:v>69443</c:v>
                </c:pt>
                <c:pt idx="54">
                  <c:v>66557</c:v>
                </c:pt>
                <c:pt idx="55">
                  <c:v>65935</c:v>
                </c:pt>
                <c:pt idx="56">
                  <c:v>66636</c:v>
                </c:pt>
                <c:pt idx="57">
                  <c:v>64799</c:v>
                </c:pt>
                <c:pt idx="58">
                  <c:v>68592</c:v>
                </c:pt>
                <c:pt idx="59">
                  <c:v>67496</c:v>
                </c:pt>
                <c:pt idx="60">
                  <c:v>68106</c:v>
                </c:pt>
                <c:pt idx="61">
                  <c:v>67227</c:v>
                </c:pt>
                <c:pt idx="62">
                  <c:v>68502</c:v>
                </c:pt>
                <c:pt idx="63">
                  <c:v>66341</c:v>
                </c:pt>
                <c:pt idx="64">
                  <c:v>65817</c:v>
                </c:pt>
                <c:pt idx="65">
                  <c:v>69872</c:v>
                </c:pt>
                <c:pt idx="66">
                  <c:v>67931</c:v>
                </c:pt>
                <c:pt idx="67">
                  <c:v>68554</c:v>
                </c:pt>
                <c:pt idx="68">
                  <c:v>69426</c:v>
                </c:pt>
                <c:pt idx="69">
                  <c:v>65645</c:v>
                </c:pt>
                <c:pt idx="70">
                  <c:v>63854</c:v>
                </c:pt>
                <c:pt idx="71">
                  <c:v>65875</c:v>
                </c:pt>
                <c:pt idx="72">
                  <c:v>64666</c:v>
                </c:pt>
                <c:pt idx="73">
                  <c:v>64257</c:v>
                </c:pt>
                <c:pt idx="74">
                  <c:v>64721</c:v>
                </c:pt>
                <c:pt idx="75">
                  <c:v>64152</c:v>
                </c:pt>
                <c:pt idx="76">
                  <c:v>62533</c:v>
                </c:pt>
                <c:pt idx="77">
                  <c:v>63930</c:v>
                </c:pt>
                <c:pt idx="78">
                  <c:v>63774</c:v>
                </c:pt>
                <c:pt idx="79">
                  <c:v>63370</c:v>
                </c:pt>
                <c:pt idx="80">
                  <c:v>63318</c:v>
                </c:pt>
                <c:pt idx="81">
                  <c:v>63051</c:v>
                </c:pt>
                <c:pt idx="82">
                  <c:v>62049</c:v>
                </c:pt>
                <c:pt idx="83">
                  <c:v>60165</c:v>
                </c:pt>
                <c:pt idx="84">
                  <c:v>61709</c:v>
                </c:pt>
                <c:pt idx="85">
                  <c:v>61077</c:v>
                </c:pt>
                <c:pt idx="86">
                  <c:v>60564</c:v>
                </c:pt>
                <c:pt idx="87">
                  <c:v>60970</c:v>
                </c:pt>
                <c:pt idx="88">
                  <c:v>59565</c:v>
                </c:pt>
                <c:pt idx="89">
                  <c:v>59505</c:v>
                </c:pt>
                <c:pt idx="90">
                  <c:v>59899</c:v>
                </c:pt>
                <c:pt idx="91">
                  <c:v>61743</c:v>
                </c:pt>
                <c:pt idx="92">
                  <c:v>59290</c:v>
                </c:pt>
                <c:pt idx="93">
                  <c:v>59413</c:v>
                </c:pt>
                <c:pt idx="94">
                  <c:v>59262</c:v>
                </c:pt>
                <c:pt idx="95">
                  <c:v>59355</c:v>
                </c:pt>
                <c:pt idx="96">
                  <c:v>60689</c:v>
                </c:pt>
                <c:pt idx="97">
                  <c:v>60752</c:v>
                </c:pt>
                <c:pt idx="98">
                  <c:v>61176</c:v>
                </c:pt>
                <c:pt idx="99">
                  <c:v>61339</c:v>
                </c:pt>
                <c:pt idx="100">
                  <c:v>61398</c:v>
                </c:pt>
                <c:pt idx="101">
                  <c:v>60227</c:v>
                </c:pt>
                <c:pt idx="102">
                  <c:v>61403</c:v>
                </c:pt>
                <c:pt idx="103">
                  <c:v>61643</c:v>
                </c:pt>
                <c:pt idx="104">
                  <c:v>63497</c:v>
                </c:pt>
                <c:pt idx="105">
                  <c:v>63980</c:v>
                </c:pt>
                <c:pt idx="106">
                  <c:v>63558</c:v>
                </c:pt>
                <c:pt idx="107">
                  <c:v>63745</c:v>
                </c:pt>
                <c:pt idx="108">
                  <c:v>63816</c:v>
                </c:pt>
                <c:pt idx="109">
                  <c:v>65257</c:v>
                </c:pt>
                <c:pt idx="110">
                  <c:v>64073</c:v>
                </c:pt>
                <c:pt idx="111">
                  <c:v>65444</c:v>
                </c:pt>
                <c:pt idx="112">
                  <c:v>66748</c:v>
                </c:pt>
                <c:pt idx="113">
                  <c:v>67678</c:v>
                </c:pt>
                <c:pt idx="114">
                  <c:v>68406</c:v>
                </c:pt>
                <c:pt idx="115">
                  <c:v>67270</c:v>
                </c:pt>
                <c:pt idx="116">
                  <c:v>67127</c:v>
                </c:pt>
                <c:pt idx="117">
                  <c:v>67931</c:v>
                </c:pt>
                <c:pt idx="118">
                  <c:v>65255</c:v>
                </c:pt>
                <c:pt idx="119">
                  <c:v>65773</c:v>
                </c:pt>
                <c:pt idx="120">
                  <c:v>67110</c:v>
                </c:pt>
                <c:pt idx="121">
                  <c:v>66772</c:v>
                </c:pt>
                <c:pt idx="122">
                  <c:v>67615</c:v>
                </c:pt>
                <c:pt idx="123">
                  <c:v>67038</c:v>
                </c:pt>
                <c:pt idx="124">
                  <c:v>66680</c:v>
                </c:pt>
                <c:pt idx="125">
                  <c:v>66243</c:v>
                </c:pt>
                <c:pt idx="126">
                  <c:v>65872</c:v>
                </c:pt>
                <c:pt idx="127">
                  <c:v>65829</c:v>
                </c:pt>
                <c:pt idx="128">
                  <c:v>65203</c:v>
                </c:pt>
                <c:pt idx="129">
                  <c:v>65207</c:v>
                </c:pt>
                <c:pt idx="130">
                  <c:v>63805</c:v>
                </c:pt>
                <c:pt idx="131">
                  <c:v>62950</c:v>
                </c:pt>
                <c:pt idx="132">
                  <c:v>62298</c:v>
                </c:pt>
                <c:pt idx="133">
                  <c:v>61245</c:v>
                </c:pt>
                <c:pt idx="134">
                  <c:v>60715</c:v>
                </c:pt>
                <c:pt idx="135">
                  <c:v>55545</c:v>
                </c:pt>
                <c:pt idx="136">
                  <c:v>56463</c:v>
                </c:pt>
                <c:pt idx="137">
                  <c:v>58548</c:v>
                </c:pt>
                <c:pt idx="138">
                  <c:v>60095</c:v>
                </c:pt>
                <c:pt idx="139">
                  <c:v>60687</c:v>
                </c:pt>
                <c:pt idx="140">
                  <c:v>62159</c:v>
                </c:pt>
                <c:pt idx="141">
                  <c:v>62801</c:v>
                </c:pt>
                <c:pt idx="142">
                  <c:v>62967</c:v>
                </c:pt>
                <c:pt idx="143">
                  <c:v>63944</c:v>
                </c:pt>
                <c:pt idx="144">
                  <c:v>64750</c:v>
                </c:pt>
                <c:pt idx="145">
                  <c:v>64562</c:v>
                </c:pt>
                <c:pt idx="146">
                  <c:v>65886</c:v>
                </c:pt>
                <c:pt idx="147">
                  <c:v>67955</c:v>
                </c:pt>
                <c:pt idx="148">
                  <c:v>66882</c:v>
                </c:pt>
                <c:pt idx="149">
                  <c:v>68158</c:v>
                </c:pt>
                <c:pt idx="150">
                  <c:v>68660</c:v>
                </c:pt>
                <c:pt idx="151">
                  <c:v>69530</c:v>
                </c:pt>
                <c:pt idx="152">
                  <c:v>69298</c:v>
                </c:pt>
                <c:pt idx="153">
                  <c:v>70632</c:v>
                </c:pt>
                <c:pt idx="154">
                  <c:v>71135</c:v>
                </c:pt>
                <c:pt idx="155">
                  <c:v>71199</c:v>
                </c:pt>
                <c:pt idx="156">
                  <c:v>72217</c:v>
                </c:pt>
                <c:pt idx="157">
                  <c:v>72038</c:v>
                </c:pt>
                <c:pt idx="158">
                  <c:v>72857</c:v>
                </c:pt>
                <c:pt idx="159">
                  <c:v>73115</c:v>
                </c:pt>
                <c:pt idx="160">
                  <c:v>73477</c:v>
                </c:pt>
                <c:pt idx="161">
                  <c:v>74190</c:v>
                </c:pt>
                <c:pt idx="162">
                  <c:v>74709</c:v>
                </c:pt>
                <c:pt idx="163">
                  <c:v>75379</c:v>
                </c:pt>
                <c:pt idx="164">
                  <c:v>74819</c:v>
                </c:pt>
                <c:pt idx="165">
                  <c:v>75055</c:v>
                </c:pt>
                <c:pt idx="166">
                  <c:v>75124</c:v>
                </c:pt>
              </c:numCache>
            </c:numRef>
          </c:val>
          <c:smooth val="0"/>
          <c:extLst>
            <c:ext xmlns:c16="http://schemas.microsoft.com/office/drawing/2014/chart" uri="{C3380CC4-5D6E-409C-BE32-E72D297353CC}">
              <c16:uniqueId val="{00000000-78D0-4906-AC90-13581846CAE8}"/>
            </c:ext>
          </c:extLst>
        </c:ser>
        <c:dLbls>
          <c:showLegendKey val="0"/>
          <c:showVal val="0"/>
          <c:showCatName val="0"/>
          <c:showSerName val="0"/>
          <c:showPercent val="0"/>
          <c:showBubbleSize val="0"/>
        </c:dLbls>
        <c:smooth val="0"/>
        <c:axId val="504146408"/>
        <c:axId val="504146800"/>
      </c:lineChart>
      <c:dateAx>
        <c:axId val="5041464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6800"/>
        <c:crosses val="autoZero"/>
        <c:auto val="0"/>
        <c:lblOffset val="100"/>
        <c:baseTimeUnit val="months"/>
      </c:dateAx>
      <c:valAx>
        <c:axId val="504146800"/>
        <c:scaling>
          <c:orientation val="minMax"/>
          <c:min val="4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6408"/>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mom%</a:t>
            </a:r>
          </a:p>
        </c:rich>
      </c:tx>
      <c:overlay val="0"/>
      <c:spPr>
        <a:noFill/>
        <a:ln>
          <a:noFill/>
          <a:prstDash val="solid"/>
        </a:ln>
      </c:spPr>
    </c:title>
    <c:autoTitleDeleted val="0"/>
    <c:plotArea>
      <c:layout/>
      <c:barChart>
        <c:barDir val="col"/>
        <c:grouping val="clustered"/>
        <c:varyColors val="0"/>
        <c:ser>
          <c:idx val="1"/>
          <c:order val="0"/>
          <c:tx>
            <c:strRef>
              <c:f>'New Orders ex Aircraft'!$C$5</c:f>
              <c:strCache>
                <c:ptCount val="1"/>
                <c:pt idx="0">
                  <c:v>mom %</c:v>
                </c:pt>
              </c:strCache>
            </c:strRef>
          </c:tx>
          <c:spPr>
            <a:solidFill>
              <a:srgbClr val="92D050"/>
            </a:solidFill>
            <a:ln>
              <a:noFill/>
              <a:prstDash val="solid"/>
            </a:ln>
          </c:spPr>
          <c:invertIfNegative val="1"/>
          <c:cat>
            <c:numRef>
              <c:f>'New Orders ex Aircraft'!$A$6:$A$375</c:f>
              <c:numCache>
                <c:formatCode>m/d/yyyy</c:formatCode>
                <c:ptCount val="370"/>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numCache>
            </c:numRef>
          </c:cat>
          <c:val>
            <c:numRef>
              <c:f>'New Orders ex Aircraft'!$C$6:$C$375</c:f>
              <c:numCache>
                <c:formatCode>0.0%</c:formatCode>
                <c:ptCount val="370"/>
                <c:pt idx="1">
                  <c:v>4.1379921434267657E-2</c:v>
                </c:pt>
                <c:pt idx="2">
                  <c:v>2.0817970389698792E-2</c:v>
                </c:pt>
                <c:pt idx="3">
                  <c:v>2.2755056679262059E-2</c:v>
                </c:pt>
                <c:pt idx="4">
                  <c:v>-3.9390399608812583E-3</c:v>
                </c:pt>
                <c:pt idx="5">
                  <c:v>-1.009109256531937E-3</c:v>
                </c:pt>
                <c:pt idx="6">
                  <c:v>-1.3595784760708728E-2</c:v>
                </c:pt>
                <c:pt idx="7">
                  <c:v>4.146024189753951E-2</c:v>
                </c:pt>
                <c:pt idx="8">
                  <c:v>-2.553881314943262E-2</c:v>
                </c:pt>
                <c:pt idx="9">
                  <c:v>2.4680920693792952E-2</c:v>
                </c:pt>
                <c:pt idx="10">
                  <c:v>2.1318499986692573E-2</c:v>
                </c:pt>
                <c:pt idx="11">
                  <c:v>-3.4737061552092566E-2</c:v>
                </c:pt>
                <c:pt idx="12">
                  <c:v>-2.1327717934181041E-3</c:v>
                </c:pt>
                <c:pt idx="13">
                  <c:v>-1.8126724744332017E-3</c:v>
                </c:pt>
                <c:pt idx="14">
                  <c:v>2.2604688982246917E-2</c:v>
                </c:pt>
                <c:pt idx="15">
                  <c:v>3.7106734872379339E-3</c:v>
                </c:pt>
                <c:pt idx="16">
                  <c:v>1.3520293643877577E-2</c:v>
                </c:pt>
                <c:pt idx="17">
                  <c:v>1.3913134102811286E-2</c:v>
                </c:pt>
                <c:pt idx="18">
                  <c:v>1.0124630605165103E-2</c:v>
                </c:pt>
                <c:pt idx="19">
                  <c:v>-5.0878933577552216E-5</c:v>
                </c:pt>
                <c:pt idx="20">
                  <c:v>3.1622866156155394E-2</c:v>
                </c:pt>
                <c:pt idx="21">
                  <c:v>-6.1405672009864362E-3</c:v>
                </c:pt>
                <c:pt idx="22">
                  <c:v>7.4315773802138899E-2</c:v>
                </c:pt>
                <c:pt idx="23">
                  <c:v>-8.0723392461197335E-2</c:v>
                </c:pt>
                <c:pt idx="24">
                  <c:v>4.8616868922891382E-2</c:v>
                </c:pt>
                <c:pt idx="25">
                  <c:v>-1.1764423998466552E-2</c:v>
                </c:pt>
                <c:pt idx="26">
                  <c:v>4.2356649290823133E-2</c:v>
                </c:pt>
                <c:pt idx="27">
                  <c:v>-3.3262002232973577E-3</c:v>
                </c:pt>
                <c:pt idx="28">
                  <c:v>3.9814231370627083E-2</c:v>
                </c:pt>
                <c:pt idx="29">
                  <c:v>-1.2097407698350354E-2</c:v>
                </c:pt>
                <c:pt idx="30">
                  <c:v>8.8604143947655402E-3</c:v>
                </c:pt>
                <c:pt idx="31">
                  <c:v>2.274467414313381E-3</c:v>
                </c:pt>
                <c:pt idx="32">
                  <c:v>3.2624081605140763E-2</c:v>
                </c:pt>
                <c:pt idx="33">
                  <c:v>-3.698949063295546E-4</c:v>
                </c:pt>
                <c:pt idx="34">
                  <c:v>5.3110443602803533E-3</c:v>
                </c:pt>
                <c:pt idx="35">
                  <c:v>2.4487940068419003E-2</c:v>
                </c:pt>
                <c:pt idx="36">
                  <c:v>-2.3606737536192066E-2</c:v>
                </c:pt>
                <c:pt idx="37">
                  <c:v>-2.2727272727272726E-3</c:v>
                </c:pt>
                <c:pt idx="38">
                  <c:v>1.4773836641718191E-2</c:v>
                </c:pt>
                <c:pt idx="39">
                  <c:v>3.4740037626133057E-2</c:v>
                </c:pt>
                <c:pt idx="40">
                  <c:v>-8.9047746947377125E-3</c:v>
                </c:pt>
                <c:pt idx="41">
                  <c:v>-4.1859495518032107E-2</c:v>
                </c:pt>
                <c:pt idx="42">
                  <c:v>3.350593968930856E-2</c:v>
                </c:pt>
                <c:pt idx="43">
                  <c:v>4.0608816470885434E-2</c:v>
                </c:pt>
                <c:pt idx="44">
                  <c:v>1.723614735692177E-2</c:v>
                </c:pt>
                <c:pt idx="45">
                  <c:v>-9.6454069964003741E-3</c:v>
                </c:pt>
                <c:pt idx="46">
                  <c:v>2.85754447969798E-2</c:v>
                </c:pt>
                <c:pt idx="47">
                  <c:v>-6.4231467562132716E-2</c:v>
                </c:pt>
                <c:pt idx="48">
                  <c:v>2.6120882101354031E-2</c:v>
                </c:pt>
                <c:pt idx="49">
                  <c:v>1.2138340483500397E-2</c:v>
                </c:pt>
                <c:pt idx="50">
                  <c:v>-3.3708316593009241E-2</c:v>
                </c:pt>
                <c:pt idx="51">
                  <c:v>4.9956342771610325E-2</c:v>
                </c:pt>
                <c:pt idx="52">
                  <c:v>2.0809820809820811E-2</c:v>
                </c:pt>
                <c:pt idx="53">
                  <c:v>-9.8727597175886413E-3</c:v>
                </c:pt>
                <c:pt idx="54">
                  <c:v>-5.2304738770153E-3</c:v>
                </c:pt>
                <c:pt idx="55">
                  <c:v>-1.8826309570697124E-2</c:v>
                </c:pt>
                <c:pt idx="56">
                  <c:v>5.4833012202954397E-2</c:v>
                </c:pt>
                <c:pt idx="57">
                  <c:v>2.0549509095060506E-3</c:v>
                </c:pt>
                <c:pt idx="58">
                  <c:v>-3.6058787786723376E-2</c:v>
                </c:pt>
                <c:pt idx="59">
                  <c:v>2.3500443218753077E-2</c:v>
                </c:pt>
                <c:pt idx="60">
                  <c:v>4.4786173447784752E-2</c:v>
                </c:pt>
                <c:pt idx="61">
                  <c:v>-1.6579165515335729E-3</c:v>
                </c:pt>
                <c:pt idx="62">
                  <c:v>1.566565181289787E-2</c:v>
                </c:pt>
                <c:pt idx="63">
                  <c:v>-2.0347358476854881E-2</c:v>
                </c:pt>
                <c:pt idx="64">
                  <c:v>3.7979378384392852E-2</c:v>
                </c:pt>
                <c:pt idx="65">
                  <c:v>5.3544629457585938E-2</c:v>
                </c:pt>
                <c:pt idx="66">
                  <c:v>-1.2498092217945022E-2</c:v>
                </c:pt>
                <c:pt idx="67">
                  <c:v>3.2817007830745981E-2</c:v>
                </c:pt>
                <c:pt idx="68">
                  <c:v>-4.2581846598939196E-2</c:v>
                </c:pt>
                <c:pt idx="69">
                  <c:v>6.686117189399465E-3</c:v>
                </c:pt>
                <c:pt idx="70">
                  <c:v>7.4870184760294648E-3</c:v>
                </c:pt>
                <c:pt idx="71">
                  <c:v>-2.7225561206143729E-2</c:v>
                </c:pt>
                <c:pt idx="72">
                  <c:v>4.4903275774057838E-2</c:v>
                </c:pt>
                <c:pt idx="73">
                  <c:v>-2.8469391193019104E-2</c:v>
                </c:pt>
                <c:pt idx="74">
                  <c:v>-3.0569427105007631E-2</c:v>
                </c:pt>
                <c:pt idx="75">
                  <c:v>4.7684630381512813E-2</c:v>
                </c:pt>
                <c:pt idx="76">
                  <c:v>7.5970977379428081E-3</c:v>
                </c:pt>
                <c:pt idx="77">
                  <c:v>-3.981701118264995E-2</c:v>
                </c:pt>
                <c:pt idx="78">
                  <c:v>1.7434268572436917E-2</c:v>
                </c:pt>
                <c:pt idx="79">
                  <c:v>4.5076138610427002E-2</c:v>
                </c:pt>
                <c:pt idx="80">
                  <c:v>-6.5353402924141588E-2</c:v>
                </c:pt>
                <c:pt idx="81">
                  <c:v>3.2724302633214367E-2</c:v>
                </c:pt>
                <c:pt idx="82">
                  <c:v>4.566555482961384E-2</c:v>
                </c:pt>
                <c:pt idx="83">
                  <c:v>-6.0146667105133347E-2</c:v>
                </c:pt>
                <c:pt idx="84">
                  <c:v>2.4772568229531142E-2</c:v>
                </c:pt>
                <c:pt idx="85">
                  <c:v>1.8454657197487026E-2</c:v>
                </c:pt>
                <c:pt idx="86">
                  <c:v>-1.220309435606886E-2</c:v>
                </c:pt>
                <c:pt idx="87">
                  <c:v>1.5018072595835666E-2</c:v>
                </c:pt>
                <c:pt idx="88">
                  <c:v>-1.2856521884508643E-2</c:v>
                </c:pt>
                <c:pt idx="89">
                  <c:v>5.1299856042001865E-2</c:v>
                </c:pt>
                <c:pt idx="90">
                  <c:v>-5.5095531140251959E-3</c:v>
                </c:pt>
                <c:pt idx="91">
                  <c:v>2.4282381908896519E-2</c:v>
                </c:pt>
                <c:pt idx="92">
                  <c:v>-2.815074884154924E-2</c:v>
                </c:pt>
                <c:pt idx="93">
                  <c:v>6.4767050170054189E-3</c:v>
                </c:pt>
                <c:pt idx="94">
                  <c:v>5.8238613397144659E-2</c:v>
                </c:pt>
                <c:pt idx="95">
                  <c:v>-2.2551221524499242E-2</c:v>
                </c:pt>
                <c:pt idx="96">
                  <c:v>-8.5627198124267292E-2</c:v>
                </c:pt>
                <c:pt idx="97">
                  <c:v>8.7953228370685671E-2</c:v>
                </c:pt>
                <c:pt idx="98">
                  <c:v>1.2130354168630779E-2</c:v>
                </c:pt>
                <c:pt idx="99">
                  <c:v>-1.0261744341292265E-2</c:v>
                </c:pt>
                <c:pt idx="100">
                  <c:v>7.119664956943203E-2</c:v>
                </c:pt>
                <c:pt idx="101">
                  <c:v>-6.8983189831898314E-2</c:v>
                </c:pt>
                <c:pt idx="102">
                  <c:v>1.8527547537786446E-2</c:v>
                </c:pt>
                <c:pt idx="103">
                  <c:v>3.0482249571488134E-2</c:v>
                </c:pt>
                <c:pt idx="104">
                  <c:v>-4.724798825168957E-2</c:v>
                </c:pt>
                <c:pt idx="105">
                  <c:v>-1.5901226800880779E-2</c:v>
                </c:pt>
                <c:pt idx="106">
                  <c:v>-2.3973533219325864E-4</c:v>
                </c:pt>
                <c:pt idx="107">
                  <c:v>-2.7911884132109856E-2</c:v>
                </c:pt>
                <c:pt idx="108">
                  <c:v>-1.82541770819629E-3</c:v>
                </c:pt>
                <c:pt idx="109">
                  <c:v>-4.2028436331284905E-2</c:v>
                </c:pt>
                <c:pt idx="110">
                  <c:v>-5.6839679427647644E-2</c:v>
                </c:pt>
                <c:pt idx="111">
                  <c:v>3.2056308236538357E-2</c:v>
                </c:pt>
                <c:pt idx="112">
                  <c:v>-2.0689411473700948E-2</c:v>
                </c:pt>
                <c:pt idx="113">
                  <c:v>-3.5938514830049798E-2</c:v>
                </c:pt>
                <c:pt idx="114">
                  <c:v>1.3717344112583277E-2</c:v>
                </c:pt>
                <c:pt idx="115">
                  <c:v>-6.339419225017999E-2</c:v>
                </c:pt>
                <c:pt idx="116">
                  <c:v>-1.9690548930718439E-2</c:v>
                </c:pt>
                <c:pt idx="117">
                  <c:v>3.2149750683609458E-2</c:v>
                </c:pt>
                <c:pt idx="118">
                  <c:v>-8.7659491574948868E-4</c:v>
                </c:pt>
                <c:pt idx="119">
                  <c:v>-7.1105478650809129E-2</c:v>
                </c:pt>
                <c:pt idx="120">
                  <c:v>5.8329660180928992E-2</c:v>
                </c:pt>
                <c:pt idx="121">
                  <c:v>-6.0509301495379003E-2</c:v>
                </c:pt>
                <c:pt idx="122">
                  <c:v>5.4738130923983025E-2</c:v>
                </c:pt>
                <c:pt idx="123">
                  <c:v>1.4330317828836762E-2</c:v>
                </c:pt>
                <c:pt idx="124">
                  <c:v>-3.6168113654301497E-2</c:v>
                </c:pt>
                <c:pt idx="125">
                  <c:v>1.4002907036256064E-2</c:v>
                </c:pt>
                <c:pt idx="126">
                  <c:v>3.1919404009610144E-2</c:v>
                </c:pt>
                <c:pt idx="127">
                  <c:v>-5.914462357176397E-2</c:v>
                </c:pt>
                <c:pt idx="128">
                  <c:v>2.1148287550167399E-2</c:v>
                </c:pt>
                <c:pt idx="129">
                  <c:v>1.046715269009897E-2</c:v>
                </c:pt>
                <c:pt idx="130">
                  <c:v>-1.7654171704957679E-2</c:v>
                </c:pt>
                <c:pt idx="131">
                  <c:v>3.1183325127195141E-3</c:v>
                </c:pt>
                <c:pt idx="132">
                  <c:v>4.744764397905759E-3</c:v>
                </c:pt>
                <c:pt idx="133">
                  <c:v>5.3513271454160558E-2</c:v>
                </c:pt>
                <c:pt idx="134">
                  <c:v>-4.9423266418069052E-2</c:v>
                </c:pt>
                <c:pt idx="135">
                  <c:v>3.3537267017622309E-2</c:v>
                </c:pt>
                <c:pt idx="136">
                  <c:v>-1.7856791677319121E-2</c:v>
                </c:pt>
                <c:pt idx="137">
                  <c:v>-1.0672593660519413E-2</c:v>
                </c:pt>
                <c:pt idx="138">
                  <c:v>2.102898316062176E-2</c:v>
                </c:pt>
                <c:pt idx="139">
                  <c:v>3.0209923285824728E-2</c:v>
                </c:pt>
                <c:pt idx="140">
                  <c:v>-1.6990244559465857E-2</c:v>
                </c:pt>
                <c:pt idx="141">
                  <c:v>2.4076103977450674E-2</c:v>
                </c:pt>
                <c:pt idx="142">
                  <c:v>1.9247677663519248E-2</c:v>
                </c:pt>
                <c:pt idx="143">
                  <c:v>-5.8790436005625876E-2</c:v>
                </c:pt>
                <c:pt idx="144">
                  <c:v>2.0322773460848775E-2</c:v>
                </c:pt>
                <c:pt idx="145">
                  <c:v>7.3911345440343681E-2</c:v>
                </c:pt>
                <c:pt idx="146">
                  <c:v>-5.3277570688244388E-2</c:v>
                </c:pt>
                <c:pt idx="147">
                  <c:v>6.5302986651301258E-3</c:v>
                </c:pt>
                <c:pt idx="148">
                  <c:v>1.541837610914989E-2</c:v>
                </c:pt>
                <c:pt idx="149">
                  <c:v>9.1331065717024044E-3</c:v>
                </c:pt>
                <c:pt idx="150">
                  <c:v>-3.2570438928099223E-2</c:v>
                </c:pt>
                <c:pt idx="151">
                  <c:v>8.232916265640039E-2</c:v>
                </c:pt>
                <c:pt idx="152">
                  <c:v>-4.0532128692620982E-2</c:v>
                </c:pt>
                <c:pt idx="153">
                  <c:v>2.5394824645955365E-2</c:v>
                </c:pt>
                <c:pt idx="154">
                  <c:v>2.3735492967930871E-2</c:v>
                </c:pt>
                <c:pt idx="155">
                  <c:v>2.2125690876021967E-2</c:v>
                </c:pt>
                <c:pt idx="156">
                  <c:v>-5.2518830764978234E-3</c:v>
                </c:pt>
                <c:pt idx="157">
                  <c:v>-1.7436609934004862E-2</c:v>
                </c:pt>
                <c:pt idx="158">
                  <c:v>2.7608880090497737E-2</c:v>
                </c:pt>
                <c:pt idx="159">
                  <c:v>-1.7768069077023635E-2</c:v>
                </c:pt>
                <c:pt idx="160">
                  <c:v>3.1485859381840467E-2</c:v>
                </c:pt>
                <c:pt idx="161">
                  <c:v>-2.2019251990560752E-2</c:v>
                </c:pt>
                <c:pt idx="162">
                  <c:v>4.7668645627191614E-2</c:v>
                </c:pt>
                <c:pt idx="163">
                  <c:v>-3.3271474019088018E-2</c:v>
                </c:pt>
                <c:pt idx="164">
                  <c:v>2.4115590292060882E-2</c:v>
                </c:pt>
                <c:pt idx="165">
                  <c:v>1.1849174072400461E-2</c:v>
                </c:pt>
                <c:pt idx="166">
                  <c:v>1.3430589324997105E-2</c:v>
                </c:pt>
                <c:pt idx="167">
                  <c:v>1.9552479966052454E-2</c:v>
                </c:pt>
                <c:pt idx="168">
                  <c:v>1.9689766123997502E-3</c:v>
                </c:pt>
                <c:pt idx="169">
                  <c:v>4.000511247443763E-2</c:v>
                </c:pt>
                <c:pt idx="170">
                  <c:v>-2.802015484822416E-2</c:v>
                </c:pt>
                <c:pt idx="171">
                  <c:v>1.3797572385889493E-2</c:v>
                </c:pt>
                <c:pt idx="172">
                  <c:v>-8.4807857198534575E-3</c:v>
                </c:pt>
                <c:pt idx="173">
                  <c:v>5.047090454552601E-3</c:v>
                </c:pt>
                <c:pt idx="174">
                  <c:v>7.1493382559994993E-3</c:v>
                </c:pt>
                <c:pt idx="175">
                  <c:v>4.0416906133987789E-2</c:v>
                </c:pt>
                <c:pt idx="176">
                  <c:v>-7.3005777757871636E-3</c:v>
                </c:pt>
                <c:pt idx="177">
                  <c:v>-1.2031522589183661E-4</c:v>
                </c:pt>
                <c:pt idx="178">
                  <c:v>-8.257625894952169E-3</c:v>
                </c:pt>
                <c:pt idx="179">
                  <c:v>-2.6996284219306894E-2</c:v>
                </c:pt>
                <c:pt idx="180">
                  <c:v>-6.5466448445171853E-3</c:v>
                </c:pt>
                <c:pt idx="181">
                  <c:v>5.0223582019298656E-2</c:v>
                </c:pt>
                <c:pt idx="182">
                  <c:v>-1.2220628660212741E-2</c:v>
                </c:pt>
                <c:pt idx="183">
                  <c:v>-1.7287274267219214E-2</c:v>
                </c:pt>
                <c:pt idx="184">
                  <c:v>-1.5544440169295883E-3</c:v>
                </c:pt>
                <c:pt idx="185">
                  <c:v>4.3160588217159418E-4</c:v>
                </c:pt>
                <c:pt idx="186">
                  <c:v>2.100089365504915E-2</c:v>
                </c:pt>
                <c:pt idx="187">
                  <c:v>-1.3159284690258809E-2</c:v>
                </c:pt>
                <c:pt idx="188">
                  <c:v>-6.4074136375453028E-3</c:v>
                </c:pt>
                <c:pt idx="189">
                  <c:v>7.5722596731000093E-3</c:v>
                </c:pt>
                <c:pt idx="190">
                  <c:v>4.0173525188647544E-2</c:v>
                </c:pt>
                <c:pt idx="191">
                  <c:v>4.5817669172932328E-3</c:v>
                </c:pt>
                <c:pt idx="192">
                  <c:v>-2.6897438896035551E-2</c:v>
                </c:pt>
                <c:pt idx="193">
                  <c:v>-6.3093378199735606E-4</c:v>
                </c:pt>
                <c:pt idx="194">
                  <c:v>4.2795298078946574E-2</c:v>
                </c:pt>
                <c:pt idx="195">
                  <c:v>-1.340579187868479E-2</c:v>
                </c:pt>
                <c:pt idx="196">
                  <c:v>-1.0066770889645398E-2</c:v>
                </c:pt>
                <c:pt idx="197">
                  <c:v>1.50544617291968E-3</c:v>
                </c:pt>
                <c:pt idx="198">
                  <c:v>-2.5259372789436452E-2</c:v>
                </c:pt>
                <c:pt idx="199">
                  <c:v>-3.459224093616764E-2</c:v>
                </c:pt>
                <c:pt idx="200">
                  <c:v>-7.0849124565414853E-2</c:v>
                </c:pt>
                <c:pt idx="201">
                  <c:v>2.4085622787797068E-2</c:v>
                </c:pt>
                <c:pt idx="202">
                  <c:v>-8.6357576655310325E-2</c:v>
                </c:pt>
                <c:pt idx="203">
                  <c:v>-0.10776048421962819</c:v>
                </c:pt>
                <c:pt idx="204">
                  <c:v>1.2780133252574197E-2</c:v>
                </c:pt>
                <c:pt idx="205">
                  <c:v>-1.812092578195084E-2</c:v>
                </c:pt>
                <c:pt idx="206">
                  <c:v>-4.3813700410118978E-2</c:v>
                </c:pt>
                <c:pt idx="207">
                  <c:v>3.3038899269577031E-2</c:v>
                </c:pt>
                <c:pt idx="208">
                  <c:v>3.8662336594590153E-2</c:v>
                </c:pt>
                <c:pt idx="209">
                  <c:v>8.9248609819325992E-3</c:v>
                </c:pt>
                <c:pt idx="210">
                  <c:v>-2.1261572257963282E-2</c:v>
                </c:pt>
                <c:pt idx="211">
                  <c:v>6.2805611222444893E-2</c:v>
                </c:pt>
                <c:pt idx="212">
                  <c:v>-1.9911754723384998E-2</c:v>
                </c:pt>
                <c:pt idx="213">
                  <c:v>1.5256454653892032E-2</c:v>
                </c:pt>
                <c:pt idx="214">
                  <c:v>3.4962384643080477E-2</c:v>
                </c:pt>
                <c:pt idx="215">
                  <c:v>-4.183755675992383E-2</c:v>
                </c:pt>
                <c:pt idx="216">
                  <c:v>2.2109266018230111E-2</c:v>
                </c:pt>
                <c:pt idx="217">
                  <c:v>5.6068650912354176E-2</c:v>
                </c:pt>
                <c:pt idx="218">
                  <c:v>-7.4424203799104222E-2</c:v>
                </c:pt>
                <c:pt idx="219">
                  <c:v>9.5231719679436916E-2</c:v>
                </c:pt>
                <c:pt idx="220">
                  <c:v>4.0917187663721141E-2</c:v>
                </c:pt>
                <c:pt idx="221">
                  <c:v>-5.2529150239073903E-2</c:v>
                </c:pt>
                <c:pt idx="222">
                  <c:v>3.098771115911747E-2</c:v>
                </c:pt>
                <c:pt idx="223">
                  <c:v>3.2804341852157186E-2</c:v>
                </c:pt>
                <c:pt idx="224">
                  <c:v>-4.415139521734792E-2</c:v>
                </c:pt>
                <c:pt idx="225">
                  <c:v>5.090554811322396E-2</c:v>
                </c:pt>
                <c:pt idx="226">
                  <c:v>2.5395248737687278E-2</c:v>
                </c:pt>
                <c:pt idx="227">
                  <c:v>-1.5757438770403139E-2</c:v>
                </c:pt>
                <c:pt idx="228">
                  <c:v>-3.0920394337549006E-2</c:v>
                </c:pt>
                <c:pt idx="229">
                  <c:v>5.787264294661295E-2</c:v>
                </c:pt>
                <c:pt idx="230">
                  <c:v>-1.4960718114469494E-2</c:v>
                </c:pt>
                <c:pt idx="231">
                  <c:v>3.4907897729118613E-2</c:v>
                </c:pt>
                <c:pt idx="232">
                  <c:v>6.2783506772770797E-4</c:v>
                </c:pt>
                <c:pt idx="233">
                  <c:v>1.5764458596727895E-2</c:v>
                </c:pt>
                <c:pt idx="234">
                  <c:v>-4.5092346655136208E-3</c:v>
                </c:pt>
                <c:pt idx="235">
                  <c:v>1.7327500620501365E-2</c:v>
                </c:pt>
                <c:pt idx="236">
                  <c:v>2.8148396639270521E-2</c:v>
                </c:pt>
                <c:pt idx="237">
                  <c:v>-4.1036973319293457E-2</c:v>
                </c:pt>
                <c:pt idx="238">
                  <c:v>6.527992576554284E-2</c:v>
                </c:pt>
                <c:pt idx="239">
                  <c:v>-1.7755259069990273E-2</c:v>
                </c:pt>
                <c:pt idx="240">
                  <c:v>3.3166809542108842E-2</c:v>
                </c:pt>
                <c:pt idx="241">
                  <c:v>-5.4361820834883121E-3</c:v>
                </c:pt>
                <c:pt idx="242">
                  <c:v>-2.8825407784586175E-2</c:v>
                </c:pt>
                <c:pt idx="243">
                  <c:v>2.4660090642495334E-2</c:v>
                </c:pt>
                <c:pt idx="244">
                  <c:v>-2.9689374557333448E-2</c:v>
                </c:pt>
                <c:pt idx="245">
                  <c:v>-2.7335428801263238E-2</c:v>
                </c:pt>
                <c:pt idx="246">
                  <c:v>-2.4091034398260176E-2</c:v>
                </c:pt>
                <c:pt idx="247">
                  <c:v>4.0018204359630266E-3</c:v>
                </c:pt>
                <c:pt idx="248">
                  <c:v>3.0652119544829312E-2</c:v>
                </c:pt>
                <c:pt idx="249">
                  <c:v>8.1289715940973967E-3</c:v>
                </c:pt>
                <c:pt idx="250">
                  <c:v>2.3618612068057707E-3</c:v>
                </c:pt>
                <c:pt idx="251">
                  <c:v>4.6945820201110613E-2</c:v>
                </c:pt>
                <c:pt idx="252">
                  <c:v>-5.1148255397230426E-2</c:v>
                </c:pt>
                <c:pt idx="253">
                  <c:v>1.2841819005892129E-3</c:v>
                </c:pt>
                <c:pt idx="254">
                  <c:v>1.9283289324783102E-2</c:v>
                </c:pt>
                <c:pt idx="255">
                  <c:v>2.4173611830710703E-2</c:v>
                </c:pt>
                <c:pt idx="256">
                  <c:v>3.714624345965947E-3</c:v>
                </c:pt>
                <c:pt idx="257">
                  <c:v>-4.1559264432700201E-2</c:v>
                </c:pt>
                <c:pt idx="258">
                  <c:v>-9.3453731388133485E-3</c:v>
                </c:pt>
                <c:pt idx="259">
                  <c:v>1.0631682717828165E-2</c:v>
                </c:pt>
                <c:pt idx="260">
                  <c:v>-2.7567681133321326E-2</c:v>
                </c:pt>
                <c:pt idx="261">
                  <c:v>5.8534853932931064E-2</c:v>
                </c:pt>
                <c:pt idx="262">
                  <c:v>-1.5978539771401911E-2</c:v>
                </c:pt>
                <c:pt idx="263">
                  <c:v>9.0375725968946316E-3</c:v>
                </c:pt>
                <c:pt idx="264">
                  <c:v>-1.2906351863271959E-2</c:v>
                </c:pt>
                <c:pt idx="265">
                  <c:v>1.8965594180909456E-2</c:v>
                </c:pt>
                <c:pt idx="266">
                  <c:v>-3.1546524189074769E-2</c:v>
                </c:pt>
                <c:pt idx="267">
                  <c:v>-7.8985845857011509E-3</c:v>
                </c:pt>
                <c:pt idx="268">
                  <c:v>6.1610222282996792E-2</c:v>
                </c:pt>
                <c:pt idx="269">
                  <c:v>-2.7779367987176552E-2</c:v>
                </c:pt>
                <c:pt idx="270">
                  <c:v>9.1710706452135249E-3</c:v>
                </c:pt>
                <c:pt idx="271">
                  <c:v>1.2719899641158794E-2</c:v>
                </c:pt>
                <c:pt idx="272">
                  <c:v>-5.4460864805692392E-2</c:v>
                </c:pt>
                <c:pt idx="273">
                  <c:v>-2.7283113717724121E-2</c:v>
                </c:pt>
                <c:pt idx="274">
                  <c:v>3.1650327309174053E-2</c:v>
                </c:pt>
                <c:pt idx="275">
                  <c:v>-1.8352941176470589E-2</c:v>
                </c:pt>
                <c:pt idx="276">
                  <c:v>-6.3248074722419816E-3</c:v>
                </c:pt>
                <c:pt idx="277">
                  <c:v>7.2210031591888818E-3</c:v>
                </c:pt>
                <c:pt idx="278">
                  <c:v>-8.7915823303100996E-3</c:v>
                </c:pt>
                <c:pt idx="279">
                  <c:v>-2.5236937273974309E-2</c:v>
                </c:pt>
                <c:pt idx="280">
                  <c:v>2.2340204372091537E-2</c:v>
                </c:pt>
                <c:pt idx="281">
                  <c:v>-2.4401689347724074E-3</c:v>
                </c:pt>
                <c:pt idx="282">
                  <c:v>-6.3348700097218304E-3</c:v>
                </c:pt>
                <c:pt idx="283">
                  <c:v>-8.2057756035979173E-4</c:v>
                </c:pt>
                <c:pt idx="284">
                  <c:v>-4.216810385672321E-3</c:v>
                </c:pt>
                <c:pt idx="285">
                  <c:v>-1.5891897035732978E-2</c:v>
                </c:pt>
                <c:pt idx="286">
                  <c:v>-3.0363100130541991E-2</c:v>
                </c:pt>
                <c:pt idx="287">
                  <c:v>2.5662760741294772E-2</c:v>
                </c:pt>
                <c:pt idx="288">
                  <c:v>-1.0241617916349317E-2</c:v>
                </c:pt>
                <c:pt idx="289">
                  <c:v>-8.3992337541136594E-3</c:v>
                </c:pt>
                <c:pt idx="290">
                  <c:v>6.7036523347202958E-3</c:v>
                </c:pt>
                <c:pt idx="291">
                  <c:v>-2.3044120059045433E-2</c:v>
                </c:pt>
                <c:pt idx="292">
                  <c:v>-1.007302946361118E-3</c:v>
                </c:pt>
                <c:pt idx="293">
                  <c:v>6.6212923283757667E-3</c:v>
                </c:pt>
                <c:pt idx="294">
                  <c:v>3.0785155010935074E-2</c:v>
                </c:pt>
                <c:pt idx="295">
                  <c:v>-3.972920007126314E-2</c:v>
                </c:pt>
                <c:pt idx="296">
                  <c:v>2.0745488277955811E-3</c:v>
                </c:pt>
                <c:pt idx="297">
                  <c:v>-2.5415313146954369E-3</c:v>
                </c:pt>
                <c:pt idx="298">
                  <c:v>1.5693024197630859E-3</c:v>
                </c:pt>
                <c:pt idx="299">
                  <c:v>2.2474938926796393E-2</c:v>
                </c:pt>
                <c:pt idx="300">
                  <c:v>1.0380793883570333E-3</c:v>
                </c:pt>
                <c:pt idx="301">
                  <c:v>6.9791941006057409E-3</c:v>
                </c:pt>
                <c:pt idx="302">
                  <c:v>2.6644435726428666E-3</c:v>
                </c:pt>
                <c:pt idx="303">
                  <c:v>9.6186765353201067E-4</c:v>
                </c:pt>
                <c:pt idx="304">
                  <c:v>-1.907228248477149E-2</c:v>
                </c:pt>
                <c:pt idx="305">
                  <c:v>1.9526126156042971E-2</c:v>
                </c:pt>
                <c:pt idx="306">
                  <c:v>3.9086038141458888E-3</c:v>
                </c:pt>
                <c:pt idx="307">
                  <c:v>3.0076407702415521E-2</c:v>
                </c:pt>
                <c:pt idx="308">
                  <c:v>7.6066585822952264E-3</c:v>
                </c:pt>
                <c:pt idx="309">
                  <c:v>-6.5958111909971869E-3</c:v>
                </c:pt>
                <c:pt idx="310">
                  <c:v>2.9421945309795776E-3</c:v>
                </c:pt>
                <c:pt idx="311">
                  <c:v>1.1138128480665151E-3</c:v>
                </c:pt>
                <c:pt idx="312">
                  <c:v>2.258054406418453E-2</c:v>
                </c:pt>
                <c:pt idx="313">
                  <c:v>-1.8143647424797339E-2</c:v>
                </c:pt>
                <c:pt idx="314">
                  <c:v>2.1397468512477955E-2</c:v>
                </c:pt>
                <c:pt idx="315">
                  <c:v>1.9925432430780515E-2</c:v>
                </c:pt>
                <c:pt idx="316">
                  <c:v>1.3933001737879787E-2</c:v>
                </c:pt>
                <c:pt idx="317">
                  <c:v>1.0756819054936612E-2</c:v>
                </c:pt>
                <c:pt idx="318">
                  <c:v>-1.660673040376575E-2</c:v>
                </c:pt>
                <c:pt idx="319">
                  <c:v>-2.1257618552103464E-3</c:v>
                </c:pt>
                <c:pt idx="320">
                  <c:v>1.1977296765831931E-2</c:v>
                </c:pt>
                <c:pt idx="321">
                  <c:v>-3.9392913397417968E-2</c:v>
                </c:pt>
                <c:pt idx="322">
                  <c:v>7.9380890353229639E-3</c:v>
                </c:pt>
                <c:pt idx="323">
                  <c:v>2.0327490003496877E-2</c:v>
                </c:pt>
                <c:pt idx="324">
                  <c:v>-5.0365072269408437E-3</c:v>
                </c:pt>
                <c:pt idx="325">
                  <c:v>1.2625052417180854E-2</c:v>
                </c:pt>
                <c:pt idx="326">
                  <c:v>-8.5336094061968498E-3</c:v>
                </c:pt>
                <c:pt idx="327">
                  <c:v>-5.3402547808705514E-3</c:v>
                </c:pt>
                <c:pt idx="328">
                  <c:v>-6.5536892621475707E-3</c:v>
                </c:pt>
                <c:pt idx="329">
                  <c:v>-5.6005917606388603E-3</c:v>
                </c:pt>
                <c:pt idx="330">
                  <c:v>-6.5278115132377942E-4</c:v>
                </c:pt>
                <c:pt idx="331">
                  <c:v>-9.5094867003904047E-3</c:v>
                </c:pt>
                <c:pt idx="332">
                  <c:v>6.1346870542766432E-5</c:v>
                </c:pt>
                <c:pt idx="333">
                  <c:v>-2.1500759120953273E-2</c:v>
                </c:pt>
                <c:pt idx="334">
                  <c:v>-1.3400203745787948E-2</c:v>
                </c:pt>
                <c:pt idx="335">
                  <c:v>-1.0357426528991263E-2</c:v>
                </c:pt>
                <c:pt idx="336">
                  <c:v>-1.6902629297890784E-2</c:v>
                </c:pt>
                <c:pt idx="337">
                  <c:v>-8.6537676545024086E-3</c:v>
                </c:pt>
                <c:pt idx="338">
                  <c:v>-8.5151939388948369E-2</c:v>
                </c:pt>
                <c:pt idx="339">
                  <c:v>1.652714015662976E-2</c:v>
                </c:pt>
                <c:pt idx="340">
                  <c:v>3.6926837043727748E-2</c:v>
                </c:pt>
                <c:pt idx="341">
                  <c:v>2.6422764227642278E-2</c:v>
                </c:pt>
                <c:pt idx="342">
                  <c:v>9.8510691405274981E-3</c:v>
                </c:pt>
                <c:pt idx="343">
                  <c:v>2.4255606637335839E-2</c:v>
                </c:pt>
                <c:pt idx="344">
                  <c:v>1.0328351485706011E-2</c:v>
                </c:pt>
                <c:pt idx="345">
                  <c:v>2.6432700116240187E-3</c:v>
                </c:pt>
                <c:pt idx="346">
                  <c:v>1.551606397001604E-2</c:v>
                </c:pt>
                <c:pt idx="347">
                  <c:v>1.2604779181784062E-2</c:v>
                </c:pt>
                <c:pt idx="348">
                  <c:v>-2.9034749034749035E-3</c:v>
                </c:pt>
                <c:pt idx="349">
                  <c:v>2.0507419224931073E-2</c:v>
                </c:pt>
                <c:pt idx="350">
                  <c:v>3.1402725920529402E-2</c:v>
                </c:pt>
                <c:pt idx="351">
                  <c:v>-1.5789860937385033E-2</c:v>
                </c:pt>
                <c:pt idx="352">
                  <c:v>1.9078376842797763E-2</c:v>
                </c:pt>
                <c:pt idx="353">
                  <c:v>7.365239590363567E-3</c:v>
                </c:pt>
                <c:pt idx="354">
                  <c:v>1.2671133119720361E-2</c:v>
                </c:pt>
                <c:pt idx="355">
                  <c:v>-3.3366891989069468E-3</c:v>
                </c:pt>
                <c:pt idx="356">
                  <c:v>1.9250194810817051E-2</c:v>
                </c:pt>
                <c:pt idx="357">
                  <c:v>7.1214180541397665E-3</c:v>
                </c:pt>
                <c:pt idx="358">
                  <c:v>8.9969775778449431E-4</c:v>
                </c:pt>
                <c:pt idx="359">
                  <c:v>1.4297953622944143E-2</c:v>
                </c:pt>
                <c:pt idx="360">
                  <c:v>-2.4786407632551894E-3</c:v>
                </c:pt>
                <c:pt idx="361">
                  <c:v>1.1368999694605624E-2</c:v>
                </c:pt>
                <c:pt idx="362">
                  <c:v>3.5411834140851258E-3</c:v>
                </c:pt>
                <c:pt idx="363">
                  <c:v>4.9511044245366884E-3</c:v>
                </c:pt>
                <c:pt idx="364">
                  <c:v>9.7037168093416989E-3</c:v>
                </c:pt>
                <c:pt idx="365">
                  <c:v>6.9955519611807522E-3</c:v>
                </c:pt>
                <c:pt idx="366">
                  <c:v>8.968129676478068E-3</c:v>
                </c:pt>
                <c:pt idx="367">
                  <c:v>-7.4291248225633131E-3</c:v>
                </c:pt>
                <c:pt idx="368">
                  <c:v>3.1542789933038397E-3</c:v>
                </c:pt>
                <c:pt idx="369">
                  <c:v>9.1932582772633401E-4</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C9A2-4FFF-8116-321B7302D36F}"/>
            </c:ext>
          </c:extLst>
        </c:ser>
        <c:dLbls>
          <c:showLegendKey val="0"/>
          <c:showVal val="0"/>
          <c:showCatName val="0"/>
          <c:showSerName val="0"/>
          <c:showPercent val="0"/>
          <c:showBubbleSize val="0"/>
        </c:dLbls>
        <c:gapWidth val="219"/>
        <c:overlap val="-27"/>
        <c:axId val="504147584"/>
        <c:axId val="504147976"/>
      </c:barChart>
      <c:dateAx>
        <c:axId val="504147584"/>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976"/>
        <c:crosses val="autoZero"/>
        <c:auto val="0"/>
        <c:lblOffset val="100"/>
        <c:baseTimeUnit val="months"/>
      </c:dateAx>
      <c:valAx>
        <c:axId val="504147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58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mom%</a:t>
            </a:r>
          </a:p>
        </c:rich>
      </c:tx>
      <c:overlay val="0"/>
      <c:spPr>
        <a:noFill/>
        <a:ln>
          <a:noFill/>
          <a:prstDash val="solid"/>
        </a:ln>
      </c:spPr>
    </c:title>
    <c:autoTitleDeleted val="0"/>
    <c:plotArea>
      <c:layout/>
      <c:barChart>
        <c:barDir val="col"/>
        <c:grouping val="clustered"/>
        <c:varyColors val="0"/>
        <c:ser>
          <c:idx val="1"/>
          <c:order val="0"/>
          <c:tx>
            <c:strRef>
              <c:f>'New Orders ex Aircraft'!$C$5</c:f>
              <c:strCache>
                <c:ptCount val="1"/>
                <c:pt idx="0">
                  <c:v>mom %</c:v>
                </c:pt>
              </c:strCache>
            </c:strRef>
          </c:tx>
          <c:spPr>
            <a:solidFill>
              <a:srgbClr val="92D050"/>
            </a:solidFill>
            <a:ln w="6350">
              <a:solidFill>
                <a:schemeClr val="tx1"/>
              </a:solidFill>
              <a:prstDash val="solid"/>
            </a:ln>
          </c:spPr>
          <c:invertIfNegative val="1"/>
          <c:cat>
            <c:numRef>
              <c:f>'New Orders ex Aircraft'!$A$251:$A$378</c:f>
              <c:numCache>
                <c:formatCode>m/d/yyyy</c:formatCode>
                <c:ptCount val="128"/>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pt idx="115">
                  <c:v>44593</c:v>
                </c:pt>
                <c:pt idx="116">
                  <c:v>44621</c:v>
                </c:pt>
                <c:pt idx="117">
                  <c:v>44652</c:v>
                </c:pt>
                <c:pt idx="118">
                  <c:v>44682</c:v>
                </c:pt>
                <c:pt idx="119">
                  <c:v>44713</c:v>
                </c:pt>
                <c:pt idx="120">
                  <c:v>44743</c:v>
                </c:pt>
                <c:pt idx="121">
                  <c:v>44774</c:v>
                </c:pt>
                <c:pt idx="122">
                  <c:v>44805</c:v>
                </c:pt>
                <c:pt idx="123">
                  <c:v>44835</c:v>
                </c:pt>
                <c:pt idx="124">
                  <c:v>44866</c:v>
                </c:pt>
              </c:numCache>
            </c:numRef>
          </c:cat>
          <c:val>
            <c:numRef>
              <c:f>'New Orders ex Aircraft'!$C$251:$C$378</c:f>
              <c:numCache>
                <c:formatCode>0.0%</c:formatCode>
                <c:ptCount val="128"/>
                <c:pt idx="0">
                  <c:v>-2.7335428801263238E-2</c:v>
                </c:pt>
                <c:pt idx="1">
                  <c:v>-2.4091034398260176E-2</c:v>
                </c:pt>
                <c:pt idx="2">
                  <c:v>4.0018204359630266E-3</c:v>
                </c:pt>
                <c:pt idx="3">
                  <c:v>3.0652119544829312E-2</c:v>
                </c:pt>
                <c:pt idx="4">
                  <c:v>8.1289715940973967E-3</c:v>
                </c:pt>
                <c:pt idx="5">
                  <c:v>2.3618612068057707E-3</c:v>
                </c:pt>
                <c:pt idx="6">
                  <c:v>4.6945820201110613E-2</c:v>
                </c:pt>
                <c:pt idx="7">
                  <c:v>-5.1148255397230426E-2</c:v>
                </c:pt>
                <c:pt idx="8">
                  <c:v>1.2841819005892129E-3</c:v>
                </c:pt>
                <c:pt idx="9">
                  <c:v>1.9283289324783102E-2</c:v>
                </c:pt>
                <c:pt idx="10">
                  <c:v>2.4173611830710703E-2</c:v>
                </c:pt>
                <c:pt idx="11">
                  <c:v>3.714624345965947E-3</c:v>
                </c:pt>
                <c:pt idx="12">
                  <c:v>-4.1559264432700201E-2</c:v>
                </c:pt>
                <c:pt idx="13">
                  <c:v>-9.3453731388133485E-3</c:v>
                </c:pt>
                <c:pt idx="14">
                  <c:v>1.0631682717828165E-2</c:v>
                </c:pt>
                <c:pt idx="15">
                  <c:v>-2.7567681133321326E-2</c:v>
                </c:pt>
                <c:pt idx="16">
                  <c:v>5.8534853932931064E-2</c:v>
                </c:pt>
                <c:pt idx="17">
                  <c:v>-1.5978539771401911E-2</c:v>
                </c:pt>
                <c:pt idx="18">
                  <c:v>9.0375725968946316E-3</c:v>
                </c:pt>
                <c:pt idx="19">
                  <c:v>-1.2906351863271959E-2</c:v>
                </c:pt>
                <c:pt idx="20">
                  <c:v>1.8965594180909456E-2</c:v>
                </c:pt>
                <c:pt idx="21">
                  <c:v>-3.1546524189074769E-2</c:v>
                </c:pt>
                <c:pt idx="22">
                  <c:v>-7.8985845857011509E-3</c:v>
                </c:pt>
                <c:pt idx="23">
                  <c:v>6.1610222282996792E-2</c:v>
                </c:pt>
                <c:pt idx="24">
                  <c:v>-2.7779367987176552E-2</c:v>
                </c:pt>
                <c:pt idx="25">
                  <c:v>9.1710706452135249E-3</c:v>
                </c:pt>
                <c:pt idx="26">
                  <c:v>1.2719899641158794E-2</c:v>
                </c:pt>
                <c:pt idx="27">
                  <c:v>-5.4460864805692392E-2</c:v>
                </c:pt>
                <c:pt idx="28">
                  <c:v>-2.7283113717724121E-2</c:v>
                </c:pt>
                <c:pt idx="29">
                  <c:v>3.1650327309174053E-2</c:v>
                </c:pt>
                <c:pt idx="30">
                  <c:v>-1.8352941176470589E-2</c:v>
                </c:pt>
                <c:pt idx="31">
                  <c:v>-6.3248074722419816E-3</c:v>
                </c:pt>
                <c:pt idx="32">
                  <c:v>7.2210031591888818E-3</c:v>
                </c:pt>
                <c:pt idx="33">
                  <c:v>-8.7915823303100996E-3</c:v>
                </c:pt>
                <c:pt idx="34">
                  <c:v>-2.5236937273974309E-2</c:v>
                </c:pt>
                <c:pt idx="35">
                  <c:v>2.2340204372091537E-2</c:v>
                </c:pt>
                <c:pt idx="36">
                  <c:v>-2.4401689347724074E-3</c:v>
                </c:pt>
                <c:pt idx="37">
                  <c:v>-6.3348700097218304E-3</c:v>
                </c:pt>
                <c:pt idx="38">
                  <c:v>-8.2057756035979173E-4</c:v>
                </c:pt>
                <c:pt idx="39">
                  <c:v>-4.216810385672321E-3</c:v>
                </c:pt>
                <c:pt idx="40">
                  <c:v>-1.5891897035732978E-2</c:v>
                </c:pt>
                <c:pt idx="41">
                  <c:v>-3.0363100130541991E-2</c:v>
                </c:pt>
                <c:pt idx="42">
                  <c:v>2.5662760741294772E-2</c:v>
                </c:pt>
                <c:pt idx="43">
                  <c:v>-1.0241617916349317E-2</c:v>
                </c:pt>
                <c:pt idx="44">
                  <c:v>-8.3992337541136594E-3</c:v>
                </c:pt>
                <c:pt idx="45">
                  <c:v>6.7036523347202958E-3</c:v>
                </c:pt>
                <c:pt idx="46">
                  <c:v>-2.3044120059045433E-2</c:v>
                </c:pt>
                <c:pt idx="47">
                  <c:v>-1.007302946361118E-3</c:v>
                </c:pt>
                <c:pt idx="48">
                  <c:v>6.6212923283757667E-3</c:v>
                </c:pt>
                <c:pt idx="49">
                  <c:v>3.0785155010935074E-2</c:v>
                </c:pt>
                <c:pt idx="50">
                  <c:v>-3.972920007126314E-2</c:v>
                </c:pt>
                <c:pt idx="51">
                  <c:v>2.0745488277955811E-3</c:v>
                </c:pt>
                <c:pt idx="52">
                  <c:v>-2.5415313146954369E-3</c:v>
                </c:pt>
                <c:pt idx="53">
                  <c:v>1.5693024197630859E-3</c:v>
                </c:pt>
                <c:pt idx="54">
                  <c:v>2.2474938926796393E-2</c:v>
                </c:pt>
                <c:pt idx="55">
                  <c:v>1.0380793883570333E-3</c:v>
                </c:pt>
                <c:pt idx="56">
                  <c:v>6.9791941006057409E-3</c:v>
                </c:pt>
                <c:pt idx="57">
                  <c:v>2.6644435726428666E-3</c:v>
                </c:pt>
                <c:pt idx="58">
                  <c:v>9.6186765353201067E-4</c:v>
                </c:pt>
                <c:pt idx="59">
                  <c:v>-1.907228248477149E-2</c:v>
                </c:pt>
                <c:pt idx="60">
                  <c:v>1.9526126156042971E-2</c:v>
                </c:pt>
                <c:pt idx="61">
                  <c:v>3.9086038141458888E-3</c:v>
                </c:pt>
                <c:pt idx="62">
                  <c:v>3.0076407702415521E-2</c:v>
                </c:pt>
                <c:pt idx="63">
                  <c:v>7.6066585822952264E-3</c:v>
                </c:pt>
                <c:pt idx="64">
                  <c:v>-6.5958111909971869E-3</c:v>
                </c:pt>
                <c:pt idx="65">
                  <c:v>2.9421945309795776E-3</c:v>
                </c:pt>
                <c:pt idx="66">
                  <c:v>1.1138128480665151E-3</c:v>
                </c:pt>
                <c:pt idx="67">
                  <c:v>2.258054406418453E-2</c:v>
                </c:pt>
                <c:pt idx="68">
                  <c:v>-1.8143647424797339E-2</c:v>
                </c:pt>
                <c:pt idx="69">
                  <c:v>2.1397468512477955E-2</c:v>
                </c:pt>
                <c:pt idx="70">
                  <c:v>1.9925432430780515E-2</c:v>
                </c:pt>
                <c:pt idx="71">
                  <c:v>1.3933001737879787E-2</c:v>
                </c:pt>
                <c:pt idx="72">
                  <c:v>1.0756819054936612E-2</c:v>
                </c:pt>
                <c:pt idx="73">
                  <c:v>-1.660673040376575E-2</c:v>
                </c:pt>
                <c:pt idx="74">
                  <c:v>-2.1257618552103464E-3</c:v>
                </c:pt>
                <c:pt idx="75">
                  <c:v>1.1977296765831931E-2</c:v>
                </c:pt>
                <c:pt idx="76">
                  <c:v>-3.9392913397417968E-2</c:v>
                </c:pt>
                <c:pt idx="77">
                  <c:v>7.9380890353229639E-3</c:v>
                </c:pt>
                <c:pt idx="78">
                  <c:v>2.0327490003496877E-2</c:v>
                </c:pt>
                <c:pt idx="79">
                  <c:v>-5.0365072269408437E-3</c:v>
                </c:pt>
                <c:pt idx="80">
                  <c:v>1.2625052417180854E-2</c:v>
                </c:pt>
                <c:pt idx="81">
                  <c:v>-8.5336094061968498E-3</c:v>
                </c:pt>
                <c:pt idx="82">
                  <c:v>-5.3402547808705514E-3</c:v>
                </c:pt>
                <c:pt idx="83">
                  <c:v>-6.5536892621475707E-3</c:v>
                </c:pt>
                <c:pt idx="84">
                  <c:v>-5.6005917606388603E-3</c:v>
                </c:pt>
                <c:pt idx="85">
                  <c:v>-6.5278115132377942E-4</c:v>
                </c:pt>
                <c:pt idx="86">
                  <c:v>-9.5094867003904047E-3</c:v>
                </c:pt>
                <c:pt idx="87">
                  <c:v>6.1346870542766432E-5</c:v>
                </c:pt>
                <c:pt idx="88">
                  <c:v>-2.1500759120953273E-2</c:v>
                </c:pt>
                <c:pt idx="89">
                  <c:v>-1.3400203745787948E-2</c:v>
                </c:pt>
                <c:pt idx="90">
                  <c:v>-1.0357426528991263E-2</c:v>
                </c:pt>
                <c:pt idx="91">
                  <c:v>-1.6902629297890784E-2</c:v>
                </c:pt>
                <c:pt idx="92">
                  <c:v>-8.6537676545024086E-3</c:v>
                </c:pt>
                <c:pt idx="93">
                  <c:v>-8.5151939388948369E-2</c:v>
                </c:pt>
                <c:pt idx="94">
                  <c:v>1.652714015662976E-2</c:v>
                </c:pt>
                <c:pt idx="95">
                  <c:v>3.6926837043727748E-2</c:v>
                </c:pt>
                <c:pt idx="96">
                  <c:v>2.6422764227642278E-2</c:v>
                </c:pt>
                <c:pt idx="97">
                  <c:v>9.8510691405274981E-3</c:v>
                </c:pt>
                <c:pt idx="98">
                  <c:v>2.4255606637335839E-2</c:v>
                </c:pt>
                <c:pt idx="99">
                  <c:v>1.0328351485706011E-2</c:v>
                </c:pt>
                <c:pt idx="100">
                  <c:v>2.6432700116240187E-3</c:v>
                </c:pt>
                <c:pt idx="101">
                  <c:v>1.551606397001604E-2</c:v>
                </c:pt>
                <c:pt idx="102">
                  <c:v>1.2604779181784062E-2</c:v>
                </c:pt>
                <c:pt idx="103">
                  <c:v>-2.9034749034749035E-3</c:v>
                </c:pt>
                <c:pt idx="104">
                  <c:v>2.0507419224931073E-2</c:v>
                </c:pt>
                <c:pt idx="105">
                  <c:v>3.1402725920529402E-2</c:v>
                </c:pt>
                <c:pt idx="106">
                  <c:v>-1.5789860937385033E-2</c:v>
                </c:pt>
                <c:pt idx="107">
                  <c:v>1.9078376842797763E-2</c:v>
                </c:pt>
                <c:pt idx="108">
                  <c:v>7.365239590363567E-3</c:v>
                </c:pt>
                <c:pt idx="109">
                  <c:v>1.2671133119720361E-2</c:v>
                </c:pt>
                <c:pt idx="110">
                  <c:v>-3.3366891989069468E-3</c:v>
                </c:pt>
                <c:pt idx="111">
                  <c:v>1.9250194810817051E-2</c:v>
                </c:pt>
                <c:pt idx="112">
                  <c:v>7.1214180541397665E-3</c:v>
                </c:pt>
                <c:pt idx="113">
                  <c:v>8.9969775778449431E-4</c:v>
                </c:pt>
                <c:pt idx="114">
                  <c:v>1.4297953622944143E-2</c:v>
                </c:pt>
                <c:pt idx="115">
                  <c:v>-2.4786407632551894E-3</c:v>
                </c:pt>
                <c:pt idx="116">
                  <c:v>1.1368999694605624E-2</c:v>
                </c:pt>
                <c:pt idx="117">
                  <c:v>3.5411834140851258E-3</c:v>
                </c:pt>
                <c:pt idx="118">
                  <c:v>4.9511044245366884E-3</c:v>
                </c:pt>
                <c:pt idx="119">
                  <c:v>9.7037168093416989E-3</c:v>
                </c:pt>
                <c:pt idx="120">
                  <c:v>6.9955519611807522E-3</c:v>
                </c:pt>
                <c:pt idx="121">
                  <c:v>8.968129676478068E-3</c:v>
                </c:pt>
                <c:pt idx="122">
                  <c:v>-7.4291248225633131E-3</c:v>
                </c:pt>
                <c:pt idx="123">
                  <c:v>3.1542789933038397E-3</c:v>
                </c:pt>
                <c:pt idx="124">
                  <c:v>9.1932582772633401E-4</c:v>
                </c:pt>
              </c:numCache>
            </c:numRef>
          </c:val>
          <c:extLst>
            <c:ext xmlns:c14="http://schemas.microsoft.com/office/drawing/2007/8/2/chart" uri="{6F2FDCE9-48DA-4B69-8628-5D25D57E5C99}">
              <c14:invertSolidFillFmt>
                <c14:spPr xmlns:c14="http://schemas.microsoft.com/office/drawing/2007/8/2/chart">
                  <a:solidFill>
                    <a:srgbClr val="FFFFFF"/>
                  </a:solidFill>
                  <a:ln w="6350">
                    <a:solidFill>
                      <a:schemeClr val="tx1"/>
                    </a:solidFill>
                    <a:prstDash val="solid"/>
                  </a:ln>
                </c14:spPr>
              </c14:invertSolidFillFmt>
            </c:ext>
            <c:ext xmlns:c16="http://schemas.microsoft.com/office/drawing/2014/chart" uri="{C3380CC4-5D6E-409C-BE32-E72D297353CC}">
              <c16:uniqueId val="{00000000-E08B-49C0-85B6-FC09214BA825}"/>
            </c:ext>
          </c:extLst>
        </c:ser>
        <c:dLbls>
          <c:showLegendKey val="0"/>
          <c:showVal val="0"/>
          <c:showCatName val="0"/>
          <c:showSerName val="0"/>
          <c:showPercent val="0"/>
          <c:showBubbleSize val="0"/>
        </c:dLbls>
        <c:gapWidth val="219"/>
        <c:overlap val="-27"/>
        <c:axId val="504150328"/>
        <c:axId val="504150720"/>
      </c:barChart>
      <c:dateAx>
        <c:axId val="504150328"/>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720"/>
        <c:crosses val="autoZero"/>
        <c:auto val="0"/>
        <c:lblOffset val="100"/>
        <c:baseTimeUnit val="months"/>
        <c:majorUnit val="6"/>
        <c:majorTimeUnit val="months"/>
      </c:dateAx>
      <c:valAx>
        <c:axId val="504150720"/>
        <c:scaling>
          <c:orientation val="minMax"/>
          <c:max val="6.0000000000000012E-2"/>
          <c:min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328"/>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Table5351415[[#Headers],[New Orders ex Transport]]</c:f>
          <c:strCache>
            <c:ptCount val="1"/>
            <c:pt idx="0">
              <c:v>New Orders ex Transport</c:v>
            </c:pt>
          </c:strCache>
        </c:strRef>
      </c:tx>
      <c:overlay val="0"/>
      <c:spPr>
        <a:noFill/>
        <a:ln>
          <a:noFill/>
          <a:prstDash val="solid"/>
        </a:ln>
      </c:spPr>
    </c:title>
    <c:autoTitleDeleted val="0"/>
    <c:plotArea>
      <c:layout/>
      <c:lineChart>
        <c:grouping val="standard"/>
        <c:varyColors val="0"/>
        <c:ser>
          <c:idx val="0"/>
          <c:order val="0"/>
          <c:tx>
            <c:strRef>
              <c:f>'New Orders ex Transport'!$B$5</c:f>
              <c:strCache>
                <c:ptCount val="1"/>
                <c:pt idx="0">
                  <c:v>New Orders ex Transport</c:v>
                </c:pt>
              </c:strCache>
            </c:strRef>
          </c:tx>
          <c:spPr>
            <a:ln w="28575" cap="rnd">
              <a:solidFill>
                <a:schemeClr val="accent1"/>
              </a:solidFill>
              <a:prstDash val="solid"/>
              <a:round/>
            </a:ln>
          </c:spPr>
          <c:marker>
            <c:symbol val="none"/>
          </c:marker>
          <c:cat>
            <c:numRef>
              <c:f>'New Orders ex Transport'!$A$6:$A$375</c:f>
              <c:numCache>
                <c:formatCode>m/d/yyyy</c:formatCode>
                <c:ptCount val="370"/>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numCache>
            </c:numRef>
          </c:cat>
          <c:val>
            <c:numRef>
              <c:f>'New Orders ex Transport'!$B$6:$B$375</c:f>
              <c:numCache>
                <c:formatCode>#,##0</c:formatCode>
                <c:ptCount val="370"/>
                <c:pt idx="0">
                  <c:v>82931</c:v>
                </c:pt>
                <c:pt idx="1">
                  <c:v>85725</c:v>
                </c:pt>
                <c:pt idx="2">
                  <c:v>86604</c:v>
                </c:pt>
                <c:pt idx="3">
                  <c:v>88340</c:v>
                </c:pt>
                <c:pt idx="4">
                  <c:v>88219</c:v>
                </c:pt>
                <c:pt idx="5">
                  <c:v>87727</c:v>
                </c:pt>
                <c:pt idx="6">
                  <c:v>87497</c:v>
                </c:pt>
                <c:pt idx="7">
                  <c:v>88681</c:v>
                </c:pt>
                <c:pt idx="8">
                  <c:v>87064</c:v>
                </c:pt>
                <c:pt idx="9">
                  <c:v>89497</c:v>
                </c:pt>
                <c:pt idx="10">
                  <c:v>91359</c:v>
                </c:pt>
                <c:pt idx="11">
                  <c:v>91074</c:v>
                </c:pt>
                <c:pt idx="12">
                  <c:v>90448</c:v>
                </c:pt>
                <c:pt idx="13">
                  <c:v>91923</c:v>
                </c:pt>
                <c:pt idx="14">
                  <c:v>91700</c:v>
                </c:pt>
                <c:pt idx="15">
                  <c:v>91493</c:v>
                </c:pt>
                <c:pt idx="16">
                  <c:v>91139</c:v>
                </c:pt>
                <c:pt idx="17">
                  <c:v>92496</c:v>
                </c:pt>
                <c:pt idx="18">
                  <c:v>93424</c:v>
                </c:pt>
                <c:pt idx="19">
                  <c:v>94082</c:v>
                </c:pt>
                <c:pt idx="20">
                  <c:v>96033</c:v>
                </c:pt>
                <c:pt idx="21">
                  <c:v>94450</c:v>
                </c:pt>
                <c:pt idx="22">
                  <c:v>97857</c:v>
                </c:pt>
                <c:pt idx="23">
                  <c:v>97250</c:v>
                </c:pt>
                <c:pt idx="24">
                  <c:v>98720</c:v>
                </c:pt>
                <c:pt idx="25">
                  <c:v>98497</c:v>
                </c:pt>
                <c:pt idx="26">
                  <c:v>101101</c:v>
                </c:pt>
                <c:pt idx="27">
                  <c:v>102623</c:v>
                </c:pt>
                <c:pt idx="28">
                  <c:v>104475</c:v>
                </c:pt>
                <c:pt idx="29">
                  <c:v>104841</c:v>
                </c:pt>
                <c:pt idx="30">
                  <c:v>103904</c:v>
                </c:pt>
                <c:pt idx="31">
                  <c:v>104826</c:v>
                </c:pt>
                <c:pt idx="32">
                  <c:v>107955</c:v>
                </c:pt>
                <c:pt idx="33">
                  <c:v>107142</c:v>
                </c:pt>
                <c:pt idx="34">
                  <c:v>109357</c:v>
                </c:pt>
                <c:pt idx="35">
                  <c:v>111899</c:v>
                </c:pt>
                <c:pt idx="36">
                  <c:v>109484</c:v>
                </c:pt>
                <c:pt idx="37">
                  <c:v>109712</c:v>
                </c:pt>
                <c:pt idx="38">
                  <c:v>110480</c:v>
                </c:pt>
                <c:pt idx="39">
                  <c:v>111794</c:v>
                </c:pt>
                <c:pt idx="40">
                  <c:v>109440</c:v>
                </c:pt>
                <c:pt idx="41">
                  <c:v>108990</c:v>
                </c:pt>
                <c:pt idx="42">
                  <c:v>112316</c:v>
                </c:pt>
                <c:pt idx="43">
                  <c:v>113019</c:v>
                </c:pt>
                <c:pt idx="44">
                  <c:v>115650</c:v>
                </c:pt>
                <c:pt idx="45">
                  <c:v>113473</c:v>
                </c:pt>
                <c:pt idx="46">
                  <c:v>116432</c:v>
                </c:pt>
                <c:pt idx="47">
                  <c:v>112070</c:v>
                </c:pt>
                <c:pt idx="48">
                  <c:v>110398</c:v>
                </c:pt>
                <c:pt idx="49">
                  <c:v>114653</c:v>
                </c:pt>
                <c:pt idx="50">
                  <c:v>113802</c:v>
                </c:pt>
                <c:pt idx="51">
                  <c:v>117175</c:v>
                </c:pt>
                <c:pt idx="52">
                  <c:v>117889</c:v>
                </c:pt>
                <c:pt idx="53">
                  <c:v>116598</c:v>
                </c:pt>
                <c:pt idx="54">
                  <c:v>117708</c:v>
                </c:pt>
                <c:pt idx="55">
                  <c:v>116336</c:v>
                </c:pt>
                <c:pt idx="56">
                  <c:v>119499</c:v>
                </c:pt>
                <c:pt idx="57">
                  <c:v>119569</c:v>
                </c:pt>
                <c:pt idx="58">
                  <c:v>116695</c:v>
                </c:pt>
                <c:pt idx="59">
                  <c:v>118690</c:v>
                </c:pt>
                <c:pt idx="60">
                  <c:v>123490</c:v>
                </c:pt>
                <c:pt idx="61">
                  <c:v>123185</c:v>
                </c:pt>
                <c:pt idx="62">
                  <c:v>125909</c:v>
                </c:pt>
                <c:pt idx="63">
                  <c:v>122860</c:v>
                </c:pt>
                <c:pt idx="64">
                  <c:v>126457</c:v>
                </c:pt>
                <c:pt idx="65">
                  <c:v>128937</c:v>
                </c:pt>
                <c:pt idx="66">
                  <c:v>127817</c:v>
                </c:pt>
                <c:pt idx="67">
                  <c:v>130673</c:v>
                </c:pt>
                <c:pt idx="68">
                  <c:v>127387</c:v>
                </c:pt>
                <c:pt idx="69">
                  <c:v>128586</c:v>
                </c:pt>
                <c:pt idx="70">
                  <c:v>128191</c:v>
                </c:pt>
                <c:pt idx="71">
                  <c:v>127262</c:v>
                </c:pt>
                <c:pt idx="72">
                  <c:v>130630</c:v>
                </c:pt>
                <c:pt idx="73">
                  <c:v>128771</c:v>
                </c:pt>
                <c:pt idx="74">
                  <c:v>126519</c:v>
                </c:pt>
                <c:pt idx="75">
                  <c:v>129740</c:v>
                </c:pt>
                <c:pt idx="76">
                  <c:v>130048</c:v>
                </c:pt>
                <c:pt idx="77">
                  <c:v>126102</c:v>
                </c:pt>
                <c:pt idx="78">
                  <c:v>126589</c:v>
                </c:pt>
                <c:pt idx="79">
                  <c:v>128820</c:v>
                </c:pt>
                <c:pt idx="80">
                  <c:v>125391</c:v>
                </c:pt>
                <c:pt idx="81">
                  <c:v>128102</c:v>
                </c:pt>
                <c:pt idx="82">
                  <c:v>130753</c:v>
                </c:pt>
                <c:pt idx="83">
                  <c:v>127125</c:v>
                </c:pt>
                <c:pt idx="84">
                  <c:v>130143</c:v>
                </c:pt>
                <c:pt idx="85">
                  <c:v>129497</c:v>
                </c:pt>
                <c:pt idx="86">
                  <c:v>130468</c:v>
                </c:pt>
                <c:pt idx="87">
                  <c:v>130627</c:v>
                </c:pt>
                <c:pt idx="88">
                  <c:v>130642</c:v>
                </c:pt>
                <c:pt idx="89">
                  <c:v>134206</c:v>
                </c:pt>
                <c:pt idx="90">
                  <c:v>134061</c:v>
                </c:pt>
                <c:pt idx="91">
                  <c:v>135632</c:v>
                </c:pt>
                <c:pt idx="92">
                  <c:v>137171</c:v>
                </c:pt>
                <c:pt idx="93">
                  <c:v>134658</c:v>
                </c:pt>
                <c:pt idx="94">
                  <c:v>139078</c:v>
                </c:pt>
                <c:pt idx="95">
                  <c:v>139613</c:v>
                </c:pt>
                <c:pt idx="96">
                  <c:v>132425</c:v>
                </c:pt>
                <c:pt idx="97">
                  <c:v>139841</c:v>
                </c:pt>
                <c:pt idx="98">
                  <c:v>141338</c:v>
                </c:pt>
                <c:pt idx="99">
                  <c:v>137890</c:v>
                </c:pt>
                <c:pt idx="100">
                  <c:v>143496</c:v>
                </c:pt>
                <c:pt idx="101">
                  <c:v>137968</c:v>
                </c:pt>
                <c:pt idx="102">
                  <c:v>138633</c:v>
                </c:pt>
                <c:pt idx="103">
                  <c:v>141463</c:v>
                </c:pt>
                <c:pt idx="104">
                  <c:v>137264</c:v>
                </c:pt>
                <c:pt idx="105">
                  <c:v>136045</c:v>
                </c:pt>
                <c:pt idx="106">
                  <c:v>135323</c:v>
                </c:pt>
                <c:pt idx="107">
                  <c:v>131646</c:v>
                </c:pt>
                <c:pt idx="108">
                  <c:v>131335</c:v>
                </c:pt>
                <c:pt idx="109">
                  <c:v>125568</c:v>
                </c:pt>
                <c:pt idx="110">
                  <c:v>120800</c:v>
                </c:pt>
                <c:pt idx="111">
                  <c:v>126158</c:v>
                </c:pt>
                <c:pt idx="112">
                  <c:v>125138</c:v>
                </c:pt>
                <c:pt idx="113">
                  <c:v>121761</c:v>
                </c:pt>
                <c:pt idx="114">
                  <c:v>122061</c:v>
                </c:pt>
                <c:pt idx="115">
                  <c:v>118407</c:v>
                </c:pt>
                <c:pt idx="116">
                  <c:v>115125</c:v>
                </c:pt>
                <c:pt idx="117">
                  <c:v>117164</c:v>
                </c:pt>
                <c:pt idx="118">
                  <c:v>118387</c:v>
                </c:pt>
                <c:pt idx="119">
                  <c:v>113631</c:v>
                </c:pt>
                <c:pt idx="120">
                  <c:v>115732</c:v>
                </c:pt>
                <c:pt idx="121">
                  <c:v>114652</c:v>
                </c:pt>
                <c:pt idx="122">
                  <c:v>118882</c:v>
                </c:pt>
                <c:pt idx="123">
                  <c:v>119944</c:v>
                </c:pt>
                <c:pt idx="124">
                  <c:v>117193</c:v>
                </c:pt>
                <c:pt idx="125">
                  <c:v>116993</c:v>
                </c:pt>
                <c:pt idx="126">
                  <c:v>117043</c:v>
                </c:pt>
                <c:pt idx="127">
                  <c:v>116461</c:v>
                </c:pt>
                <c:pt idx="128">
                  <c:v>116624</c:v>
                </c:pt>
                <c:pt idx="129">
                  <c:v>116947</c:v>
                </c:pt>
                <c:pt idx="130">
                  <c:v>115767</c:v>
                </c:pt>
                <c:pt idx="131">
                  <c:v>115609</c:v>
                </c:pt>
                <c:pt idx="132">
                  <c:v>118098</c:v>
                </c:pt>
                <c:pt idx="133">
                  <c:v>116926</c:v>
                </c:pt>
                <c:pt idx="134">
                  <c:v>115023</c:v>
                </c:pt>
                <c:pt idx="135">
                  <c:v>116303</c:v>
                </c:pt>
                <c:pt idx="136">
                  <c:v>117719</c:v>
                </c:pt>
                <c:pt idx="137">
                  <c:v>118215</c:v>
                </c:pt>
                <c:pt idx="138">
                  <c:v>119931</c:v>
                </c:pt>
                <c:pt idx="139">
                  <c:v>121332</c:v>
                </c:pt>
                <c:pt idx="140">
                  <c:v>125195</c:v>
                </c:pt>
                <c:pt idx="141">
                  <c:v>125148</c:v>
                </c:pt>
                <c:pt idx="142">
                  <c:v>124803</c:v>
                </c:pt>
                <c:pt idx="143">
                  <c:v>123228</c:v>
                </c:pt>
                <c:pt idx="144">
                  <c:v>123810</c:v>
                </c:pt>
                <c:pt idx="145">
                  <c:v>131645</c:v>
                </c:pt>
                <c:pt idx="146">
                  <c:v>127956</c:v>
                </c:pt>
                <c:pt idx="147">
                  <c:v>128782</c:v>
                </c:pt>
                <c:pt idx="148">
                  <c:v>128558</c:v>
                </c:pt>
                <c:pt idx="149">
                  <c:v>127850</c:v>
                </c:pt>
                <c:pt idx="150">
                  <c:v>130447</c:v>
                </c:pt>
                <c:pt idx="151">
                  <c:v>132455</c:v>
                </c:pt>
                <c:pt idx="152">
                  <c:v>132178</c:v>
                </c:pt>
                <c:pt idx="153">
                  <c:v>134122</c:v>
                </c:pt>
                <c:pt idx="154">
                  <c:v>136981</c:v>
                </c:pt>
                <c:pt idx="155">
                  <c:v>137331</c:v>
                </c:pt>
                <c:pt idx="156">
                  <c:v>139138</c:v>
                </c:pt>
                <c:pt idx="157">
                  <c:v>136810</c:v>
                </c:pt>
                <c:pt idx="158">
                  <c:v>137264</c:v>
                </c:pt>
                <c:pt idx="159">
                  <c:v>137358</c:v>
                </c:pt>
                <c:pt idx="160">
                  <c:v>141241</c:v>
                </c:pt>
                <c:pt idx="161">
                  <c:v>135974</c:v>
                </c:pt>
                <c:pt idx="162">
                  <c:v>143073</c:v>
                </c:pt>
                <c:pt idx="163">
                  <c:v>143841</c:v>
                </c:pt>
                <c:pt idx="164">
                  <c:v>145723</c:v>
                </c:pt>
                <c:pt idx="165">
                  <c:v>148043</c:v>
                </c:pt>
                <c:pt idx="166">
                  <c:v>147852</c:v>
                </c:pt>
                <c:pt idx="167">
                  <c:v>150953</c:v>
                </c:pt>
                <c:pt idx="168">
                  <c:v>150818</c:v>
                </c:pt>
                <c:pt idx="169">
                  <c:v>153217</c:v>
                </c:pt>
                <c:pt idx="170">
                  <c:v>151952</c:v>
                </c:pt>
                <c:pt idx="171">
                  <c:v>153734</c:v>
                </c:pt>
                <c:pt idx="172">
                  <c:v>154888</c:v>
                </c:pt>
                <c:pt idx="173">
                  <c:v>153064</c:v>
                </c:pt>
                <c:pt idx="174">
                  <c:v>150575</c:v>
                </c:pt>
                <c:pt idx="175">
                  <c:v>153923</c:v>
                </c:pt>
                <c:pt idx="176">
                  <c:v>153537</c:v>
                </c:pt>
                <c:pt idx="177">
                  <c:v>153502</c:v>
                </c:pt>
                <c:pt idx="178">
                  <c:v>158499</c:v>
                </c:pt>
                <c:pt idx="179">
                  <c:v>153402</c:v>
                </c:pt>
                <c:pt idx="180">
                  <c:v>155151</c:v>
                </c:pt>
                <c:pt idx="181">
                  <c:v>156356</c:v>
                </c:pt>
                <c:pt idx="182">
                  <c:v>159160</c:v>
                </c:pt>
                <c:pt idx="183">
                  <c:v>158536</c:v>
                </c:pt>
                <c:pt idx="184">
                  <c:v>154569</c:v>
                </c:pt>
                <c:pt idx="185">
                  <c:v>156767</c:v>
                </c:pt>
                <c:pt idx="186">
                  <c:v>158130</c:v>
                </c:pt>
                <c:pt idx="187">
                  <c:v>157646</c:v>
                </c:pt>
                <c:pt idx="188">
                  <c:v>159832</c:v>
                </c:pt>
                <c:pt idx="189">
                  <c:v>160074</c:v>
                </c:pt>
                <c:pt idx="190">
                  <c:v>163300</c:v>
                </c:pt>
                <c:pt idx="191">
                  <c:v>164615</c:v>
                </c:pt>
                <c:pt idx="192">
                  <c:v>160985</c:v>
                </c:pt>
                <c:pt idx="193">
                  <c:v>163953</c:v>
                </c:pt>
                <c:pt idx="194">
                  <c:v>167301</c:v>
                </c:pt>
                <c:pt idx="195">
                  <c:v>164561</c:v>
                </c:pt>
                <c:pt idx="196">
                  <c:v>166622</c:v>
                </c:pt>
                <c:pt idx="197">
                  <c:v>162295</c:v>
                </c:pt>
                <c:pt idx="198">
                  <c:v>156865</c:v>
                </c:pt>
                <c:pt idx="199">
                  <c:v>153392</c:v>
                </c:pt>
                <c:pt idx="200">
                  <c:v>141024</c:v>
                </c:pt>
                <c:pt idx="201">
                  <c:v>138472</c:v>
                </c:pt>
                <c:pt idx="202">
                  <c:v>127962</c:v>
                </c:pt>
                <c:pt idx="203">
                  <c:v>114948</c:v>
                </c:pt>
                <c:pt idx="204">
                  <c:v>116595</c:v>
                </c:pt>
                <c:pt idx="205">
                  <c:v>113312</c:v>
                </c:pt>
                <c:pt idx="206">
                  <c:v>110601</c:v>
                </c:pt>
                <c:pt idx="207">
                  <c:v>113080</c:v>
                </c:pt>
                <c:pt idx="208">
                  <c:v>115485</c:v>
                </c:pt>
                <c:pt idx="209">
                  <c:v>117705</c:v>
                </c:pt>
                <c:pt idx="210">
                  <c:v>117142</c:v>
                </c:pt>
                <c:pt idx="211">
                  <c:v>122042</c:v>
                </c:pt>
                <c:pt idx="212">
                  <c:v>122244</c:v>
                </c:pt>
                <c:pt idx="213">
                  <c:v>122532</c:v>
                </c:pt>
                <c:pt idx="214">
                  <c:v>124425</c:v>
                </c:pt>
                <c:pt idx="215">
                  <c:v>127057</c:v>
                </c:pt>
                <c:pt idx="216">
                  <c:v>128810</c:v>
                </c:pt>
                <c:pt idx="217">
                  <c:v>134835</c:v>
                </c:pt>
                <c:pt idx="218">
                  <c:v>131196</c:v>
                </c:pt>
                <c:pt idx="219">
                  <c:v>136881</c:v>
                </c:pt>
                <c:pt idx="220">
                  <c:v>137226</c:v>
                </c:pt>
                <c:pt idx="221">
                  <c:v>134656</c:v>
                </c:pt>
                <c:pt idx="222">
                  <c:v>137093</c:v>
                </c:pt>
                <c:pt idx="223">
                  <c:v>139248</c:v>
                </c:pt>
                <c:pt idx="224">
                  <c:v>134518</c:v>
                </c:pt>
                <c:pt idx="225">
                  <c:v>142450</c:v>
                </c:pt>
                <c:pt idx="226">
                  <c:v>144216</c:v>
                </c:pt>
                <c:pt idx="227">
                  <c:v>143113</c:v>
                </c:pt>
                <c:pt idx="228">
                  <c:v>141061</c:v>
                </c:pt>
                <c:pt idx="229">
                  <c:v>145907</c:v>
                </c:pt>
                <c:pt idx="230">
                  <c:v>143390</c:v>
                </c:pt>
                <c:pt idx="231">
                  <c:v>146454</c:v>
                </c:pt>
                <c:pt idx="232">
                  <c:v>146197</c:v>
                </c:pt>
                <c:pt idx="233">
                  <c:v>147897</c:v>
                </c:pt>
                <c:pt idx="234">
                  <c:v>147496</c:v>
                </c:pt>
                <c:pt idx="235">
                  <c:v>148657</c:v>
                </c:pt>
                <c:pt idx="236">
                  <c:v>151629</c:v>
                </c:pt>
                <c:pt idx="237">
                  <c:v>150443</c:v>
                </c:pt>
                <c:pt idx="238">
                  <c:v>154801</c:v>
                </c:pt>
                <c:pt idx="239">
                  <c:v>151995</c:v>
                </c:pt>
                <c:pt idx="240">
                  <c:v>153841</c:v>
                </c:pt>
                <c:pt idx="241">
                  <c:v>153408</c:v>
                </c:pt>
                <c:pt idx="242">
                  <c:v>151383</c:v>
                </c:pt>
                <c:pt idx="243">
                  <c:v>150820</c:v>
                </c:pt>
                <c:pt idx="244">
                  <c:v>147012</c:v>
                </c:pt>
                <c:pt idx="245">
                  <c:v>146370</c:v>
                </c:pt>
                <c:pt idx="246">
                  <c:v>142809</c:v>
                </c:pt>
                <c:pt idx="247">
                  <c:v>144398</c:v>
                </c:pt>
                <c:pt idx="248">
                  <c:v>147556</c:v>
                </c:pt>
                <c:pt idx="249">
                  <c:v>147575</c:v>
                </c:pt>
                <c:pt idx="250">
                  <c:v>146089</c:v>
                </c:pt>
                <c:pt idx="251">
                  <c:v>151759</c:v>
                </c:pt>
                <c:pt idx="252">
                  <c:v>149375</c:v>
                </c:pt>
                <c:pt idx="253">
                  <c:v>145948</c:v>
                </c:pt>
                <c:pt idx="254">
                  <c:v>149549</c:v>
                </c:pt>
                <c:pt idx="255">
                  <c:v>150337</c:v>
                </c:pt>
                <c:pt idx="256">
                  <c:v>150635</c:v>
                </c:pt>
                <c:pt idx="257">
                  <c:v>148765</c:v>
                </c:pt>
                <c:pt idx="258">
                  <c:v>147563</c:v>
                </c:pt>
                <c:pt idx="259">
                  <c:v>148413</c:v>
                </c:pt>
                <c:pt idx="260">
                  <c:v>148997</c:v>
                </c:pt>
                <c:pt idx="261">
                  <c:v>151251</c:v>
                </c:pt>
                <c:pt idx="262">
                  <c:v>147895</c:v>
                </c:pt>
                <c:pt idx="263">
                  <c:v>150968</c:v>
                </c:pt>
                <c:pt idx="264">
                  <c:v>151089</c:v>
                </c:pt>
                <c:pt idx="265">
                  <c:v>153332</c:v>
                </c:pt>
                <c:pt idx="266">
                  <c:v>151959</c:v>
                </c:pt>
                <c:pt idx="267">
                  <c:v>152127</c:v>
                </c:pt>
                <c:pt idx="268">
                  <c:v>156585</c:v>
                </c:pt>
                <c:pt idx="269">
                  <c:v>153702</c:v>
                </c:pt>
                <c:pt idx="270">
                  <c:v>155211</c:v>
                </c:pt>
                <c:pt idx="271">
                  <c:v>156982</c:v>
                </c:pt>
                <c:pt idx="272">
                  <c:v>152761</c:v>
                </c:pt>
                <c:pt idx="273">
                  <c:v>149271</c:v>
                </c:pt>
                <c:pt idx="274">
                  <c:v>150221</c:v>
                </c:pt>
                <c:pt idx="275">
                  <c:v>147536</c:v>
                </c:pt>
                <c:pt idx="276">
                  <c:v>146440</c:v>
                </c:pt>
                <c:pt idx="277">
                  <c:v>147112</c:v>
                </c:pt>
                <c:pt idx="278">
                  <c:v>146593</c:v>
                </c:pt>
                <c:pt idx="279">
                  <c:v>144774</c:v>
                </c:pt>
                <c:pt idx="280">
                  <c:v>147815</c:v>
                </c:pt>
                <c:pt idx="281">
                  <c:v>146096</c:v>
                </c:pt>
                <c:pt idx="282">
                  <c:v>146193</c:v>
                </c:pt>
                <c:pt idx="283">
                  <c:v>145929</c:v>
                </c:pt>
                <c:pt idx="284">
                  <c:v>144418</c:v>
                </c:pt>
                <c:pt idx="285">
                  <c:v>143766</c:v>
                </c:pt>
                <c:pt idx="286">
                  <c:v>141875</c:v>
                </c:pt>
                <c:pt idx="287">
                  <c:v>144186</c:v>
                </c:pt>
                <c:pt idx="288">
                  <c:v>142597</c:v>
                </c:pt>
                <c:pt idx="289">
                  <c:v>141252</c:v>
                </c:pt>
                <c:pt idx="290">
                  <c:v>142498</c:v>
                </c:pt>
                <c:pt idx="291">
                  <c:v>141585</c:v>
                </c:pt>
                <c:pt idx="292">
                  <c:v>140522</c:v>
                </c:pt>
                <c:pt idx="293">
                  <c:v>141800</c:v>
                </c:pt>
                <c:pt idx="294">
                  <c:v>142038</c:v>
                </c:pt>
                <c:pt idx="295">
                  <c:v>140922</c:v>
                </c:pt>
                <c:pt idx="296">
                  <c:v>142058</c:v>
                </c:pt>
                <c:pt idx="297">
                  <c:v>142414</c:v>
                </c:pt>
                <c:pt idx="298">
                  <c:v>142533</c:v>
                </c:pt>
                <c:pt idx="299">
                  <c:v>145178</c:v>
                </c:pt>
                <c:pt idx="300">
                  <c:v>145214</c:v>
                </c:pt>
                <c:pt idx="301">
                  <c:v>146824</c:v>
                </c:pt>
                <c:pt idx="302">
                  <c:v>146180</c:v>
                </c:pt>
                <c:pt idx="303">
                  <c:v>147376</c:v>
                </c:pt>
                <c:pt idx="304">
                  <c:v>145833</c:v>
                </c:pt>
                <c:pt idx="305">
                  <c:v>147843</c:v>
                </c:pt>
                <c:pt idx="306">
                  <c:v>148854</c:v>
                </c:pt>
                <c:pt idx="307">
                  <c:v>150371</c:v>
                </c:pt>
                <c:pt idx="308">
                  <c:v>153146</c:v>
                </c:pt>
                <c:pt idx="309">
                  <c:v>153298</c:v>
                </c:pt>
                <c:pt idx="310">
                  <c:v>154340</c:v>
                </c:pt>
                <c:pt idx="311">
                  <c:v>154535</c:v>
                </c:pt>
                <c:pt idx="312">
                  <c:v>157084</c:v>
                </c:pt>
                <c:pt idx="313">
                  <c:v>157483</c:v>
                </c:pt>
                <c:pt idx="314">
                  <c:v>159991</c:v>
                </c:pt>
                <c:pt idx="315">
                  <c:v>161607</c:v>
                </c:pt>
                <c:pt idx="316">
                  <c:v>161931</c:v>
                </c:pt>
                <c:pt idx="317">
                  <c:v>162893</c:v>
                </c:pt>
                <c:pt idx="318">
                  <c:v>160822</c:v>
                </c:pt>
                <c:pt idx="319">
                  <c:v>160120</c:v>
                </c:pt>
                <c:pt idx="320">
                  <c:v>161994</c:v>
                </c:pt>
                <c:pt idx="321">
                  <c:v>158377</c:v>
                </c:pt>
                <c:pt idx="322">
                  <c:v>159589</c:v>
                </c:pt>
                <c:pt idx="323">
                  <c:v>159378</c:v>
                </c:pt>
                <c:pt idx="324">
                  <c:v>159319</c:v>
                </c:pt>
                <c:pt idx="325">
                  <c:v>158787</c:v>
                </c:pt>
                <c:pt idx="326">
                  <c:v>159686</c:v>
                </c:pt>
                <c:pt idx="327">
                  <c:v>158746</c:v>
                </c:pt>
                <c:pt idx="328">
                  <c:v>159812</c:v>
                </c:pt>
                <c:pt idx="329">
                  <c:v>157829</c:v>
                </c:pt>
                <c:pt idx="330">
                  <c:v>157610</c:v>
                </c:pt>
                <c:pt idx="331">
                  <c:v>156184</c:v>
                </c:pt>
                <c:pt idx="332">
                  <c:v>155758</c:v>
                </c:pt>
                <c:pt idx="333">
                  <c:v>154752</c:v>
                </c:pt>
                <c:pt idx="334">
                  <c:v>152508</c:v>
                </c:pt>
                <c:pt idx="335">
                  <c:v>150988</c:v>
                </c:pt>
                <c:pt idx="336">
                  <c:v>150101</c:v>
                </c:pt>
                <c:pt idx="337">
                  <c:v>145999</c:v>
                </c:pt>
                <c:pt idx="338">
                  <c:v>131804</c:v>
                </c:pt>
                <c:pt idx="339">
                  <c:v>136456</c:v>
                </c:pt>
                <c:pt idx="340">
                  <c:v>143507</c:v>
                </c:pt>
                <c:pt idx="341">
                  <c:v>147581</c:v>
                </c:pt>
                <c:pt idx="342">
                  <c:v>149170</c:v>
                </c:pt>
                <c:pt idx="343">
                  <c:v>152724</c:v>
                </c:pt>
                <c:pt idx="344">
                  <c:v>154200</c:v>
                </c:pt>
                <c:pt idx="345">
                  <c:v>155167</c:v>
                </c:pt>
                <c:pt idx="346">
                  <c:v>159092</c:v>
                </c:pt>
                <c:pt idx="347">
                  <c:v>160923</c:v>
                </c:pt>
                <c:pt idx="348">
                  <c:v>161039</c:v>
                </c:pt>
                <c:pt idx="349">
                  <c:v>163381</c:v>
                </c:pt>
                <c:pt idx="350">
                  <c:v>166043</c:v>
                </c:pt>
                <c:pt idx="351">
                  <c:v>166210</c:v>
                </c:pt>
                <c:pt idx="352">
                  <c:v>167836</c:v>
                </c:pt>
                <c:pt idx="353">
                  <c:v>168528</c:v>
                </c:pt>
                <c:pt idx="354">
                  <c:v>170357</c:v>
                </c:pt>
                <c:pt idx="355">
                  <c:v>170626</c:v>
                </c:pt>
                <c:pt idx="356">
                  <c:v>171142</c:v>
                </c:pt>
                <c:pt idx="357">
                  <c:v>173429</c:v>
                </c:pt>
                <c:pt idx="358">
                  <c:v>175086</c:v>
                </c:pt>
                <c:pt idx="359">
                  <c:v>176592</c:v>
                </c:pt>
                <c:pt idx="360">
                  <c:v>176015</c:v>
                </c:pt>
                <c:pt idx="361">
                  <c:v>178038</c:v>
                </c:pt>
                <c:pt idx="362">
                  <c:v>178467</c:v>
                </c:pt>
                <c:pt idx="363">
                  <c:v>179258</c:v>
                </c:pt>
                <c:pt idx="364">
                  <c:v>179945</c:v>
                </c:pt>
                <c:pt idx="365">
                  <c:v>180216</c:v>
                </c:pt>
                <c:pt idx="366">
                  <c:v>180358</c:v>
                </c:pt>
                <c:pt idx="367">
                  <c:v>178723</c:v>
                </c:pt>
                <c:pt idx="368">
                  <c:v>178914</c:v>
                </c:pt>
                <c:pt idx="369">
                  <c:v>179148</c:v>
                </c:pt>
              </c:numCache>
            </c:numRef>
          </c:val>
          <c:smooth val="0"/>
          <c:extLst>
            <c:ext xmlns:c16="http://schemas.microsoft.com/office/drawing/2014/chart" uri="{C3380CC4-5D6E-409C-BE32-E72D297353CC}">
              <c16:uniqueId val="{00000000-AC61-43D8-8C4B-03B57CFA2C8C}"/>
            </c:ext>
          </c:extLst>
        </c:ser>
        <c:dLbls>
          <c:showLegendKey val="0"/>
          <c:showVal val="0"/>
          <c:showCatName val="0"/>
          <c:showSerName val="0"/>
          <c:showPercent val="0"/>
          <c:showBubbleSize val="0"/>
        </c:dLbls>
        <c:smooth val="0"/>
        <c:axId val="504145232"/>
        <c:axId val="504145624"/>
      </c:lineChart>
      <c:dateAx>
        <c:axId val="5041452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8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'New Orders'!$C$5</c:f>
              <c:strCache>
                <c:ptCount val="1"/>
                <c:pt idx="0">
                  <c:v>mom %</c:v>
                </c:pt>
              </c:strCache>
            </c:strRef>
          </c:tx>
          <c:spPr>
            <a:solidFill>
              <a:srgbClr val="92D050"/>
            </a:solidFill>
            <a:ln>
              <a:noFill/>
              <a:prstDash val="solid"/>
            </a:ln>
          </c:spPr>
          <c:invertIfNegative val="1"/>
          <c:cat>
            <c:numRef>
              <c:f>'New Orders ex Transport'!$A$6:$A$375</c:f>
              <c:numCache>
                <c:formatCode>m/d/yyyy</c:formatCode>
                <c:ptCount val="370"/>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numCache>
            </c:numRef>
          </c:cat>
          <c:val>
            <c:numRef>
              <c:f>'New Orders ex Transport'!$C$6:$C$375</c:f>
              <c:numCache>
                <c:formatCode>0.0%</c:formatCode>
                <c:ptCount val="370"/>
                <c:pt idx="1">
                  <c:v>3.3690658499234305E-2</c:v>
                </c:pt>
                <c:pt idx="2">
                  <c:v>1.0253718285214349E-2</c:v>
                </c:pt>
                <c:pt idx="3">
                  <c:v>2.0045263498221791E-2</c:v>
                </c:pt>
                <c:pt idx="4">
                  <c:v>-1.3697079465700701E-3</c:v>
                </c:pt>
                <c:pt idx="5">
                  <c:v>-5.5770298915199671E-3</c:v>
                </c:pt>
                <c:pt idx="6">
                  <c:v>-2.6217698086108041E-3</c:v>
                </c:pt>
                <c:pt idx="7">
                  <c:v>1.3531892522029326E-2</c:v>
                </c:pt>
                <c:pt idx="8">
                  <c:v>-1.8233894520810544E-2</c:v>
                </c:pt>
                <c:pt idx="9">
                  <c:v>2.7944960029403658E-2</c:v>
                </c:pt>
                <c:pt idx="10">
                  <c:v>2.0805166653630847E-2</c:v>
                </c:pt>
                <c:pt idx="11">
                  <c:v>-3.1195612911699999E-3</c:v>
                </c:pt>
                <c:pt idx="12">
                  <c:v>-6.8735314140149772E-3</c:v>
                </c:pt>
                <c:pt idx="13">
                  <c:v>1.6307712718910312E-2</c:v>
                </c:pt>
                <c:pt idx="14">
                  <c:v>-2.4259434526723452E-3</c:v>
                </c:pt>
                <c:pt idx="15">
                  <c:v>-2.2573609596510361E-3</c:v>
                </c:pt>
                <c:pt idx="16">
                  <c:v>-3.8691484594449849E-3</c:v>
                </c:pt>
                <c:pt idx="17">
                  <c:v>1.4889344846882235E-2</c:v>
                </c:pt>
                <c:pt idx="18">
                  <c:v>1.003286628610967E-2</c:v>
                </c:pt>
                <c:pt idx="19">
                  <c:v>7.0431580750128448E-3</c:v>
                </c:pt>
                <c:pt idx="20">
                  <c:v>2.0737229225569184E-2</c:v>
                </c:pt>
                <c:pt idx="21">
                  <c:v>-1.6483916986869098E-2</c:v>
                </c:pt>
                <c:pt idx="22">
                  <c:v>3.6071995764955005E-2</c:v>
                </c:pt>
                <c:pt idx="23">
                  <c:v>-6.2029287633996542E-3</c:v>
                </c:pt>
                <c:pt idx="24">
                  <c:v>1.5115681233933162E-2</c:v>
                </c:pt>
                <c:pt idx="25">
                  <c:v>-2.2589141004862238E-3</c:v>
                </c:pt>
                <c:pt idx="26">
                  <c:v>2.6437353421931632E-2</c:v>
                </c:pt>
                <c:pt idx="27">
                  <c:v>1.5054252678015054E-2</c:v>
                </c:pt>
                <c:pt idx="28">
                  <c:v>1.8046636718864192E-2</c:v>
                </c:pt>
                <c:pt idx="29">
                  <c:v>3.5032304379038048E-3</c:v>
                </c:pt>
                <c:pt idx="30">
                  <c:v>-8.9373432149636115E-3</c:v>
                </c:pt>
                <c:pt idx="31">
                  <c:v>8.8735756082537719E-3</c:v>
                </c:pt>
                <c:pt idx="32">
                  <c:v>2.9849464827428309E-2</c:v>
                </c:pt>
                <c:pt idx="33">
                  <c:v>-7.5309156593024867E-3</c:v>
                </c:pt>
                <c:pt idx="34">
                  <c:v>2.0673498721323104E-2</c:v>
                </c:pt>
                <c:pt idx="35">
                  <c:v>2.3244968314785518E-2</c:v>
                </c:pt>
                <c:pt idx="36">
                  <c:v>-2.1581962305293165E-2</c:v>
                </c:pt>
                <c:pt idx="37">
                  <c:v>2.0824960724854773E-3</c:v>
                </c:pt>
                <c:pt idx="38">
                  <c:v>7.0001458363715911E-3</c:v>
                </c:pt>
                <c:pt idx="39">
                  <c:v>1.1893555394641564E-2</c:v>
                </c:pt>
                <c:pt idx="40">
                  <c:v>-2.1056586221085211E-2</c:v>
                </c:pt>
                <c:pt idx="41">
                  <c:v>-4.1118421052631577E-3</c:v>
                </c:pt>
                <c:pt idx="42">
                  <c:v>3.0516561152399303E-2</c:v>
                </c:pt>
                <c:pt idx="43">
                  <c:v>6.2591260372520385E-3</c:v>
                </c:pt>
                <c:pt idx="44">
                  <c:v>2.3279271626894592E-2</c:v>
                </c:pt>
                <c:pt idx="45">
                  <c:v>-1.882403804582793E-2</c:v>
                </c:pt>
                <c:pt idx="46">
                  <c:v>2.6076687846448055E-2</c:v>
                </c:pt>
                <c:pt idx="47">
                  <c:v>-3.7463927442627457E-2</c:v>
                </c:pt>
                <c:pt idx="48">
                  <c:v>-1.4919246899259392E-2</c:v>
                </c:pt>
                <c:pt idx="49">
                  <c:v>3.8542364897914815E-2</c:v>
                </c:pt>
                <c:pt idx="50">
                  <c:v>-7.4223962739745145E-3</c:v>
                </c:pt>
                <c:pt idx="51">
                  <c:v>2.9639197905133478E-2</c:v>
                </c:pt>
                <c:pt idx="52">
                  <c:v>6.0934499679965864E-3</c:v>
                </c:pt>
                <c:pt idx="53">
                  <c:v>-1.0950979311046832E-2</c:v>
                </c:pt>
                <c:pt idx="54">
                  <c:v>9.5198888488653328E-3</c:v>
                </c:pt>
                <c:pt idx="55">
                  <c:v>-1.1655962211574404E-2</c:v>
                </c:pt>
                <c:pt idx="56">
                  <c:v>2.7188488516022555E-2</c:v>
                </c:pt>
                <c:pt idx="57">
                  <c:v>5.8577896049339328E-4</c:v>
                </c:pt>
                <c:pt idx="58">
                  <c:v>-2.4036330486999137E-2</c:v>
                </c:pt>
                <c:pt idx="59">
                  <c:v>1.7095848151163291E-2</c:v>
                </c:pt>
                <c:pt idx="60">
                  <c:v>4.0441486224618753E-2</c:v>
                </c:pt>
                <c:pt idx="61">
                  <c:v>-2.469835614219775E-3</c:v>
                </c:pt>
                <c:pt idx="62">
                  <c:v>2.2113081949912732E-2</c:v>
                </c:pt>
                <c:pt idx="63">
                  <c:v>-2.4215901960940044E-2</c:v>
                </c:pt>
                <c:pt idx="64">
                  <c:v>2.9277226111020675E-2</c:v>
                </c:pt>
                <c:pt idx="65">
                  <c:v>1.9611409411894952E-2</c:v>
                </c:pt>
                <c:pt idx="66">
                  <c:v>-8.6864127442084112E-3</c:v>
                </c:pt>
                <c:pt idx="67">
                  <c:v>2.2344445574532339E-2</c:v>
                </c:pt>
                <c:pt idx="68">
                  <c:v>-2.5146740336565318E-2</c:v>
                </c:pt>
                <c:pt idx="69">
                  <c:v>9.4122634177741839E-3</c:v>
                </c:pt>
                <c:pt idx="70">
                  <c:v>-3.0718740764935529E-3</c:v>
                </c:pt>
                <c:pt idx="71">
                  <c:v>-7.2469986192478415E-3</c:v>
                </c:pt>
                <c:pt idx="72">
                  <c:v>2.6465087771683615E-2</c:v>
                </c:pt>
                <c:pt idx="73">
                  <c:v>-1.4231034218785884E-2</c:v>
                </c:pt>
                <c:pt idx="74">
                  <c:v>-1.7488409657453931E-2</c:v>
                </c:pt>
                <c:pt idx="75">
                  <c:v>2.5458626767521083E-2</c:v>
                </c:pt>
                <c:pt idx="76">
                  <c:v>2.3739787266841375E-3</c:v>
                </c:pt>
                <c:pt idx="77">
                  <c:v>-3.0342642716535435E-2</c:v>
                </c:pt>
                <c:pt idx="78">
                  <c:v>3.8619530221566667E-3</c:v>
                </c:pt>
                <c:pt idx="79">
                  <c:v>1.7623964167502705E-2</c:v>
                </c:pt>
                <c:pt idx="80">
                  <c:v>-2.6618537494177922E-2</c:v>
                </c:pt>
                <c:pt idx="81">
                  <c:v>2.1620371478016764E-2</c:v>
                </c:pt>
                <c:pt idx="82">
                  <c:v>2.0694446612855379E-2</c:v>
                </c:pt>
                <c:pt idx="83">
                  <c:v>-2.7746973300803807E-2</c:v>
                </c:pt>
                <c:pt idx="84">
                  <c:v>2.3740412979351033E-2</c:v>
                </c:pt>
                <c:pt idx="85">
                  <c:v>-4.9637706215470674E-3</c:v>
                </c:pt>
                <c:pt idx="86">
                  <c:v>7.4982432025452331E-3</c:v>
                </c:pt>
                <c:pt idx="87">
                  <c:v>1.2186896403715854E-3</c:v>
                </c:pt>
                <c:pt idx="88">
                  <c:v>1.148307777105805E-4</c:v>
                </c:pt>
                <c:pt idx="89">
                  <c:v>2.7280660124615361E-2</c:v>
                </c:pt>
                <c:pt idx="90">
                  <c:v>-1.0804285948467281E-3</c:v>
                </c:pt>
                <c:pt idx="91">
                  <c:v>1.1718546035013912E-2</c:v>
                </c:pt>
                <c:pt idx="92">
                  <c:v>1.134687979237938E-2</c:v>
                </c:pt>
                <c:pt idx="93">
                  <c:v>-1.8320198875855682E-2</c:v>
                </c:pt>
                <c:pt idx="94">
                  <c:v>3.2823894607078671E-2</c:v>
                </c:pt>
                <c:pt idx="95">
                  <c:v>3.8467622485224119E-3</c:v>
                </c:pt>
                <c:pt idx="96">
                  <c:v>-5.1485176881809001E-2</c:v>
                </c:pt>
                <c:pt idx="97">
                  <c:v>5.6001510288842739E-2</c:v>
                </c:pt>
                <c:pt idx="98">
                  <c:v>1.0705014981300191E-2</c:v>
                </c:pt>
                <c:pt idx="99">
                  <c:v>-2.4395420905913484E-2</c:v>
                </c:pt>
                <c:pt idx="100">
                  <c:v>4.0655595039524262E-2</c:v>
                </c:pt>
                <c:pt idx="101">
                  <c:v>-3.8523721915593466E-2</c:v>
                </c:pt>
                <c:pt idx="102">
                  <c:v>4.819958251188681E-3</c:v>
                </c:pt>
                <c:pt idx="103">
                  <c:v>2.0413610035128722E-2</c:v>
                </c:pt>
                <c:pt idx="104">
                  <c:v>-2.9682673207835266E-2</c:v>
                </c:pt>
                <c:pt idx="105">
                  <c:v>-8.8806970509383385E-3</c:v>
                </c:pt>
                <c:pt idx="106">
                  <c:v>-5.3070675144253742E-3</c:v>
                </c:pt>
                <c:pt idx="107">
                  <c:v>-2.7172025450219104E-2</c:v>
                </c:pt>
                <c:pt idx="108">
                  <c:v>-2.362396122935752E-3</c:v>
                </c:pt>
                <c:pt idx="109">
                  <c:v>-4.3910610271443253E-2</c:v>
                </c:pt>
                <c:pt idx="110">
                  <c:v>-3.7971457696228339E-2</c:v>
                </c:pt>
                <c:pt idx="111">
                  <c:v>4.4354304635761586E-2</c:v>
                </c:pt>
                <c:pt idx="112">
                  <c:v>-8.0850996369631733E-3</c:v>
                </c:pt>
                <c:pt idx="113">
                  <c:v>-2.6986207227221146E-2</c:v>
                </c:pt>
                <c:pt idx="114">
                  <c:v>2.4638431024712345E-3</c:v>
                </c:pt>
                <c:pt idx="115">
                  <c:v>-2.993585174625802E-2</c:v>
                </c:pt>
                <c:pt idx="116">
                  <c:v>-2.7717955864095874E-2</c:v>
                </c:pt>
                <c:pt idx="117">
                  <c:v>1.7711183496199785E-2</c:v>
                </c:pt>
                <c:pt idx="118">
                  <c:v>1.0438359905773104E-2</c:v>
                </c:pt>
                <c:pt idx="119">
                  <c:v>-4.0173329841958996E-2</c:v>
                </c:pt>
                <c:pt idx="120">
                  <c:v>1.8489672712552033E-2</c:v>
                </c:pt>
                <c:pt idx="121">
                  <c:v>-9.3319047454463767E-3</c:v>
                </c:pt>
                <c:pt idx="122">
                  <c:v>3.6894253916198584E-2</c:v>
                </c:pt>
                <c:pt idx="123">
                  <c:v>8.9332279066637512E-3</c:v>
                </c:pt>
                <c:pt idx="124">
                  <c:v>-2.2935703328219835E-2</c:v>
                </c:pt>
                <c:pt idx="125">
                  <c:v>-1.7065865708702737E-3</c:v>
                </c:pt>
                <c:pt idx="126">
                  <c:v>4.2737599685451264E-4</c:v>
                </c:pt>
                <c:pt idx="127">
                  <c:v>-4.972531462795725E-3</c:v>
                </c:pt>
                <c:pt idx="128">
                  <c:v>1.3996101699281305E-3</c:v>
                </c:pt>
                <c:pt idx="129">
                  <c:v>2.7695843051173002E-3</c:v>
                </c:pt>
                <c:pt idx="130">
                  <c:v>-1.0090040787707252E-2</c:v>
                </c:pt>
                <c:pt idx="131">
                  <c:v>-1.3648103518273775E-3</c:v>
                </c:pt>
                <c:pt idx="132">
                  <c:v>2.1529465699037274E-2</c:v>
                </c:pt>
                <c:pt idx="133">
                  <c:v>-9.9239614557401472E-3</c:v>
                </c:pt>
                <c:pt idx="134">
                  <c:v>-1.6275251013461507E-2</c:v>
                </c:pt>
                <c:pt idx="135">
                  <c:v>1.112820914078054E-2</c:v>
                </c:pt>
                <c:pt idx="136">
                  <c:v>1.2175094365579564E-2</c:v>
                </c:pt>
                <c:pt idx="137">
                  <c:v>4.2134234915349265E-3</c:v>
                </c:pt>
                <c:pt idx="138">
                  <c:v>1.4515924375079304E-2</c:v>
                </c:pt>
                <c:pt idx="139">
                  <c:v>1.1681716987267679E-2</c:v>
                </c:pt>
                <c:pt idx="140">
                  <c:v>3.1838261958922628E-2</c:v>
                </c:pt>
                <c:pt idx="141">
                  <c:v>-3.7541435360837096E-4</c:v>
                </c:pt>
                <c:pt idx="142">
                  <c:v>-2.7567360245469366E-3</c:v>
                </c:pt>
                <c:pt idx="143">
                  <c:v>-1.2619888944977285E-2</c:v>
                </c:pt>
                <c:pt idx="144">
                  <c:v>4.722952575713312E-3</c:v>
                </c:pt>
                <c:pt idx="145">
                  <c:v>6.3282448913658029E-2</c:v>
                </c:pt>
                <c:pt idx="146">
                  <c:v>-2.8022332788939952E-2</c:v>
                </c:pt>
                <c:pt idx="147">
                  <c:v>6.4553440245084248E-3</c:v>
                </c:pt>
                <c:pt idx="148">
                  <c:v>-1.739373514932211E-3</c:v>
                </c:pt>
                <c:pt idx="149">
                  <c:v>-5.5072418674839375E-3</c:v>
                </c:pt>
                <c:pt idx="150">
                  <c:v>2.0312866640594448E-2</c:v>
                </c:pt>
                <c:pt idx="151">
                  <c:v>1.5393224834607158E-2</c:v>
                </c:pt>
                <c:pt idx="152">
                  <c:v>-2.0912762825110415E-3</c:v>
                </c:pt>
                <c:pt idx="153">
                  <c:v>1.4707439967316801E-2</c:v>
                </c:pt>
                <c:pt idx="154">
                  <c:v>2.1316413414652333E-2</c:v>
                </c:pt>
                <c:pt idx="155">
                  <c:v>2.555098882326746E-3</c:v>
                </c:pt>
                <c:pt idx="156">
                  <c:v>1.3157990548383104E-2</c:v>
                </c:pt>
                <c:pt idx="157">
                  <c:v>-1.6731590219781798E-2</c:v>
                </c:pt>
                <c:pt idx="158">
                  <c:v>3.3184708720122797E-3</c:v>
                </c:pt>
                <c:pt idx="159">
                  <c:v>6.84811749621168E-4</c:v>
                </c:pt>
                <c:pt idx="160">
                  <c:v>2.8269194368001863E-2</c:v>
                </c:pt>
                <c:pt idx="161">
                  <c:v>-3.7290871630758775E-2</c:v>
                </c:pt>
                <c:pt idx="162">
                  <c:v>5.220851045052731E-2</c:v>
                </c:pt>
                <c:pt idx="163">
                  <c:v>5.3678891195403748E-3</c:v>
                </c:pt>
                <c:pt idx="164">
                  <c:v>1.3083891241023073E-2</c:v>
                </c:pt>
                <c:pt idx="165">
                  <c:v>1.5920616512149762E-2</c:v>
                </c:pt>
                <c:pt idx="166">
                  <c:v>-1.2901656951020987E-3</c:v>
                </c:pt>
                <c:pt idx="167">
                  <c:v>2.0973676379081783E-2</c:v>
                </c:pt>
                <c:pt idx="168">
                  <c:v>-8.9431809901095044E-4</c:v>
                </c:pt>
                <c:pt idx="169">
                  <c:v>1.5906589399143339E-2</c:v>
                </c:pt>
                <c:pt idx="170">
                  <c:v>-8.256263991593623E-3</c:v>
                </c:pt>
                <c:pt idx="171">
                  <c:v>1.1727387596082973E-2</c:v>
                </c:pt>
                <c:pt idx="172">
                  <c:v>7.506472218247102E-3</c:v>
                </c:pt>
                <c:pt idx="173">
                  <c:v>-1.1776251226692836E-2</c:v>
                </c:pt>
                <c:pt idx="174">
                  <c:v>-1.6261171797418074E-2</c:v>
                </c:pt>
                <c:pt idx="175">
                  <c:v>2.2234766727544413E-2</c:v>
                </c:pt>
                <c:pt idx="176">
                  <c:v>-2.5077473801835984E-3</c:v>
                </c:pt>
                <c:pt idx="177">
                  <c:v>-2.2795808176530739E-4</c:v>
                </c:pt>
                <c:pt idx="178">
                  <c:v>3.25533217808237E-2</c:v>
                </c:pt>
                <c:pt idx="179">
                  <c:v>-3.2157931595782938E-2</c:v>
                </c:pt>
                <c:pt idx="180">
                  <c:v>1.1401415887667696E-2</c:v>
                </c:pt>
                <c:pt idx="181">
                  <c:v>7.7666273501298738E-3</c:v>
                </c:pt>
                <c:pt idx="182">
                  <c:v>1.793343395840262E-2</c:v>
                </c:pt>
                <c:pt idx="183">
                  <c:v>-3.9205830610706208E-3</c:v>
                </c:pt>
                <c:pt idx="184">
                  <c:v>-2.502270777615179E-2</c:v>
                </c:pt>
                <c:pt idx="185">
                  <c:v>1.4220186453946133E-2</c:v>
                </c:pt>
                <c:pt idx="186">
                  <c:v>8.6944318638488959E-3</c:v>
                </c:pt>
                <c:pt idx="187">
                  <c:v>-3.0607727818883199E-3</c:v>
                </c:pt>
                <c:pt idx="188">
                  <c:v>1.386651104373089E-2</c:v>
                </c:pt>
                <c:pt idx="189">
                  <c:v>1.5140897942839981E-3</c:v>
                </c:pt>
                <c:pt idx="190">
                  <c:v>2.0153179154640977E-2</c:v>
                </c:pt>
                <c:pt idx="191">
                  <c:v>8.0526638089406001E-3</c:v>
                </c:pt>
                <c:pt idx="192">
                  <c:v>-2.2051453391246242E-2</c:v>
                </c:pt>
                <c:pt idx="193">
                  <c:v>1.8436500295058545E-2</c:v>
                </c:pt>
                <c:pt idx="194">
                  <c:v>2.0420486358895536E-2</c:v>
                </c:pt>
                <c:pt idx="195">
                  <c:v>-1.6377666600916909E-2</c:v>
                </c:pt>
                <c:pt idx="196">
                  <c:v>1.2524231136174428E-2</c:v>
                </c:pt>
                <c:pt idx="197">
                  <c:v>-2.5968959681194559E-2</c:v>
                </c:pt>
                <c:pt idx="198">
                  <c:v>-3.3457592655349824E-2</c:v>
                </c:pt>
                <c:pt idx="199">
                  <c:v>-2.214005673668441E-2</c:v>
                </c:pt>
                <c:pt idx="200">
                  <c:v>-8.063001981850422E-2</c:v>
                </c:pt>
                <c:pt idx="201">
                  <c:v>-1.8096210574086679E-2</c:v>
                </c:pt>
                <c:pt idx="202">
                  <c:v>-7.58998209024207E-2</c:v>
                </c:pt>
                <c:pt idx="203">
                  <c:v>-0.10170206780137854</c:v>
                </c:pt>
                <c:pt idx="204">
                  <c:v>1.4328217976824303E-2</c:v>
                </c:pt>
                <c:pt idx="205">
                  <c:v>-2.8157296625069685E-2</c:v>
                </c:pt>
                <c:pt idx="206">
                  <c:v>-2.3925091781982492E-2</c:v>
                </c:pt>
                <c:pt idx="207">
                  <c:v>2.2413902225115506E-2</c:v>
                </c:pt>
                <c:pt idx="208">
                  <c:v>2.1268128758401131E-2</c:v>
                </c:pt>
                <c:pt idx="209">
                  <c:v>1.9223275750097416E-2</c:v>
                </c:pt>
                <c:pt idx="210">
                  <c:v>-4.7831443014315451E-3</c:v>
                </c:pt>
                <c:pt idx="211">
                  <c:v>4.1829574362739243E-2</c:v>
                </c:pt>
                <c:pt idx="212">
                  <c:v>1.6551678930204355E-3</c:v>
                </c:pt>
                <c:pt idx="213">
                  <c:v>2.3559438500049081E-3</c:v>
                </c:pt>
                <c:pt idx="214">
                  <c:v>1.5449025560669866E-2</c:v>
                </c:pt>
                <c:pt idx="215">
                  <c:v>2.1153305203938114E-2</c:v>
                </c:pt>
                <c:pt idx="216">
                  <c:v>1.3796957271146021E-2</c:v>
                </c:pt>
                <c:pt idx="217">
                  <c:v>4.6774318764071114E-2</c:v>
                </c:pt>
                <c:pt idx="218">
                  <c:v>-2.6988541550784291E-2</c:v>
                </c:pt>
                <c:pt idx="219">
                  <c:v>4.3332113783956829E-2</c:v>
                </c:pt>
                <c:pt idx="220">
                  <c:v>2.5204374602757137E-3</c:v>
                </c:pt>
                <c:pt idx="221">
                  <c:v>-1.8728229344293357E-2</c:v>
                </c:pt>
                <c:pt idx="222">
                  <c:v>1.8097968155893537E-2</c:v>
                </c:pt>
                <c:pt idx="223">
                  <c:v>1.5719256271290293E-2</c:v>
                </c:pt>
                <c:pt idx="224">
                  <c:v>-3.396817189474894E-2</c:v>
                </c:pt>
                <c:pt idx="225">
                  <c:v>5.8966086323019966E-2</c:v>
                </c:pt>
                <c:pt idx="226">
                  <c:v>1.2397332397332397E-2</c:v>
                </c:pt>
                <c:pt idx="227">
                  <c:v>-7.6482498474510453E-3</c:v>
                </c:pt>
                <c:pt idx="228">
                  <c:v>-1.4338320068756856E-2</c:v>
                </c:pt>
                <c:pt idx="229">
                  <c:v>3.4353931986870929E-2</c:v>
                </c:pt>
                <c:pt idx="230">
                  <c:v>-1.7250714496220194E-2</c:v>
                </c:pt>
                <c:pt idx="231">
                  <c:v>2.1368296254968965E-2</c:v>
                </c:pt>
                <c:pt idx="232">
                  <c:v>-1.7548172122304614E-3</c:v>
                </c:pt>
                <c:pt idx="233">
                  <c:v>1.1628145584382717E-2</c:v>
                </c:pt>
                <c:pt idx="234">
                  <c:v>-2.7113464100015552E-3</c:v>
                </c:pt>
                <c:pt idx="235">
                  <c:v>7.8713999023702335E-3</c:v>
                </c:pt>
                <c:pt idx="236">
                  <c:v>1.9992331339930176E-2</c:v>
                </c:pt>
                <c:pt idx="237">
                  <c:v>-7.8217227575199996E-3</c:v>
                </c:pt>
                <c:pt idx="238">
                  <c:v>2.8967781817698397E-2</c:v>
                </c:pt>
                <c:pt idx="239">
                  <c:v>-1.8126497890840497E-2</c:v>
                </c:pt>
                <c:pt idx="240">
                  <c:v>1.2145136353169512E-2</c:v>
                </c:pt>
                <c:pt idx="241">
                  <c:v>-2.8145942889086784E-3</c:v>
                </c:pt>
                <c:pt idx="242">
                  <c:v>-1.3200093867334168E-2</c:v>
                </c:pt>
                <c:pt idx="243">
                  <c:v>-3.7190437499587141E-3</c:v>
                </c:pt>
                <c:pt idx="244">
                  <c:v>-2.5248640763824427E-2</c:v>
                </c:pt>
                <c:pt idx="245">
                  <c:v>-4.3669904497592033E-3</c:v>
                </c:pt>
                <c:pt idx="246">
                  <c:v>-2.4328755892600942E-2</c:v>
                </c:pt>
                <c:pt idx="247">
                  <c:v>1.1126749714653838E-2</c:v>
                </c:pt>
                <c:pt idx="248">
                  <c:v>2.1870109004279839E-2</c:v>
                </c:pt>
                <c:pt idx="249">
                  <c:v>1.2876467239556508E-4</c:v>
                </c:pt>
                <c:pt idx="250">
                  <c:v>-1.0069456208707438E-2</c:v>
                </c:pt>
                <c:pt idx="251">
                  <c:v>3.8811957094647784E-2</c:v>
                </c:pt>
                <c:pt idx="252">
                  <c:v>-1.570911774589975E-2</c:v>
                </c:pt>
                <c:pt idx="253">
                  <c:v>-2.2942259414225941E-2</c:v>
                </c:pt>
                <c:pt idx="254">
                  <c:v>2.4673171266478472E-2</c:v>
                </c:pt>
                <c:pt idx="255">
                  <c:v>5.2691759891406826E-3</c:v>
                </c:pt>
                <c:pt idx="256">
                  <c:v>1.9822132941325157E-3</c:v>
                </c:pt>
                <c:pt idx="257">
                  <c:v>-1.2414113585820029E-2</c:v>
                </c:pt>
                <c:pt idx="258">
                  <c:v>-8.0798574933620138E-3</c:v>
                </c:pt>
                <c:pt idx="259">
                  <c:v>5.7602515535737277E-3</c:v>
                </c:pt>
                <c:pt idx="260">
                  <c:v>3.9349652658459836E-3</c:v>
                </c:pt>
                <c:pt idx="261">
                  <c:v>1.512782136553085E-2</c:v>
                </c:pt>
                <c:pt idx="262">
                  <c:v>-2.2188283052674031E-2</c:v>
                </c:pt>
                <c:pt idx="263">
                  <c:v>2.0778254842962914E-2</c:v>
                </c:pt>
                <c:pt idx="264">
                  <c:v>8.0149435641990361E-4</c:v>
                </c:pt>
                <c:pt idx="265">
                  <c:v>1.4845554606887331E-2</c:v>
                </c:pt>
                <c:pt idx="266">
                  <c:v>-8.9544256906581802E-3</c:v>
                </c:pt>
                <c:pt idx="267">
                  <c:v>1.1055613685270369E-3</c:v>
                </c:pt>
                <c:pt idx="268">
                  <c:v>2.9304462718649549E-2</c:v>
                </c:pt>
                <c:pt idx="269">
                  <c:v>-1.8411725261040329E-2</c:v>
                </c:pt>
                <c:pt idx="270">
                  <c:v>9.8176991841355359E-3</c:v>
                </c:pt>
                <c:pt idx="271">
                  <c:v>1.1410273756370361E-2</c:v>
                </c:pt>
                <c:pt idx="272">
                  <c:v>-2.6888433068759477E-2</c:v>
                </c:pt>
                <c:pt idx="273">
                  <c:v>-2.2846145285773202E-2</c:v>
                </c:pt>
                <c:pt idx="274">
                  <c:v>6.3642636546951516E-3</c:v>
                </c:pt>
                <c:pt idx="275">
                  <c:v>-1.7873666131899002E-2</c:v>
                </c:pt>
                <c:pt idx="276">
                  <c:v>-7.4286953692658062E-3</c:v>
                </c:pt>
                <c:pt idx="277">
                  <c:v>4.5889101338432124E-3</c:v>
                </c:pt>
                <c:pt idx="278">
                  <c:v>-3.5279243025721899E-3</c:v>
                </c:pt>
                <c:pt idx="279">
                  <c:v>-1.2408505181011371E-2</c:v>
                </c:pt>
                <c:pt idx="280">
                  <c:v>2.100515285893876E-2</c:v>
                </c:pt>
                <c:pt idx="281">
                  <c:v>-1.1629401616885972E-2</c:v>
                </c:pt>
                <c:pt idx="282">
                  <c:v>6.6394699375752929E-4</c:v>
                </c:pt>
                <c:pt idx="283">
                  <c:v>-1.8058320165808212E-3</c:v>
                </c:pt>
                <c:pt idx="284">
                  <c:v>-1.0354350403278307E-2</c:v>
                </c:pt>
                <c:pt idx="285">
                  <c:v>-4.5146726862302479E-3</c:v>
                </c:pt>
                <c:pt idx="286">
                  <c:v>-1.3153318587148561E-2</c:v>
                </c:pt>
                <c:pt idx="287">
                  <c:v>1.6288986784140969E-2</c:v>
                </c:pt>
                <c:pt idx="288">
                  <c:v>-1.1020487425963685E-2</c:v>
                </c:pt>
                <c:pt idx="289">
                  <c:v>-9.4321759924823109E-3</c:v>
                </c:pt>
                <c:pt idx="290">
                  <c:v>8.8211140373233646E-3</c:v>
                </c:pt>
                <c:pt idx="291">
                  <c:v>-6.4071074681749923E-3</c:v>
                </c:pt>
                <c:pt idx="292">
                  <c:v>-7.5078574707772719E-3</c:v>
                </c:pt>
                <c:pt idx="293">
                  <c:v>9.094661334168315E-3</c:v>
                </c:pt>
                <c:pt idx="294">
                  <c:v>1.6784203102961919E-3</c:v>
                </c:pt>
                <c:pt idx="295">
                  <c:v>-7.8570523381067039E-3</c:v>
                </c:pt>
                <c:pt idx="296">
                  <c:v>8.0611969742126859E-3</c:v>
                </c:pt>
                <c:pt idx="297">
                  <c:v>2.5060186684312041E-3</c:v>
                </c:pt>
                <c:pt idx="298">
                  <c:v>8.3559200640386476E-4</c:v>
                </c:pt>
                <c:pt idx="299">
                  <c:v>1.8557106073681183E-2</c:v>
                </c:pt>
                <c:pt idx="300">
                  <c:v>2.4797145573020703E-4</c:v>
                </c:pt>
                <c:pt idx="301">
                  <c:v>1.1087085267260733E-2</c:v>
                </c:pt>
                <c:pt idx="302">
                  <c:v>-4.3862038903721466E-3</c:v>
                </c:pt>
                <c:pt idx="303">
                  <c:v>8.1816938021617193E-3</c:v>
                </c:pt>
                <c:pt idx="304">
                  <c:v>-1.0469818695038541E-2</c:v>
                </c:pt>
                <c:pt idx="305">
                  <c:v>1.378288864660262E-2</c:v>
                </c:pt>
                <c:pt idx="306">
                  <c:v>6.8383352610539563E-3</c:v>
                </c:pt>
                <c:pt idx="307">
                  <c:v>1.0191194055920566E-2</c:v>
                </c:pt>
                <c:pt idx="308">
                  <c:v>1.8454356225602011E-2</c:v>
                </c:pt>
                <c:pt idx="309">
                  <c:v>9.9251694461494262E-4</c:v>
                </c:pt>
                <c:pt idx="310">
                  <c:v>6.79721848947801E-3</c:v>
                </c:pt>
                <c:pt idx="311">
                  <c:v>1.2634443436568615E-3</c:v>
                </c:pt>
                <c:pt idx="312">
                  <c:v>1.6494645226000582E-2</c:v>
                </c:pt>
                <c:pt idx="313">
                  <c:v>2.5400422703776323E-3</c:v>
                </c:pt>
                <c:pt idx="314">
                  <c:v>1.5925528469739592E-2</c:v>
                </c:pt>
                <c:pt idx="315">
                  <c:v>1.0100568156958829E-2</c:v>
                </c:pt>
                <c:pt idx="316">
                  <c:v>2.0048636507081995E-3</c:v>
                </c:pt>
                <c:pt idx="317">
                  <c:v>5.940801946508081E-3</c:v>
                </c:pt>
                <c:pt idx="318">
                  <c:v>-1.2713867385338843E-2</c:v>
                </c:pt>
                <c:pt idx="319">
                  <c:v>-4.3650744301152828E-3</c:v>
                </c:pt>
                <c:pt idx="320">
                  <c:v>1.1703722208343743E-2</c:v>
                </c:pt>
                <c:pt idx="321">
                  <c:v>-2.2327987456325544E-2</c:v>
                </c:pt>
                <c:pt idx="322">
                  <c:v>7.6526263283178747E-3</c:v>
                </c:pt>
                <c:pt idx="323">
                  <c:v>-1.3221462632136301E-3</c:v>
                </c:pt>
                <c:pt idx="324">
                  <c:v>-3.7018911016576945E-4</c:v>
                </c:pt>
                <c:pt idx="325">
                  <c:v>-3.3392125233023054E-3</c:v>
                </c:pt>
                <c:pt idx="326">
                  <c:v>5.6616725550580338E-3</c:v>
                </c:pt>
                <c:pt idx="327">
                  <c:v>-5.8865523590045463E-3</c:v>
                </c:pt>
                <c:pt idx="328">
                  <c:v>6.7151298300429617E-3</c:v>
                </c:pt>
                <c:pt idx="329">
                  <c:v>-1.2408329787500312E-2</c:v>
                </c:pt>
                <c:pt idx="330">
                  <c:v>-1.3875776948469546E-3</c:v>
                </c:pt>
                <c:pt idx="331">
                  <c:v>-9.0476492608337032E-3</c:v>
                </c:pt>
                <c:pt idx="332">
                  <c:v>-2.7275521180146495E-3</c:v>
                </c:pt>
                <c:pt idx="333">
                  <c:v>-6.4587372719218271E-3</c:v>
                </c:pt>
                <c:pt idx="334">
                  <c:v>-1.4500620347394541E-2</c:v>
                </c:pt>
                <c:pt idx="335">
                  <c:v>-9.9666902719857311E-3</c:v>
                </c:pt>
                <c:pt idx="336">
                  <c:v>-5.8746390441624498E-3</c:v>
                </c:pt>
                <c:pt idx="337">
                  <c:v>-2.7328265634472788E-2</c:v>
                </c:pt>
                <c:pt idx="338">
                  <c:v>-9.7226693333515982E-2</c:v>
                </c:pt>
                <c:pt idx="339">
                  <c:v>3.5294831719826406E-2</c:v>
                </c:pt>
                <c:pt idx="340">
                  <c:v>5.1672333939145221E-2</c:v>
                </c:pt>
                <c:pt idx="341">
                  <c:v>2.8388859080044876E-2</c:v>
                </c:pt>
                <c:pt idx="342">
                  <c:v>1.0766968647725656E-2</c:v>
                </c:pt>
                <c:pt idx="343">
                  <c:v>2.3825165918080041E-2</c:v>
                </c:pt>
                <c:pt idx="344">
                  <c:v>9.6644928105602268E-3</c:v>
                </c:pt>
                <c:pt idx="345">
                  <c:v>6.2710765239948115E-3</c:v>
                </c:pt>
                <c:pt idx="346">
                  <c:v>2.529532697029652E-2</c:v>
                </c:pt>
                <c:pt idx="347">
                  <c:v>1.1509063937847284E-2</c:v>
                </c:pt>
                <c:pt idx="348">
                  <c:v>7.2084164476178048E-4</c:v>
                </c:pt>
                <c:pt idx="349">
                  <c:v>1.4543060997646533E-2</c:v>
                </c:pt>
                <c:pt idx="350">
                  <c:v>1.6293204228153824E-2</c:v>
                </c:pt>
                <c:pt idx="351">
                  <c:v>1.0057635672687196E-3</c:v>
                </c:pt>
                <c:pt idx="352">
                  <c:v>9.7828048853859581E-3</c:v>
                </c:pt>
                <c:pt idx="353">
                  <c:v>4.123072523177387E-3</c:v>
                </c:pt>
                <c:pt idx="354">
                  <c:v>1.0852795974556156E-2</c:v>
                </c:pt>
                <c:pt idx="355">
                  <c:v>1.5790369635530093E-3</c:v>
                </c:pt>
                <c:pt idx="356">
                  <c:v>3.0241581001723065E-3</c:v>
                </c:pt>
                <c:pt idx="357">
                  <c:v>1.3363172102698344E-2</c:v>
                </c:pt>
                <c:pt idx="358">
                  <c:v>9.5543421227130415E-3</c:v>
                </c:pt>
                <c:pt idx="359">
                  <c:v>8.6014872691134638E-3</c:v>
                </c:pt>
                <c:pt idx="360">
                  <c:v>-3.2674186826130288E-3</c:v>
                </c:pt>
                <c:pt idx="361">
                  <c:v>1.1493338635911713E-2</c:v>
                </c:pt>
                <c:pt idx="362">
                  <c:v>2.409597950999225E-3</c:v>
                </c:pt>
                <c:pt idx="363">
                  <c:v>4.4321919458499334E-3</c:v>
                </c:pt>
                <c:pt idx="364">
                  <c:v>3.8324649388032893E-3</c:v>
                </c:pt>
                <c:pt idx="365">
                  <c:v>1.5060157270277029E-3</c:v>
                </c:pt>
                <c:pt idx="366">
                  <c:v>7.8794335686065608E-4</c:v>
                </c:pt>
                <c:pt idx="367">
                  <c:v>-9.0653034520231986E-3</c:v>
                </c:pt>
                <c:pt idx="368">
                  <c:v>1.068692893472021E-3</c:v>
                </c:pt>
                <c:pt idx="369">
                  <c:v>1.3078909420168349E-3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AD21-4BDA-8A35-B83B95941B91}"/>
            </c:ext>
          </c:extLst>
        </c:ser>
        <c:dLbls>
          <c:showLegendKey val="0"/>
          <c:showVal val="0"/>
          <c:showCatName val="0"/>
          <c:showSerName val="0"/>
          <c:showPercent val="0"/>
          <c:showBubbleSize val="0"/>
        </c:dLbls>
        <c:gapWidth val="219"/>
        <c:overlap val="-27"/>
        <c:axId val="504147584"/>
        <c:axId val="504147976"/>
      </c:barChart>
      <c:dateAx>
        <c:axId val="504147584"/>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976"/>
        <c:crosses val="autoZero"/>
        <c:auto val="0"/>
        <c:lblOffset val="100"/>
        <c:baseTimeUnit val="months"/>
      </c:dateAx>
      <c:valAx>
        <c:axId val="504147976"/>
        <c:scaling>
          <c:orientation val="minMax"/>
          <c:max val="0.1"/>
          <c:min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58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'New Orders ex Transport'!$C$5</c:f>
              <c:strCache>
                <c:ptCount val="1"/>
                <c:pt idx="0">
                  <c:v>mom %</c:v>
                </c:pt>
              </c:strCache>
            </c:strRef>
          </c:tx>
          <c:spPr>
            <a:solidFill>
              <a:srgbClr val="92D050"/>
            </a:solidFill>
            <a:ln w="6350">
              <a:solidFill>
                <a:schemeClr val="tx1"/>
              </a:solidFill>
              <a:prstDash val="solid"/>
            </a:ln>
          </c:spPr>
          <c:invertIfNegative val="1"/>
          <c:cat>
            <c:numRef>
              <c:f>'New Orders ex Transport'!$A$251:$A$463</c:f>
              <c:numCache>
                <c:formatCode>m/d/yyyy</c:formatCode>
                <c:ptCount val="213"/>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pt idx="115">
                  <c:v>44593</c:v>
                </c:pt>
                <c:pt idx="116">
                  <c:v>44621</c:v>
                </c:pt>
                <c:pt idx="117">
                  <c:v>44652</c:v>
                </c:pt>
                <c:pt idx="118">
                  <c:v>44682</c:v>
                </c:pt>
                <c:pt idx="119">
                  <c:v>44713</c:v>
                </c:pt>
                <c:pt idx="120">
                  <c:v>44743</c:v>
                </c:pt>
                <c:pt idx="121">
                  <c:v>44774</c:v>
                </c:pt>
                <c:pt idx="122">
                  <c:v>44805</c:v>
                </c:pt>
                <c:pt idx="123">
                  <c:v>44835</c:v>
                </c:pt>
                <c:pt idx="124">
                  <c:v>44866</c:v>
                </c:pt>
              </c:numCache>
            </c:numRef>
          </c:cat>
          <c:val>
            <c:numRef>
              <c:f>'New Orders ex Transport'!$C$251:$C$463</c:f>
              <c:numCache>
                <c:formatCode>0.0%</c:formatCode>
                <c:ptCount val="213"/>
                <c:pt idx="0">
                  <c:v>-4.3669904497592033E-3</c:v>
                </c:pt>
                <c:pt idx="1">
                  <c:v>-2.4328755892600942E-2</c:v>
                </c:pt>
                <c:pt idx="2">
                  <c:v>1.1126749714653838E-2</c:v>
                </c:pt>
                <c:pt idx="3">
                  <c:v>2.1870109004279839E-2</c:v>
                </c:pt>
                <c:pt idx="4">
                  <c:v>1.2876467239556508E-4</c:v>
                </c:pt>
                <c:pt idx="5">
                  <c:v>-1.0069456208707438E-2</c:v>
                </c:pt>
                <c:pt idx="6">
                  <c:v>3.8811957094647784E-2</c:v>
                </c:pt>
                <c:pt idx="7">
                  <c:v>-1.570911774589975E-2</c:v>
                </c:pt>
                <c:pt idx="8">
                  <c:v>-2.2942259414225941E-2</c:v>
                </c:pt>
                <c:pt idx="9">
                  <c:v>2.4673171266478472E-2</c:v>
                </c:pt>
                <c:pt idx="10">
                  <c:v>5.2691759891406826E-3</c:v>
                </c:pt>
                <c:pt idx="11">
                  <c:v>1.9822132941325157E-3</c:v>
                </c:pt>
                <c:pt idx="12">
                  <c:v>-1.2414113585820029E-2</c:v>
                </c:pt>
                <c:pt idx="13">
                  <c:v>-8.0798574933620138E-3</c:v>
                </c:pt>
                <c:pt idx="14">
                  <c:v>5.7602515535737277E-3</c:v>
                </c:pt>
                <c:pt idx="15">
                  <c:v>3.9349652658459836E-3</c:v>
                </c:pt>
                <c:pt idx="16">
                  <c:v>1.512782136553085E-2</c:v>
                </c:pt>
                <c:pt idx="17">
                  <c:v>-2.2188283052674031E-2</c:v>
                </c:pt>
                <c:pt idx="18">
                  <c:v>2.0778254842962914E-2</c:v>
                </c:pt>
                <c:pt idx="19">
                  <c:v>8.0149435641990361E-4</c:v>
                </c:pt>
                <c:pt idx="20">
                  <c:v>1.4845554606887331E-2</c:v>
                </c:pt>
                <c:pt idx="21">
                  <c:v>-8.9544256906581802E-3</c:v>
                </c:pt>
                <c:pt idx="22">
                  <c:v>1.1055613685270369E-3</c:v>
                </c:pt>
                <c:pt idx="23">
                  <c:v>2.9304462718649549E-2</c:v>
                </c:pt>
                <c:pt idx="24">
                  <c:v>-1.8411725261040329E-2</c:v>
                </c:pt>
                <c:pt idx="25">
                  <c:v>9.8176991841355359E-3</c:v>
                </c:pt>
                <c:pt idx="26">
                  <c:v>1.1410273756370361E-2</c:v>
                </c:pt>
                <c:pt idx="27">
                  <c:v>-2.6888433068759477E-2</c:v>
                </c:pt>
                <c:pt idx="28">
                  <c:v>-2.2846145285773202E-2</c:v>
                </c:pt>
                <c:pt idx="29">
                  <c:v>6.3642636546951516E-3</c:v>
                </c:pt>
                <c:pt idx="30">
                  <c:v>-1.7873666131899002E-2</c:v>
                </c:pt>
                <c:pt idx="31">
                  <c:v>-7.4286953692658062E-3</c:v>
                </c:pt>
                <c:pt idx="32">
                  <c:v>4.5889101338432124E-3</c:v>
                </c:pt>
                <c:pt idx="33">
                  <c:v>-3.5279243025721899E-3</c:v>
                </c:pt>
                <c:pt idx="34">
                  <c:v>-1.2408505181011371E-2</c:v>
                </c:pt>
                <c:pt idx="35">
                  <c:v>2.100515285893876E-2</c:v>
                </c:pt>
                <c:pt idx="36">
                  <c:v>-1.1629401616885972E-2</c:v>
                </c:pt>
                <c:pt idx="37">
                  <c:v>6.6394699375752929E-4</c:v>
                </c:pt>
                <c:pt idx="38">
                  <c:v>-1.8058320165808212E-3</c:v>
                </c:pt>
                <c:pt idx="39">
                  <c:v>-1.0354350403278307E-2</c:v>
                </c:pt>
                <c:pt idx="40">
                  <c:v>-4.5146726862302479E-3</c:v>
                </c:pt>
                <c:pt idx="41">
                  <c:v>-1.3153318587148561E-2</c:v>
                </c:pt>
                <c:pt idx="42">
                  <c:v>1.6288986784140969E-2</c:v>
                </c:pt>
                <c:pt idx="43">
                  <c:v>-1.1020487425963685E-2</c:v>
                </c:pt>
                <c:pt idx="44">
                  <c:v>-9.4321759924823109E-3</c:v>
                </c:pt>
                <c:pt idx="45">
                  <c:v>8.8211140373233646E-3</c:v>
                </c:pt>
                <c:pt idx="46">
                  <c:v>-6.4071074681749923E-3</c:v>
                </c:pt>
                <c:pt idx="47">
                  <c:v>-7.5078574707772719E-3</c:v>
                </c:pt>
                <c:pt idx="48">
                  <c:v>9.094661334168315E-3</c:v>
                </c:pt>
                <c:pt idx="49">
                  <c:v>1.6784203102961919E-3</c:v>
                </c:pt>
                <c:pt idx="50">
                  <c:v>-7.8570523381067039E-3</c:v>
                </c:pt>
                <c:pt idx="51">
                  <c:v>8.0611969742126859E-3</c:v>
                </c:pt>
                <c:pt idx="52">
                  <c:v>2.5060186684312041E-3</c:v>
                </c:pt>
                <c:pt idx="53">
                  <c:v>8.3559200640386476E-4</c:v>
                </c:pt>
                <c:pt idx="54">
                  <c:v>1.8557106073681183E-2</c:v>
                </c:pt>
                <c:pt idx="55">
                  <c:v>2.4797145573020703E-4</c:v>
                </c:pt>
                <c:pt idx="56">
                  <c:v>1.1087085267260733E-2</c:v>
                </c:pt>
                <c:pt idx="57">
                  <c:v>-4.3862038903721466E-3</c:v>
                </c:pt>
                <c:pt idx="58">
                  <c:v>8.1816938021617193E-3</c:v>
                </c:pt>
                <c:pt idx="59">
                  <c:v>-1.0469818695038541E-2</c:v>
                </c:pt>
                <c:pt idx="60">
                  <c:v>1.378288864660262E-2</c:v>
                </c:pt>
                <c:pt idx="61">
                  <c:v>6.8383352610539563E-3</c:v>
                </c:pt>
                <c:pt idx="62">
                  <c:v>1.0191194055920566E-2</c:v>
                </c:pt>
                <c:pt idx="63">
                  <c:v>1.8454356225602011E-2</c:v>
                </c:pt>
                <c:pt idx="64">
                  <c:v>9.9251694461494262E-4</c:v>
                </c:pt>
                <c:pt idx="65">
                  <c:v>6.79721848947801E-3</c:v>
                </c:pt>
                <c:pt idx="66">
                  <c:v>1.2634443436568615E-3</c:v>
                </c:pt>
                <c:pt idx="67">
                  <c:v>1.6494645226000582E-2</c:v>
                </c:pt>
                <c:pt idx="68">
                  <c:v>2.5400422703776323E-3</c:v>
                </c:pt>
                <c:pt idx="69">
                  <c:v>1.5925528469739592E-2</c:v>
                </c:pt>
                <c:pt idx="70">
                  <c:v>1.0100568156958829E-2</c:v>
                </c:pt>
                <c:pt idx="71">
                  <c:v>2.0048636507081995E-3</c:v>
                </c:pt>
                <c:pt idx="72">
                  <c:v>5.940801946508081E-3</c:v>
                </c:pt>
                <c:pt idx="73">
                  <c:v>-1.2713867385338843E-2</c:v>
                </c:pt>
                <c:pt idx="74">
                  <c:v>-4.3650744301152828E-3</c:v>
                </c:pt>
                <c:pt idx="75">
                  <c:v>1.1703722208343743E-2</c:v>
                </c:pt>
                <c:pt idx="76">
                  <c:v>-2.2327987456325544E-2</c:v>
                </c:pt>
                <c:pt idx="77">
                  <c:v>7.6526263283178747E-3</c:v>
                </c:pt>
                <c:pt idx="78">
                  <c:v>-1.3221462632136301E-3</c:v>
                </c:pt>
                <c:pt idx="79">
                  <c:v>-3.7018911016576945E-4</c:v>
                </c:pt>
                <c:pt idx="80">
                  <c:v>-3.3392125233023054E-3</c:v>
                </c:pt>
                <c:pt idx="81">
                  <c:v>5.6616725550580338E-3</c:v>
                </c:pt>
                <c:pt idx="82">
                  <c:v>-5.8865523590045463E-3</c:v>
                </c:pt>
                <c:pt idx="83">
                  <c:v>6.7151298300429617E-3</c:v>
                </c:pt>
                <c:pt idx="84">
                  <c:v>-1.2408329787500312E-2</c:v>
                </c:pt>
                <c:pt idx="85">
                  <c:v>-1.3875776948469546E-3</c:v>
                </c:pt>
                <c:pt idx="86">
                  <c:v>-9.0476492608337032E-3</c:v>
                </c:pt>
                <c:pt idx="87">
                  <c:v>-2.7275521180146495E-3</c:v>
                </c:pt>
                <c:pt idx="88">
                  <c:v>-6.4587372719218271E-3</c:v>
                </c:pt>
                <c:pt idx="89">
                  <c:v>-1.4500620347394541E-2</c:v>
                </c:pt>
                <c:pt idx="90">
                  <c:v>-9.9666902719857311E-3</c:v>
                </c:pt>
                <c:pt idx="91">
                  <c:v>-5.8746390441624498E-3</c:v>
                </c:pt>
                <c:pt idx="92">
                  <c:v>-2.7328265634472788E-2</c:v>
                </c:pt>
                <c:pt idx="93">
                  <c:v>-9.7226693333515982E-2</c:v>
                </c:pt>
                <c:pt idx="94">
                  <c:v>3.5294831719826406E-2</c:v>
                </c:pt>
                <c:pt idx="95">
                  <c:v>5.1672333939145221E-2</c:v>
                </c:pt>
                <c:pt idx="96">
                  <c:v>2.8388859080044876E-2</c:v>
                </c:pt>
                <c:pt idx="97">
                  <c:v>1.0766968647725656E-2</c:v>
                </c:pt>
                <c:pt idx="98">
                  <c:v>2.3825165918080041E-2</c:v>
                </c:pt>
                <c:pt idx="99">
                  <c:v>9.6644928105602268E-3</c:v>
                </c:pt>
                <c:pt idx="100">
                  <c:v>6.2710765239948115E-3</c:v>
                </c:pt>
                <c:pt idx="101">
                  <c:v>2.529532697029652E-2</c:v>
                </c:pt>
                <c:pt idx="102">
                  <c:v>1.1509063937847284E-2</c:v>
                </c:pt>
                <c:pt idx="103">
                  <c:v>7.2084164476178048E-4</c:v>
                </c:pt>
                <c:pt idx="104">
                  <c:v>1.4543060997646533E-2</c:v>
                </c:pt>
                <c:pt idx="105">
                  <c:v>1.6293204228153824E-2</c:v>
                </c:pt>
                <c:pt idx="106">
                  <c:v>1.0057635672687196E-3</c:v>
                </c:pt>
                <c:pt idx="107">
                  <c:v>9.7828048853859581E-3</c:v>
                </c:pt>
                <c:pt idx="108">
                  <c:v>4.123072523177387E-3</c:v>
                </c:pt>
                <c:pt idx="109">
                  <c:v>1.0852795974556156E-2</c:v>
                </c:pt>
                <c:pt idx="110">
                  <c:v>1.5790369635530093E-3</c:v>
                </c:pt>
                <c:pt idx="111">
                  <c:v>3.0241581001723065E-3</c:v>
                </c:pt>
                <c:pt idx="112">
                  <c:v>1.3363172102698344E-2</c:v>
                </c:pt>
                <c:pt idx="113">
                  <c:v>9.5543421227130415E-3</c:v>
                </c:pt>
                <c:pt idx="114">
                  <c:v>8.6014872691134638E-3</c:v>
                </c:pt>
                <c:pt idx="115">
                  <c:v>-3.2674186826130288E-3</c:v>
                </c:pt>
                <c:pt idx="116">
                  <c:v>1.1493338635911713E-2</c:v>
                </c:pt>
                <c:pt idx="117">
                  <c:v>2.409597950999225E-3</c:v>
                </c:pt>
                <c:pt idx="118">
                  <c:v>4.4321919458499334E-3</c:v>
                </c:pt>
                <c:pt idx="119">
                  <c:v>3.8324649388032893E-3</c:v>
                </c:pt>
                <c:pt idx="120">
                  <c:v>1.5060157270277029E-3</c:v>
                </c:pt>
                <c:pt idx="121">
                  <c:v>7.8794335686065608E-4</c:v>
                </c:pt>
                <c:pt idx="122">
                  <c:v>-9.0653034520231986E-3</c:v>
                </c:pt>
                <c:pt idx="123">
                  <c:v>1.068692893472021E-3</c:v>
                </c:pt>
                <c:pt idx="124">
                  <c:v>1.3078909420168349E-3</c:v>
                </c:pt>
              </c:numCache>
            </c:numRef>
          </c:val>
          <c:extLst>
            <c:ext xmlns:c14="http://schemas.microsoft.com/office/drawing/2007/8/2/chart" uri="{6F2FDCE9-48DA-4B69-8628-5D25D57E5C99}">
              <c14:invertSolidFillFmt>
                <c14:spPr xmlns:c14="http://schemas.microsoft.com/office/drawing/2007/8/2/chart">
                  <a:solidFill>
                    <a:srgbClr val="FFFFFF"/>
                  </a:solidFill>
                  <a:ln w="6350">
                    <a:solidFill>
                      <a:schemeClr val="tx1"/>
                    </a:solidFill>
                    <a:prstDash val="solid"/>
                  </a:ln>
                </c14:spPr>
              </c14:invertSolidFillFmt>
            </c:ext>
            <c:ext xmlns:c16="http://schemas.microsoft.com/office/drawing/2014/chart" uri="{C3380CC4-5D6E-409C-BE32-E72D297353CC}">
              <c16:uniqueId val="{00000000-062B-4A3F-9CB9-56DD08977F75}"/>
            </c:ext>
          </c:extLst>
        </c:ser>
        <c:dLbls>
          <c:showLegendKey val="0"/>
          <c:showVal val="0"/>
          <c:showCatName val="0"/>
          <c:showSerName val="0"/>
          <c:showPercent val="0"/>
          <c:showBubbleSize val="0"/>
        </c:dLbls>
        <c:gapWidth val="219"/>
        <c:overlap val="-27"/>
        <c:axId val="504150328"/>
        <c:axId val="504150720"/>
      </c:barChart>
      <c:dateAx>
        <c:axId val="504150328"/>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720"/>
        <c:crosses val="autoZero"/>
        <c:auto val="0"/>
        <c:lblOffset val="100"/>
        <c:baseTimeUnit val="months"/>
        <c:majorUnit val="6"/>
        <c:majorTimeUnit val="months"/>
      </c:dateAx>
      <c:valAx>
        <c:axId val="5041507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328"/>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Table5351415[[#Headers],[New Orders ex Transport]]</c:f>
          <c:strCache>
            <c:ptCount val="1"/>
            <c:pt idx="0">
              <c:v>New Orders ex Transport</c:v>
            </c:pt>
          </c:strCache>
        </c:strRef>
      </c:tx>
      <c:overlay val="0"/>
      <c:spPr>
        <a:noFill/>
        <a:ln>
          <a:noFill/>
          <a:prstDash val="solid"/>
        </a:ln>
      </c:spPr>
    </c:title>
    <c:autoTitleDeleted val="0"/>
    <c:plotArea>
      <c:layout/>
      <c:lineChart>
        <c:grouping val="standard"/>
        <c:varyColors val="0"/>
        <c:ser>
          <c:idx val="0"/>
          <c:order val="0"/>
          <c:tx>
            <c:strRef>
              <c:f>'New Orders ex Transport'!$B$5</c:f>
              <c:strCache>
                <c:ptCount val="1"/>
                <c:pt idx="0">
                  <c:v>New Orders ex Transport</c:v>
                </c:pt>
              </c:strCache>
            </c:strRef>
          </c:tx>
          <c:spPr>
            <a:ln w="28575" cap="rnd">
              <a:solidFill>
                <a:schemeClr val="accent1"/>
              </a:solidFill>
              <a:prstDash val="solid"/>
              <a:round/>
            </a:ln>
          </c:spPr>
          <c:marker>
            <c:symbol val="none"/>
          </c:marker>
          <c:cat>
            <c:numRef>
              <c:f>'New Orders ex Transport'!$A$6:$A$375</c:f>
              <c:numCache>
                <c:formatCode>m/d/yyyy</c:formatCode>
                <c:ptCount val="370"/>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numCache>
            </c:numRef>
          </c:cat>
          <c:val>
            <c:numRef>
              <c:f>'New Orders ex Transport'!$B$6:$B$375</c:f>
              <c:numCache>
                <c:formatCode>#,##0</c:formatCode>
                <c:ptCount val="370"/>
                <c:pt idx="0">
                  <c:v>82931</c:v>
                </c:pt>
                <c:pt idx="1">
                  <c:v>85725</c:v>
                </c:pt>
                <c:pt idx="2">
                  <c:v>86604</c:v>
                </c:pt>
                <c:pt idx="3">
                  <c:v>88340</c:v>
                </c:pt>
                <c:pt idx="4">
                  <c:v>88219</c:v>
                </c:pt>
                <c:pt idx="5">
                  <c:v>87727</c:v>
                </c:pt>
                <c:pt idx="6">
                  <c:v>87497</c:v>
                </c:pt>
                <c:pt idx="7">
                  <c:v>88681</c:v>
                </c:pt>
                <c:pt idx="8">
                  <c:v>87064</c:v>
                </c:pt>
                <c:pt idx="9">
                  <c:v>89497</c:v>
                </c:pt>
                <c:pt idx="10">
                  <c:v>91359</c:v>
                </c:pt>
                <c:pt idx="11">
                  <c:v>91074</c:v>
                </c:pt>
                <c:pt idx="12">
                  <c:v>90448</c:v>
                </c:pt>
                <c:pt idx="13">
                  <c:v>91923</c:v>
                </c:pt>
                <c:pt idx="14">
                  <c:v>91700</c:v>
                </c:pt>
                <c:pt idx="15">
                  <c:v>91493</c:v>
                </c:pt>
                <c:pt idx="16">
                  <c:v>91139</c:v>
                </c:pt>
                <c:pt idx="17">
                  <c:v>92496</c:v>
                </c:pt>
                <c:pt idx="18">
                  <c:v>93424</c:v>
                </c:pt>
                <c:pt idx="19">
                  <c:v>94082</c:v>
                </c:pt>
                <c:pt idx="20">
                  <c:v>96033</c:v>
                </c:pt>
                <c:pt idx="21">
                  <c:v>94450</c:v>
                </c:pt>
                <c:pt idx="22">
                  <c:v>97857</c:v>
                </c:pt>
                <c:pt idx="23">
                  <c:v>97250</c:v>
                </c:pt>
                <c:pt idx="24">
                  <c:v>98720</c:v>
                </c:pt>
                <c:pt idx="25">
                  <c:v>98497</c:v>
                </c:pt>
                <c:pt idx="26">
                  <c:v>101101</c:v>
                </c:pt>
                <c:pt idx="27">
                  <c:v>102623</c:v>
                </c:pt>
                <c:pt idx="28">
                  <c:v>104475</c:v>
                </c:pt>
                <c:pt idx="29">
                  <c:v>104841</c:v>
                </c:pt>
                <c:pt idx="30">
                  <c:v>103904</c:v>
                </c:pt>
                <c:pt idx="31">
                  <c:v>104826</c:v>
                </c:pt>
                <c:pt idx="32">
                  <c:v>107955</c:v>
                </c:pt>
                <c:pt idx="33">
                  <c:v>107142</c:v>
                </c:pt>
                <c:pt idx="34">
                  <c:v>109357</c:v>
                </c:pt>
                <c:pt idx="35">
                  <c:v>111899</c:v>
                </c:pt>
                <c:pt idx="36">
                  <c:v>109484</c:v>
                </c:pt>
                <c:pt idx="37">
                  <c:v>109712</c:v>
                </c:pt>
                <c:pt idx="38">
                  <c:v>110480</c:v>
                </c:pt>
                <c:pt idx="39">
                  <c:v>111794</c:v>
                </c:pt>
                <c:pt idx="40">
                  <c:v>109440</c:v>
                </c:pt>
                <c:pt idx="41">
                  <c:v>108990</c:v>
                </c:pt>
                <c:pt idx="42">
                  <c:v>112316</c:v>
                </c:pt>
                <c:pt idx="43">
                  <c:v>113019</c:v>
                </c:pt>
                <c:pt idx="44">
                  <c:v>115650</c:v>
                </c:pt>
                <c:pt idx="45">
                  <c:v>113473</c:v>
                </c:pt>
                <c:pt idx="46">
                  <c:v>116432</c:v>
                </c:pt>
                <c:pt idx="47">
                  <c:v>112070</c:v>
                </c:pt>
                <c:pt idx="48">
                  <c:v>110398</c:v>
                </c:pt>
                <c:pt idx="49">
                  <c:v>114653</c:v>
                </c:pt>
                <c:pt idx="50">
                  <c:v>113802</c:v>
                </c:pt>
                <c:pt idx="51">
                  <c:v>117175</c:v>
                </c:pt>
                <c:pt idx="52">
                  <c:v>117889</c:v>
                </c:pt>
                <c:pt idx="53">
                  <c:v>116598</c:v>
                </c:pt>
                <c:pt idx="54">
                  <c:v>117708</c:v>
                </c:pt>
                <c:pt idx="55">
                  <c:v>116336</c:v>
                </c:pt>
                <c:pt idx="56">
                  <c:v>119499</c:v>
                </c:pt>
                <c:pt idx="57">
                  <c:v>119569</c:v>
                </c:pt>
                <c:pt idx="58">
                  <c:v>116695</c:v>
                </c:pt>
                <c:pt idx="59">
                  <c:v>118690</c:v>
                </c:pt>
                <c:pt idx="60">
                  <c:v>123490</c:v>
                </c:pt>
                <c:pt idx="61">
                  <c:v>123185</c:v>
                </c:pt>
                <c:pt idx="62">
                  <c:v>125909</c:v>
                </c:pt>
                <c:pt idx="63">
                  <c:v>122860</c:v>
                </c:pt>
                <c:pt idx="64">
                  <c:v>126457</c:v>
                </c:pt>
                <c:pt idx="65">
                  <c:v>128937</c:v>
                </c:pt>
                <c:pt idx="66">
                  <c:v>127817</c:v>
                </c:pt>
                <c:pt idx="67">
                  <c:v>130673</c:v>
                </c:pt>
                <c:pt idx="68">
                  <c:v>127387</c:v>
                </c:pt>
                <c:pt idx="69">
                  <c:v>128586</c:v>
                </c:pt>
                <c:pt idx="70">
                  <c:v>128191</c:v>
                </c:pt>
                <c:pt idx="71">
                  <c:v>127262</c:v>
                </c:pt>
                <c:pt idx="72">
                  <c:v>130630</c:v>
                </c:pt>
                <c:pt idx="73">
                  <c:v>128771</c:v>
                </c:pt>
                <c:pt idx="74">
                  <c:v>126519</c:v>
                </c:pt>
                <c:pt idx="75">
                  <c:v>129740</c:v>
                </c:pt>
                <c:pt idx="76">
                  <c:v>130048</c:v>
                </c:pt>
                <c:pt idx="77">
                  <c:v>126102</c:v>
                </c:pt>
                <c:pt idx="78">
                  <c:v>126589</c:v>
                </c:pt>
                <c:pt idx="79">
                  <c:v>128820</c:v>
                </c:pt>
                <c:pt idx="80">
                  <c:v>125391</c:v>
                </c:pt>
                <c:pt idx="81">
                  <c:v>128102</c:v>
                </c:pt>
                <c:pt idx="82">
                  <c:v>130753</c:v>
                </c:pt>
                <c:pt idx="83">
                  <c:v>127125</c:v>
                </c:pt>
                <c:pt idx="84">
                  <c:v>130143</c:v>
                </c:pt>
                <c:pt idx="85">
                  <c:v>129497</c:v>
                </c:pt>
                <c:pt idx="86">
                  <c:v>130468</c:v>
                </c:pt>
                <c:pt idx="87">
                  <c:v>130627</c:v>
                </c:pt>
                <c:pt idx="88">
                  <c:v>130642</c:v>
                </c:pt>
                <c:pt idx="89">
                  <c:v>134206</c:v>
                </c:pt>
                <c:pt idx="90">
                  <c:v>134061</c:v>
                </c:pt>
                <c:pt idx="91">
                  <c:v>135632</c:v>
                </c:pt>
                <c:pt idx="92">
                  <c:v>137171</c:v>
                </c:pt>
                <c:pt idx="93">
                  <c:v>134658</c:v>
                </c:pt>
                <c:pt idx="94">
                  <c:v>139078</c:v>
                </c:pt>
                <c:pt idx="95">
                  <c:v>139613</c:v>
                </c:pt>
                <c:pt idx="96">
                  <c:v>132425</c:v>
                </c:pt>
                <c:pt idx="97">
                  <c:v>139841</c:v>
                </c:pt>
                <c:pt idx="98">
                  <c:v>141338</c:v>
                </c:pt>
                <c:pt idx="99">
                  <c:v>137890</c:v>
                </c:pt>
                <c:pt idx="100">
                  <c:v>143496</c:v>
                </c:pt>
                <c:pt idx="101">
                  <c:v>137968</c:v>
                </c:pt>
                <c:pt idx="102">
                  <c:v>138633</c:v>
                </c:pt>
                <c:pt idx="103">
                  <c:v>141463</c:v>
                </c:pt>
                <c:pt idx="104">
                  <c:v>137264</c:v>
                </c:pt>
                <c:pt idx="105">
                  <c:v>136045</c:v>
                </c:pt>
                <c:pt idx="106">
                  <c:v>135323</c:v>
                </c:pt>
                <c:pt idx="107">
                  <c:v>131646</c:v>
                </c:pt>
                <c:pt idx="108">
                  <c:v>131335</c:v>
                </c:pt>
                <c:pt idx="109">
                  <c:v>125568</c:v>
                </c:pt>
                <c:pt idx="110">
                  <c:v>120800</c:v>
                </c:pt>
                <c:pt idx="111">
                  <c:v>126158</c:v>
                </c:pt>
                <c:pt idx="112">
                  <c:v>125138</c:v>
                </c:pt>
                <c:pt idx="113">
                  <c:v>121761</c:v>
                </c:pt>
                <c:pt idx="114">
                  <c:v>122061</c:v>
                </c:pt>
                <c:pt idx="115">
                  <c:v>118407</c:v>
                </c:pt>
                <c:pt idx="116">
                  <c:v>115125</c:v>
                </c:pt>
                <c:pt idx="117">
                  <c:v>117164</c:v>
                </c:pt>
                <c:pt idx="118">
                  <c:v>118387</c:v>
                </c:pt>
                <c:pt idx="119">
                  <c:v>113631</c:v>
                </c:pt>
                <c:pt idx="120">
                  <c:v>115732</c:v>
                </c:pt>
                <c:pt idx="121">
                  <c:v>114652</c:v>
                </c:pt>
                <c:pt idx="122">
                  <c:v>118882</c:v>
                </c:pt>
                <c:pt idx="123">
                  <c:v>119944</c:v>
                </c:pt>
                <c:pt idx="124">
                  <c:v>117193</c:v>
                </c:pt>
                <c:pt idx="125">
                  <c:v>116993</c:v>
                </c:pt>
                <c:pt idx="126">
                  <c:v>117043</c:v>
                </c:pt>
                <c:pt idx="127">
                  <c:v>116461</c:v>
                </c:pt>
                <c:pt idx="128">
                  <c:v>116624</c:v>
                </c:pt>
                <c:pt idx="129">
                  <c:v>116947</c:v>
                </c:pt>
                <c:pt idx="130">
                  <c:v>115767</c:v>
                </c:pt>
                <c:pt idx="131">
                  <c:v>115609</c:v>
                </c:pt>
                <c:pt idx="132">
                  <c:v>118098</c:v>
                </c:pt>
                <c:pt idx="133">
                  <c:v>116926</c:v>
                </c:pt>
                <c:pt idx="134">
                  <c:v>115023</c:v>
                </c:pt>
                <c:pt idx="135">
                  <c:v>116303</c:v>
                </c:pt>
                <c:pt idx="136">
                  <c:v>117719</c:v>
                </c:pt>
                <c:pt idx="137">
                  <c:v>118215</c:v>
                </c:pt>
                <c:pt idx="138">
                  <c:v>119931</c:v>
                </c:pt>
                <c:pt idx="139">
                  <c:v>121332</c:v>
                </c:pt>
                <c:pt idx="140">
                  <c:v>125195</c:v>
                </c:pt>
                <c:pt idx="141">
                  <c:v>125148</c:v>
                </c:pt>
                <c:pt idx="142">
                  <c:v>124803</c:v>
                </c:pt>
                <c:pt idx="143">
                  <c:v>123228</c:v>
                </c:pt>
                <c:pt idx="144">
                  <c:v>123810</c:v>
                </c:pt>
                <c:pt idx="145">
                  <c:v>131645</c:v>
                </c:pt>
                <c:pt idx="146">
                  <c:v>127956</c:v>
                </c:pt>
                <c:pt idx="147">
                  <c:v>128782</c:v>
                </c:pt>
                <c:pt idx="148">
                  <c:v>128558</c:v>
                </c:pt>
                <c:pt idx="149">
                  <c:v>127850</c:v>
                </c:pt>
                <c:pt idx="150">
                  <c:v>130447</c:v>
                </c:pt>
                <c:pt idx="151">
                  <c:v>132455</c:v>
                </c:pt>
                <c:pt idx="152">
                  <c:v>132178</c:v>
                </c:pt>
                <c:pt idx="153">
                  <c:v>134122</c:v>
                </c:pt>
                <c:pt idx="154">
                  <c:v>136981</c:v>
                </c:pt>
                <c:pt idx="155">
                  <c:v>137331</c:v>
                </c:pt>
                <c:pt idx="156">
                  <c:v>139138</c:v>
                </c:pt>
                <c:pt idx="157">
                  <c:v>136810</c:v>
                </c:pt>
                <c:pt idx="158">
                  <c:v>137264</c:v>
                </c:pt>
                <c:pt idx="159">
                  <c:v>137358</c:v>
                </c:pt>
                <c:pt idx="160">
                  <c:v>141241</c:v>
                </c:pt>
                <c:pt idx="161">
                  <c:v>135974</c:v>
                </c:pt>
                <c:pt idx="162">
                  <c:v>143073</c:v>
                </c:pt>
                <c:pt idx="163">
                  <c:v>143841</c:v>
                </c:pt>
                <c:pt idx="164">
                  <c:v>145723</c:v>
                </c:pt>
                <c:pt idx="165">
                  <c:v>148043</c:v>
                </c:pt>
                <c:pt idx="166">
                  <c:v>147852</c:v>
                </c:pt>
                <c:pt idx="167">
                  <c:v>150953</c:v>
                </c:pt>
                <c:pt idx="168">
                  <c:v>150818</c:v>
                </c:pt>
                <c:pt idx="169">
                  <c:v>153217</c:v>
                </c:pt>
                <c:pt idx="170">
                  <c:v>151952</c:v>
                </c:pt>
                <c:pt idx="171">
                  <c:v>153734</c:v>
                </c:pt>
                <c:pt idx="172">
                  <c:v>154888</c:v>
                </c:pt>
                <c:pt idx="173">
                  <c:v>153064</c:v>
                </c:pt>
                <c:pt idx="174">
                  <c:v>150575</c:v>
                </c:pt>
                <c:pt idx="175">
                  <c:v>153923</c:v>
                </c:pt>
                <c:pt idx="176">
                  <c:v>153537</c:v>
                </c:pt>
                <c:pt idx="177">
                  <c:v>153502</c:v>
                </c:pt>
                <c:pt idx="178">
                  <c:v>158499</c:v>
                </c:pt>
                <c:pt idx="179">
                  <c:v>153402</c:v>
                </c:pt>
                <c:pt idx="180">
                  <c:v>155151</c:v>
                </c:pt>
                <c:pt idx="181">
                  <c:v>156356</c:v>
                </c:pt>
                <c:pt idx="182">
                  <c:v>159160</c:v>
                </c:pt>
                <c:pt idx="183">
                  <c:v>158536</c:v>
                </c:pt>
                <c:pt idx="184">
                  <c:v>154569</c:v>
                </c:pt>
                <c:pt idx="185">
                  <c:v>156767</c:v>
                </c:pt>
                <c:pt idx="186">
                  <c:v>158130</c:v>
                </c:pt>
                <c:pt idx="187">
                  <c:v>157646</c:v>
                </c:pt>
                <c:pt idx="188">
                  <c:v>159832</c:v>
                </c:pt>
                <c:pt idx="189">
                  <c:v>160074</c:v>
                </c:pt>
                <c:pt idx="190">
                  <c:v>163300</c:v>
                </c:pt>
                <c:pt idx="191">
                  <c:v>164615</c:v>
                </c:pt>
                <c:pt idx="192">
                  <c:v>160985</c:v>
                </c:pt>
                <c:pt idx="193">
                  <c:v>163953</c:v>
                </c:pt>
                <c:pt idx="194">
                  <c:v>167301</c:v>
                </c:pt>
                <c:pt idx="195">
                  <c:v>164561</c:v>
                </c:pt>
                <c:pt idx="196">
                  <c:v>166622</c:v>
                </c:pt>
                <c:pt idx="197">
                  <c:v>162295</c:v>
                </c:pt>
                <c:pt idx="198">
                  <c:v>156865</c:v>
                </c:pt>
                <c:pt idx="199">
                  <c:v>153392</c:v>
                </c:pt>
                <c:pt idx="200">
                  <c:v>141024</c:v>
                </c:pt>
                <c:pt idx="201">
                  <c:v>138472</c:v>
                </c:pt>
                <c:pt idx="202">
                  <c:v>127962</c:v>
                </c:pt>
                <c:pt idx="203">
                  <c:v>114948</c:v>
                </c:pt>
                <c:pt idx="204">
                  <c:v>116595</c:v>
                </c:pt>
                <c:pt idx="205">
                  <c:v>113312</c:v>
                </c:pt>
                <c:pt idx="206">
                  <c:v>110601</c:v>
                </c:pt>
                <c:pt idx="207">
                  <c:v>113080</c:v>
                </c:pt>
                <c:pt idx="208">
                  <c:v>115485</c:v>
                </c:pt>
                <c:pt idx="209">
                  <c:v>117705</c:v>
                </c:pt>
                <c:pt idx="210">
                  <c:v>117142</c:v>
                </c:pt>
                <c:pt idx="211">
                  <c:v>122042</c:v>
                </c:pt>
                <c:pt idx="212">
                  <c:v>122244</c:v>
                </c:pt>
                <c:pt idx="213">
                  <c:v>122532</c:v>
                </c:pt>
                <c:pt idx="214">
                  <c:v>124425</c:v>
                </c:pt>
                <c:pt idx="215">
                  <c:v>127057</c:v>
                </c:pt>
                <c:pt idx="216">
                  <c:v>128810</c:v>
                </c:pt>
                <c:pt idx="217">
                  <c:v>134835</c:v>
                </c:pt>
                <c:pt idx="218">
                  <c:v>131196</c:v>
                </c:pt>
                <c:pt idx="219">
                  <c:v>136881</c:v>
                </c:pt>
                <c:pt idx="220">
                  <c:v>137226</c:v>
                </c:pt>
                <c:pt idx="221">
                  <c:v>134656</c:v>
                </c:pt>
                <c:pt idx="222">
                  <c:v>137093</c:v>
                </c:pt>
                <c:pt idx="223">
                  <c:v>139248</c:v>
                </c:pt>
                <c:pt idx="224">
                  <c:v>134518</c:v>
                </c:pt>
                <c:pt idx="225">
                  <c:v>142450</c:v>
                </c:pt>
                <c:pt idx="226">
                  <c:v>144216</c:v>
                </c:pt>
                <c:pt idx="227">
                  <c:v>143113</c:v>
                </c:pt>
                <c:pt idx="228">
                  <c:v>141061</c:v>
                </c:pt>
                <c:pt idx="229">
                  <c:v>145907</c:v>
                </c:pt>
                <c:pt idx="230">
                  <c:v>143390</c:v>
                </c:pt>
                <c:pt idx="231">
                  <c:v>146454</c:v>
                </c:pt>
                <c:pt idx="232">
                  <c:v>146197</c:v>
                </c:pt>
                <c:pt idx="233">
                  <c:v>147897</c:v>
                </c:pt>
                <c:pt idx="234">
                  <c:v>147496</c:v>
                </c:pt>
                <c:pt idx="235">
                  <c:v>148657</c:v>
                </c:pt>
                <c:pt idx="236">
                  <c:v>151629</c:v>
                </c:pt>
                <c:pt idx="237">
                  <c:v>150443</c:v>
                </c:pt>
                <c:pt idx="238">
                  <c:v>154801</c:v>
                </c:pt>
                <c:pt idx="239">
                  <c:v>151995</c:v>
                </c:pt>
                <c:pt idx="240">
                  <c:v>153841</c:v>
                </c:pt>
                <c:pt idx="241">
                  <c:v>153408</c:v>
                </c:pt>
                <c:pt idx="242">
                  <c:v>151383</c:v>
                </c:pt>
                <c:pt idx="243">
                  <c:v>150820</c:v>
                </c:pt>
                <c:pt idx="244">
                  <c:v>147012</c:v>
                </c:pt>
                <c:pt idx="245">
                  <c:v>146370</c:v>
                </c:pt>
                <c:pt idx="246">
                  <c:v>142809</c:v>
                </c:pt>
                <c:pt idx="247">
                  <c:v>144398</c:v>
                </c:pt>
                <c:pt idx="248">
                  <c:v>147556</c:v>
                </c:pt>
                <c:pt idx="249">
                  <c:v>147575</c:v>
                </c:pt>
                <c:pt idx="250">
                  <c:v>146089</c:v>
                </c:pt>
                <c:pt idx="251">
                  <c:v>151759</c:v>
                </c:pt>
                <c:pt idx="252">
                  <c:v>149375</c:v>
                </c:pt>
                <c:pt idx="253">
                  <c:v>145948</c:v>
                </c:pt>
                <c:pt idx="254">
                  <c:v>149549</c:v>
                </c:pt>
                <c:pt idx="255">
                  <c:v>150337</c:v>
                </c:pt>
                <c:pt idx="256">
                  <c:v>150635</c:v>
                </c:pt>
                <c:pt idx="257">
                  <c:v>148765</c:v>
                </c:pt>
                <c:pt idx="258">
                  <c:v>147563</c:v>
                </c:pt>
                <c:pt idx="259">
                  <c:v>148413</c:v>
                </c:pt>
                <c:pt idx="260">
                  <c:v>148997</c:v>
                </c:pt>
                <c:pt idx="261">
                  <c:v>151251</c:v>
                </c:pt>
                <c:pt idx="262">
                  <c:v>147895</c:v>
                </c:pt>
                <c:pt idx="263">
                  <c:v>150968</c:v>
                </c:pt>
                <c:pt idx="264">
                  <c:v>151089</c:v>
                </c:pt>
                <c:pt idx="265">
                  <c:v>153332</c:v>
                </c:pt>
                <c:pt idx="266">
                  <c:v>151959</c:v>
                </c:pt>
                <c:pt idx="267">
                  <c:v>152127</c:v>
                </c:pt>
                <c:pt idx="268">
                  <c:v>156585</c:v>
                </c:pt>
                <c:pt idx="269">
                  <c:v>153702</c:v>
                </c:pt>
                <c:pt idx="270">
                  <c:v>155211</c:v>
                </c:pt>
                <c:pt idx="271">
                  <c:v>156982</c:v>
                </c:pt>
                <c:pt idx="272">
                  <c:v>152761</c:v>
                </c:pt>
                <c:pt idx="273">
                  <c:v>149271</c:v>
                </c:pt>
                <c:pt idx="274">
                  <c:v>150221</c:v>
                </c:pt>
                <c:pt idx="275">
                  <c:v>147536</c:v>
                </c:pt>
                <c:pt idx="276">
                  <c:v>146440</c:v>
                </c:pt>
                <c:pt idx="277">
                  <c:v>147112</c:v>
                </c:pt>
                <c:pt idx="278">
                  <c:v>146593</c:v>
                </c:pt>
                <c:pt idx="279">
                  <c:v>144774</c:v>
                </c:pt>
                <c:pt idx="280">
                  <c:v>147815</c:v>
                </c:pt>
                <c:pt idx="281">
                  <c:v>146096</c:v>
                </c:pt>
                <c:pt idx="282">
                  <c:v>146193</c:v>
                </c:pt>
                <c:pt idx="283">
                  <c:v>145929</c:v>
                </c:pt>
                <c:pt idx="284">
                  <c:v>144418</c:v>
                </c:pt>
                <c:pt idx="285">
                  <c:v>143766</c:v>
                </c:pt>
                <c:pt idx="286">
                  <c:v>141875</c:v>
                </c:pt>
                <c:pt idx="287">
                  <c:v>144186</c:v>
                </c:pt>
                <c:pt idx="288">
                  <c:v>142597</c:v>
                </c:pt>
                <c:pt idx="289">
                  <c:v>141252</c:v>
                </c:pt>
                <c:pt idx="290">
                  <c:v>142498</c:v>
                </c:pt>
                <c:pt idx="291">
                  <c:v>141585</c:v>
                </c:pt>
                <c:pt idx="292">
                  <c:v>140522</c:v>
                </c:pt>
                <c:pt idx="293">
                  <c:v>141800</c:v>
                </c:pt>
                <c:pt idx="294">
                  <c:v>142038</c:v>
                </c:pt>
                <c:pt idx="295">
                  <c:v>140922</c:v>
                </c:pt>
                <c:pt idx="296">
                  <c:v>142058</c:v>
                </c:pt>
                <c:pt idx="297">
                  <c:v>142414</c:v>
                </c:pt>
                <c:pt idx="298">
                  <c:v>142533</c:v>
                </c:pt>
                <c:pt idx="299">
                  <c:v>145178</c:v>
                </c:pt>
                <c:pt idx="300">
                  <c:v>145214</c:v>
                </c:pt>
                <c:pt idx="301">
                  <c:v>146824</c:v>
                </c:pt>
                <c:pt idx="302">
                  <c:v>146180</c:v>
                </c:pt>
                <c:pt idx="303">
                  <c:v>147376</c:v>
                </c:pt>
                <c:pt idx="304">
                  <c:v>145833</c:v>
                </c:pt>
                <c:pt idx="305">
                  <c:v>147843</c:v>
                </c:pt>
                <c:pt idx="306">
                  <c:v>148854</c:v>
                </c:pt>
                <c:pt idx="307">
                  <c:v>150371</c:v>
                </c:pt>
                <c:pt idx="308">
                  <c:v>153146</c:v>
                </c:pt>
                <c:pt idx="309">
                  <c:v>153298</c:v>
                </c:pt>
                <c:pt idx="310">
                  <c:v>154340</c:v>
                </c:pt>
                <c:pt idx="311">
                  <c:v>154535</c:v>
                </c:pt>
                <c:pt idx="312">
                  <c:v>157084</c:v>
                </c:pt>
                <c:pt idx="313">
                  <c:v>157483</c:v>
                </c:pt>
                <c:pt idx="314">
                  <c:v>159991</c:v>
                </c:pt>
                <c:pt idx="315">
                  <c:v>161607</c:v>
                </c:pt>
                <c:pt idx="316">
                  <c:v>161931</c:v>
                </c:pt>
                <c:pt idx="317">
                  <c:v>162893</c:v>
                </c:pt>
                <c:pt idx="318">
                  <c:v>160822</c:v>
                </c:pt>
                <c:pt idx="319">
                  <c:v>160120</c:v>
                </c:pt>
                <c:pt idx="320">
                  <c:v>161994</c:v>
                </c:pt>
                <c:pt idx="321">
                  <c:v>158377</c:v>
                </c:pt>
                <c:pt idx="322">
                  <c:v>159589</c:v>
                </c:pt>
                <c:pt idx="323">
                  <c:v>159378</c:v>
                </c:pt>
                <c:pt idx="324">
                  <c:v>159319</c:v>
                </c:pt>
                <c:pt idx="325">
                  <c:v>158787</c:v>
                </c:pt>
                <c:pt idx="326">
                  <c:v>159686</c:v>
                </c:pt>
                <c:pt idx="327">
                  <c:v>158746</c:v>
                </c:pt>
                <c:pt idx="328">
                  <c:v>159812</c:v>
                </c:pt>
                <c:pt idx="329">
                  <c:v>157829</c:v>
                </c:pt>
                <c:pt idx="330">
                  <c:v>157610</c:v>
                </c:pt>
                <c:pt idx="331">
                  <c:v>156184</c:v>
                </c:pt>
                <c:pt idx="332">
                  <c:v>155758</c:v>
                </c:pt>
                <c:pt idx="333">
                  <c:v>154752</c:v>
                </c:pt>
                <c:pt idx="334">
                  <c:v>152508</c:v>
                </c:pt>
                <c:pt idx="335">
                  <c:v>150988</c:v>
                </c:pt>
                <c:pt idx="336">
                  <c:v>150101</c:v>
                </c:pt>
                <c:pt idx="337">
                  <c:v>145999</c:v>
                </c:pt>
                <c:pt idx="338">
                  <c:v>131804</c:v>
                </c:pt>
                <c:pt idx="339">
                  <c:v>136456</c:v>
                </c:pt>
                <c:pt idx="340">
                  <c:v>143507</c:v>
                </c:pt>
                <c:pt idx="341">
                  <c:v>147581</c:v>
                </c:pt>
                <c:pt idx="342">
                  <c:v>149170</c:v>
                </c:pt>
                <c:pt idx="343">
                  <c:v>152724</c:v>
                </c:pt>
                <c:pt idx="344">
                  <c:v>154200</c:v>
                </c:pt>
                <c:pt idx="345">
                  <c:v>155167</c:v>
                </c:pt>
                <c:pt idx="346">
                  <c:v>159092</c:v>
                </c:pt>
                <c:pt idx="347">
                  <c:v>160923</c:v>
                </c:pt>
                <c:pt idx="348">
                  <c:v>161039</c:v>
                </c:pt>
                <c:pt idx="349">
                  <c:v>163381</c:v>
                </c:pt>
                <c:pt idx="350">
                  <c:v>166043</c:v>
                </c:pt>
                <c:pt idx="351">
                  <c:v>166210</c:v>
                </c:pt>
                <c:pt idx="352">
                  <c:v>167836</c:v>
                </c:pt>
                <c:pt idx="353">
                  <c:v>168528</c:v>
                </c:pt>
                <c:pt idx="354">
                  <c:v>170357</c:v>
                </c:pt>
                <c:pt idx="355">
                  <c:v>170626</c:v>
                </c:pt>
                <c:pt idx="356">
                  <c:v>171142</c:v>
                </c:pt>
                <c:pt idx="357">
                  <c:v>173429</c:v>
                </c:pt>
                <c:pt idx="358">
                  <c:v>175086</c:v>
                </c:pt>
                <c:pt idx="359">
                  <c:v>176592</c:v>
                </c:pt>
                <c:pt idx="360">
                  <c:v>176015</c:v>
                </c:pt>
                <c:pt idx="361">
                  <c:v>178038</c:v>
                </c:pt>
                <c:pt idx="362">
                  <c:v>178467</c:v>
                </c:pt>
                <c:pt idx="363">
                  <c:v>179258</c:v>
                </c:pt>
                <c:pt idx="364">
                  <c:v>179945</c:v>
                </c:pt>
                <c:pt idx="365">
                  <c:v>180216</c:v>
                </c:pt>
                <c:pt idx="366">
                  <c:v>180358</c:v>
                </c:pt>
                <c:pt idx="367">
                  <c:v>178723</c:v>
                </c:pt>
                <c:pt idx="368">
                  <c:v>178914</c:v>
                </c:pt>
                <c:pt idx="369">
                  <c:v>179148</c:v>
                </c:pt>
              </c:numCache>
            </c:numRef>
          </c:val>
          <c:smooth val="0"/>
          <c:extLst>
            <c:ext xmlns:c16="http://schemas.microsoft.com/office/drawing/2014/chart" uri="{C3380CC4-5D6E-409C-BE32-E72D297353CC}">
              <c16:uniqueId val="{00000000-7C5D-4653-BB97-018A7E8AA2D1}"/>
            </c:ext>
          </c:extLst>
        </c:ser>
        <c:dLbls>
          <c:showLegendKey val="0"/>
          <c:showVal val="0"/>
          <c:showCatName val="0"/>
          <c:showSerName val="0"/>
          <c:showPercent val="0"/>
          <c:showBubbleSize val="0"/>
        </c:dLbls>
        <c:smooth val="0"/>
        <c:axId val="504145232"/>
        <c:axId val="504145624"/>
      </c:lineChart>
      <c:dateAx>
        <c:axId val="504145232"/>
        <c:scaling>
          <c:orientation val="minMax"/>
          <c:min val="3981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10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Table535141516[[#Headers],[Durable Goods]]</c:f>
          <c:strCache>
            <c:ptCount val="1"/>
            <c:pt idx="0">
              <c:v>Durable Goods</c:v>
            </c:pt>
          </c:strCache>
        </c:strRef>
      </c:tx>
      <c:overlay val="0"/>
      <c:spPr>
        <a:noFill/>
        <a:ln>
          <a:noFill/>
          <a:prstDash val="solid"/>
        </a:ln>
      </c:spPr>
    </c:title>
    <c:autoTitleDeleted val="0"/>
    <c:plotArea>
      <c:layout/>
      <c:lineChart>
        <c:grouping val="standard"/>
        <c:varyColors val="0"/>
        <c:ser>
          <c:idx val="0"/>
          <c:order val="0"/>
          <c:tx>
            <c:strRef>
              <c:f>Other!$B$1</c:f>
              <c:strCache>
                <c:ptCount val="1"/>
                <c:pt idx="0">
                  <c:v>New Orders - Manufacturing</c:v>
                </c:pt>
              </c:strCache>
            </c:strRef>
          </c:tx>
          <c:spPr>
            <a:ln w="28575" cap="rnd">
              <a:solidFill>
                <a:schemeClr val="accent1"/>
              </a:solidFill>
              <a:prstDash val="solid"/>
              <a:round/>
            </a:ln>
          </c:spPr>
          <c:marker>
            <c:symbol val="none"/>
          </c:marker>
          <c:cat>
            <c:numRef>
              <c:f>Other!$A$6:$A$377</c:f>
              <c:numCache>
                <c:formatCode>m/d/yyyy</c:formatCode>
                <c:ptCount val="372"/>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numCache>
            </c:numRef>
          </c:cat>
          <c:val>
            <c:numRef>
              <c:f>Other!$B$6:$B$377</c:f>
              <c:numCache>
                <c:formatCode>#,##0</c:formatCode>
                <c:ptCount val="372"/>
                <c:pt idx="0">
                  <c:v>82864</c:v>
                </c:pt>
                <c:pt idx="1">
                  <c:v>86424</c:v>
                </c:pt>
                <c:pt idx="2">
                  <c:v>90805</c:v>
                </c:pt>
                <c:pt idx="3">
                  <c:v>91120</c:v>
                </c:pt>
                <c:pt idx="4">
                  <c:v>88649</c:v>
                </c:pt>
                <c:pt idx="5">
                  <c:v>87342</c:v>
                </c:pt>
                <c:pt idx="6">
                  <c:v>85995</c:v>
                </c:pt>
                <c:pt idx="7">
                  <c:v>86668</c:v>
                </c:pt>
                <c:pt idx="8">
                  <c:v>93051</c:v>
                </c:pt>
                <c:pt idx="9">
                  <c:v>87613</c:v>
                </c:pt>
                <c:pt idx="10">
                  <c:v>91480</c:v>
                </c:pt>
                <c:pt idx="11">
                  <c:v>85937</c:v>
                </c:pt>
                <c:pt idx="12">
                  <c:v>92361</c:v>
                </c:pt>
                <c:pt idx="13">
                  <c:v>90529</c:v>
                </c:pt>
                <c:pt idx="14">
                  <c:v>91131</c:v>
                </c:pt>
                <c:pt idx="15">
                  <c:v>89831</c:v>
                </c:pt>
                <c:pt idx="16">
                  <c:v>93493</c:v>
                </c:pt>
                <c:pt idx="17">
                  <c:v>92023</c:v>
                </c:pt>
                <c:pt idx="18">
                  <c:v>94226</c:v>
                </c:pt>
                <c:pt idx="19">
                  <c:v>90477</c:v>
                </c:pt>
                <c:pt idx="20">
                  <c:v>94772</c:v>
                </c:pt>
                <c:pt idx="21">
                  <c:v>92009</c:v>
                </c:pt>
                <c:pt idx="22">
                  <c:v>94944</c:v>
                </c:pt>
                <c:pt idx="23">
                  <c:v>98647</c:v>
                </c:pt>
                <c:pt idx="24">
                  <c:v>97358</c:v>
                </c:pt>
                <c:pt idx="25">
                  <c:v>96706</c:v>
                </c:pt>
                <c:pt idx="26">
                  <c:v>99591</c:v>
                </c:pt>
                <c:pt idx="27">
                  <c:v>101522</c:v>
                </c:pt>
                <c:pt idx="28">
                  <c:v>103928</c:v>
                </c:pt>
                <c:pt idx="29">
                  <c:v>103538</c:v>
                </c:pt>
                <c:pt idx="30">
                  <c:v>103907</c:v>
                </c:pt>
                <c:pt idx="31">
                  <c:v>104150</c:v>
                </c:pt>
                <c:pt idx="32">
                  <c:v>107573</c:v>
                </c:pt>
                <c:pt idx="33">
                  <c:v>107130</c:v>
                </c:pt>
                <c:pt idx="34">
                  <c:v>108697</c:v>
                </c:pt>
                <c:pt idx="35">
                  <c:v>107635</c:v>
                </c:pt>
                <c:pt idx="36">
                  <c:v>110588</c:v>
                </c:pt>
                <c:pt idx="37">
                  <c:v>110175</c:v>
                </c:pt>
                <c:pt idx="38">
                  <c:v>108608</c:v>
                </c:pt>
                <c:pt idx="39">
                  <c:v>111257</c:v>
                </c:pt>
                <c:pt idx="40">
                  <c:v>108462</c:v>
                </c:pt>
                <c:pt idx="41">
                  <c:v>107267</c:v>
                </c:pt>
                <c:pt idx="42">
                  <c:v>112114</c:v>
                </c:pt>
                <c:pt idx="43">
                  <c:v>116838</c:v>
                </c:pt>
                <c:pt idx="44">
                  <c:v>112366</c:v>
                </c:pt>
                <c:pt idx="45">
                  <c:v>113784</c:v>
                </c:pt>
                <c:pt idx="46">
                  <c:v>119874</c:v>
                </c:pt>
                <c:pt idx="47">
                  <c:v>114288</c:v>
                </c:pt>
                <c:pt idx="48">
                  <c:v>109375</c:v>
                </c:pt>
                <c:pt idx="49">
                  <c:v>122567</c:v>
                </c:pt>
                <c:pt idx="50">
                  <c:v>112882</c:v>
                </c:pt>
                <c:pt idx="51">
                  <c:v>119613</c:v>
                </c:pt>
                <c:pt idx="52">
                  <c:v>118924</c:v>
                </c:pt>
                <c:pt idx="53">
                  <c:v>117941</c:v>
                </c:pt>
                <c:pt idx="54">
                  <c:v>112297</c:v>
                </c:pt>
                <c:pt idx="55">
                  <c:v>118848</c:v>
                </c:pt>
                <c:pt idx="56">
                  <c:v>119956</c:v>
                </c:pt>
                <c:pt idx="57">
                  <c:v>124724</c:v>
                </c:pt>
                <c:pt idx="58">
                  <c:v>117137</c:v>
                </c:pt>
                <c:pt idx="59">
                  <c:v>114626</c:v>
                </c:pt>
                <c:pt idx="60">
                  <c:v>122876</c:v>
                </c:pt>
                <c:pt idx="61">
                  <c:v>119668</c:v>
                </c:pt>
                <c:pt idx="62">
                  <c:v>125615</c:v>
                </c:pt>
                <c:pt idx="63">
                  <c:v>120972</c:v>
                </c:pt>
                <c:pt idx="64">
                  <c:v>126186</c:v>
                </c:pt>
                <c:pt idx="65">
                  <c:v>127337</c:v>
                </c:pt>
                <c:pt idx="66">
                  <c:v>127334</c:v>
                </c:pt>
                <c:pt idx="67">
                  <c:v>128051</c:v>
                </c:pt>
                <c:pt idx="68">
                  <c:v>128062</c:v>
                </c:pt>
                <c:pt idx="69">
                  <c:v>139761</c:v>
                </c:pt>
                <c:pt idx="70">
                  <c:v>122759</c:v>
                </c:pt>
                <c:pt idx="71">
                  <c:v>125004</c:v>
                </c:pt>
                <c:pt idx="72">
                  <c:v>129378</c:v>
                </c:pt>
                <c:pt idx="73">
                  <c:v>124823</c:v>
                </c:pt>
                <c:pt idx="74">
                  <c:v>129329</c:v>
                </c:pt>
                <c:pt idx="75">
                  <c:v>128089</c:v>
                </c:pt>
                <c:pt idx="76">
                  <c:v>123912</c:v>
                </c:pt>
                <c:pt idx="77">
                  <c:v>122090</c:v>
                </c:pt>
                <c:pt idx="78">
                  <c:v>127658</c:v>
                </c:pt>
                <c:pt idx="79">
                  <c:v>129434</c:v>
                </c:pt>
                <c:pt idx="80">
                  <c:v>125301</c:v>
                </c:pt>
                <c:pt idx="81">
                  <c:v>128665</c:v>
                </c:pt>
                <c:pt idx="82">
                  <c:v>124510</c:v>
                </c:pt>
                <c:pt idx="83">
                  <c:v>132005</c:v>
                </c:pt>
                <c:pt idx="84">
                  <c:v>129227</c:v>
                </c:pt>
                <c:pt idx="85">
                  <c:v>129753</c:v>
                </c:pt>
                <c:pt idx="86">
                  <c:v>128317</c:v>
                </c:pt>
                <c:pt idx="87">
                  <c:v>130315</c:v>
                </c:pt>
                <c:pt idx="88">
                  <c:v>127679</c:v>
                </c:pt>
                <c:pt idx="89">
                  <c:v>134617</c:v>
                </c:pt>
                <c:pt idx="90">
                  <c:v>133941</c:v>
                </c:pt>
                <c:pt idx="91">
                  <c:v>133870</c:v>
                </c:pt>
                <c:pt idx="92">
                  <c:v>139509</c:v>
                </c:pt>
                <c:pt idx="93">
                  <c:v>131897</c:v>
                </c:pt>
                <c:pt idx="94">
                  <c:v>141778</c:v>
                </c:pt>
                <c:pt idx="95">
                  <c:v>144856</c:v>
                </c:pt>
                <c:pt idx="96">
                  <c:v>130377</c:v>
                </c:pt>
                <c:pt idx="97">
                  <c:v>137161</c:v>
                </c:pt>
                <c:pt idx="98">
                  <c:v>139928</c:v>
                </c:pt>
                <c:pt idx="99">
                  <c:v>135833</c:v>
                </c:pt>
                <c:pt idx="100">
                  <c:v>165607</c:v>
                </c:pt>
                <c:pt idx="101">
                  <c:v>137103</c:v>
                </c:pt>
                <c:pt idx="102">
                  <c:v>138771</c:v>
                </c:pt>
                <c:pt idx="103">
                  <c:v>145618</c:v>
                </c:pt>
                <c:pt idx="104">
                  <c:v>134557</c:v>
                </c:pt>
                <c:pt idx="105">
                  <c:v>139206</c:v>
                </c:pt>
                <c:pt idx="106">
                  <c:v>137810</c:v>
                </c:pt>
                <c:pt idx="107">
                  <c:v>129101</c:v>
                </c:pt>
                <c:pt idx="108">
                  <c:v>130032</c:v>
                </c:pt>
                <c:pt idx="109">
                  <c:v>131606</c:v>
                </c:pt>
                <c:pt idx="110">
                  <c:v>123025</c:v>
                </c:pt>
                <c:pt idx="111">
                  <c:v>126796</c:v>
                </c:pt>
                <c:pt idx="112">
                  <c:v>126051</c:v>
                </c:pt>
                <c:pt idx="113">
                  <c:v>120027</c:v>
                </c:pt>
                <c:pt idx="114">
                  <c:v>120481</c:v>
                </c:pt>
                <c:pt idx="115">
                  <c:v>115746</c:v>
                </c:pt>
                <c:pt idx="116">
                  <c:v>122937</c:v>
                </c:pt>
                <c:pt idx="117">
                  <c:v>114240</c:v>
                </c:pt>
                <c:pt idx="118">
                  <c:v>114782</c:v>
                </c:pt>
                <c:pt idx="119">
                  <c:v>112406</c:v>
                </c:pt>
                <c:pt idx="120">
                  <c:v>122233</c:v>
                </c:pt>
                <c:pt idx="121">
                  <c:v>118940</c:v>
                </c:pt>
                <c:pt idx="122">
                  <c:v>118664</c:v>
                </c:pt>
                <c:pt idx="123">
                  <c:v>119235</c:v>
                </c:pt>
                <c:pt idx="124">
                  <c:v>113950</c:v>
                </c:pt>
                <c:pt idx="125">
                  <c:v>120438</c:v>
                </c:pt>
                <c:pt idx="126">
                  <c:v>122932</c:v>
                </c:pt>
                <c:pt idx="127">
                  <c:v>115066</c:v>
                </c:pt>
                <c:pt idx="128">
                  <c:v>115754</c:v>
                </c:pt>
                <c:pt idx="129">
                  <c:v>117084</c:v>
                </c:pt>
                <c:pt idx="130">
                  <c:v>112831</c:v>
                </c:pt>
                <c:pt idx="131">
                  <c:v>116048</c:v>
                </c:pt>
                <c:pt idx="132">
                  <c:v>121274</c:v>
                </c:pt>
                <c:pt idx="133">
                  <c:v>119034</c:v>
                </c:pt>
                <c:pt idx="134">
                  <c:v>117051</c:v>
                </c:pt>
                <c:pt idx="135">
                  <c:v>118306</c:v>
                </c:pt>
                <c:pt idx="136">
                  <c:v>119931</c:v>
                </c:pt>
                <c:pt idx="137">
                  <c:v>117404</c:v>
                </c:pt>
                <c:pt idx="138">
                  <c:v>119296</c:v>
                </c:pt>
                <c:pt idx="139">
                  <c:v>121830</c:v>
                </c:pt>
                <c:pt idx="140">
                  <c:v>127269</c:v>
                </c:pt>
                <c:pt idx="141">
                  <c:v>125879</c:v>
                </c:pt>
                <c:pt idx="142">
                  <c:v>126251</c:v>
                </c:pt>
                <c:pt idx="143">
                  <c:v>124471</c:v>
                </c:pt>
                <c:pt idx="144">
                  <c:v>126174</c:v>
                </c:pt>
                <c:pt idx="145">
                  <c:v>132836</c:v>
                </c:pt>
                <c:pt idx="146">
                  <c:v>127885</c:v>
                </c:pt>
                <c:pt idx="147">
                  <c:v>128297</c:v>
                </c:pt>
                <c:pt idx="148">
                  <c:v>129908</c:v>
                </c:pt>
                <c:pt idx="149">
                  <c:v>134104</c:v>
                </c:pt>
                <c:pt idx="150">
                  <c:v>127182</c:v>
                </c:pt>
                <c:pt idx="151">
                  <c:v>132132</c:v>
                </c:pt>
                <c:pt idx="152">
                  <c:v>129177</c:v>
                </c:pt>
                <c:pt idx="153">
                  <c:v>135582</c:v>
                </c:pt>
                <c:pt idx="154">
                  <c:v>135216</c:v>
                </c:pt>
                <c:pt idx="155">
                  <c:v>137025</c:v>
                </c:pt>
                <c:pt idx="156">
                  <c:v>138279</c:v>
                </c:pt>
                <c:pt idx="157">
                  <c:v>130044</c:v>
                </c:pt>
                <c:pt idx="158">
                  <c:v>135587</c:v>
                </c:pt>
                <c:pt idx="159">
                  <c:v>148200</c:v>
                </c:pt>
                <c:pt idx="160">
                  <c:v>151407</c:v>
                </c:pt>
                <c:pt idx="161">
                  <c:v>136292</c:v>
                </c:pt>
                <c:pt idx="162">
                  <c:v>145606</c:v>
                </c:pt>
                <c:pt idx="163">
                  <c:v>142335</c:v>
                </c:pt>
                <c:pt idx="164">
                  <c:v>148450</c:v>
                </c:pt>
                <c:pt idx="165">
                  <c:v>160126</c:v>
                </c:pt>
                <c:pt idx="166">
                  <c:v>159419</c:v>
                </c:pt>
                <c:pt idx="167">
                  <c:v>146814</c:v>
                </c:pt>
                <c:pt idx="168">
                  <c:v>156798</c:v>
                </c:pt>
                <c:pt idx="169">
                  <c:v>163893</c:v>
                </c:pt>
                <c:pt idx="170">
                  <c:v>154052</c:v>
                </c:pt>
                <c:pt idx="171">
                  <c:v>153173</c:v>
                </c:pt>
                <c:pt idx="172">
                  <c:v>158892</c:v>
                </c:pt>
                <c:pt idx="173">
                  <c:v>152012</c:v>
                </c:pt>
                <c:pt idx="174">
                  <c:v>150763</c:v>
                </c:pt>
                <c:pt idx="175">
                  <c:v>176642</c:v>
                </c:pt>
                <c:pt idx="176">
                  <c:v>158286</c:v>
                </c:pt>
                <c:pt idx="177">
                  <c:v>165969</c:v>
                </c:pt>
                <c:pt idx="178">
                  <c:v>166342</c:v>
                </c:pt>
                <c:pt idx="179">
                  <c:v>163751</c:v>
                </c:pt>
                <c:pt idx="180">
                  <c:v>161671</c:v>
                </c:pt>
                <c:pt idx="181">
                  <c:v>169322</c:v>
                </c:pt>
                <c:pt idx="182">
                  <c:v>173518</c:v>
                </c:pt>
                <c:pt idx="183">
                  <c:v>168025</c:v>
                </c:pt>
                <c:pt idx="184">
                  <c:v>168611</c:v>
                </c:pt>
                <c:pt idx="185">
                  <c:v>172388</c:v>
                </c:pt>
                <c:pt idx="186">
                  <c:v>174874</c:v>
                </c:pt>
                <c:pt idx="187">
                  <c:v>167739</c:v>
                </c:pt>
                <c:pt idx="188">
                  <c:v>171492</c:v>
                </c:pt>
                <c:pt idx="189">
                  <c:v>168015</c:v>
                </c:pt>
                <c:pt idx="190">
                  <c:v>186161</c:v>
                </c:pt>
                <c:pt idx="191">
                  <c:v>180937</c:v>
                </c:pt>
                <c:pt idx="192">
                  <c:v>177311</c:v>
                </c:pt>
                <c:pt idx="193">
                  <c:v>179954</c:v>
                </c:pt>
                <c:pt idx="194">
                  <c:v>175116</c:v>
                </c:pt>
                <c:pt idx="195">
                  <c:v>172674</c:v>
                </c:pt>
                <c:pt idx="196">
                  <c:v>174406</c:v>
                </c:pt>
                <c:pt idx="197">
                  <c:v>167115</c:v>
                </c:pt>
                <c:pt idx="198">
                  <c:v>161832</c:v>
                </c:pt>
                <c:pt idx="199">
                  <c:v>162265</c:v>
                </c:pt>
                <c:pt idx="200">
                  <c:v>141208</c:v>
                </c:pt>
                <c:pt idx="201">
                  <c:v>132791</c:v>
                </c:pt>
                <c:pt idx="202">
                  <c:v>127770</c:v>
                </c:pt>
                <c:pt idx="203">
                  <c:v>108060</c:v>
                </c:pt>
                <c:pt idx="204">
                  <c:v>105786</c:v>
                </c:pt>
                <c:pt idx="205">
                  <c:v>103874</c:v>
                </c:pt>
                <c:pt idx="206">
                  <c:v>105714</c:v>
                </c:pt>
                <c:pt idx="207">
                  <c:v>108460</c:v>
                </c:pt>
                <c:pt idx="208">
                  <c:v>107285</c:v>
                </c:pt>
                <c:pt idx="209">
                  <c:v>111891</c:v>
                </c:pt>
                <c:pt idx="210">
                  <c:v>114790</c:v>
                </c:pt>
                <c:pt idx="211">
                  <c:v>114607</c:v>
                </c:pt>
                <c:pt idx="212">
                  <c:v>117510</c:v>
                </c:pt>
                <c:pt idx="213">
                  <c:v>115535</c:v>
                </c:pt>
                <c:pt idx="214">
                  <c:v>115220</c:v>
                </c:pt>
                <c:pt idx="215">
                  <c:v>134068</c:v>
                </c:pt>
                <c:pt idx="216">
                  <c:v>135156</c:v>
                </c:pt>
                <c:pt idx="217">
                  <c:v>135916</c:v>
                </c:pt>
                <c:pt idx="218">
                  <c:v>135504</c:v>
                </c:pt>
                <c:pt idx="219">
                  <c:v>141747</c:v>
                </c:pt>
                <c:pt idx="220">
                  <c:v>137251</c:v>
                </c:pt>
                <c:pt idx="221">
                  <c:v>137391</c:v>
                </c:pt>
                <c:pt idx="222">
                  <c:v>141407</c:v>
                </c:pt>
                <c:pt idx="223">
                  <c:v>151095</c:v>
                </c:pt>
                <c:pt idx="224">
                  <c:v>142783</c:v>
                </c:pt>
                <c:pt idx="225">
                  <c:v>147906</c:v>
                </c:pt>
                <c:pt idx="226">
                  <c:v>143125</c:v>
                </c:pt>
                <c:pt idx="227">
                  <c:v>152922</c:v>
                </c:pt>
                <c:pt idx="228">
                  <c:v>146046</c:v>
                </c:pt>
                <c:pt idx="229">
                  <c:v>160009</c:v>
                </c:pt>
                <c:pt idx="230">
                  <c:v>150734</c:v>
                </c:pt>
                <c:pt idx="231">
                  <c:v>157155</c:v>
                </c:pt>
                <c:pt idx="232">
                  <c:v>150694</c:v>
                </c:pt>
                <c:pt idx="233">
                  <c:v>153291</c:v>
                </c:pt>
                <c:pt idx="234">
                  <c:v>164357</c:v>
                </c:pt>
                <c:pt idx="235">
                  <c:v>153647</c:v>
                </c:pt>
                <c:pt idx="236">
                  <c:v>157127</c:v>
                </c:pt>
                <c:pt idx="237">
                  <c:v>162380</c:v>
                </c:pt>
                <c:pt idx="238">
                  <c:v>170486</c:v>
                </c:pt>
                <c:pt idx="239">
                  <c:v>170545</c:v>
                </c:pt>
                <c:pt idx="240">
                  <c:v>172690</c:v>
                </c:pt>
                <c:pt idx="241">
                  <c:v>164744</c:v>
                </c:pt>
                <c:pt idx="242">
                  <c:v>161383</c:v>
                </c:pt>
                <c:pt idx="243">
                  <c:v>162004</c:v>
                </c:pt>
                <c:pt idx="244">
                  <c:v>162286</c:v>
                </c:pt>
                <c:pt idx="245">
                  <c:v>168204</c:v>
                </c:pt>
                <c:pt idx="246">
                  <c:v>144973</c:v>
                </c:pt>
                <c:pt idx="247">
                  <c:v>161598</c:v>
                </c:pt>
                <c:pt idx="248">
                  <c:v>163841</c:v>
                </c:pt>
                <c:pt idx="249">
                  <c:v>157882</c:v>
                </c:pt>
                <c:pt idx="250">
                  <c:v>173564</c:v>
                </c:pt>
                <c:pt idx="251">
                  <c:v>164003</c:v>
                </c:pt>
                <c:pt idx="252">
                  <c:v>175371</c:v>
                </c:pt>
                <c:pt idx="253">
                  <c:v>155905</c:v>
                </c:pt>
                <c:pt idx="254">
                  <c:v>166628</c:v>
                </c:pt>
                <c:pt idx="255">
                  <c:v>175118</c:v>
                </c:pt>
                <c:pt idx="256">
                  <c:v>187849</c:v>
                </c:pt>
                <c:pt idx="257">
                  <c:v>164784</c:v>
                </c:pt>
                <c:pt idx="258">
                  <c:v>164894</c:v>
                </c:pt>
                <c:pt idx="259">
                  <c:v>178351</c:v>
                </c:pt>
                <c:pt idx="260">
                  <c:v>171007</c:v>
                </c:pt>
                <c:pt idx="261">
                  <c:v>176395</c:v>
                </c:pt>
                <c:pt idx="262">
                  <c:v>176574</c:v>
                </c:pt>
                <c:pt idx="263">
                  <c:v>163285</c:v>
                </c:pt>
                <c:pt idx="264">
                  <c:v>171097</c:v>
                </c:pt>
                <c:pt idx="265">
                  <c:v>170947</c:v>
                </c:pt>
                <c:pt idx="266">
                  <c:v>175956</c:v>
                </c:pt>
                <c:pt idx="267">
                  <c:v>169649</c:v>
                </c:pt>
                <c:pt idx="268">
                  <c:v>177769</c:v>
                </c:pt>
                <c:pt idx="269">
                  <c:v>238245</c:v>
                </c:pt>
                <c:pt idx="270">
                  <c:v>172226</c:v>
                </c:pt>
                <c:pt idx="271">
                  <c:v>172718</c:v>
                </c:pt>
                <c:pt idx="272">
                  <c:v>167104</c:v>
                </c:pt>
                <c:pt idx="273">
                  <c:v>162866</c:v>
                </c:pt>
                <c:pt idx="274">
                  <c:v>160616</c:v>
                </c:pt>
                <c:pt idx="275">
                  <c:v>161061</c:v>
                </c:pt>
                <c:pt idx="276">
                  <c:v>155869</c:v>
                </c:pt>
                <c:pt idx="277">
                  <c:v>161664</c:v>
                </c:pt>
                <c:pt idx="278">
                  <c:v>159682</c:v>
                </c:pt>
                <c:pt idx="279">
                  <c:v>152625</c:v>
                </c:pt>
                <c:pt idx="280">
                  <c:v>166657</c:v>
                </c:pt>
                <c:pt idx="281">
                  <c:v>163038</c:v>
                </c:pt>
                <c:pt idx="282">
                  <c:v>156470</c:v>
                </c:pt>
                <c:pt idx="283">
                  <c:v>151752</c:v>
                </c:pt>
                <c:pt idx="284">
                  <c:v>160554</c:v>
                </c:pt>
                <c:pt idx="285">
                  <c:v>156779</c:v>
                </c:pt>
                <c:pt idx="286">
                  <c:v>151640</c:v>
                </c:pt>
                <c:pt idx="287">
                  <c:v>160531</c:v>
                </c:pt>
                <c:pt idx="288">
                  <c:v>150402</c:v>
                </c:pt>
                <c:pt idx="289">
                  <c:v>151329</c:v>
                </c:pt>
                <c:pt idx="290">
                  <c:v>162910</c:v>
                </c:pt>
                <c:pt idx="291">
                  <c:v>157751</c:v>
                </c:pt>
                <c:pt idx="292">
                  <c:v>144277</c:v>
                </c:pt>
                <c:pt idx="293">
                  <c:v>153759</c:v>
                </c:pt>
                <c:pt idx="294">
                  <c:v>154680</c:v>
                </c:pt>
                <c:pt idx="295">
                  <c:v>151551</c:v>
                </c:pt>
                <c:pt idx="296">
                  <c:v>170179</c:v>
                </c:pt>
                <c:pt idx="297">
                  <c:v>153082</c:v>
                </c:pt>
                <c:pt idx="298">
                  <c:v>153879</c:v>
                </c:pt>
                <c:pt idx="299">
                  <c:v>153356</c:v>
                </c:pt>
                <c:pt idx="300">
                  <c:v>157903</c:v>
                </c:pt>
                <c:pt idx="301">
                  <c:v>158150</c:v>
                </c:pt>
                <c:pt idx="302">
                  <c:v>159159</c:v>
                </c:pt>
                <c:pt idx="303">
                  <c:v>157793</c:v>
                </c:pt>
                <c:pt idx="304">
                  <c:v>174423</c:v>
                </c:pt>
                <c:pt idx="305">
                  <c:v>156286</c:v>
                </c:pt>
                <c:pt idx="306">
                  <c:v>159269</c:v>
                </c:pt>
                <c:pt idx="307">
                  <c:v>164280</c:v>
                </c:pt>
                <c:pt idx="308">
                  <c:v>164181</c:v>
                </c:pt>
                <c:pt idx="309">
                  <c:v>163221</c:v>
                </c:pt>
                <c:pt idx="310">
                  <c:v>174213</c:v>
                </c:pt>
                <c:pt idx="311">
                  <c:v>159357</c:v>
                </c:pt>
                <c:pt idx="312">
                  <c:v>166790</c:v>
                </c:pt>
                <c:pt idx="313">
                  <c:v>175504</c:v>
                </c:pt>
                <c:pt idx="314">
                  <c:v>170410</c:v>
                </c:pt>
                <c:pt idx="315">
                  <c:v>174641</c:v>
                </c:pt>
                <c:pt idx="316">
                  <c:v>175588</c:v>
                </c:pt>
                <c:pt idx="317">
                  <c:v>165654</c:v>
                </c:pt>
                <c:pt idx="318">
                  <c:v>175671</c:v>
                </c:pt>
                <c:pt idx="319">
                  <c:v>176060</c:v>
                </c:pt>
                <c:pt idx="320">
                  <c:v>170432</c:v>
                </c:pt>
                <c:pt idx="321">
                  <c:v>163293</c:v>
                </c:pt>
                <c:pt idx="322">
                  <c:v>169731</c:v>
                </c:pt>
                <c:pt idx="323">
                  <c:v>160516</c:v>
                </c:pt>
                <c:pt idx="324">
                  <c:v>154698</c:v>
                </c:pt>
                <c:pt idx="325">
                  <c:v>164517</c:v>
                </c:pt>
                <c:pt idx="326">
                  <c:v>157216</c:v>
                </c:pt>
                <c:pt idx="327">
                  <c:v>149783</c:v>
                </c:pt>
                <c:pt idx="328">
                  <c:v>150374</c:v>
                </c:pt>
                <c:pt idx="329">
                  <c:v>157455</c:v>
                </c:pt>
                <c:pt idx="330">
                  <c:v>156670</c:v>
                </c:pt>
                <c:pt idx="331">
                  <c:v>154428</c:v>
                </c:pt>
                <c:pt idx="332">
                  <c:v>156626</c:v>
                </c:pt>
                <c:pt idx="333">
                  <c:v>147226</c:v>
                </c:pt>
                <c:pt idx="334">
                  <c:v>150665</c:v>
                </c:pt>
                <c:pt idx="335">
                  <c:v>161215</c:v>
                </c:pt>
                <c:pt idx="336">
                  <c:v>165264</c:v>
                </c:pt>
                <c:pt idx="337">
                  <c:v>143089</c:v>
                </c:pt>
                <c:pt idx="338">
                  <c:v>120811</c:v>
                </c:pt>
                <c:pt idx="339">
                  <c:v>136257</c:v>
                </c:pt>
                <c:pt idx="340">
                  <c:v>135460</c:v>
                </c:pt>
                <c:pt idx="341">
                  <c:v>145739</c:v>
                </c:pt>
                <c:pt idx="342">
                  <c:v>149382</c:v>
                </c:pt>
                <c:pt idx="343">
                  <c:v>152915</c:v>
                </c:pt>
                <c:pt idx="344">
                  <c:v>157980</c:v>
                </c:pt>
                <c:pt idx="345">
                  <c:v>155771</c:v>
                </c:pt>
                <c:pt idx="346">
                  <c:v>158387</c:v>
                </c:pt>
                <c:pt idx="347">
                  <c:v>163476</c:v>
                </c:pt>
                <c:pt idx="348">
                  <c:v>167920</c:v>
                </c:pt>
                <c:pt idx="349">
                  <c:v>170436</c:v>
                </c:pt>
                <c:pt idx="350">
                  <c:v>169097</c:v>
                </c:pt>
                <c:pt idx="351">
                  <c:v>171996</c:v>
                </c:pt>
                <c:pt idx="352">
                  <c:v>176392</c:v>
                </c:pt>
                <c:pt idx="353">
                  <c:v>174579</c:v>
                </c:pt>
                <c:pt idx="354">
                  <c:v>179913</c:v>
                </c:pt>
                <c:pt idx="355">
                  <c:v>177267</c:v>
                </c:pt>
                <c:pt idx="356">
                  <c:v>178531</c:v>
                </c:pt>
                <c:pt idx="357">
                  <c:v>180712</c:v>
                </c:pt>
                <c:pt idx="358">
                  <c:v>181268</c:v>
                </c:pt>
                <c:pt idx="359">
                  <c:v>189468</c:v>
                </c:pt>
                <c:pt idx="360">
                  <c:v>187611</c:v>
                </c:pt>
                <c:pt idx="361">
                  <c:v>186907</c:v>
                </c:pt>
                <c:pt idx="362">
                  <c:v>188269</c:v>
                </c:pt>
                <c:pt idx="363">
                  <c:v>189296</c:v>
                </c:pt>
                <c:pt idx="364">
                  <c:v>194488</c:v>
                </c:pt>
                <c:pt idx="365">
                  <c:v>194332</c:v>
                </c:pt>
                <c:pt idx="366">
                  <c:v>194542</c:v>
                </c:pt>
                <c:pt idx="367">
                  <c:v>193704</c:v>
                </c:pt>
                <c:pt idx="368">
                  <c:v>195690</c:v>
                </c:pt>
                <c:pt idx="369">
                  <c:v>189826</c:v>
                </c:pt>
              </c:numCache>
            </c:numRef>
          </c:val>
          <c:smooth val="0"/>
          <c:extLst>
            <c:ext xmlns:c16="http://schemas.microsoft.com/office/drawing/2014/chart" uri="{C3380CC4-5D6E-409C-BE32-E72D297353CC}">
              <c16:uniqueId val="{00000000-6ABF-4C01-988A-A495CE32C508}"/>
            </c:ext>
          </c:extLst>
        </c:ser>
        <c:dLbls>
          <c:showLegendKey val="0"/>
          <c:showVal val="0"/>
          <c:showCatName val="0"/>
          <c:showSerName val="0"/>
          <c:showPercent val="0"/>
          <c:showBubbleSize val="0"/>
        </c:dLbls>
        <c:smooth val="0"/>
        <c:axId val="504145232"/>
        <c:axId val="504145624"/>
      </c:lineChart>
      <c:dateAx>
        <c:axId val="5041452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8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Table535141516[[#Headers],[mom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Other!$B$1</c:f>
              <c:strCache>
                <c:ptCount val="1"/>
                <c:pt idx="0">
                  <c:v>New Orders - Manufacturing</c:v>
                </c:pt>
              </c:strCache>
            </c:strRef>
          </c:tx>
          <c:spPr>
            <a:solidFill>
              <a:srgbClr val="92D050"/>
            </a:solidFill>
            <a:ln>
              <a:noFill/>
              <a:prstDash val="solid"/>
            </a:ln>
          </c:spPr>
          <c:invertIfNegative val="1"/>
          <c:cat>
            <c:numRef>
              <c:f>Other!$A$6:$A$378</c:f>
              <c:numCache>
                <c:formatCode>m/d/yyyy</c:formatCode>
                <c:ptCount val="373"/>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numCache>
            </c:numRef>
          </c:cat>
          <c:val>
            <c:numRef>
              <c:f>Other!$C$6:$C$378</c:f>
              <c:numCache>
                <c:formatCode>0.0%</c:formatCode>
                <c:ptCount val="373"/>
                <c:pt idx="1">
                  <c:v>4.2961961768681216E-2</c:v>
                </c:pt>
                <c:pt idx="2">
                  <c:v>5.0691937424789411E-2</c:v>
                </c:pt>
                <c:pt idx="3">
                  <c:v>3.4689719729089808E-3</c:v>
                </c:pt>
                <c:pt idx="4">
                  <c:v>-2.7118086040386305E-2</c:v>
                </c:pt>
                <c:pt idx="5">
                  <c:v>-1.4743539126216877E-2</c:v>
                </c:pt>
                <c:pt idx="6">
                  <c:v>-1.5422133681390397E-2</c:v>
                </c:pt>
                <c:pt idx="7">
                  <c:v>7.8260363974649687E-3</c:v>
                </c:pt>
                <c:pt idx="8">
                  <c:v>7.3648866940508609E-2</c:v>
                </c:pt>
                <c:pt idx="9">
                  <c:v>-5.8441069950887145E-2</c:v>
                </c:pt>
                <c:pt idx="10">
                  <c:v>4.4137285562644811E-2</c:v>
                </c:pt>
                <c:pt idx="11">
                  <c:v>-6.0592479230432879E-2</c:v>
                </c:pt>
                <c:pt idx="12">
                  <c:v>7.4752434923257741E-2</c:v>
                </c:pt>
                <c:pt idx="13">
                  <c:v>-1.9835211831833784E-2</c:v>
                </c:pt>
                <c:pt idx="14">
                  <c:v>6.6498028256138913E-3</c:v>
                </c:pt>
                <c:pt idx="15">
                  <c:v>-1.4265178698796238E-2</c:v>
                </c:pt>
                <c:pt idx="16">
                  <c:v>4.0765437321192019E-2</c:v>
                </c:pt>
                <c:pt idx="17">
                  <c:v>-1.5723102264340646E-2</c:v>
                </c:pt>
                <c:pt idx="18">
                  <c:v>2.3939667257098767E-2</c:v>
                </c:pt>
                <c:pt idx="19">
                  <c:v>-3.9787319848024964E-2</c:v>
                </c:pt>
                <c:pt idx="20">
                  <c:v>4.7470627894382E-2</c:v>
                </c:pt>
                <c:pt idx="21">
                  <c:v>-2.915418055965897E-2</c:v>
                </c:pt>
                <c:pt idx="22">
                  <c:v>3.1899053353476294E-2</c:v>
                </c:pt>
                <c:pt idx="23">
                  <c:v>3.9001937984496124E-2</c:v>
                </c:pt>
                <c:pt idx="24">
                  <c:v>-1.3066793719018317E-2</c:v>
                </c:pt>
                <c:pt idx="25">
                  <c:v>-6.6969329690420923E-3</c:v>
                </c:pt>
                <c:pt idx="26">
                  <c:v>2.983268876801853E-2</c:v>
                </c:pt>
                <c:pt idx="27">
                  <c:v>1.9389302246186905E-2</c:v>
                </c:pt>
                <c:pt idx="28">
                  <c:v>2.3699296704162643E-2</c:v>
                </c:pt>
                <c:pt idx="29">
                  <c:v>-3.7525979524286046E-3</c:v>
                </c:pt>
                <c:pt idx="30">
                  <c:v>3.5639089030114549E-3</c:v>
                </c:pt>
                <c:pt idx="31">
                  <c:v>2.3386297362064153E-3</c:v>
                </c:pt>
                <c:pt idx="32">
                  <c:v>3.2866058569371102E-2</c:v>
                </c:pt>
                <c:pt idx="33">
                  <c:v>-4.1181337324421559E-3</c:v>
                </c:pt>
                <c:pt idx="34">
                  <c:v>1.4627088583963409E-2</c:v>
                </c:pt>
                <c:pt idx="35">
                  <c:v>-9.7702788485422784E-3</c:v>
                </c:pt>
                <c:pt idx="36">
                  <c:v>2.7435313791982163E-2</c:v>
                </c:pt>
                <c:pt idx="37">
                  <c:v>-3.7345824140051363E-3</c:v>
                </c:pt>
                <c:pt idx="38">
                  <c:v>-1.4222827320172453E-2</c:v>
                </c:pt>
                <c:pt idx="39">
                  <c:v>2.4390468473777255E-2</c:v>
                </c:pt>
                <c:pt idx="40">
                  <c:v>-2.5122014794574724E-2</c:v>
                </c:pt>
                <c:pt idx="41">
                  <c:v>-1.1017683612693847E-2</c:v>
                </c:pt>
                <c:pt idx="42">
                  <c:v>4.518631079455937E-2</c:v>
                </c:pt>
                <c:pt idx="43">
                  <c:v>4.2135683322332626E-2</c:v>
                </c:pt>
                <c:pt idx="44">
                  <c:v>-3.8275218678854479E-2</c:v>
                </c:pt>
                <c:pt idx="45">
                  <c:v>1.2619475642098144E-2</c:v>
                </c:pt>
                <c:pt idx="46">
                  <c:v>5.3522463615271042E-2</c:v>
                </c:pt>
                <c:pt idx="47">
                  <c:v>-4.6598928875319086E-2</c:v>
                </c:pt>
                <c:pt idx="48">
                  <c:v>-4.2987890242195154E-2</c:v>
                </c:pt>
                <c:pt idx="49">
                  <c:v>0.12061257142857143</c:v>
                </c:pt>
                <c:pt idx="50">
                  <c:v>-7.9018006478089528E-2</c:v>
                </c:pt>
                <c:pt idx="51">
                  <c:v>5.9628638755514607E-2</c:v>
                </c:pt>
                <c:pt idx="52">
                  <c:v>-5.7602434517987173E-3</c:v>
                </c:pt>
                <c:pt idx="53">
                  <c:v>-8.2657831892637319E-3</c:v>
                </c:pt>
                <c:pt idx="54">
                  <c:v>-4.7854435692422481E-2</c:v>
                </c:pt>
                <c:pt idx="55">
                  <c:v>5.8336375860441506E-2</c:v>
                </c:pt>
                <c:pt idx="56">
                  <c:v>9.3228325255788908E-3</c:v>
                </c:pt>
                <c:pt idx="57">
                  <c:v>3.974790756610757E-2</c:v>
                </c:pt>
                <c:pt idx="58">
                  <c:v>-6.0830313331836694E-2</c:v>
                </c:pt>
                <c:pt idx="59">
                  <c:v>-2.1436437675542312E-2</c:v>
                </c:pt>
                <c:pt idx="60">
                  <c:v>7.1973199797602638E-2</c:v>
                </c:pt>
                <c:pt idx="61">
                  <c:v>-2.6107620690777694E-2</c:v>
                </c:pt>
                <c:pt idx="62">
                  <c:v>4.9695825116154696E-2</c:v>
                </c:pt>
                <c:pt idx="63">
                  <c:v>-3.6962146240496756E-2</c:v>
                </c:pt>
                <c:pt idx="64">
                  <c:v>4.3100882848923716E-2</c:v>
                </c:pt>
                <c:pt idx="65">
                  <c:v>9.1214556289921228E-3</c:v>
                </c:pt>
                <c:pt idx="66">
                  <c:v>-2.3559531008269395E-5</c:v>
                </c:pt>
                <c:pt idx="67">
                  <c:v>5.6308605714106208E-3</c:v>
                </c:pt>
                <c:pt idx="68">
                  <c:v>8.590327291469805E-5</c:v>
                </c:pt>
                <c:pt idx="69">
                  <c:v>9.1354187815276974E-2</c:v>
                </c:pt>
                <c:pt idx="70">
                  <c:v>-0.12165053197959373</c:v>
                </c:pt>
                <c:pt idx="71">
                  <c:v>1.8287864840867064E-2</c:v>
                </c:pt>
                <c:pt idx="72">
                  <c:v>3.4990880291830659E-2</c:v>
                </c:pt>
                <c:pt idx="73">
                  <c:v>-3.5206913076411751E-2</c:v>
                </c:pt>
                <c:pt idx="74">
                  <c:v>3.6099116348749828E-2</c:v>
                </c:pt>
                <c:pt idx="75">
                  <c:v>-9.587950111730548E-3</c:v>
                </c:pt>
                <c:pt idx="76">
                  <c:v>-3.2610138263238844E-2</c:v>
                </c:pt>
                <c:pt idx="77">
                  <c:v>-1.4703983472141521E-2</c:v>
                </c:pt>
                <c:pt idx="78">
                  <c:v>4.5605700712589077E-2</c:v>
                </c:pt>
                <c:pt idx="79">
                  <c:v>1.3912171583449529E-2</c:v>
                </c:pt>
                <c:pt idx="80">
                  <c:v>-3.1931331798445539E-2</c:v>
                </c:pt>
                <c:pt idx="81">
                  <c:v>2.6847351577401618E-2</c:v>
                </c:pt>
                <c:pt idx="82">
                  <c:v>-3.2293164419228228E-2</c:v>
                </c:pt>
                <c:pt idx="83">
                  <c:v>6.0195968195325675E-2</c:v>
                </c:pt>
                <c:pt idx="84">
                  <c:v>-2.1044657399340933E-2</c:v>
                </c:pt>
                <c:pt idx="85">
                  <c:v>4.0703568139785033E-3</c:v>
                </c:pt>
                <c:pt idx="86">
                  <c:v>-1.1067181490986721E-2</c:v>
                </c:pt>
                <c:pt idx="87">
                  <c:v>1.5570812908655907E-2</c:v>
                </c:pt>
                <c:pt idx="88">
                  <c:v>-2.0227909296704139E-2</c:v>
                </c:pt>
                <c:pt idx="89">
                  <c:v>5.4339398021601044E-2</c:v>
                </c:pt>
                <c:pt idx="90">
                  <c:v>-5.0216540258659756E-3</c:v>
                </c:pt>
                <c:pt idx="91">
                  <c:v>-5.3008414152499984E-4</c:v>
                </c:pt>
                <c:pt idx="92">
                  <c:v>4.2122955105699557E-2</c:v>
                </c:pt>
                <c:pt idx="93">
                  <c:v>-5.4562788063852515E-2</c:v>
                </c:pt>
                <c:pt idx="94">
                  <c:v>7.4914516630400996E-2</c:v>
                </c:pt>
                <c:pt idx="95">
                  <c:v>2.1709997319753416E-2</c:v>
                </c:pt>
                <c:pt idx="96">
                  <c:v>-9.9954437510355112E-2</c:v>
                </c:pt>
                <c:pt idx="97">
                  <c:v>5.2033717603565045E-2</c:v>
                </c:pt>
                <c:pt idx="98">
                  <c:v>2.0173372897543763E-2</c:v>
                </c:pt>
                <c:pt idx="99">
                  <c:v>-2.9265050597450118E-2</c:v>
                </c:pt>
                <c:pt idx="100">
                  <c:v>0.21919562992792621</c:v>
                </c:pt>
                <c:pt idx="101">
                  <c:v>-0.17211832833153187</c:v>
                </c:pt>
                <c:pt idx="102">
                  <c:v>1.2166035754141047E-2</c:v>
                </c:pt>
                <c:pt idx="103">
                  <c:v>4.9340280029689203E-2</c:v>
                </c:pt>
                <c:pt idx="104">
                  <c:v>-7.5959016055707401E-2</c:v>
                </c:pt>
                <c:pt idx="105">
                  <c:v>3.4550413579375286E-2</c:v>
                </c:pt>
                <c:pt idx="106">
                  <c:v>-1.0028303377727971E-2</c:v>
                </c:pt>
                <c:pt idx="107">
                  <c:v>-6.3195704230462224E-2</c:v>
                </c:pt>
                <c:pt idx="108">
                  <c:v>7.2114081223228323E-3</c:v>
                </c:pt>
                <c:pt idx="109">
                  <c:v>1.2104712686108035E-2</c:v>
                </c:pt>
                <c:pt idx="110">
                  <c:v>-6.5202194428825438E-2</c:v>
                </c:pt>
                <c:pt idx="111">
                  <c:v>3.0652306441780127E-2</c:v>
                </c:pt>
                <c:pt idx="112">
                  <c:v>-5.8755796712830054E-3</c:v>
                </c:pt>
                <c:pt idx="113">
                  <c:v>-4.7790180165171239E-2</c:v>
                </c:pt>
                <c:pt idx="114">
                  <c:v>3.7824822748214987E-3</c:v>
                </c:pt>
                <c:pt idx="115">
                  <c:v>-3.9300802616180144E-2</c:v>
                </c:pt>
                <c:pt idx="116">
                  <c:v>6.2127416930174692E-2</c:v>
                </c:pt>
                <c:pt idx="117">
                  <c:v>-7.0743551575197058E-2</c:v>
                </c:pt>
                <c:pt idx="118">
                  <c:v>4.7443977591036411E-3</c:v>
                </c:pt>
                <c:pt idx="119">
                  <c:v>-2.0700109773309404E-2</c:v>
                </c:pt>
                <c:pt idx="120">
                  <c:v>8.7424158852730277E-2</c:v>
                </c:pt>
                <c:pt idx="121">
                  <c:v>-2.6940351623538653E-2</c:v>
                </c:pt>
                <c:pt idx="122">
                  <c:v>-2.3204977299478729E-3</c:v>
                </c:pt>
                <c:pt idx="123">
                  <c:v>4.8119058855255175E-3</c:v>
                </c:pt>
                <c:pt idx="124">
                  <c:v>-4.43242336562251E-2</c:v>
                </c:pt>
                <c:pt idx="125">
                  <c:v>5.6937253181219831E-2</c:v>
                </c:pt>
                <c:pt idx="126">
                  <c:v>2.0707750045666651E-2</c:v>
                </c:pt>
                <c:pt idx="127">
                  <c:v>-6.3986594214687789E-2</c:v>
                </c:pt>
                <c:pt idx="128">
                  <c:v>5.9791771678862566E-3</c:v>
                </c:pt>
                <c:pt idx="129">
                  <c:v>1.148988371892116E-2</c:v>
                </c:pt>
                <c:pt idx="130">
                  <c:v>-3.6324348331112706E-2</c:v>
                </c:pt>
                <c:pt idx="131">
                  <c:v>2.8511667892689066E-2</c:v>
                </c:pt>
                <c:pt idx="132">
                  <c:v>4.5033089755963047E-2</c:v>
                </c:pt>
                <c:pt idx="133">
                  <c:v>-1.8470570773620066E-2</c:v>
                </c:pt>
                <c:pt idx="134">
                  <c:v>-1.6659105801703714E-2</c:v>
                </c:pt>
                <c:pt idx="135">
                  <c:v>1.0721822111729075E-2</c:v>
                </c:pt>
                <c:pt idx="136">
                  <c:v>1.373556708873599E-2</c:v>
                </c:pt>
                <c:pt idx="137">
                  <c:v>-2.107044884141715E-2</c:v>
                </c:pt>
                <c:pt idx="138">
                  <c:v>1.6115294197812682E-2</c:v>
                </c:pt>
                <c:pt idx="139">
                  <c:v>2.1241282188841203E-2</c:v>
                </c:pt>
                <c:pt idx="140">
                  <c:v>4.4644176311253385E-2</c:v>
                </c:pt>
                <c:pt idx="141">
                  <c:v>-1.0921748422632377E-2</c:v>
                </c:pt>
                <c:pt idx="142">
                  <c:v>2.9552189006903456E-3</c:v>
                </c:pt>
                <c:pt idx="143">
                  <c:v>-1.40988982265487E-2</c:v>
                </c:pt>
                <c:pt idx="144">
                  <c:v>1.3681901808453375E-2</c:v>
                </c:pt>
                <c:pt idx="145">
                  <c:v>5.2800101447207821E-2</c:v>
                </c:pt>
                <c:pt idx="146">
                  <c:v>-3.7271522779969285E-2</c:v>
                </c:pt>
                <c:pt idx="147">
                  <c:v>3.2216444461821169E-3</c:v>
                </c:pt>
                <c:pt idx="148">
                  <c:v>1.2556801795833105E-2</c:v>
                </c:pt>
                <c:pt idx="149">
                  <c:v>3.2299781383748498E-2</c:v>
                </c:pt>
                <c:pt idx="150">
                  <c:v>-5.1616655729881285E-2</c:v>
                </c:pt>
                <c:pt idx="151">
                  <c:v>3.8920601971977165E-2</c:v>
                </c:pt>
                <c:pt idx="152">
                  <c:v>-2.236399963672691E-2</c:v>
                </c:pt>
                <c:pt idx="153">
                  <c:v>4.9583130123783646E-2</c:v>
                </c:pt>
                <c:pt idx="154">
                  <c:v>-2.6994733814223125E-3</c:v>
                </c:pt>
                <c:pt idx="155">
                  <c:v>1.3378594249201278E-2</c:v>
                </c:pt>
                <c:pt idx="156">
                  <c:v>9.1516146688560476E-3</c:v>
                </c:pt>
                <c:pt idx="157">
                  <c:v>-5.95535113791682E-2</c:v>
                </c:pt>
                <c:pt idx="158">
                  <c:v>4.2624034942019627E-2</c:v>
                </c:pt>
                <c:pt idx="159">
                  <c:v>9.3025142528413485E-2</c:v>
                </c:pt>
                <c:pt idx="160">
                  <c:v>2.1639676113360325E-2</c:v>
                </c:pt>
                <c:pt idx="161">
                  <c:v>-9.9830258838759109E-2</c:v>
                </c:pt>
                <c:pt idx="162">
                  <c:v>6.8338567193965902E-2</c:v>
                </c:pt>
                <c:pt idx="163">
                  <c:v>-2.2464733596143018E-2</c:v>
                </c:pt>
                <c:pt idx="164">
                  <c:v>4.2962026205782135E-2</c:v>
                </c:pt>
                <c:pt idx="165">
                  <c:v>7.8652745031997304E-2</c:v>
                </c:pt>
                <c:pt idx="166">
                  <c:v>-4.4152729725341292E-3</c:v>
                </c:pt>
                <c:pt idx="167">
                  <c:v>-7.9068367007696705E-2</c:v>
                </c:pt>
                <c:pt idx="168">
                  <c:v>6.8004413748007683E-2</c:v>
                </c:pt>
                <c:pt idx="169">
                  <c:v>4.5249301649255731E-2</c:v>
                </c:pt>
                <c:pt idx="170">
                  <c:v>-6.0045273440598436E-2</c:v>
                </c:pt>
                <c:pt idx="171">
                  <c:v>-5.705865551891569E-3</c:v>
                </c:pt>
                <c:pt idx="172">
                  <c:v>3.7336867463586922E-2</c:v>
                </c:pt>
                <c:pt idx="173">
                  <c:v>-4.3299851471439721E-2</c:v>
                </c:pt>
                <c:pt idx="174">
                  <c:v>-8.2164565955319315E-3</c:v>
                </c:pt>
                <c:pt idx="175">
                  <c:v>0.17165352241597739</c:v>
                </c:pt>
                <c:pt idx="176">
                  <c:v>-0.10391639587414092</c:v>
                </c:pt>
                <c:pt idx="177">
                  <c:v>4.853872104923998E-2</c:v>
                </c:pt>
                <c:pt idx="178">
                  <c:v>2.2474076484162706E-3</c:v>
                </c:pt>
                <c:pt idx="179">
                  <c:v>-1.5576342715610009E-2</c:v>
                </c:pt>
                <c:pt idx="180">
                  <c:v>-1.2702212505572486E-2</c:v>
                </c:pt>
                <c:pt idx="181">
                  <c:v>4.7324504703997627E-2</c:v>
                </c:pt>
                <c:pt idx="182">
                  <c:v>2.4781186142379608E-2</c:v>
                </c:pt>
                <c:pt idx="183">
                  <c:v>-3.1656658098871589E-2</c:v>
                </c:pt>
                <c:pt idx="184">
                  <c:v>3.4875762535337002E-3</c:v>
                </c:pt>
                <c:pt idx="185">
                  <c:v>2.2400673740147439E-2</c:v>
                </c:pt>
                <c:pt idx="186">
                  <c:v>1.4420957375223333E-2</c:v>
                </c:pt>
                <c:pt idx="187">
                  <c:v>-4.080080515113739E-2</c:v>
                </c:pt>
                <c:pt idx="188">
                  <c:v>2.2374045391948205E-2</c:v>
                </c:pt>
                <c:pt idx="189">
                  <c:v>-2.0274998250647259E-2</c:v>
                </c:pt>
                <c:pt idx="190">
                  <c:v>0.10800226170282415</c:v>
                </c:pt>
                <c:pt idx="191">
                  <c:v>-2.8061731511970819E-2</c:v>
                </c:pt>
                <c:pt idx="192">
                  <c:v>-2.0040124463210952E-2</c:v>
                </c:pt>
                <c:pt idx="193">
                  <c:v>1.4906012599331119E-2</c:v>
                </c:pt>
                <c:pt idx="194">
                  <c:v>-2.6884648299009748E-2</c:v>
                </c:pt>
                <c:pt idx="195">
                  <c:v>-1.3945042143493456E-2</c:v>
                </c:pt>
                <c:pt idx="196">
                  <c:v>1.003046202670929E-2</c:v>
                </c:pt>
                <c:pt idx="197">
                  <c:v>-4.1804754423586346E-2</c:v>
                </c:pt>
                <c:pt idx="198">
                  <c:v>-3.1612961134548069E-2</c:v>
                </c:pt>
                <c:pt idx="199">
                  <c:v>2.6756142172129124E-3</c:v>
                </c:pt>
                <c:pt idx="200">
                  <c:v>-0.12976920469602193</c:v>
                </c:pt>
                <c:pt idx="201">
                  <c:v>-5.9607104413347684E-2</c:v>
                </c:pt>
                <c:pt idx="202">
                  <c:v>-3.7811297452387586E-2</c:v>
                </c:pt>
                <c:pt idx="203">
                  <c:v>-0.15426156374735853</c:v>
                </c:pt>
                <c:pt idx="204">
                  <c:v>-2.1043864519711273E-2</c:v>
                </c:pt>
                <c:pt idx="205">
                  <c:v>-1.8074225322821547E-2</c:v>
                </c:pt>
                <c:pt idx="206">
                  <c:v>1.7713768604270558E-2</c:v>
                </c:pt>
                <c:pt idx="207">
                  <c:v>2.5975745880394273E-2</c:v>
                </c:pt>
                <c:pt idx="208">
                  <c:v>-1.08334869998156E-2</c:v>
                </c:pt>
                <c:pt idx="209">
                  <c:v>4.2932376380668311E-2</c:v>
                </c:pt>
                <c:pt idx="210">
                  <c:v>2.590914372022772E-2</c:v>
                </c:pt>
                <c:pt idx="211">
                  <c:v>-1.5942155240003485E-3</c:v>
                </c:pt>
                <c:pt idx="212">
                  <c:v>2.5330040922456745E-2</c:v>
                </c:pt>
                <c:pt idx="213">
                  <c:v>-1.6807080248489491E-2</c:v>
                </c:pt>
                <c:pt idx="214">
                  <c:v>-2.7264465313541352E-3</c:v>
                </c:pt>
                <c:pt idx="215">
                  <c:v>0.1635827113348377</c:v>
                </c:pt>
                <c:pt idx="216">
                  <c:v>8.1152847808574746E-3</c:v>
                </c:pt>
                <c:pt idx="217">
                  <c:v>5.6231317884518628E-3</c:v>
                </c:pt>
                <c:pt idx="218">
                  <c:v>-3.0312840283704639E-3</c:v>
                </c:pt>
                <c:pt idx="219">
                  <c:v>4.6072440665958198E-2</c:v>
                </c:pt>
                <c:pt idx="220">
                  <c:v>-3.1718484341820286E-2</c:v>
                </c:pt>
                <c:pt idx="221">
                  <c:v>1.020028997967228E-3</c:v>
                </c:pt>
                <c:pt idx="222">
                  <c:v>2.9230444497820088E-2</c:v>
                </c:pt>
                <c:pt idx="223">
                  <c:v>6.8511459828721352E-2</c:v>
                </c:pt>
                <c:pt idx="224">
                  <c:v>-5.5011747576028329E-2</c:v>
                </c:pt>
                <c:pt idx="225">
                  <c:v>3.5879621523570736E-2</c:v>
                </c:pt>
                <c:pt idx="226">
                  <c:v>-3.2324584533419874E-2</c:v>
                </c:pt>
                <c:pt idx="227">
                  <c:v>6.8450655021834061E-2</c:v>
                </c:pt>
                <c:pt idx="228">
                  <c:v>-4.4964099344763996E-2</c:v>
                </c:pt>
                <c:pt idx="229">
                  <c:v>9.5606863590923408E-2</c:v>
                </c:pt>
                <c:pt idx="230">
                  <c:v>-5.7965489441218931E-2</c:v>
                </c:pt>
                <c:pt idx="231">
                  <c:v>4.2598219379834677E-2</c:v>
                </c:pt>
                <c:pt idx="232">
                  <c:v>-4.1112277687633231E-2</c:v>
                </c:pt>
                <c:pt idx="233">
                  <c:v>1.7233599214301829E-2</c:v>
                </c:pt>
                <c:pt idx="234">
                  <c:v>7.2189495795578346E-2</c:v>
                </c:pt>
                <c:pt idx="235">
                  <c:v>-6.5163029259477839E-2</c:v>
                </c:pt>
                <c:pt idx="236">
                  <c:v>2.2649319544149903E-2</c:v>
                </c:pt>
                <c:pt idx="237">
                  <c:v>3.3431555366041484E-2</c:v>
                </c:pt>
                <c:pt idx="238">
                  <c:v>4.9919940879418645E-2</c:v>
                </c:pt>
                <c:pt idx="239">
                  <c:v>3.4606947198010394E-4</c:v>
                </c:pt>
                <c:pt idx="240">
                  <c:v>1.2577325632531004E-2</c:v>
                </c:pt>
                <c:pt idx="241">
                  <c:v>-4.6013087034570618E-2</c:v>
                </c:pt>
                <c:pt idx="242">
                  <c:v>-2.0401349973291894E-2</c:v>
                </c:pt>
                <c:pt idx="243">
                  <c:v>3.847988945551886E-3</c:v>
                </c:pt>
                <c:pt idx="244">
                  <c:v>1.7406977605491222E-3</c:v>
                </c:pt>
                <c:pt idx="245">
                  <c:v>3.6466485094216385E-2</c:v>
                </c:pt>
                <c:pt idx="246">
                  <c:v>-0.13811205441012103</c:v>
                </c:pt>
                <c:pt idx="247">
                  <c:v>0.11467652597380201</c:v>
                </c:pt>
                <c:pt idx="248">
                  <c:v>1.3880122278741074E-2</c:v>
                </c:pt>
                <c:pt idx="249">
                  <c:v>-3.6370627620681023E-2</c:v>
                </c:pt>
                <c:pt idx="250">
                  <c:v>9.9327345739222958E-2</c:v>
                </c:pt>
                <c:pt idx="251">
                  <c:v>-5.5086308220598741E-2</c:v>
                </c:pt>
                <c:pt idx="252">
                  <c:v>6.9315805198685396E-2</c:v>
                </c:pt>
                <c:pt idx="253">
                  <c:v>-0.11099896790233277</c:v>
                </c:pt>
                <c:pt idx="254">
                  <c:v>6.8779064173695517E-2</c:v>
                </c:pt>
                <c:pt idx="255">
                  <c:v>5.0951820822430806E-2</c:v>
                </c:pt>
                <c:pt idx="256">
                  <c:v>7.2699551159789405E-2</c:v>
                </c:pt>
                <c:pt idx="257">
                  <c:v>-0.12278478991104558</c:v>
                </c:pt>
                <c:pt idx="258">
                  <c:v>6.6754053791630253E-4</c:v>
                </c:pt>
                <c:pt idx="259">
                  <c:v>8.1610004002571346E-2</c:v>
                </c:pt>
                <c:pt idx="260">
                  <c:v>-4.1177229171689533E-2</c:v>
                </c:pt>
                <c:pt idx="261">
                  <c:v>3.1507482149853515E-2</c:v>
                </c:pt>
                <c:pt idx="262">
                  <c:v>1.0147679922900309E-3</c:v>
                </c:pt>
                <c:pt idx="263">
                  <c:v>-7.5260230838062228E-2</c:v>
                </c:pt>
                <c:pt idx="264">
                  <c:v>4.7842728970817892E-2</c:v>
                </c:pt>
                <c:pt idx="265">
                  <c:v>-8.7669567555246437E-4</c:v>
                </c:pt>
                <c:pt idx="266">
                  <c:v>2.9301479405897734E-2</c:v>
                </c:pt>
                <c:pt idx="267">
                  <c:v>-3.5844188319807221E-2</c:v>
                </c:pt>
                <c:pt idx="268">
                  <c:v>4.7863529994282311E-2</c:v>
                </c:pt>
                <c:pt idx="269">
                  <c:v>0.34019429709341897</c:v>
                </c:pt>
                <c:pt idx="270">
                  <c:v>-0.27710550064009737</c:v>
                </c:pt>
                <c:pt idx="271">
                  <c:v>2.8567115301986923E-3</c:v>
                </c:pt>
                <c:pt idx="272">
                  <c:v>-3.2503850206695308E-2</c:v>
                </c:pt>
                <c:pt idx="273">
                  <c:v>-2.5361451551129836E-2</c:v>
                </c:pt>
                <c:pt idx="274">
                  <c:v>-1.3815038129505238E-2</c:v>
                </c:pt>
                <c:pt idx="275">
                  <c:v>2.7705832544702895E-3</c:v>
                </c:pt>
                <c:pt idx="276">
                  <c:v>-3.2236233476757255E-2</c:v>
                </c:pt>
                <c:pt idx="277">
                  <c:v>3.7178656435853184E-2</c:v>
                </c:pt>
                <c:pt idx="278">
                  <c:v>-1.2259996041171813E-2</c:v>
                </c:pt>
                <c:pt idx="279">
                  <c:v>-4.4194085745419019E-2</c:v>
                </c:pt>
                <c:pt idx="280">
                  <c:v>9.1937755937755938E-2</c:v>
                </c:pt>
                <c:pt idx="281">
                  <c:v>-2.1715259485050133E-2</c:v>
                </c:pt>
                <c:pt idx="282">
                  <c:v>-4.0285086912253583E-2</c:v>
                </c:pt>
                <c:pt idx="283">
                  <c:v>-3.0152744935131336E-2</c:v>
                </c:pt>
                <c:pt idx="284">
                  <c:v>5.8002530444409298E-2</c:v>
                </c:pt>
                <c:pt idx="285">
                  <c:v>-2.3512338527847329E-2</c:v>
                </c:pt>
                <c:pt idx="286">
                  <c:v>-3.2778624688255445E-2</c:v>
                </c:pt>
                <c:pt idx="287">
                  <c:v>5.8632286995515696E-2</c:v>
                </c:pt>
                <c:pt idx="288">
                  <c:v>-6.3096847337897347E-2</c:v>
                </c:pt>
                <c:pt idx="289">
                  <c:v>6.1634818685921732E-3</c:v>
                </c:pt>
                <c:pt idx="290">
                  <c:v>7.6528623066299262E-2</c:v>
                </c:pt>
                <c:pt idx="291">
                  <c:v>-3.1667792032410533E-2</c:v>
                </c:pt>
                <c:pt idx="292">
                  <c:v>-8.5413087714182476E-2</c:v>
                </c:pt>
                <c:pt idx="293">
                  <c:v>6.5720800959265857E-2</c:v>
                </c:pt>
                <c:pt idx="294">
                  <c:v>5.9898932745400266E-3</c:v>
                </c:pt>
                <c:pt idx="295">
                  <c:v>-2.0228859581070596E-2</c:v>
                </c:pt>
                <c:pt idx="296">
                  <c:v>0.12291571814108782</c:v>
                </c:pt>
                <c:pt idx="297">
                  <c:v>-0.10046480470563349</c:v>
                </c:pt>
                <c:pt idx="298">
                  <c:v>5.2063599900706815E-3</c:v>
                </c:pt>
                <c:pt idx="299">
                  <c:v>-3.3987743616737827E-3</c:v>
                </c:pt>
                <c:pt idx="300">
                  <c:v>2.9649964787813975E-2</c:v>
                </c:pt>
                <c:pt idx="301">
                  <c:v>1.5642514708396928E-3</c:v>
                </c:pt>
                <c:pt idx="302">
                  <c:v>6.380018969332912E-3</c:v>
                </c:pt>
                <c:pt idx="303">
                  <c:v>-8.5826123561972625E-3</c:v>
                </c:pt>
                <c:pt idx="304">
                  <c:v>0.10539124042257896</c:v>
                </c:pt>
                <c:pt idx="305">
                  <c:v>-0.10398284629893993</c:v>
                </c:pt>
                <c:pt idx="306">
                  <c:v>1.9086802400726872E-2</c:v>
                </c:pt>
                <c:pt idx="307">
                  <c:v>3.1462494270699255E-2</c:v>
                </c:pt>
                <c:pt idx="308">
                  <c:v>-6.026296566837107E-4</c:v>
                </c:pt>
                <c:pt idx="309">
                  <c:v>-5.8472052186306573E-3</c:v>
                </c:pt>
                <c:pt idx="310">
                  <c:v>6.7344275552778138E-2</c:v>
                </c:pt>
                <c:pt idx="311">
                  <c:v>-8.5274922078145715E-2</c:v>
                </c:pt>
                <c:pt idx="312">
                  <c:v>4.6643699366830452E-2</c:v>
                </c:pt>
                <c:pt idx="313">
                  <c:v>5.2245338449547332E-2</c:v>
                </c:pt>
                <c:pt idx="314">
                  <c:v>-2.9024979487647005E-2</c:v>
                </c:pt>
                <c:pt idx="315">
                  <c:v>2.4828355143477497E-2</c:v>
                </c:pt>
                <c:pt idx="316">
                  <c:v>5.4225525506610703E-3</c:v>
                </c:pt>
                <c:pt idx="317">
                  <c:v>-5.6575620201836117E-2</c:v>
                </c:pt>
                <c:pt idx="318">
                  <c:v>6.046941214821254E-2</c:v>
                </c:pt>
                <c:pt idx="319">
                  <c:v>2.2143666285271901E-3</c:v>
                </c:pt>
                <c:pt idx="320">
                  <c:v>-3.1966375099397933E-2</c:v>
                </c:pt>
                <c:pt idx="321">
                  <c:v>-4.1887673676304922E-2</c:v>
                </c:pt>
                <c:pt idx="322">
                  <c:v>3.9426062354173175E-2</c:v>
                </c:pt>
                <c:pt idx="323">
                  <c:v>-5.4291791128314802E-2</c:v>
                </c:pt>
                <c:pt idx="324">
                  <c:v>-3.6245607914475814E-2</c:v>
                </c:pt>
                <c:pt idx="325">
                  <c:v>6.3472055230190436E-2</c:v>
                </c:pt>
                <c:pt idx="326">
                  <c:v>-4.4378392506549479E-2</c:v>
                </c:pt>
                <c:pt idx="327">
                  <c:v>-4.7278902910645224E-2</c:v>
                </c:pt>
                <c:pt idx="328">
                  <c:v>3.9457081244199943E-3</c:v>
                </c:pt>
                <c:pt idx="329">
                  <c:v>4.7089257451421125E-2</c:v>
                </c:pt>
                <c:pt idx="330">
                  <c:v>-4.9855514273919529E-3</c:v>
                </c:pt>
                <c:pt idx="331">
                  <c:v>-1.4310333822684623E-2</c:v>
                </c:pt>
                <c:pt idx="332">
                  <c:v>1.4233170150490844E-2</c:v>
                </c:pt>
                <c:pt idx="333">
                  <c:v>-6.001557851186904E-2</c:v>
                </c:pt>
                <c:pt idx="334">
                  <c:v>2.3358645891350713E-2</c:v>
                </c:pt>
                <c:pt idx="335">
                  <c:v>7.00228984833903E-2</c:v>
                </c:pt>
                <c:pt idx="336">
                  <c:v>2.5115528952020592E-2</c:v>
                </c:pt>
                <c:pt idx="337">
                  <c:v>-0.13417925258979571</c:v>
                </c:pt>
                <c:pt idx="338">
                  <c:v>-0.15569330975826234</c:v>
                </c:pt>
                <c:pt idx="339">
                  <c:v>0.12785259620398803</c:v>
                </c:pt>
                <c:pt idx="340">
                  <c:v>-5.849240772951114E-3</c:v>
                </c:pt>
                <c:pt idx="341">
                  <c:v>7.5882179241104381E-2</c:v>
                </c:pt>
                <c:pt idx="342">
                  <c:v>2.4996740748872984E-2</c:v>
                </c:pt>
                <c:pt idx="343">
                  <c:v>2.3650774524373752E-2</c:v>
                </c:pt>
                <c:pt idx="344">
                  <c:v>3.3122976817186019E-2</c:v>
                </c:pt>
                <c:pt idx="345">
                  <c:v>-1.3982782630712749E-2</c:v>
                </c:pt>
                <c:pt idx="346">
                  <c:v>1.6793883328732561E-2</c:v>
                </c:pt>
                <c:pt idx="347">
                  <c:v>3.2130162197655111E-2</c:v>
                </c:pt>
                <c:pt idx="348">
                  <c:v>2.7184418507915534E-2</c:v>
                </c:pt>
                <c:pt idx="349">
                  <c:v>1.4983325393044308E-2</c:v>
                </c:pt>
                <c:pt idx="350">
                  <c:v>-7.8563214344387344E-3</c:v>
                </c:pt>
                <c:pt idx="351">
                  <c:v>1.7144006103005968E-2</c:v>
                </c:pt>
                <c:pt idx="352">
                  <c:v>2.5558733924044744E-2</c:v>
                </c:pt>
                <c:pt idx="353">
                  <c:v>-1.0278243911288494E-2</c:v>
                </c:pt>
                <c:pt idx="354">
                  <c:v>3.055350299864245E-2</c:v>
                </c:pt>
                <c:pt idx="355">
                  <c:v>-1.4707108435743943E-2</c:v>
                </c:pt>
                <c:pt idx="356">
                  <c:v>7.1304867798292967E-3</c:v>
                </c:pt>
                <c:pt idx="357">
                  <c:v>1.2216365785213772E-2</c:v>
                </c:pt>
                <c:pt idx="358">
                  <c:v>3.0767187569170837E-3</c:v>
                </c:pt>
                <c:pt idx="359">
                  <c:v>4.5236886819515855E-2</c:v>
                </c:pt>
                <c:pt idx="360">
                  <c:v>-9.8011273671543483E-3</c:v>
                </c:pt>
                <c:pt idx="361">
                  <c:v>-3.7524452190969611E-3</c:v>
                </c:pt>
                <c:pt idx="362">
                  <c:v>7.2870464990610305E-3</c:v>
                </c:pt>
                <c:pt idx="363">
                  <c:v>5.4549607210958783E-3</c:v>
                </c:pt>
                <c:pt idx="364">
                  <c:v>2.7427943538162455E-2</c:v>
                </c:pt>
                <c:pt idx="365">
                  <c:v>-8.021060425321871E-4</c:v>
                </c:pt>
                <c:pt idx="366">
                  <c:v>1.0806249099479242E-3</c:v>
                </c:pt>
                <c:pt idx="367">
                  <c:v>-4.3075531247751125E-3</c:v>
                </c:pt>
                <c:pt idx="368">
                  <c:v>1.0252756783546028E-2</c:v>
                </c:pt>
                <c:pt idx="369">
                  <c:v>-2.9965762174868415E-2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C58E-4750-8856-70F1F96A87C9}"/>
            </c:ext>
          </c:extLst>
        </c:ser>
        <c:dLbls>
          <c:showLegendKey val="0"/>
          <c:showVal val="0"/>
          <c:showCatName val="0"/>
          <c:showSerName val="0"/>
          <c:showPercent val="0"/>
          <c:showBubbleSize val="0"/>
        </c:dLbls>
        <c:gapWidth val="219"/>
        <c:overlap val="-27"/>
        <c:axId val="504147584"/>
        <c:axId val="504147976"/>
      </c:barChart>
      <c:dateAx>
        <c:axId val="504147584"/>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976"/>
        <c:crosses val="autoZero"/>
        <c:auto val="0"/>
        <c:lblOffset val="100"/>
        <c:baseTimeUnit val="months"/>
      </c:dateAx>
      <c:valAx>
        <c:axId val="504147976"/>
        <c:scaling>
          <c:orientation val="minMax"/>
          <c:max val="0.1"/>
          <c:min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58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Table535141516[[#Headers],[mom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Other!$C$5</c:f>
              <c:strCache>
                <c:ptCount val="1"/>
                <c:pt idx="0">
                  <c:v>mom %</c:v>
                </c:pt>
              </c:strCache>
            </c:strRef>
          </c:tx>
          <c:spPr>
            <a:solidFill>
              <a:srgbClr val="92D050"/>
            </a:solidFill>
            <a:ln w="6350">
              <a:solidFill>
                <a:schemeClr val="tx1"/>
              </a:solidFill>
              <a:prstDash val="solid"/>
            </a:ln>
          </c:spPr>
          <c:invertIfNegative val="1"/>
          <c:cat>
            <c:numRef>
              <c:f>Other!$A$251:$A$379</c:f>
              <c:numCache>
                <c:formatCode>m/d/yyyy</c:formatCode>
                <c:ptCount val="129"/>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pt idx="115">
                  <c:v>44593</c:v>
                </c:pt>
                <c:pt idx="116">
                  <c:v>44621</c:v>
                </c:pt>
                <c:pt idx="117">
                  <c:v>44652</c:v>
                </c:pt>
                <c:pt idx="118">
                  <c:v>44682</c:v>
                </c:pt>
                <c:pt idx="119">
                  <c:v>44713</c:v>
                </c:pt>
                <c:pt idx="120">
                  <c:v>44743</c:v>
                </c:pt>
                <c:pt idx="121">
                  <c:v>44774</c:v>
                </c:pt>
                <c:pt idx="122">
                  <c:v>44805</c:v>
                </c:pt>
                <c:pt idx="123">
                  <c:v>44835</c:v>
                </c:pt>
                <c:pt idx="124">
                  <c:v>44866</c:v>
                </c:pt>
              </c:numCache>
            </c:numRef>
          </c:cat>
          <c:val>
            <c:numRef>
              <c:f>Other!$C$251:$C$379</c:f>
              <c:numCache>
                <c:formatCode>0.0%</c:formatCode>
                <c:ptCount val="129"/>
                <c:pt idx="0">
                  <c:v>3.6466485094216385E-2</c:v>
                </c:pt>
                <c:pt idx="1">
                  <c:v>-0.13811205441012103</c:v>
                </c:pt>
                <c:pt idx="2">
                  <c:v>0.11467652597380201</c:v>
                </c:pt>
                <c:pt idx="3">
                  <c:v>1.3880122278741074E-2</c:v>
                </c:pt>
                <c:pt idx="4">
                  <c:v>-3.6370627620681023E-2</c:v>
                </c:pt>
                <c:pt idx="5">
                  <c:v>9.9327345739222958E-2</c:v>
                </c:pt>
                <c:pt idx="6">
                  <c:v>-5.5086308220598741E-2</c:v>
                </c:pt>
                <c:pt idx="7">
                  <c:v>6.9315805198685396E-2</c:v>
                </c:pt>
                <c:pt idx="8">
                  <c:v>-0.11099896790233277</c:v>
                </c:pt>
                <c:pt idx="9">
                  <c:v>6.8779064173695517E-2</c:v>
                </c:pt>
                <c:pt idx="10">
                  <c:v>5.0951820822430806E-2</c:v>
                </c:pt>
                <c:pt idx="11">
                  <c:v>7.2699551159789405E-2</c:v>
                </c:pt>
                <c:pt idx="12">
                  <c:v>-0.12278478991104558</c:v>
                </c:pt>
                <c:pt idx="13">
                  <c:v>6.6754053791630253E-4</c:v>
                </c:pt>
                <c:pt idx="14">
                  <c:v>8.1610004002571346E-2</c:v>
                </c:pt>
                <c:pt idx="15">
                  <c:v>-4.1177229171689533E-2</c:v>
                </c:pt>
                <c:pt idx="16">
                  <c:v>3.1507482149853515E-2</c:v>
                </c:pt>
                <c:pt idx="17">
                  <c:v>1.0147679922900309E-3</c:v>
                </c:pt>
                <c:pt idx="18">
                  <c:v>-7.5260230838062228E-2</c:v>
                </c:pt>
                <c:pt idx="19">
                  <c:v>4.7842728970817892E-2</c:v>
                </c:pt>
                <c:pt idx="20">
                  <c:v>-8.7669567555246437E-4</c:v>
                </c:pt>
                <c:pt idx="21">
                  <c:v>2.9301479405897734E-2</c:v>
                </c:pt>
                <c:pt idx="22">
                  <c:v>-3.5844188319807221E-2</c:v>
                </c:pt>
                <c:pt idx="23">
                  <c:v>4.7863529994282311E-2</c:v>
                </c:pt>
                <c:pt idx="24">
                  <c:v>0.34019429709341897</c:v>
                </c:pt>
                <c:pt idx="25">
                  <c:v>-0.27710550064009737</c:v>
                </c:pt>
                <c:pt idx="26">
                  <c:v>2.8567115301986923E-3</c:v>
                </c:pt>
                <c:pt idx="27">
                  <c:v>-3.2503850206695308E-2</c:v>
                </c:pt>
                <c:pt idx="28">
                  <c:v>-2.5361451551129836E-2</c:v>
                </c:pt>
                <c:pt idx="29">
                  <c:v>-1.3815038129505238E-2</c:v>
                </c:pt>
                <c:pt idx="30">
                  <c:v>2.7705832544702895E-3</c:v>
                </c:pt>
                <c:pt idx="31">
                  <c:v>-3.2236233476757255E-2</c:v>
                </c:pt>
                <c:pt idx="32">
                  <c:v>3.7178656435853184E-2</c:v>
                </c:pt>
                <c:pt idx="33">
                  <c:v>-1.2259996041171813E-2</c:v>
                </c:pt>
                <c:pt idx="34">
                  <c:v>-4.4194085745419019E-2</c:v>
                </c:pt>
                <c:pt idx="35">
                  <c:v>9.1937755937755938E-2</c:v>
                </c:pt>
                <c:pt idx="36">
                  <c:v>-2.1715259485050133E-2</c:v>
                </c:pt>
                <c:pt idx="37">
                  <c:v>-4.0285086912253583E-2</c:v>
                </c:pt>
                <c:pt idx="38">
                  <c:v>-3.0152744935131336E-2</c:v>
                </c:pt>
                <c:pt idx="39">
                  <c:v>5.8002530444409298E-2</c:v>
                </c:pt>
                <c:pt idx="40">
                  <c:v>-2.3512338527847329E-2</c:v>
                </c:pt>
                <c:pt idx="41">
                  <c:v>-3.2778624688255445E-2</c:v>
                </c:pt>
                <c:pt idx="42">
                  <c:v>5.8632286995515696E-2</c:v>
                </c:pt>
                <c:pt idx="43">
                  <c:v>-6.3096847337897347E-2</c:v>
                </c:pt>
                <c:pt idx="44">
                  <c:v>6.1634818685921732E-3</c:v>
                </c:pt>
                <c:pt idx="45">
                  <c:v>7.6528623066299262E-2</c:v>
                </c:pt>
                <c:pt idx="46">
                  <c:v>-3.1667792032410533E-2</c:v>
                </c:pt>
                <c:pt idx="47">
                  <c:v>-8.5413087714182476E-2</c:v>
                </c:pt>
                <c:pt idx="48">
                  <c:v>6.5720800959265857E-2</c:v>
                </c:pt>
                <c:pt idx="49">
                  <c:v>5.9898932745400266E-3</c:v>
                </c:pt>
                <c:pt idx="50">
                  <c:v>-2.0228859581070596E-2</c:v>
                </c:pt>
                <c:pt idx="51">
                  <c:v>0.12291571814108782</c:v>
                </c:pt>
                <c:pt idx="52">
                  <c:v>-0.10046480470563349</c:v>
                </c:pt>
                <c:pt idx="53">
                  <c:v>5.2063599900706815E-3</c:v>
                </c:pt>
                <c:pt idx="54">
                  <c:v>-3.3987743616737827E-3</c:v>
                </c:pt>
                <c:pt idx="55">
                  <c:v>2.9649964787813975E-2</c:v>
                </c:pt>
                <c:pt idx="56">
                  <c:v>1.5642514708396928E-3</c:v>
                </c:pt>
                <c:pt idx="57">
                  <c:v>6.380018969332912E-3</c:v>
                </c:pt>
                <c:pt idx="58">
                  <c:v>-8.5826123561972625E-3</c:v>
                </c:pt>
                <c:pt idx="59">
                  <c:v>0.10539124042257896</c:v>
                </c:pt>
                <c:pt idx="60">
                  <c:v>-0.10398284629893993</c:v>
                </c:pt>
                <c:pt idx="61">
                  <c:v>1.9086802400726872E-2</c:v>
                </c:pt>
                <c:pt idx="62">
                  <c:v>3.1462494270699255E-2</c:v>
                </c:pt>
                <c:pt idx="63">
                  <c:v>-6.026296566837107E-4</c:v>
                </c:pt>
                <c:pt idx="64">
                  <c:v>-5.8472052186306573E-3</c:v>
                </c:pt>
                <c:pt idx="65">
                  <c:v>6.7344275552778138E-2</c:v>
                </c:pt>
                <c:pt idx="66">
                  <c:v>-8.5274922078145715E-2</c:v>
                </c:pt>
                <c:pt idx="67">
                  <c:v>4.6643699366830452E-2</c:v>
                </c:pt>
                <c:pt idx="68">
                  <c:v>5.2245338449547332E-2</c:v>
                </c:pt>
                <c:pt idx="69">
                  <c:v>-2.9024979487647005E-2</c:v>
                </c:pt>
                <c:pt idx="70">
                  <c:v>2.4828355143477497E-2</c:v>
                </c:pt>
                <c:pt idx="71">
                  <c:v>5.4225525506610703E-3</c:v>
                </c:pt>
                <c:pt idx="72">
                  <c:v>-5.6575620201836117E-2</c:v>
                </c:pt>
                <c:pt idx="73">
                  <c:v>6.046941214821254E-2</c:v>
                </c:pt>
                <c:pt idx="74">
                  <c:v>2.2143666285271901E-3</c:v>
                </c:pt>
                <c:pt idx="75">
                  <c:v>-3.1966375099397933E-2</c:v>
                </c:pt>
                <c:pt idx="76">
                  <c:v>-4.1887673676304922E-2</c:v>
                </c:pt>
                <c:pt idx="77">
                  <c:v>3.9426062354173175E-2</c:v>
                </c:pt>
                <c:pt idx="78">
                  <c:v>-5.4291791128314802E-2</c:v>
                </c:pt>
                <c:pt idx="79">
                  <c:v>-3.6245607914475814E-2</c:v>
                </c:pt>
                <c:pt idx="80">
                  <c:v>6.3472055230190436E-2</c:v>
                </c:pt>
                <c:pt idx="81">
                  <c:v>-4.4378392506549479E-2</c:v>
                </c:pt>
                <c:pt idx="82">
                  <c:v>-4.7278902910645224E-2</c:v>
                </c:pt>
                <c:pt idx="83">
                  <c:v>3.9457081244199943E-3</c:v>
                </c:pt>
                <c:pt idx="84">
                  <c:v>4.7089257451421125E-2</c:v>
                </c:pt>
                <c:pt idx="85">
                  <c:v>-4.9855514273919529E-3</c:v>
                </c:pt>
                <c:pt idx="86">
                  <c:v>-1.4310333822684623E-2</c:v>
                </c:pt>
                <c:pt idx="87">
                  <c:v>1.4233170150490844E-2</c:v>
                </c:pt>
                <c:pt idx="88">
                  <c:v>-6.001557851186904E-2</c:v>
                </c:pt>
                <c:pt idx="89">
                  <c:v>2.3358645891350713E-2</c:v>
                </c:pt>
                <c:pt idx="90">
                  <c:v>7.00228984833903E-2</c:v>
                </c:pt>
                <c:pt idx="91">
                  <c:v>2.5115528952020592E-2</c:v>
                </c:pt>
                <c:pt idx="92">
                  <c:v>-0.13417925258979571</c:v>
                </c:pt>
                <c:pt idx="93">
                  <c:v>-0.15569330975826234</c:v>
                </c:pt>
                <c:pt idx="94">
                  <c:v>0.12785259620398803</c:v>
                </c:pt>
                <c:pt idx="95">
                  <c:v>-5.849240772951114E-3</c:v>
                </c:pt>
                <c:pt idx="96">
                  <c:v>7.5882179241104381E-2</c:v>
                </c:pt>
                <c:pt idx="97">
                  <c:v>2.4996740748872984E-2</c:v>
                </c:pt>
                <c:pt idx="98">
                  <c:v>2.3650774524373752E-2</c:v>
                </c:pt>
                <c:pt idx="99">
                  <c:v>3.3122976817186019E-2</c:v>
                </c:pt>
                <c:pt idx="100">
                  <c:v>-1.3982782630712749E-2</c:v>
                </c:pt>
                <c:pt idx="101">
                  <c:v>1.6793883328732561E-2</c:v>
                </c:pt>
                <c:pt idx="102">
                  <c:v>3.2130162197655111E-2</c:v>
                </c:pt>
                <c:pt idx="103">
                  <c:v>2.7184418507915534E-2</c:v>
                </c:pt>
                <c:pt idx="104">
                  <c:v>1.4983325393044308E-2</c:v>
                </c:pt>
                <c:pt idx="105">
                  <c:v>-7.8563214344387344E-3</c:v>
                </c:pt>
                <c:pt idx="106">
                  <c:v>1.7144006103005968E-2</c:v>
                </c:pt>
                <c:pt idx="107">
                  <c:v>2.5558733924044744E-2</c:v>
                </c:pt>
                <c:pt idx="108">
                  <c:v>-1.0278243911288494E-2</c:v>
                </c:pt>
                <c:pt idx="109">
                  <c:v>3.055350299864245E-2</c:v>
                </c:pt>
                <c:pt idx="110">
                  <c:v>-1.4707108435743943E-2</c:v>
                </c:pt>
                <c:pt idx="111">
                  <c:v>7.1304867798292967E-3</c:v>
                </c:pt>
                <c:pt idx="112">
                  <c:v>1.2216365785213772E-2</c:v>
                </c:pt>
                <c:pt idx="113">
                  <c:v>3.0767187569170837E-3</c:v>
                </c:pt>
                <c:pt idx="114">
                  <c:v>4.5236886819515855E-2</c:v>
                </c:pt>
                <c:pt idx="115">
                  <c:v>-9.8011273671543483E-3</c:v>
                </c:pt>
                <c:pt idx="116">
                  <c:v>-3.7524452190969611E-3</c:v>
                </c:pt>
                <c:pt idx="117">
                  <c:v>7.2870464990610305E-3</c:v>
                </c:pt>
                <c:pt idx="118">
                  <c:v>5.4549607210958783E-3</c:v>
                </c:pt>
                <c:pt idx="119">
                  <c:v>2.7427943538162455E-2</c:v>
                </c:pt>
                <c:pt idx="120">
                  <c:v>-8.021060425321871E-4</c:v>
                </c:pt>
                <c:pt idx="121">
                  <c:v>1.0806249099479242E-3</c:v>
                </c:pt>
                <c:pt idx="122">
                  <c:v>-4.3075531247751125E-3</c:v>
                </c:pt>
                <c:pt idx="123">
                  <c:v>1.0252756783546028E-2</c:v>
                </c:pt>
                <c:pt idx="124">
                  <c:v>-2.9965762174868415E-2</c:v>
                </c:pt>
              </c:numCache>
            </c:numRef>
          </c:val>
          <c:extLst>
            <c:ext xmlns:c14="http://schemas.microsoft.com/office/drawing/2007/8/2/chart" uri="{6F2FDCE9-48DA-4B69-8628-5D25D57E5C99}">
              <c14:invertSolidFillFmt>
                <c14:spPr xmlns:c14="http://schemas.microsoft.com/office/drawing/2007/8/2/chart">
                  <a:solidFill>
                    <a:srgbClr val="FFFFFF"/>
                  </a:solidFill>
                  <a:ln w="6350">
                    <a:solidFill>
                      <a:schemeClr val="tx1"/>
                    </a:solidFill>
                    <a:prstDash val="solid"/>
                  </a:ln>
                </c14:spPr>
              </c14:invertSolidFillFmt>
            </c:ext>
            <c:ext xmlns:c16="http://schemas.microsoft.com/office/drawing/2014/chart" uri="{C3380CC4-5D6E-409C-BE32-E72D297353CC}">
              <c16:uniqueId val="{00000000-02CB-4807-946A-D619091FF7A5}"/>
            </c:ext>
          </c:extLst>
        </c:ser>
        <c:dLbls>
          <c:showLegendKey val="0"/>
          <c:showVal val="0"/>
          <c:showCatName val="0"/>
          <c:showSerName val="0"/>
          <c:showPercent val="0"/>
          <c:showBubbleSize val="0"/>
        </c:dLbls>
        <c:gapWidth val="219"/>
        <c:overlap val="-27"/>
        <c:axId val="504150328"/>
        <c:axId val="504150720"/>
      </c:barChart>
      <c:dateAx>
        <c:axId val="504150328"/>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720"/>
        <c:crosses val="autoZero"/>
        <c:auto val="0"/>
        <c:lblOffset val="100"/>
        <c:baseTimeUnit val="months"/>
        <c:majorUnit val="6"/>
        <c:majorTimeUnit val="months"/>
      </c:dateAx>
      <c:valAx>
        <c:axId val="5041507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328"/>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Table535141516[[#Headers],[Durable Goods]]</c:f>
          <c:strCache>
            <c:ptCount val="1"/>
            <c:pt idx="0">
              <c:v>Durable Goods</c:v>
            </c:pt>
          </c:strCache>
        </c:strRef>
      </c:tx>
      <c:overlay val="0"/>
      <c:spPr>
        <a:noFill/>
        <a:ln>
          <a:noFill/>
          <a:prstDash val="solid"/>
        </a:ln>
      </c:spPr>
    </c:title>
    <c:autoTitleDeleted val="0"/>
    <c:plotArea>
      <c:layout/>
      <c:lineChart>
        <c:grouping val="standard"/>
        <c:varyColors val="0"/>
        <c:ser>
          <c:idx val="0"/>
          <c:order val="0"/>
          <c:tx>
            <c:strRef>
              <c:f>Other!$B$1</c:f>
              <c:strCache>
                <c:ptCount val="1"/>
                <c:pt idx="0">
                  <c:v>New Orders - Manufacturing</c:v>
                </c:pt>
              </c:strCache>
            </c:strRef>
          </c:tx>
          <c:spPr>
            <a:ln w="28575" cap="rnd">
              <a:solidFill>
                <a:schemeClr val="accent1"/>
              </a:solidFill>
              <a:prstDash val="solid"/>
              <a:round/>
            </a:ln>
          </c:spPr>
          <c:marker>
            <c:symbol val="none"/>
          </c:marker>
          <c:cat>
            <c:numRef>
              <c:f>Other!$A$6:$A$378</c:f>
              <c:numCache>
                <c:formatCode>m/d/yyyy</c:formatCode>
                <c:ptCount val="373"/>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numCache>
            </c:numRef>
          </c:cat>
          <c:val>
            <c:numRef>
              <c:f>Other!$B$6:$B$378</c:f>
              <c:numCache>
                <c:formatCode>#,##0</c:formatCode>
                <c:ptCount val="373"/>
                <c:pt idx="0">
                  <c:v>82864</c:v>
                </c:pt>
                <c:pt idx="1">
                  <c:v>86424</c:v>
                </c:pt>
                <c:pt idx="2">
                  <c:v>90805</c:v>
                </c:pt>
                <c:pt idx="3">
                  <c:v>91120</c:v>
                </c:pt>
                <c:pt idx="4">
                  <c:v>88649</c:v>
                </c:pt>
                <c:pt idx="5">
                  <c:v>87342</c:v>
                </c:pt>
                <c:pt idx="6">
                  <c:v>85995</c:v>
                </c:pt>
                <c:pt idx="7">
                  <c:v>86668</c:v>
                </c:pt>
                <c:pt idx="8">
                  <c:v>93051</c:v>
                </c:pt>
                <c:pt idx="9">
                  <c:v>87613</c:v>
                </c:pt>
                <c:pt idx="10">
                  <c:v>91480</c:v>
                </c:pt>
                <c:pt idx="11">
                  <c:v>85937</c:v>
                </c:pt>
                <c:pt idx="12">
                  <c:v>92361</c:v>
                </c:pt>
                <c:pt idx="13">
                  <c:v>90529</c:v>
                </c:pt>
                <c:pt idx="14">
                  <c:v>91131</c:v>
                </c:pt>
                <c:pt idx="15">
                  <c:v>89831</c:v>
                </c:pt>
                <c:pt idx="16">
                  <c:v>93493</c:v>
                </c:pt>
                <c:pt idx="17">
                  <c:v>92023</c:v>
                </c:pt>
                <c:pt idx="18">
                  <c:v>94226</c:v>
                </c:pt>
                <c:pt idx="19">
                  <c:v>90477</c:v>
                </c:pt>
                <c:pt idx="20">
                  <c:v>94772</c:v>
                </c:pt>
                <c:pt idx="21">
                  <c:v>92009</c:v>
                </c:pt>
                <c:pt idx="22">
                  <c:v>94944</c:v>
                </c:pt>
                <c:pt idx="23">
                  <c:v>98647</c:v>
                </c:pt>
                <c:pt idx="24">
                  <c:v>97358</c:v>
                </c:pt>
                <c:pt idx="25">
                  <c:v>96706</c:v>
                </c:pt>
                <c:pt idx="26">
                  <c:v>99591</c:v>
                </c:pt>
                <c:pt idx="27">
                  <c:v>101522</c:v>
                </c:pt>
                <c:pt idx="28">
                  <c:v>103928</c:v>
                </c:pt>
                <c:pt idx="29">
                  <c:v>103538</c:v>
                </c:pt>
                <c:pt idx="30">
                  <c:v>103907</c:v>
                </c:pt>
                <c:pt idx="31">
                  <c:v>104150</c:v>
                </c:pt>
                <c:pt idx="32">
                  <c:v>107573</c:v>
                </c:pt>
                <c:pt idx="33">
                  <c:v>107130</c:v>
                </c:pt>
                <c:pt idx="34">
                  <c:v>108697</c:v>
                </c:pt>
                <c:pt idx="35">
                  <c:v>107635</c:v>
                </c:pt>
                <c:pt idx="36">
                  <c:v>110588</c:v>
                </c:pt>
                <c:pt idx="37">
                  <c:v>110175</c:v>
                </c:pt>
                <c:pt idx="38">
                  <c:v>108608</c:v>
                </c:pt>
                <c:pt idx="39">
                  <c:v>111257</c:v>
                </c:pt>
                <c:pt idx="40">
                  <c:v>108462</c:v>
                </c:pt>
                <c:pt idx="41">
                  <c:v>107267</c:v>
                </c:pt>
                <c:pt idx="42">
                  <c:v>112114</c:v>
                </c:pt>
                <c:pt idx="43">
                  <c:v>116838</c:v>
                </c:pt>
                <c:pt idx="44">
                  <c:v>112366</c:v>
                </c:pt>
                <c:pt idx="45">
                  <c:v>113784</c:v>
                </c:pt>
                <c:pt idx="46">
                  <c:v>119874</c:v>
                </c:pt>
                <c:pt idx="47">
                  <c:v>114288</c:v>
                </c:pt>
                <c:pt idx="48">
                  <c:v>109375</c:v>
                </c:pt>
                <c:pt idx="49">
                  <c:v>122567</c:v>
                </c:pt>
                <c:pt idx="50">
                  <c:v>112882</c:v>
                </c:pt>
                <c:pt idx="51">
                  <c:v>119613</c:v>
                </c:pt>
                <c:pt idx="52">
                  <c:v>118924</c:v>
                </c:pt>
                <c:pt idx="53">
                  <c:v>117941</c:v>
                </c:pt>
                <c:pt idx="54">
                  <c:v>112297</c:v>
                </c:pt>
                <c:pt idx="55">
                  <c:v>118848</c:v>
                </c:pt>
                <c:pt idx="56">
                  <c:v>119956</c:v>
                </c:pt>
                <c:pt idx="57">
                  <c:v>124724</c:v>
                </c:pt>
                <c:pt idx="58">
                  <c:v>117137</c:v>
                </c:pt>
                <c:pt idx="59">
                  <c:v>114626</c:v>
                </c:pt>
                <c:pt idx="60">
                  <c:v>122876</c:v>
                </c:pt>
                <c:pt idx="61">
                  <c:v>119668</c:v>
                </c:pt>
                <c:pt idx="62">
                  <c:v>125615</c:v>
                </c:pt>
                <c:pt idx="63">
                  <c:v>120972</c:v>
                </c:pt>
                <c:pt idx="64">
                  <c:v>126186</c:v>
                </c:pt>
                <c:pt idx="65">
                  <c:v>127337</c:v>
                </c:pt>
                <c:pt idx="66">
                  <c:v>127334</c:v>
                </c:pt>
                <c:pt idx="67">
                  <c:v>128051</c:v>
                </c:pt>
                <c:pt idx="68">
                  <c:v>128062</c:v>
                </c:pt>
                <c:pt idx="69">
                  <c:v>139761</c:v>
                </c:pt>
                <c:pt idx="70">
                  <c:v>122759</c:v>
                </c:pt>
                <c:pt idx="71">
                  <c:v>125004</c:v>
                </c:pt>
                <c:pt idx="72">
                  <c:v>129378</c:v>
                </c:pt>
                <c:pt idx="73">
                  <c:v>124823</c:v>
                </c:pt>
                <c:pt idx="74">
                  <c:v>129329</c:v>
                </c:pt>
                <c:pt idx="75">
                  <c:v>128089</c:v>
                </c:pt>
                <c:pt idx="76">
                  <c:v>123912</c:v>
                </c:pt>
                <c:pt idx="77">
                  <c:v>122090</c:v>
                </c:pt>
                <c:pt idx="78">
                  <c:v>127658</c:v>
                </c:pt>
                <c:pt idx="79">
                  <c:v>129434</c:v>
                </c:pt>
                <c:pt idx="80">
                  <c:v>125301</c:v>
                </c:pt>
                <c:pt idx="81">
                  <c:v>128665</c:v>
                </c:pt>
                <c:pt idx="82">
                  <c:v>124510</c:v>
                </c:pt>
                <c:pt idx="83">
                  <c:v>132005</c:v>
                </c:pt>
                <c:pt idx="84">
                  <c:v>129227</c:v>
                </c:pt>
                <c:pt idx="85">
                  <c:v>129753</c:v>
                </c:pt>
                <c:pt idx="86">
                  <c:v>128317</c:v>
                </c:pt>
                <c:pt idx="87">
                  <c:v>130315</c:v>
                </c:pt>
                <c:pt idx="88">
                  <c:v>127679</c:v>
                </c:pt>
                <c:pt idx="89">
                  <c:v>134617</c:v>
                </c:pt>
                <c:pt idx="90">
                  <c:v>133941</c:v>
                </c:pt>
                <c:pt idx="91">
                  <c:v>133870</c:v>
                </c:pt>
                <c:pt idx="92">
                  <c:v>139509</c:v>
                </c:pt>
                <c:pt idx="93">
                  <c:v>131897</c:v>
                </c:pt>
                <c:pt idx="94">
                  <c:v>141778</c:v>
                </c:pt>
                <c:pt idx="95">
                  <c:v>144856</c:v>
                </c:pt>
                <c:pt idx="96">
                  <c:v>130377</c:v>
                </c:pt>
                <c:pt idx="97">
                  <c:v>137161</c:v>
                </c:pt>
                <c:pt idx="98">
                  <c:v>139928</c:v>
                </c:pt>
                <c:pt idx="99">
                  <c:v>135833</c:v>
                </c:pt>
                <c:pt idx="100">
                  <c:v>165607</c:v>
                </c:pt>
                <c:pt idx="101">
                  <c:v>137103</c:v>
                </c:pt>
                <c:pt idx="102">
                  <c:v>138771</c:v>
                </c:pt>
                <c:pt idx="103">
                  <c:v>145618</c:v>
                </c:pt>
                <c:pt idx="104">
                  <c:v>134557</c:v>
                </c:pt>
                <c:pt idx="105">
                  <c:v>139206</c:v>
                </c:pt>
                <c:pt idx="106">
                  <c:v>137810</c:v>
                </c:pt>
                <c:pt idx="107">
                  <c:v>129101</c:v>
                </c:pt>
                <c:pt idx="108">
                  <c:v>130032</c:v>
                </c:pt>
                <c:pt idx="109">
                  <c:v>131606</c:v>
                </c:pt>
                <c:pt idx="110">
                  <c:v>123025</c:v>
                </c:pt>
                <c:pt idx="111">
                  <c:v>126796</c:v>
                </c:pt>
                <c:pt idx="112">
                  <c:v>126051</c:v>
                </c:pt>
                <c:pt idx="113">
                  <c:v>120027</c:v>
                </c:pt>
                <c:pt idx="114">
                  <c:v>120481</c:v>
                </c:pt>
                <c:pt idx="115">
                  <c:v>115746</c:v>
                </c:pt>
                <c:pt idx="116">
                  <c:v>122937</c:v>
                </c:pt>
                <c:pt idx="117">
                  <c:v>114240</c:v>
                </c:pt>
                <c:pt idx="118">
                  <c:v>114782</c:v>
                </c:pt>
                <c:pt idx="119">
                  <c:v>112406</c:v>
                </c:pt>
                <c:pt idx="120">
                  <c:v>122233</c:v>
                </c:pt>
                <c:pt idx="121">
                  <c:v>118940</c:v>
                </c:pt>
                <c:pt idx="122">
                  <c:v>118664</c:v>
                </c:pt>
                <c:pt idx="123">
                  <c:v>119235</c:v>
                </c:pt>
                <c:pt idx="124">
                  <c:v>113950</c:v>
                </c:pt>
                <c:pt idx="125">
                  <c:v>120438</c:v>
                </c:pt>
                <c:pt idx="126">
                  <c:v>122932</c:v>
                </c:pt>
                <c:pt idx="127">
                  <c:v>115066</c:v>
                </c:pt>
                <c:pt idx="128">
                  <c:v>115754</c:v>
                </c:pt>
                <c:pt idx="129">
                  <c:v>117084</c:v>
                </c:pt>
                <c:pt idx="130">
                  <c:v>112831</c:v>
                </c:pt>
                <c:pt idx="131">
                  <c:v>116048</c:v>
                </c:pt>
                <c:pt idx="132">
                  <c:v>121274</c:v>
                </c:pt>
                <c:pt idx="133">
                  <c:v>119034</c:v>
                </c:pt>
                <c:pt idx="134">
                  <c:v>117051</c:v>
                </c:pt>
                <c:pt idx="135">
                  <c:v>118306</c:v>
                </c:pt>
                <c:pt idx="136">
                  <c:v>119931</c:v>
                </c:pt>
                <c:pt idx="137">
                  <c:v>117404</c:v>
                </c:pt>
                <c:pt idx="138">
                  <c:v>119296</c:v>
                </c:pt>
                <c:pt idx="139">
                  <c:v>121830</c:v>
                </c:pt>
                <c:pt idx="140">
                  <c:v>127269</c:v>
                </c:pt>
                <c:pt idx="141">
                  <c:v>125879</c:v>
                </c:pt>
                <c:pt idx="142">
                  <c:v>126251</c:v>
                </c:pt>
                <c:pt idx="143">
                  <c:v>124471</c:v>
                </c:pt>
                <c:pt idx="144">
                  <c:v>126174</c:v>
                </c:pt>
                <c:pt idx="145">
                  <c:v>132836</c:v>
                </c:pt>
                <c:pt idx="146">
                  <c:v>127885</c:v>
                </c:pt>
                <c:pt idx="147">
                  <c:v>128297</c:v>
                </c:pt>
                <c:pt idx="148">
                  <c:v>129908</c:v>
                </c:pt>
                <c:pt idx="149">
                  <c:v>134104</c:v>
                </c:pt>
                <c:pt idx="150">
                  <c:v>127182</c:v>
                </c:pt>
                <c:pt idx="151">
                  <c:v>132132</c:v>
                </c:pt>
                <c:pt idx="152">
                  <c:v>129177</c:v>
                </c:pt>
                <c:pt idx="153">
                  <c:v>135582</c:v>
                </c:pt>
                <c:pt idx="154">
                  <c:v>135216</c:v>
                </c:pt>
                <c:pt idx="155">
                  <c:v>137025</c:v>
                </c:pt>
                <c:pt idx="156">
                  <c:v>138279</c:v>
                </c:pt>
                <c:pt idx="157">
                  <c:v>130044</c:v>
                </c:pt>
                <c:pt idx="158">
                  <c:v>135587</c:v>
                </c:pt>
                <c:pt idx="159">
                  <c:v>148200</c:v>
                </c:pt>
                <c:pt idx="160">
                  <c:v>151407</c:v>
                </c:pt>
                <c:pt idx="161">
                  <c:v>136292</c:v>
                </c:pt>
                <c:pt idx="162">
                  <c:v>145606</c:v>
                </c:pt>
                <c:pt idx="163">
                  <c:v>142335</c:v>
                </c:pt>
                <c:pt idx="164">
                  <c:v>148450</c:v>
                </c:pt>
                <c:pt idx="165">
                  <c:v>160126</c:v>
                </c:pt>
                <c:pt idx="166">
                  <c:v>159419</c:v>
                </c:pt>
                <c:pt idx="167">
                  <c:v>146814</c:v>
                </c:pt>
                <c:pt idx="168">
                  <c:v>156798</c:v>
                </c:pt>
                <c:pt idx="169">
                  <c:v>163893</c:v>
                </c:pt>
                <c:pt idx="170">
                  <c:v>154052</c:v>
                </c:pt>
                <c:pt idx="171">
                  <c:v>153173</c:v>
                </c:pt>
                <c:pt idx="172">
                  <c:v>158892</c:v>
                </c:pt>
                <c:pt idx="173">
                  <c:v>152012</c:v>
                </c:pt>
                <c:pt idx="174">
                  <c:v>150763</c:v>
                </c:pt>
                <c:pt idx="175">
                  <c:v>176642</c:v>
                </c:pt>
                <c:pt idx="176">
                  <c:v>158286</c:v>
                </c:pt>
                <c:pt idx="177">
                  <c:v>165969</c:v>
                </c:pt>
                <c:pt idx="178">
                  <c:v>166342</c:v>
                </c:pt>
                <c:pt idx="179">
                  <c:v>163751</c:v>
                </c:pt>
                <c:pt idx="180">
                  <c:v>161671</c:v>
                </c:pt>
                <c:pt idx="181">
                  <c:v>169322</c:v>
                </c:pt>
                <c:pt idx="182">
                  <c:v>173518</c:v>
                </c:pt>
                <c:pt idx="183">
                  <c:v>168025</c:v>
                </c:pt>
                <c:pt idx="184">
                  <c:v>168611</c:v>
                </c:pt>
                <c:pt idx="185">
                  <c:v>172388</c:v>
                </c:pt>
                <c:pt idx="186">
                  <c:v>174874</c:v>
                </c:pt>
                <c:pt idx="187">
                  <c:v>167739</c:v>
                </c:pt>
                <c:pt idx="188">
                  <c:v>171492</c:v>
                </c:pt>
                <c:pt idx="189">
                  <c:v>168015</c:v>
                </c:pt>
                <c:pt idx="190">
                  <c:v>186161</c:v>
                </c:pt>
                <c:pt idx="191">
                  <c:v>180937</c:v>
                </c:pt>
                <c:pt idx="192">
                  <c:v>177311</c:v>
                </c:pt>
                <c:pt idx="193">
                  <c:v>179954</c:v>
                </c:pt>
                <c:pt idx="194">
                  <c:v>175116</c:v>
                </c:pt>
                <c:pt idx="195">
                  <c:v>172674</c:v>
                </c:pt>
                <c:pt idx="196">
                  <c:v>174406</c:v>
                </c:pt>
                <c:pt idx="197">
                  <c:v>167115</c:v>
                </c:pt>
                <c:pt idx="198">
                  <c:v>161832</c:v>
                </c:pt>
                <c:pt idx="199">
                  <c:v>162265</c:v>
                </c:pt>
                <c:pt idx="200">
                  <c:v>141208</c:v>
                </c:pt>
                <c:pt idx="201">
                  <c:v>132791</c:v>
                </c:pt>
                <c:pt idx="202">
                  <c:v>127770</c:v>
                </c:pt>
                <c:pt idx="203">
                  <c:v>108060</c:v>
                </c:pt>
                <c:pt idx="204">
                  <c:v>105786</c:v>
                </c:pt>
                <c:pt idx="205">
                  <c:v>103874</c:v>
                </c:pt>
                <c:pt idx="206">
                  <c:v>105714</c:v>
                </c:pt>
                <c:pt idx="207">
                  <c:v>108460</c:v>
                </c:pt>
                <c:pt idx="208">
                  <c:v>107285</c:v>
                </c:pt>
                <c:pt idx="209">
                  <c:v>111891</c:v>
                </c:pt>
                <c:pt idx="210">
                  <c:v>114790</c:v>
                </c:pt>
                <c:pt idx="211">
                  <c:v>114607</c:v>
                </c:pt>
                <c:pt idx="212">
                  <c:v>117510</c:v>
                </c:pt>
                <c:pt idx="213">
                  <c:v>115535</c:v>
                </c:pt>
                <c:pt idx="214">
                  <c:v>115220</c:v>
                </c:pt>
                <c:pt idx="215">
                  <c:v>134068</c:v>
                </c:pt>
                <c:pt idx="216">
                  <c:v>135156</c:v>
                </c:pt>
                <c:pt idx="217">
                  <c:v>135916</c:v>
                </c:pt>
                <c:pt idx="218">
                  <c:v>135504</c:v>
                </c:pt>
                <c:pt idx="219">
                  <c:v>141747</c:v>
                </c:pt>
                <c:pt idx="220">
                  <c:v>137251</c:v>
                </c:pt>
                <c:pt idx="221">
                  <c:v>137391</c:v>
                </c:pt>
                <c:pt idx="222">
                  <c:v>141407</c:v>
                </c:pt>
                <c:pt idx="223">
                  <c:v>151095</c:v>
                </c:pt>
                <c:pt idx="224">
                  <c:v>142783</c:v>
                </c:pt>
                <c:pt idx="225">
                  <c:v>147906</c:v>
                </c:pt>
                <c:pt idx="226">
                  <c:v>143125</c:v>
                </c:pt>
                <c:pt idx="227">
                  <c:v>152922</c:v>
                </c:pt>
                <c:pt idx="228">
                  <c:v>146046</c:v>
                </c:pt>
                <c:pt idx="229">
                  <c:v>160009</c:v>
                </c:pt>
                <c:pt idx="230">
                  <c:v>150734</c:v>
                </c:pt>
                <c:pt idx="231">
                  <c:v>157155</c:v>
                </c:pt>
                <c:pt idx="232">
                  <c:v>150694</c:v>
                </c:pt>
                <c:pt idx="233">
                  <c:v>153291</c:v>
                </c:pt>
                <c:pt idx="234">
                  <c:v>164357</c:v>
                </c:pt>
                <c:pt idx="235">
                  <c:v>153647</c:v>
                </c:pt>
                <c:pt idx="236">
                  <c:v>157127</c:v>
                </c:pt>
                <c:pt idx="237">
                  <c:v>162380</c:v>
                </c:pt>
                <c:pt idx="238">
                  <c:v>170486</c:v>
                </c:pt>
                <c:pt idx="239">
                  <c:v>170545</c:v>
                </c:pt>
                <c:pt idx="240">
                  <c:v>172690</c:v>
                </c:pt>
                <c:pt idx="241">
                  <c:v>164744</c:v>
                </c:pt>
                <c:pt idx="242">
                  <c:v>161383</c:v>
                </c:pt>
                <c:pt idx="243">
                  <c:v>162004</c:v>
                </c:pt>
                <c:pt idx="244">
                  <c:v>162286</c:v>
                </c:pt>
                <c:pt idx="245">
                  <c:v>168204</c:v>
                </c:pt>
                <c:pt idx="246">
                  <c:v>144973</c:v>
                </c:pt>
                <c:pt idx="247">
                  <c:v>161598</c:v>
                </c:pt>
                <c:pt idx="248">
                  <c:v>163841</c:v>
                </c:pt>
                <c:pt idx="249">
                  <c:v>157882</c:v>
                </c:pt>
                <c:pt idx="250">
                  <c:v>173564</c:v>
                </c:pt>
                <c:pt idx="251">
                  <c:v>164003</c:v>
                </c:pt>
                <c:pt idx="252">
                  <c:v>175371</c:v>
                </c:pt>
                <c:pt idx="253">
                  <c:v>155905</c:v>
                </c:pt>
                <c:pt idx="254">
                  <c:v>166628</c:v>
                </c:pt>
                <c:pt idx="255">
                  <c:v>175118</c:v>
                </c:pt>
                <c:pt idx="256">
                  <c:v>187849</c:v>
                </c:pt>
                <c:pt idx="257">
                  <c:v>164784</c:v>
                </c:pt>
                <c:pt idx="258">
                  <c:v>164894</c:v>
                </c:pt>
                <c:pt idx="259">
                  <c:v>178351</c:v>
                </c:pt>
                <c:pt idx="260">
                  <c:v>171007</c:v>
                </c:pt>
                <c:pt idx="261">
                  <c:v>176395</c:v>
                </c:pt>
                <c:pt idx="262">
                  <c:v>176574</c:v>
                </c:pt>
                <c:pt idx="263">
                  <c:v>163285</c:v>
                </c:pt>
                <c:pt idx="264">
                  <c:v>171097</c:v>
                </c:pt>
                <c:pt idx="265">
                  <c:v>170947</c:v>
                </c:pt>
                <c:pt idx="266">
                  <c:v>175956</c:v>
                </c:pt>
                <c:pt idx="267">
                  <c:v>169649</c:v>
                </c:pt>
                <c:pt idx="268">
                  <c:v>177769</c:v>
                </c:pt>
                <c:pt idx="269">
                  <c:v>238245</c:v>
                </c:pt>
                <c:pt idx="270">
                  <c:v>172226</c:v>
                </c:pt>
                <c:pt idx="271">
                  <c:v>172718</c:v>
                </c:pt>
                <c:pt idx="272">
                  <c:v>167104</c:v>
                </c:pt>
                <c:pt idx="273">
                  <c:v>162866</c:v>
                </c:pt>
                <c:pt idx="274">
                  <c:v>160616</c:v>
                </c:pt>
                <c:pt idx="275">
                  <c:v>161061</c:v>
                </c:pt>
                <c:pt idx="276">
                  <c:v>155869</c:v>
                </c:pt>
                <c:pt idx="277">
                  <c:v>161664</c:v>
                </c:pt>
                <c:pt idx="278">
                  <c:v>159682</c:v>
                </c:pt>
                <c:pt idx="279">
                  <c:v>152625</c:v>
                </c:pt>
                <c:pt idx="280">
                  <c:v>166657</c:v>
                </c:pt>
                <c:pt idx="281">
                  <c:v>163038</c:v>
                </c:pt>
                <c:pt idx="282">
                  <c:v>156470</c:v>
                </c:pt>
                <c:pt idx="283">
                  <c:v>151752</c:v>
                </c:pt>
                <c:pt idx="284">
                  <c:v>160554</c:v>
                </c:pt>
                <c:pt idx="285">
                  <c:v>156779</c:v>
                </c:pt>
                <c:pt idx="286">
                  <c:v>151640</c:v>
                </c:pt>
                <c:pt idx="287">
                  <c:v>160531</c:v>
                </c:pt>
                <c:pt idx="288">
                  <c:v>150402</c:v>
                </c:pt>
                <c:pt idx="289">
                  <c:v>151329</c:v>
                </c:pt>
                <c:pt idx="290">
                  <c:v>162910</c:v>
                </c:pt>
                <c:pt idx="291">
                  <c:v>157751</c:v>
                </c:pt>
                <c:pt idx="292">
                  <c:v>144277</c:v>
                </c:pt>
                <c:pt idx="293">
                  <c:v>153759</c:v>
                </c:pt>
                <c:pt idx="294">
                  <c:v>154680</c:v>
                </c:pt>
                <c:pt idx="295">
                  <c:v>151551</c:v>
                </c:pt>
                <c:pt idx="296">
                  <c:v>170179</c:v>
                </c:pt>
                <c:pt idx="297">
                  <c:v>153082</c:v>
                </c:pt>
                <c:pt idx="298">
                  <c:v>153879</c:v>
                </c:pt>
                <c:pt idx="299">
                  <c:v>153356</c:v>
                </c:pt>
                <c:pt idx="300">
                  <c:v>157903</c:v>
                </c:pt>
                <c:pt idx="301">
                  <c:v>158150</c:v>
                </c:pt>
                <c:pt idx="302">
                  <c:v>159159</c:v>
                </c:pt>
                <c:pt idx="303">
                  <c:v>157793</c:v>
                </c:pt>
                <c:pt idx="304">
                  <c:v>174423</c:v>
                </c:pt>
                <c:pt idx="305">
                  <c:v>156286</c:v>
                </c:pt>
                <c:pt idx="306">
                  <c:v>159269</c:v>
                </c:pt>
                <c:pt idx="307">
                  <c:v>164280</c:v>
                </c:pt>
                <c:pt idx="308">
                  <c:v>164181</c:v>
                </c:pt>
                <c:pt idx="309">
                  <c:v>163221</c:v>
                </c:pt>
                <c:pt idx="310">
                  <c:v>174213</c:v>
                </c:pt>
                <c:pt idx="311">
                  <c:v>159357</c:v>
                </c:pt>
                <c:pt idx="312">
                  <c:v>166790</c:v>
                </c:pt>
                <c:pt idx="313">
                  <c:v>175504</c:v>
                </c:pt>
                <c:pt idx="314">
                  <c:v>170410</c:v>
                </c:pt>
                <c:pt idx="315">
                  <c:v>174641</c:v>
                </c:pt>
                <c:pt idx="316">
                  <c:v>175588</c:v>
                </c:pt>
                <c:pt idx="317">
                  <c:v>165654</c:v>
                </c:pt>
                <c:pt idx="318">
                  <c:v>175671</c:v>
                </c:pt>
                <c:pt idx="319">
                  <c:v>176060</c:v>
                </c:pt>
                <c:pt idx="320">
                  <c:v>170432</c:v>
                </c:pt>
                <c:pt idx="321">
                  <c:v>163293</c:v>
                </c:pt>
                <c:pt idx="322">
                  <c:v>169731</c:v>
                </c:pt>
                <c:pt idx="323">
                  <c:v>160516</c:v>
                </c:pt>
                <c:pt idx="324">
                  <c:v>154698</c:v>
                </c:pt>
                <c:pt idx="325">
                  <c:v>164517</c:v>
                </c:pt>
                <c:pt idx="326">
                  <c:v>157216</c:v>
                </c:pt>
                <c:pt idx="327">
                  <c:v>149783</c:v>
                </c:pt>
                <c:pt idx="328">
                  <c:v>150374</c:v>
                </c:pt>
                <c:pt idx="329">
                  <c:v>157455</c:v>
                </c:pt>
                <c:pt idx="330">
                  <c:v>156670</c:v>
                </c:pt>
                <c:pt idx="331">
                  <c:v>154428</c:v>
                </c:pt>
                <c:pt idx="332">
                  <c:v>156626</c:v>
                </c:pt>
                <c:pt idx="333">
                  <c:v>147226</c:v>
                </c:pt>
                <c:pt idx="334">
                  <c:v>150665</c:v>
                </c:pt>
                <c:pt idx="335">
                  <c:v>161215</c:v>
                </c:pt>
                <c:pt idx="336">
                  <c:v>165264</c:v>
                </c:pt>
                <c:pt idx="337">
                  <c:v>143089</c:v>
                </c:pt>
                <c:pt idx="338">
                  <c:v>120811</c:v>
                </c:pt>
                <c:pt idx="339">
                  <c:v>136257</c:v>
                </c:pt>
                <c:pt idx="340">
                  <c:v>135460</c:v>
                </c:pt>
                <c:pt idx="341">
                  <c:v>145739</c:v>
                </c:pt>
                <c:pt idx="342">
                  <c:v>149382</c:v>
                </c:pt>
                <c:pt idx="343">
                  <c:v>152915</c:v>
                </c:pt>
                <c:pt idx="344">
                  <c:v>157980</c:v>
                </c:pt>
                <c:pt idx="345">
                  <c:v>155771</c:v>
                </c:pt>
                <c:pt idx="346">
                  <c:v>158387</c:v>
                </c:pt>
                <c:pt idx="347">
                  <c:v>163476</c:v>
                </c:pt>
                <c:pt idx="348">
                  <c:v>167920</c:v>
                </c:pt>
                <c:pt idx="349">
                  <c:v>170436</c:v>
                </c:pt>
                <c:pt idx="350">
                  <c:v>169097</c:v>
                </c:pt>
                <c:pt idx="351">
                  <c:v>171996</c:v>
                </c:pt>
                <c:pt idx="352">
                  <c:v>176392</c:v>
                </c:pt>
                <c:pt idx="353">
                  <c:v>174579</c:v>
                </c:pt>
                <c:pt idx="354">
                  <c:v>179913</c:v>
                </c:pt>
                <c:pt idx="355">
                  <c:v>177267</c:v>
                </c:pt>
                <c:pt idx="356">
                  <c:v>178531</c:v>
                </c:pt>
                <c:pt idx="357">
                  <c:v>180712</c:v>
                </c:pt>
                <c:pt idx="358">
                  <c:v>181268</c:v>
                </c:pt>
                <c:pt idx="359">
                  <c:v>189468</c:v>
                </c:pt>
                <c:pt idx="360">
                  <c:v>187611</c:v>
                </c:pt>
                <c:pt idx="361">
                  <c:v>186907</c:v>
                </c:pt>
                <c:pt idx="362">
                  <c:v>188269</c:v>
                </c:pt>
                <c:pt idx="363">
                  <c:v>189296</c:v>
                </c:pt>
                <c:pt idx="364">
                  <c:v>194488</c:v>
                </c:pt>
                <c:pt idx="365">
                  <c:v>194332</c:v>
                </c:pt>
                <c:pt idx="366">
                  <c:v>194542</c:v>
                </c:pt>
                <c:pt idx="367">
                  <c:v>193704</c:v>
                </c:pt>
                <c:pt idx="368">
                  <c:v>195690</c:v>
                </c:pt>
                <c:pt idx="369">
                  <c:v>189826</c:v>
                </c:pt>
              </c:numCache>
            </c:numRef>
          </c:val>
          <c:smooth val="0"/>
          <c:extLst>
            <c:ext xmlns:c16="http://schemas.microsoft.com/office/drawing/2014/chart" uri="{C3380CC4-5D6E-409C-BE32-E72D297353CC}">
              <c16:uniqueId val="{00000000-858D-4C58-A09D-6CE8C39EDDF6}"/>
            </c:ext>
          </c:extLst>
        </c:ser>
        <c:dLbls>
          <c:showLegendKey val="0"/>
          <c:showVal val="0"/>
          <c:showCatName val="0"/>
          <c:showSerName val="0"/>
          <c:showPercent val="0"/>
          <c:showBubbleSize val="0"/>
        </c:dLbls>
        <c:smooth val="0"/>
        <c:axId val="504145232"/>
        <c:axId val="504145624"/>
      </c:lineChart>
      <c:dateAx>
        <c:axId val="504145232"/>
        <c:scaling>
          <c:orientation val="minMax"/>
          <c:min val="3981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11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4"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4"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3</xdr:col>
      <xdr:colOff>230187</xdr:colOff>
      <xdr:row>328</xdr:row>
      <xdr:rowOff>79375</xdr:rowOff>
    </xdr:from>
    <xdr:to>
      <xdr:col>12</xdr:col>
      <xdr:colOff>642938</xdr:colOff>
      <xdr:row>349</xdr:row>
      <xdr:rowOff>34925</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230186</xdr:colOff>
      <xdr:row>328</xdr:row>
      <xdr:rowOff>63500</xdr:rowOff>
    </xdr:from>
    <xdr:to>
      <xdr:col>23</xdr:col>
      <xdr:colOff>507999</xdr:colOff>
      <xdr:row>348</xdr:row>
      <xdr:rowOff>161925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217487</xdr:colOff>
      <xdr:row>349</xdr:row>
      <xdr:rowOff>133350</xdr:rowOff>
    </xdr:from>
    <xdr:to>
      <xdr:col>23</xdr:col>
      <xdr:colOff>420687</xdr:colOff>
      <xdr:row>370</xdr:row>
      <xdr:rowOff>174625</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225424</xdr:colOff>
      <xdr:row>349</xdr:row>
      <xdr:rowOff>157163</xdr:rowOff>
    </xdr:from>
    <xdr:to>
      <xdr:col>12</xdr:col>
      <xdr:colOff>627061</xdr:colOff>
      <xdr:row>370</xdr:row>
      <xdr:rowOff>166687</xdr:rowOff>
    </xdr:to>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587375</xdr:colOff>
      <xdr:row>334</xdr:row>
      <xdr:rowOff>106893</xdr:rowOff>
    </xdr:from>
    <xdr:to>
      <xdr:col>14</xdr:col>
      <xdr:colOff>547158</xdr:colOff>
      <xdr:row>356</xdr:row>
      <xdr:rowOff>112184</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592666</xdr:colOff>
      <xdr:row>356</xdr:row>
      <xdr:rowOff>168804</xdr:rowOff>
    </xdr:from>
    <xdr:to>
      <xdr:col>14</xdr:col>
      <xdr:colOff>548216</xdr:colOff>
      <xdr:row>379</xdr:row>
      <xdr:rowOff>177800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26458</xdr:colOff>
      <xdr:row>334</xdr:row>
      <xdr:rowOff>71437</xdr:rowOff>
    </xdr:from>
    <xdr:to>
      <xdr:col>26</xdr:col>
      <xdr:colOff>268815</xdr:colOff>
      <xdr:row>356</xdr:row>
      <xdr:rowOff>122766</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30692</xdr:colOff>
      <xdr:row>356</xdr:row>
      <xdr:rowOff>178857</xdr:rowOff>
    </xdr:from>
    <xdr:to>
      <xdr:col>26</xdr:col>
      <xdr:colOff>240241</xdr:colOff>
      <xdr:row>380</xdr:row>
      <xdr:rowOff>44450</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256931</xdr:colOff>
      <xdr:row>335</xdr:row>
      <xdr:rowOff>135426</xdr:rowOff>
    </xdr:from>
    <xdr:to>
      <xdr:col>13</xdr:col>
      <xdr:colOff>117964</xdr:colOff>
      <xdr:row>355</xdr:row>
      <xdr:rowOff>167175</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258151</xdr:colOff>
      <xdr:row>335</xdr:row>
      <xdr:rowOff>132616</xdr:rowOff>
    </xdr:from>
    <xdr:to>
      <xdr:col>24</xdr:col>
      <xdr:colOff>103308</xdr:colOff>
      <xdr:row>356</xdr:row>
      <xdr:rowOff>5005</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214922</xdr:colOff>
      <xdr:row>356</xdr:row>
      <xdr:rowOff>94516</xdr:rowOff>
    </xdr:from>
    <xdr:to>
      <xdr:col>24</xdr:col>
      <xdr:colOff>88655</xdr:colOff>
      <xdr:row>378</xdr:row>
      <xdr:rowOff>150079</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233118</xdr:colOff>
      <xdr:row>356</xdr:row>
      <xdr:rowOff>127609</xdr:rowOff>
    </xdr:from>
    <xdr:to>
      <xdr:col>13</xdr:col>
      <xdr:colOff>116376</xdr:colOff>
      <xdr:row>378</xdr:row>
      <xdr:rowOff>143484</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445558</xdr:colOff>
      <xdr:row>335</xdr:row>
      <xdr:rowOff>26610</xdr:rowOff>
    </xdr:from>
    <xdr:to>
      <xdr:col>14</xdr:col>
      <xdr:colOff>273050</xdr:colOff>
      <xdr:row>356</xdr:row>
      <xdr:rowOff>70531</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418344</xdr:colOff>
      <xdr:row>334</xdr:row>
      <xdr:rowOff>152401</xdr:rowOff>
    </xdr:from>
    <xdr:to>
      <xdr:col>25</xdr:col>
      <xdr:colOff>413053</xdr:colOff>
      <xdr:row>356</xdr:row>
      <xdr:rowOff>10056</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415019</xdr:colOff>
      <xdr:row>356</xdr:row>
      <xdr:rowOff>146352</xdr:rowOff>
    </xdr:from>
    <xdr:to>
      <xdr:col>25</xdr:col>
      <xdr:colOff>321885</xdr:colOff>
      <xdr:row>379</xdr:row>
      <xdr:rowOff>142118</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453874</xdr:colOff>
      <xdr:row>357</xdr:row>
      <xdr:rowOff>6048</xdr:rowOff>
    </xdr:from>
    <xdr:to>
      <xdr:col>14</xdr:col>
      <xdr:colOff>278190</xdr:colOff>
      <xdr:row>379</xdr:row>
      <xdr:rowOff>98727</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53514" displayName="Table53514" ref="A5:C375" totalsRowShown="0" headerRowDxfId="23" dataDxfId="21" headerRowBorderDxfId="22">
  <autoFilter ref="A5:C375" xr:uid="{00000000-0009-0000-0100-000001000000}"/>
  <tableColumns count="3">
    <tableColumn id="1" xr3:uid="{00000000-0010-0000-0000-000001000000}" name="Date" dataDxfId="20"/>
    <tableColumn id="2" xr3:uid="{00000000-0010-0000-0000-000002000000}" name="Manufacturers' New Orders: Durable Goods" dataDxfId="19">
      <calculatedColumnFormula>VLOOKUP(A6,Database!A:M,MATCH($A$1,Database!$A$1:$M$1,),)</calculatedColumnFormula>
    </tableColumn>
    <tableColumn id="5" xr3:uid="{00000000-0010-0000-0000-000005000000}" name="mom %" dataDxfId="1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535" displayName="Table535" ref="A5:C375" totalsRowShown="0" headerRowDxfId="17" dataDxfId="15" headerRowBorderDxfId="16">
  <autoFilter ref="A5:C375" xr:uid="{00000000-0009-0000-0100-000002000000}"/>
  <tableColumns count="3">
    <tableColumn id="1" xr3:uid="{00000000-0010-0000-0100-000001000000}" name="Date" dataDxfId="14"/>
    <tableColumn id="2" xr3:uid="{00000000-0010-0000-0100-000002000000}" name="New Orders - Nondefense Capital Goods Excluding Aircraft" dataDxfId="13">
      <calculatedColumnFormula>VLOOKUP(A6,Database!A:M,MATCH($A$1,Database!$A$1:$M$1,),)</calculatedColumnFormula>
    </tableColumn>
    <tableColumn id="5" xr3:uid="{00000000-0010-0000-0100-000005000000}" name="mom %" dataDxfId="1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5351415" displayName="Table5351415" ref="A5:C375" totalsRowShown="0" headerRowDxfId="11" dataDxfId="9" headerRowBorderDxfId="10">
  <autoFilter ref="A5:C375" xr:uid="{00000000-0009-0000-0100-000003000000}"/>
  <tableColumns count="3">
    <tableColumn id="1" xr3:uid="{00000000-0010-0000-0200-000001000000}" name="Date" dataDxfId="8"/>
    <tableColumn id="2" xr3:uid="{00000000-0010-0000-0200-000002000000}" name="New Orders ex Transport" dataDxfId="7">
      <calculatedColumnFormula>VLOOKUP(A6,Database!A:M,MATCH($A$1,Database!$A$1:$M$1,),)</calculatedColumnFormula>
    </tableColumn>
    <tableColumn id="5" xr3:uid="{00000000-0010-0000-0200-000005000000}" name="mom %" dataDxfId="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535141516" displayName="Table535141516" ref="A5:C375" totalsRowShown="0" headerRowDxfId="5" dataDxfId="3" headerRowBorderDxfId="4">
  <autoFilter ref="A5:C375" xr:uid="{00000000-0009-0000-0100-000004000000}"/>
  <tableColumns count="3">
    <tableColumn id="1" xr3:uid="{00000000-0010-0000-0300-000001000000}" name="Date" dataDxfId="2"/>
    <tableColumn id="2" xr3:uid="{00000000-0010-0000-0300-000002000000}" name="Durable Goods" dataDxfId="1">
      <calculatedColumnFormula>VLOOKUP(A6,Database!A:M,MATCH($A$1,Database!$A$1:$M$1,),)</calculatedColumnFormula>
    </tableColumn>
    <tableColumn id="5" xr3:uid="{00000000-0010-0000-0300-000005000000}" name="mom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fred.stlouisfed.org/series/NEWORDER" TargetMode="External"/><Relationship Id="rId3" Type="http://schemas.openxmlformats.org/officeDocument/2006/relationships/hyperlink" Target="https://fred.stlouisfed.org/series/NEWORDER" TargetMode="External"/><Relationship Id="rId7" Type="http://schemas.openxmlformats.org/officeDocument/2006/relationships/hyperlink" Target="https://fred.stlouisfed.org/series/NEWORDER" TargetMode="External"/><Relationship Id="rId2" Type="http://schemas.openxmlformats.org/officeDocument/2006/relationships/hyperlink" Target="https://fred.stlouisfed.org/series/NEWORDER" TargetMode="External"/><Relationship Id="rId1" Type="http://schemas.openxmlformats.org/officeDocument/2006/relationships/hyperlink" Target="https://www.census.gov/manufacturing/m3/definitions/index.html" TargetMode="External"/><Relationship Id="rId6" Type="http://schemas.openxmlformats.org/officeDocument/2006/relationships/hyperlink" Target="https://fred.stlouisfed.org/series/NEWORDER" TargetMode="External"/><Relationship Id="rId11" Type="http://schemas.openxmlformats.org/officeDocument/2006/relationships/hyperlink" Target="https://fred.stlouisfed.org/series/NEWORDER" TargetMode="External"/><Relationship Id="rId5" Type="http://schemas.openxmlformats.org/officeDocument/2006/relationships/hyperlink" Target="https://fred.stlouisfed.org/series/NEWORDER" TargetMode="External"/><Relationship Id="rId10" Type="http://schemas.openxmlformats.org/officeDocument/2006/relationships/hyperlink" Target="https://fred.stlouisfed.org/series/NEWORDER" TargetMode="External"/><Relationship Id="rId4" Type="http://schemas.openxmlformats.org/officeDocument/2006/relationships/hyperlink" Target="https://fred.stlouisfed.org/series/NEWORDER" TargetMode="External"/><Relationship Id="rId9" Type="http://schemas.openxmlformats.org/officeDocument/2006/relationships/hyperlink" Target="https://fred.stlouisfed.org/series/NEWORDER"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V28"/>
  <sheetViews>
    <sheetView tabSelected="1" topLeftCell="K7" zoomScale="150" zoomScaleNormal="150" workbookViewId="0">
      <selection activeCell="AC18" sqref="AC18"/>
    </sheetView>
  </sheetViews>
  <sheetFormatPr defaultColWidth="9.1796875" defaultRowHeight="14.5" x14ac:dyDescent="0.35"/>
  <cols>
    <col min="1" max="1" width="9.1796875" style="117" customWidth="1"/>
    <col min="2" max="10" width="12.81640625" style="117" customWidth="1"/>
    <col min="11" max="13" width="3.453125" style="117" customWidth="1"/>
    <col min="14" max="14" width="21.36328125" style="117" customWidth="1"/>
    <col min="15" max="15" width="15.6328125" style="117" customWidth="1"/>
    <col min="16" max="17" width="10.6328125" style="117" bestFit="1" customWidth="1"/>
    <col min="18" max="18" width="9.1796875" style="117" customWidth="1"/>
    <col min="19" max="19" width="11.453125" style="117" customWidth="1"/>
    <col min="20" max="31" width="9.1796875" style="117" customWidth="1"/>
    <col min="32" max="16384" width="9.1796875" style="117"/>
  </cols>
  <sheetData>
    <row r="1" spans="2:22" x14ac:dyDescent="0.35">
      <c r="B1" s="131"/>
      <c r="C1" s="128"/>
      <c r="D1" s="128"/>
      <c r="E1" s="128"/>
      <c r="F1" s="128"/>
      <c r="G1" s="128"/>
      <c r="H1" s="128"/>
      <c r="I1" s="128"/>
      <c r="J1" s="128"/>
    </row>
    <row r="2" spans="2:22" ht="16" customHeight="1" thickBot="1" x14ac:dyDescent="0.4">
      <c r="B2" s="132"/>
      <c r="C2" s="132"/>
      <c r="D2" s="132"/>
      <c r="E2" s="132"/>
      <c r="F2" s="132"/>
      <c r="G2" s="132"/>
      <c r="H2" s="132"/>
      <c r="I2" s="132"/>
      <c r="J2" s="132"/>
    </row>
    <row r="3" spans="2:22" ht="16" customHeight="1" thickBot="1" x14ac:dyDescent="0.4">
      <c r="B3" s="133" t="s">
        <v>0</v>
      </c>
      <c r="C3" s="134"/>
      <c r="D3" s="134"/>
      <c r="E3" s="134"/>
      <c r="F3" s="134"/>
      <c r="G3" s="134"/>
      <c r="H3" s="134"/>
      <c r="I3" s="134"/>
      <c r="J3" s="135"/>
    </row>
    <row r="5" spans="2:22" x14ac:dyDescent="0.35">
      <c r="B5" s="136" t="s">
        <v>1</v>
      </c>
      <c r="C5" s="137"/>
      <c r="D5" s="137"/>
      <c r="E5" s="137"/>
      <c r="F5" s="137"/>
      <c r="G5" s="137"/>
      <c r="H5" s="137"/>
      <c r="I5" s="137"/>
      <c r="J5" s="124"/>
    </row>
    <row r="7" spans="2:22" ht="129" customHeight="1" x14ac:dyDescent="0.35">
      <c r="B7" s="138" t="s">
        <v>2</v>
      </c>
      <c r="C7" s="128"/>
      <c r="D7" s="128"/>
      <c r="E7" s="128"/>
      <c r="F7" s="128"/>
      <c r="G7" s="128"/>
      <c r="H7" s="128"/>
      <c r="I7" s="128"/>
      <c r="J7" s="128"/>
      <c r="P7" s="2"/>
    </row>
    <row r="8" spans="2:22" ht="33.75" customHeight="1" x14ac:dyDescent="0.35">
      <c r="B8" s="127" t="s">
        <v>3</v>
      </c>
      <c r="C8" s="128"/>
      <c r="D8" s="128"/>
      <c r="E8" s="128"/>
      <c r="F8" s="128"/>
      <c r="G8" s="128"/>
      <c r="H8" s="128"/>
      <c r="I8" s="128"/>
      <c r="J8" s="128"/>
    </row>
    <row r="9" spans="2:22" x14ac:dyDescent="0.35">
      <c r="B9" s="61"/>
      <c r="C9" s="61"/>
      <c r="D9" s="61"/>
      <c r="E9" s="61"/>
    </row>
    <row r="10" spans="2:22" x14ac:dyDescent="0.35">
      <c r="B10" s="136" t="s">
        <v>4</v>
      </c>
      <c r="C10" s="137"/>
      <c r="D10" s="137"/>
      <c r="E10" s="137"/>
      <c r="F10" s="137"/>
      <c r="G10" s="137"/>
      <c r="H10" s="137"/>
      <c r="I10" s="137"/>
      <c r="J10" s="124"/>
      <c r="N10" s="136" t="s">
        <v>5</v>
      </c>
      <c r="O10" s="137"/>
      <c r="P10" s="137"/>
      <c r="Q10" s="137"/>
      <c r="R10" s="137"/>
      <c r="S10" s="124"/>
    </row>
    <row r="12" spans="2:22" x14ac:dyDescent="0.35">
      <c r="B12" s="136" t="s">
        <v>6</v>
      </c>
      <c r="C12" s="137"/>
      <c r="D12" s="137"/>
      <c r="E12" s="137"/>
      <c r="F12" s="124"/>
      <c r="G12" s="136" t="s">
        <v>7</v>
      </c>
      <c r="H12" s="137"/>
      <c r="I12" s="137"/>
      <c r="J12" s="124"/>
    </row>
    <row r="13" spans="2:22" ht="16" customHeight="1" thickBot="1" x14ac:dyDescent="0.4"/>
    <row r="14" spans="2:22" ht="19.5" customHeight="1" x14ac:dyDescent="0.35">
      <c r="B14" s="116"/>
      <c r="G14" s="128"/>
      <c r="H14" s="128"/>
      <c r="I14" s="128"/>
      <c r="J14" s="128"/>
      <c r="P14" s="62">
        <v>44866</v>
      </c>
      <c r="Q14" s="83">
        <f>DATE(YEAR(P14),MONTH(P14)-1,DAY(P14))</f>
        <v>44835</v>
      </c>
      <c r="R14" s="63"/>
    </row>
    <row r="15" spans="2:22" ht="18" customHeight="1" thickBot="1" x14ac:dyDescent="0.4">
      <c r="B15" s="127" t="s">
        <v>8</v>
      </c>
      <c r="C15" s="128"/>
      <c r="D15" s="128"/>
      <c r="E15" s="128"/>
      <c r="F15" s="128"/>
      <c r="G15" s="139" t="s">
        <v>9</v>
      </c>
      <c r="H15" s="128"/>
      <c r="I15" s="128"/>
      <c r="J15" s="128"/>
      <c r="P15" s="76" t="s">
        <v>10</v>
      </c>
      <c r="Q15" s="64" t="s">
        <v>10</v>
      </c>
      <c r="R15" s="65" t="s">
        <v>11</v>
      </c>
    </row>
    <row r="16" spans="2:22" ht="18" customHeight="1" x14ac:dyDescent="0.35">
      <c r="B16" s="127" t="s">
        <v>12</v>
      </c>
      <c r="C16" s="128"/>
      <c r="D16" s="128"/>
      <c r="E16" s="128"/>
      <c r="F16" s="128"/>
      <c r="G16" s="139" t="s">
        <v>13</v>
      </c>
      <c r="H16" s="128"/>
      <c r="I16" s="128"/>
      <c r="J16" s="128"/>
      <c r="N16" s="125" t="s">
        <v>9</v>
      </c>
      <c r="O16" s="126"/>
      <c r="P16" s="77">
        <f>VLOOKUP($P$14,Database!$A:$M,MATCH(Note!S16,Database!$A$1:$M$1,),)</f>
        <v>270473</v>
      </c>
      <c r="Q16" s="77">
        <f>VLOOKUP($Q$14,Database!$A:$M,MATCH(Note!S16,Database!$A$1:$M$1,),)</f>
        <v>276366</v>
      </c>
      <c r="R16" s="97">
        <f t="shared" ref="R16:R25" si="0">(P16-Q16)/Q16</f>
        <v>-2.132317289391604E-2</v>
      </c>
      <c r="S16" s="78" t="s">
        <v>14</v>
      </c>
      <c r="U16" s="78" t="s">
        <v>14</v>
      </c>
      <c r="V16" s="117" t="s">
        <v>9</v>
      </c>
    </row>
    <row r="17" spans="2:22" ht="18" customHeight="1" x14ac:dyDescent="0.35">
      <c r="B17" s="127" t="s">
        <v>15</v>
      </c>
      <c r="C17" s="128"/>
      <c r="D17" s="128"/>
      <c r="E17" s="128"/>
      <c r="F17" s="128"/>
      <c r="G17" s="129" t="s">
        <v>16</v>
      </c>
      <c r="H17" s="128"/>
      <c r="I17" s="128"/>
      <c r="J17" s="128"/>
      <c r="N17" s="123" t="s">
        <v>13</v>
      </c>
      <c r="O17" s="124"/>
      <c r="P17" s="94">
        <f>VLOOKUP($P$14,Database!$A:$M,MATCH(Note!S17,Database!$A$1:$M$1,),)</f>
        <v>179148</v>
      </c>
      <c r="Q17" s="94">
        <f>VLOOKUP($Q$14,Database!$A:$M,MATCH(Note!S17,Database!$A$1:$M$1,),)</f>
        <v>178914</v>
      </c>
      <c r="R17" s="98">
        <f t="shared" si="0"/>
        <v>1.3078909420168349E-3</v>
      </c>
      <c r="S17" s="79" t="s">
        <v>17</v>
      </c>
      <c r="U17" s="79" t="s">
        <v>17</v>
      </c>
      <c r="V17" s="117" t="s">
        <v>13</v>
      </c>
    </row>
    <row r="18" spans="2:22" ht="33.75" customHeight="1" x14ac:dyDescent="0.35">
      <c r="B18" s="127" t="s">
        <v>18</v>
      </c>
      <c r="C18" s="128"/>
      <c r="D18" s="128"/>
      <c r="E18" s="128"/>
      <c r="F18" s="128"/>
      <c r="G18" s="129" t="s">
        <v>19</v>
      </c>
      <c r="H18" s="128"/>
      <c r="I18" s="128"/>
      <c r="J18" s="128"/>
      <c r="N18" s="130" t="s">
        <v>20</v>
      </c>
      <c r="O18" s="124"/>
      <c r="P18" s="94">
        <f>VLOOKUP($P$14,Database!$A:$M,MATCH(Note!S18,Database!$A$1:$M$1,),)</f>
        <v>75124</v>
      </c>
      <c r="Q18" s="94">
        <f>VLOOKUP($Q$14,Database!$A:$M,MATCH(Note!S18,Database!$A$1:$M$1,),)</f>
        <v>75055</v>
      </c>
      <c r="R18" s="98">
        <f t="shared" si="0"/>
        <v>9.1932582772633401E-4</v>
      </c>
      <c r="S18" s="80" t="s">
        <v>21</v>
      </c>
      <c r="U18" s="80" t="s">
        <v>21</v>
      </c>
      <c r="V18" s="117" t="s">
        <v>20</v>
      </c>
    </row>
    <row r="19" spans="2:22" ht="18" customHeight="1" x14ac:dyDescent="0.35">
      <c r="B19" s="127" t="s">
        <v>22</v>
      </c>
      <c r="C19" s="128"/>
      <c r="D19" s="128"/>
      <c r="E19" s="128"/>
      <c r="F19" s="128"/>
      <c r="G19" s="129" t="s">
        <v>23</v>
      </c>
      <c r="H19" s="128"/>
      <c r="I19" s="128"/>
      <c r="J19" s="128"/>
      <c r="N19" s="123" t="s">
        <v>19</v>
      </c>
      <c r="O19" s="124"/>
      <c r="P19" s="94">
        <f>VLOOKUP($P$14,Database!$A:$M,MATCH(Note!S19,Database!$A$1:$M$1,),)</f>
        <v>189826</v>
      </c>
      <c r="Q19" s="94">
        <f>VLOOKUP($Q$14,Database!$A:$M,MATCH(Note!S19,Database!$A$1:$M$1,),)</f>
        <v>195690</v>
      </c>
      <c r="R19" s="98">
        <f t="shared" si="0"/>
        <v>-2.9965762174868415E-2</v>
      </c>
      <c r="S19" s="79" t="s">
        <v>24</v>
      </c>
      <c r="U19" s="79" t="s">
        <v>24</v>
      </c>
      <c r="V19" s="117" t="s">
        <v>19</v>
      </c>
    </row>
    <row r="20" spans="2:22" ht="18" customHeight="1" x14ac:dyDescent="0.35">
      <c r="B20" s="127" t="s">
        <v>25</v>
      </c>
      <c r="C20" s="128"/>
      <c r="D20" s="128"/>
      <c r="E20" s="128"/>
      <c r="F20" s="128"/>
      <c r="G20" s="129" t="s">
        <v>26</v>
      </c>
      <c r="H20" s="128"/>
      <c r="I20" s="128"/>
      <c r="J20" s="128"/>
      <c r="N20" s="123" t="s">
        <v>23</v>
      </c>
      <c r="O20" s="124"/>
      <c r="P20" s="94">
        <f>VLOOKUP($P$14,Database!$A:$M,MATCH(Note!S20,Database!$A$1:$M$1,),)</f>
        <v>91325</v>
      </c>
      <c r="Q20" s="94">
        <f>VLOOKUP($Q$14,Database!$A:$M,MATCH(Note!S20,Database!$A$1:$M$1,),)</f>
        <v>97452</v>
      </c>
      <c r="R20" s="98">
        <f t="shared" si="0"/>
        <v>-6.2871977999425357E-2</v>
      </c>
      <c r="S20" s="80" t="s">
        <v>27</v>
      </c>
      <c r="U20" s="80" t="s">
        <v>27</v>
      </c>
      <c r="V20" s="117" t="s">
        <v>23</v>
      </c>
    </row>
    <row r="21" spans="2:22" ht="18" customHeight="1" x14ac:dyDescent="0.35">
      <c r="B21" s="127" t="s">
        <v>28</v>
      </c>
      <c r="C21" s="128"/>
      <c r="D21" s="128"/>
      <c r="E21" s="128"/>
      <c r="F21" s="128"/>
      <c r="G21" s="129" t="s">
        <v>29</v>
      </c>
      <c r="H21" s="128"/>
      <c r="I21" s="128"/>
      <c r="J21" s="128"/>
      <c r="N21" s="123" t="s">
        <v>26</v>
      </c>
      <c r="O21" s="124"/>
      <c r="P21" s="94">
        <f>VLOOKUP($P$14,Database!$A:$M,MATCH(Note!S21,Database!$A$1:$M$1,),)</f>
        <v>36426</v>
      </c>
      <c r="Q21" s="94">
        <f>VLOOKUP($Q$14,Database!$A:$M,MATCH(Note!S21,Database!$A$1:$M$1,),)</f>
        <v>36382</v>
      </c>
      <c r="R21" s="98">
        <f t="shared" si="0"/>
        <v>1.2093892584244957E-3</v>
      </c>
      <c r="S21" s="80" t="s">
        <v>30</v>
      </c>
      <c r="U21" s="80" t="s">
        <v>30</v>
      </c>
      <c r="V21" s="117" t="s">
        <v>26</v>
      </c>
    </row>
    <row r="22" spans="2:22" ht="18" customHeight="1" x14ac:dyDescent="0.35">
      <c r="B22" s="127" t="s">
        <v>31</v>
      </c>
      <c r="C22" s="128"/>
      <c r="D22" s="128"/>
      <c r="E22" s="128"/>
      <c r="F22" s="128"/>
      <c r="G22" s="129" t="s">
        <v>32</v>
      </c>
      <c r="H22" s="128"/>
      <c r="I22" s="128"/>
      <c r="J22" s="128"/>
      <c r="N22" s="123" t="s">
        <v>29</v>
      </c>
      <c r="O22" s="124"/>
      <c r="P22" s="94">
        <f>VLOOKUP($P$14,Database!$A:$M,MATCH(Note!S22,Database!$A$1:$M$1,),)</f>
        <v>39248</v>
      </c>
      <c r="Q22" s="94">
        <f>VLOOKUP($Q$14,Database!$A:$M,MATCH(Note!S22,Database!$A$1:$M$1,),)</f>
        <v>39199</v>
      </c>
      <c r="R22" s="98">
        <f t="shared" si="0"/>
        <v>1.2500318885685859E-3</v>
      </c>
      <c r="S22" s="80" t="s">
        <v>33</v>
      </c>
      <c r="U22" s="80" t="s">
        <v>33</v>
      </c>
      <c r="V22" s="117" t="s">
        <v>29</v>
      </c>
    </row>
    <row r="23" spans="2:22" ht="18" customHeight="1" x14ac:dyDescent="0.35">
      <c r="B23" s="127" t="s">
        <v>34</v>
      </c>
      <c r="C23" s="128"/>
      <c r="D23" s="128"/>
      <c r="E23" s="128"/>
      <c r="F23" s="128"/>
      <c r="G23" s="129" t="s">
        <v>35</v>
      </c>
      <c r="H23" s="128"/>
      <c r="I23" s="128"/>
      <c r="J23" s="128"/>
      <c r="N23" s="123" t="s">
        <v>32</v>
      </c>
      <c r="O23" s="124"/>
      <c r="P23" s="94">
        <f>VLOOKUP($P$14,Database!$A:$M,MATCH(Note!S23,Database!$A$1:$M$1,),)</f>
        <v>24338</v>
      </c>
      <c r="Q23" s="94">
        <f>VLOOKUP($Q$14,Database!$A:$M,MATCH(Note!S23,Database!$A$1:$M$1,),)</f>
        <v>24188</v>
      </c>
      <c r="R23" s="98">
        <f t="shared" si="0"/>
        <v>6.2014221928228877E-3</v>
      </c>
      <c r="S23" s="80" t="s">
        <v>36</v>
      </c>
      <c r="U23" s="80" t="s">
        <v>36</v>
      </c>
      <c r="V23" s="117" t="s">
        <v>32</v>
      </c>
    </row>
    <row r="24" spans="2:22" ht="18" customHeight="1" x14ac:dyDescent="0.35">
      <c r="B24" s="127" t="s">
        <v>37</v>
      </c>
      <c r="C24" s="128"/>
      <c r="D24" s="128"/>
      <c r="E24" s="128"/>
      <c r="F24" s="128"/>
      <c r="G24" s="129" t="s">
        <v>38</v>
      </c>
      <c r="H24" s="128"/>
      <c r="I24" s="128"/>
      <c r="J24" s="128"/>
      <c r="N24" s="123" t="s">
        <v>35</v>
      </c>
      <c r="O24" s="124"/>
      <c r="P24" s="94">
        <f>VLOOKUP($P$14,Database!$A:$M,MATCH(Note!S24,Database!$A$1:$M$1,),)</f>
        <v>20004</v>
      </c>
      <c r="Q24" s="94">
        <f>VLOOKUP($Q$14,Database!$A:$M,MATCH(Note!S24,Database!$A$1:$M$1,),)</f>
        <v>20125</v>
      </c>
      <c r="R24" s="98">
        <f t="shared" si="0"/>
        <v>-6.0124223602484473E-3</v>
      </c>
      <c r="S24" s="80" t="s">
        <v>39</v>
      </c>
      <c r="U24" s="80" t="s">
        <v>39</v>
      </c>
      <c r="V24" s="117" t="s">
        <v>35</v>
      </c>
    </row>
    <row r="25" spans="2:22" ht="16" customHeight="1" thickBot="1" x14ac:dyDescent="0.4">
      <c r="N25" s="121" t="s">
        <v>38</v>
      </c>
      <c r="O25" s="122"/>
      <c r="P25" s="81">
        <f>VLOOKUP($P$14,Database!$A:$M,MATCH(Note!S25,Database!$A$1:$M$1,),)</f>
        <v>13695</v>
      </c>
      <c r="Q25" s="81">
        <f>VLOOKUP($Q$14,Database!$A:$M,MATCH(Note!S25,Database!$A$1:$M$1,),)</f>
        <v>13678</v>
      </c>
      <c r="R25" s="99">
        <f t="shared" si="0"/>
        <v>1.2428717648779062E-3</v>
      </c>
      <c r="S25" s="82" t="s">
        <v>40</v>
      </c>
      <c r="U25" s="82" t="s">
        <v>40</v>
      </c>
      <c r="V25" s="117" t="s">
        <v>38</v>
      </c>
    </row>
    <row r="26" spans="2:22" x14ac:dyDescent="0.35">
      <c r="B26" s="66"/>
      <c r="G26" s="139" t="s">
        <v>41</v>
      </c>
      <c r="H26" s="128"/>
      <c r="I26" s="128"/>
      <c r="J26" s="128"/>
      <c r="K26" s="128"/>
      <c r="L26" s="128"/>
      <c r="M26" s="128"/>
      <c r="N26" s="128"/>
      <c r="O26" s="128"/>
    </row>
    <row r="27" spans="2:22" x14ac:dyDescent="0.35">
      <c r="N27" s="84" t="s">
        <v>42</v>
      </c>
    </row>
    <row r="28" spans="2:22" x14ac:dyDescent="0.35">
      <c r="B28" s="67"/>
    </row>
  </sheetData>
  <mergeCells count="41">
    <mergeCell ref="B16:F16"/>
    <mergeCell ref="G16:J16"/>
    <mergeCell ref="B17:F17"/>
    <mergeCell ref="G17:J17"/>
    <mergeCell ref="G22:J22"/>
    <mergeCell ref="B22:F22"/>
    <mergeCell ref="G26:O26"/>
    <mergeCell ref="N10:S10"/>
    <mergeCell ref="B12:F12"/>
    <mergeCell ref="G12:J12"/>
    <mergeCell ref="G14:J14"/>
    <mergeCell ref="B15:F15"/>
    <mergeCell ref="G15:J15"/>
    <mergeCell ref="B10:J10"/>
    <mergeCell ref="B18:F18"/>
    <mergeCell ref="G18:J18"/>
    <mergeCell ref="B19:F19"/>
    <mergeCell ref="G19:J19"/>
    <mergeCell ref="B20:F20"/>
    <mergeCell ref="G20:J20"/>
    <mergeCell ref="B21:F21"/>
    <mergeCell ref="G21:J21"/>
    <mergeCell ref="B1:J2"/>
    <mergeCell ref="B3:J3"/>
    <mergeCell ref="B5:J5"/>
    <mergeCell ref="B7:J7"/>
    <mergeCell ref="B8:J8"/>
    <mergeCell ref="B23:F23"/>
    <mergeCell ref="G23:J23"/>
    <mergeCell ref="B24:F24"/>
    <mergeCell ref="G24:J24"/>
    <mergeCell ref="N18:O18"/>
    <mergeCell ref="N22:O22"/>
    <mergeCell ref="N23:O23"/>
    <mergeCell ref="N24:O24"/>
    <mergeCell ref="N25:O25"/>
    <mergeCell ref="N17:O17"/>
    <mergeCell ref="N16:O16"/>
    <mergeCell ref="N19:O19"/>
    <mergeCell ref="N20:O20"/>
    <mergeCell ref="N21:O21"/>
  </mergeCells>
  <conditionalFormatting sqref="R16:R25">
    <cfRule type="cellIs" dxfId="25" priority="1" operator="lessThan">
      <formula>0</formula>
    </cfRule>
    <cfRule type="cellIs" dxfId="24" priority="2" operator="greaterThan">
      <formula>0</formula>
    </cfRule>
  </conditionalFormatting>
  <hyperlinks>
    <hyperlink ref="B8" r:id="rId1" xr:uid="{00000000-0004-0000-0000-000000000000}"/>
    <hyperlink ref="B15" r:id="rId2" display="https://fred.stlouisfed.org/series/NEWORDER" xr:uid="{00000000-0004-0000-0000-000001000000}"/>
    <hyperlink ref="B16" r:id="rId3" display="https://fred.stlouisfed.org/series/NEWORDER" xr:uid="{00000000-0004-0000-0000-000002000000}"/>
    <hyperlink ref="B17" r:id="rId4" xr:uid="{00000000-0004-0000-0000-000003000000}"/>
    <hyperlink ref="B18" r:id="rId5" display="https://fred.stlouisfed.org/series/NEWORDER" xr:uid="{00000000-0004-0000-0000-000004000000}"/>
    <hyperlink ref="B19" r:id="rId6" display="https://fred.stlouisfed.org/series/NEWORDER" xr:uid="{00000000-0004-0000-0000-000005000000}"/>
    <hyperlink ref="B20" r:id="rId7" display="https://fred.stlouisfed.org/series/NEWORDER" xr:uid="{00000000-0004-0000-0000-000006000000}"/>
    <hyperlink ref="B21" r:id="rId8" display="https://fred.stlouisfed.org/series/NEWORDER" xr:uid="{00000000-0004-0000-0000-000007000000}"/>
    <hyperlink ref="B22" r:id="rId9" display="https://fred.stlouisfed.org/series/NEWORDER" xr:uid="{00000000-0004-0000-0000-000008000000}"/>
    <hyperlink ref="B23" r:id="rId10" display="https://fred.stlouisfed.org/series/NEWORDER" xr:uid="{00000000-0004-0000-0000-000009000000}"/>
    <hyperlink ref="B24" r:id="rId11" display="https://fred.stlouisfed.org/series/NEWORDER" xr:uid="{00000000-0004-0000-0000-00000A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1" tint="0.499984740745262"/>
  </sheetPr>
  <dimension ref="A1:R204"/>
  <sheetViews>
    <sheetView zoomScale="70" zoomScaleNormal="70" workbookViewId="0">
      <selection activeCell="J55" sqref="J55"/>
    </sheetView>
  </sheetViews>
  <sheetFormatPr defaultColWidth="8.81640625" defaultRowHeight="14.5" x14ac:dyDescent="0.35"/>
  <cols>
    <col min="1" max="1" width="23.6328125" customWidth="1"/>
    <col min="2" max="2" width="16.36328125" customWidth="1"/>
    <col min="3" max="11" width="13.453125" customWidth="1"/>
    <col min="12" max="12" width="15.6328125" customWidth="1"/>
    <col min="13" max="13" width="16.81640625" customWidth="1"/>
    <col min="14" max="14" width="13.453125" style="118" customWidth="1"/>
    <col min="15" max="15" width="10.6328125" customWidth="1"/>
    <col min="18" max="18" width="21.36328125" customWidth="1"/>
    <col min="257" max="257" width="23.6328125" customWidth="1"/>
    <col min="258" max="258" width="16.36328125" customWidth="1"/>
    <col min="259" max="267" width="13.453125" customWidth="1"/>
    <col min="268" max="268" width="15.6328125" customWidth="1"/>
    <col min="269" max="269" width="16.81640625" customWidth="1"/>
    <col min="270" max="270" width="13.453125" customWidth="1"/>
    <col min="271" max="271" width="10.6328125" customWidth="1"/>
    <col min="513" max="513" width="23.6328125" customWidth="1"/>
    <col min="514" max="514" width="16.36328125" customWidth="1"/>
    <col min="515" max="523" width="13.453125" customWidth="1"/>
    <col min="524" max="524" width="15.6328125" customWidth="1"/>
    <col min="525" max="525" width="16.81640625" customWidth="1"/>
    <col min="526" max="526" width="13.453125" customWidth="1"/>
    <col min="527" max="527" width="10.6328125" customWidth="1"/>
    <col min="769" max="769" width="23.6328125" customWidth="1"/>
    <col min="770" max="770" width="16.36328125" customWidth="1"/>
    <col min="771" max="779" width="13.453125" customWidth="1"/>
    <col min="780" max="780" width="15.6328125" customWidth="1"/>
    <col min="781" max="781" width="16.81640625" customWidth="1"/>
    <col min="782" max="782" width="13.453125" customWidth="1"/>
    <col min="783" max="783" width="10.6328125" customWidth="1"/>
    <col min="1025" max="1025" width="23.6328125" customWidth="1"/>
    <col min="1026" max="1026" width="16.36328125" customWidth="1"/>
    <col min="1027" max="1035" width="13.453125" customWidth="1"/>
    <col min="1036" max="1036" width="15.6328125" customWidth="1"/>
    <col min="1037" max="1037" width="16.81640625" customWidth="1"/>
    <col min="1038" max="1038" width="13.453125" customWidth="1"/>
    <col min="1039" max="1039" width="10.6328125" customWidth="1"/>
    <col min="1281" max="1281" width="23.6328125" customWidth="1"/>
    <col min="1282" max="1282" width="16.36328125" customWidth="1"/>
    <col min="1283" max="1291" width="13.453125" customWidth="1"/>
    <col min="1292" max="1292" width="15.6328125" customWidth="1"/>
    <col min="1293" max="1293" width="16.81640625" customWidth="1"/>
    <col min="1294" max="1294" width="13.453125" customWidth="1"/>
    <col min="1295" max="1295" width="10.6328125" customWidth="1"/>
    <col min="1537" max="1537" width="23.6328125" customWidth="1"/>
    <col min="1538" max="1538" width="16.36328125" customWidth="1"/>
    <col min="1539" max="1547" width="13.453125" customWidth="1"/>
    <col min="1548" max="1548" width="15.6328125" customWidth="1"/>
    <col min="1549" max="1549" width="16.81640625" customWidth="1"/>
    <col min="1550" max="1550" width="13.453125" customWidth="1"/>
    <col min="1551" max="1551" width="10.6328125" customWidth="1"/>
    <col min="1793" max="1793" width="23.6328125" customWidth="1"/>
    <col min="1794" max="1794" width="16.36328125" customWidth="1"/>
    <col min="1795" max="1803" width="13.453125" customWidth="1"/>
    <col min="1804" max="1804" width="15.6328125" customWidth="1"/>
    <col min="1805" max="1805" width="16.81640625" customWidth="1"/>
    <col min="1806" max="1806" width="13.453125" customWidth="1"/>
    <col min="1807" max="1807" width="10.6328125" customWidth="1"/>
    <col min="2049" max="2049" width="23.6328125" customWidth="1"/>
    <col min="2050" max="2050" width="16.36328125" customWidth="1"/>
    <col min="2051" max="2059" width="13.453125" customWidth="1"/>
    <col min="2060" max="2060" width="15.6328125" customWidth="1"/>
    <col min="2061" max="2061" width="16.81640625" customWidth="1"/>
    <col min="2062" max="2062" width="13.453125" customWidth="1"/>
    <col min="2063" max="2063" width="10.6328125" customWidth="1"/>
    <col min="2305" max="2305" width="23.6328125" customWidth="1"/>
    <col min="2306" max="2306" width="16.36328125" customWidth="1"/>
    <col min="2307" max="2315" width="13.453125" customWidth="1"/>
    <col min="2316" max="2316" width="15.6328125" customWidth="1"/>
    <col min="2317" max="2317" width="16.81640625" customWidth="1"/>
    <col min="2318" max="2318" width="13.453125" customWidth="1"/>
    <col min="2319" max="2319" width="10.6328125" customWidth="1"/>
    <col min="2561" max="2561" width="23.6328125" customWidth="1"/>
    <col min="2562" max="2562" width="16.36328125" customWidth="1"/>
    <col min="2563" max="2571" width="13.453125" customWidth="1"/>
    <col min="2572" max="2572" width="15.6328125" customWidth="1"/>
    <col min="2573" max="2573" width="16.81640625" customWidth="1"/>
    <col min="2574" max="2574" width="13.453125" customWidth="1"/>
    <col min="2575" max="2575" width="10.6328125" customWidth="1"/>
    <col min="2817" max="2817" width="23.6328125" customWidth="1"/>
    <col min="2818" max="2818" width="16.36328125" customWidth="1"/>
    <col min="2819" max="2827" width="13.453125" customWidth="1"/>
    <col min="2828" max="2828" width="15.6328125" customWidth="1"/>
    <col min="2829" max="2829" width="16.81640625" customWidth="1"/>
    <col min="2830" max="2830" width="13.453125" customWidth="1"/>
    <col min="2831" max="2831" width="10.6328125" customWidth="1"/>
    <col min="3073" max="3073" width="23.6328125" customWidth="1"/>
    <col min="3074" max="3074" width="16.36328125" customWidth="1"/>
    <col min="3075" max="3083" width="13.453125" customWidth="1"/>
    <col min="3084" max="3084" width="15.6328125" customWidth="1"/>
    <col min="3085" max="3085" width="16.81640625" customWidth="1"/>
    <col min="3086" max="3086" width="13.453125" customWidth="1"/>
    <col min="3087" max="3087" width="10.6328125" customWidth="1"/>
    <col min="3329" max="3329" width="23.6328125" customWidth="1"/>
    <col min="3330" max="3330" width="16.36328125" customWidth="1"/>
    <col min="3331" max="3339" width="13.453125" customWidth="1"/>
    <col min="3340" max="3340" width="15.6328125" customWidth="1"/>
    <col min="3341" max="3341" width="16.81640625" customWidth="1"/>
    <col min="3342" max="3342" width="13.453125" customWidth="1"/>
    <col min="3343" max="3343" width="10.6328125" customWidth="1"/>
    <col min="3585" max="3585" width="23.6328125" customWidth="1"/>
    <col min="3586" max="3586" width="16.36328125" customWidth="1"/>
    <col min="3587" max="3595" width="13.453125" customWidth="1"/>
    <col min="3596" max="3596" width="15.6328125" customWidth="1"/>
    <col min="3597" max="3597" width="16.81640625" customWidth="1"/>
    <col min="3598" max="3598" width="13.453125" customWidth="1"/>
    <col min="3599" max="3599" width="10.6328125" customWidth="1"/>
    <col min="3841" max="3841" width="23.6328125" customWidth="1"/>
    <col min="3842" max="3842" width="16.36328125" customWidth="1"/>
    <col min="3843" max="3851" width="13.453125" customWidth="1"/>
    <col min="3852" max="3852" width="15.6328125" customWidth="1"/>
    <col min="3853" max="3853" width="16.81640625" customWidth="1"/>
    <col min="3854" max="3854" width="13.453125" customWidth="1"/>
    <col min="3855" max="3855" width="10.6328125" customWidth="1"/>
    <col min="4097" max="4097" width="23.6328125" customWidth="1"/>
    <col min="4098" max="4098" width="16.36328125" customWidth="1"/>
    <col min="4099" max="4107" width="13.453125" customWidth="1"/>
    <col min="4108" max="4108" width="15.6328125" customWidth="1"/>
    <col min="4109" max="4109" width="16.81640625" customWidth="1"/>
    <col min="4110" max="4110" width="13.453125" customWidth="1"/>
    <col min="4111" max="4111" width="10.6328125" customWidth="1"/>
    <col min="4353" max="4353" width="23.6328125" customWidth="1"/>
    <col min="4354" max="4354" width="16.36328125" customWidth="1"/>
    <col min="4355" max="4363" width="13.453125" customWidth="1"/>
    <col min="4364" max="4364" width="15.6328125" customWidth="1"/>
    <col min="4365" max="4365" width="16.81640625" customWidth="1"/>
    <col min="4366" max="4366" width="13.453125" customWidth="1"/>
    <col min="4367" max="4367" width="10.6328125" customWidth="1"/>
    <col min="4609" max="4609" width="23.6328125" customWidth="1"/>
    <col min="4610" max="4610" width="16.36328125" customWidth="1"/>
    <col min="4611" max="4619" width="13.453125" customWidth="1"/>
    <col min="4620" max="4620" width="15.6328125" customWidth="1"/>
    <col min="4621" max="4621" width="16.81640625" customWidth="1"/>
    <col min="4622" max="4622" width="13.453125" customWidth="1"/>
    <col min="4623" max="4623" width="10.6328125" customWidth="1"/>
    <col min="4865" max="4865" width="23.6328125" customWidth="1"/>
    <col min="4866" max="4866" width="16.36328125" customWidth="1"/>
    <col min="4867" max="4875" width="13.453125" customWidth="1"/>
    <col min="4876" max="4876" width="15.6328125" customWidth="1"/>
    <col min="4877" max="4877" width="16.81640625" customWidth="1"/>
    <col min="4878" max="4878" width="13.453125" customWidth="1"/>
    <col min="4879" max="4879" width="10.6328125" customWidth="1"/>
    <col min="5121" max="5121" width="23.6328125" customWidth="1"/>
    <col min="5122" max="5122" width="16.36328125" customWidth="1"/>
    <col min="5123" max="5131" width="13.453125" customWidth="1"/>
    <col min="5132" max="5132" width="15.6328125" customWidth="1"/>
    <col min="5133" max="5133" width="16.81640625" customWidth="1"/>
    <col min="5134" max="5134" width="13.453125" customWidth="1"/>
    <col min="5135" max="5135" width="10.6328125" customWidth="1"/>
    <col min="5377" max="5377" width="23.6328125" customWidth="1"/>
    <col min="5378" max="5378" width="16.36328125" customWidth="1"/>
    <col min="5379" max="5387" width="13.453125" customWidth="1"/>
    <col min="5388" max="5388" width="15.6328125" customWidth="1"/>
    <col min="5389" max="5389" width="16.81640625" customWidth="1"/>
    <col min="5390" max="5390" width="13.453125" customWidth="1"/>
    <col min="5391" max="5391" width="10.6328125" customWidth="1"/>
    <col min="5633" max="5633" width="23.6328125" customWidth="1"/>
    <col min="5634" max="5634" width="16.36328125" customWidth="1"/>
    <col min="5635" max="5643" width="13.453125" customWidth="1"/>
    <col min="5644" max="5644" width="15.6328125" customWidth="1"/>
    <col min="5645" max="5645" width="16.81640625" customWidth="1"/>
    <col min="5646" max="5646" width="13.453125" customWidth="1"/>
    <col min="5647" max="5647" width="10.6328125" customWidth="1"/>
    <col min="5889" max="5889" width="23.6328125" customWidth="1"/>
    <col min="5890" max="5890" width="16.36328125" customWidth="1"/>
    <col min="5891" max="5899" width="13.453125" customWidth="1"/>
    <col min="5900" max="5900" width="15.6328125" customWidth="1"/>
    <col min="5901" max="5901" width="16.81640625" customWidth="1"/>
    <col min="5902" max="5902" width="13.453125" customWidth="1"/>
    <col min="5903" max="5903" width="10.6328125" customWidth="1"/>
    <col min="6145" max="6145" width="23.6328125" customWidth="1"/>
    <col min="6146" max="6146" width="16.36328125" customWidth="1"/>
    <col min="6147" max="6155" width="13.453125" customWidth="1"/>
    <col min="6156" max="6156" width="15.6328125" customWidth="1"/>
    <col min="6157" max="6157" width="16.81640625" customWidth="1"/>
    <col min="6158" max="6158" width="13.453125" customWidth="1"/>
    <col min="6159" max="6159" width="10.6328125" customWidth="1"/>
    <col min="6401" max="6401" width="23.6328125" customWidth="1"/>
    <col min="6402" max="6402" width="16.36328125" customWidth="1"/>
    <col min="6403" max="6411" width="13.453125" customWidth="1"/>
    <col min="6412" max="6412" width="15.6328125" customWidth="1"/>
    <col min="6413" max="6413" width="16.81640625" customWidth="1"/>
    <col min="6414" max="6414" width="13.453125" customWidth="1"/>
    <col min="6415" max="6415" width="10.6328125" customWidth="1"/>
    <col min="6657" max="6657" width="23.6328125" customWidth="1"/>
    <col min="6658" max="6658" width="16.36328125" customWidth="1"/>
    <col min="6659" max="6667" width="13.453125" customWidth="1"/>
    <col min="6668" max="6668" width="15.6328125" customWidth="1"/>
    <col min="6669" max="6669" width="16.81640625" customWidth="1"/>
    <col min="6670" max="6670" width="13.453125" customWidth="1"/>
    <col min="6671" max="6671" width="10.6328125" customWidth="1"/>
    <col min="6913" max="6913" width="23.6328125" customWidth="1"/>
    <col min="6914" max="6914" width="16.36328125" customWidth="1"/>
    <col min="6915" max="6923" width="13.453125" customWidth="1"/>
    <col min="6924" max="6924" width="15.6328125" customWidth="1"/>
    <col min="6925" max="6925" width="16.81640625" customWidth="1"/>
    <col min="6926" max="6926" width="13.453125" customWidth="1"/>
    <col min="6927" max="6927" width="10.6328125" customWidth="1"/>
    <col min="7169" max="7169" width="23.6328125" customWidth="1"/>
    <col min="7170" max="7170" width="16.36328125" customWidth="1"/>
    <col min="7171" max="7179" width="13.453125" customWidth="1"/>
    <col min="7180" max="7180" width="15.6328125" customWidth="1"/>
    <col min="7181" max="7181" width="16.81640625" customWidth="1"/>
    <col min="7182" max="7182" width="13.453125" customWidth="1"/>
    <col min="7183" max="7183" width="10.6328125" customWidth="1"/>
    <col min="7425" max="7425" width="23.6328125" customWidth="1"/>
    <col min="7426" max="7426" width="16.36328125" customWidth="1"/>
    <col min="7427" max="7435" width="13.453125" customWidth="1"/>
    <col min="7436" max="7436" width="15.6328125" customWidth="1"/>
    <col min="7437" max="7437" width="16.81640625" customWidth="1"/>
    <col min="7438" max="7438" width="13.453125" customWidth="1"/>
    <col min="7439" max="7439" width="10.6328125" customWidth="1"/>
    <col min="7681" max="7681" width="23.6328125" customWidth="1"/>
    <col min="7682" max="7682" width="16.36328125" customWidth="1"/>
    <col min="7683" max="7691" width="13.453125" customWidth="1"/>
    <col min="7692" max="7692" width="15.6328125" customWidth="1"/>
    <col min="7693" max="7693" width="16.81640625" customWidth="1"/>
    <col min="7694" max="7694" width="13.453125" customWidth="1"/>
    <col min="7695" max="7695" width="10.6328125" customWidth="1"/>
    <col min="7937" max="7937" width="23.6328125" customWidth="1"/>
    <col min="7938" max="7938" width="16.36328125" customWidth="1"/>
    <col min="7939" max="7947" width="13.453125" customWidth="1"/>
    <col min="7948" max="7948" width="15.6328125" customWidth="1"/>
    <col min="7949" max="7949" width="16.81640625" customWidth="1"/>
    <col min="7950" max="7950" width="13.453125" customWidth="1"/>
    <col min="7951" max="7951" width="10.6328125" customWidth="1"/>
    <col min="8193" max="8193" width="23.6328125" customWidth="1"/>
    <col min="8194" max="8194" width="16.36328125" customWidth="1"/>
    <col min="8195" max="8203" width="13.453125" customWidth="1"/>
    <col min="8204" max="8204" width="15.6328125" customWidth="1"/>
    <col min="8205" max="8205" width="16.81640625" customWidth="1"/>
    <col min="8206" max="8206" width="13.453125" customWidth="1"/>
    <col min="8207" max="8207" width="10.6328125" customWidth="1"/>
    <col min="8449" max="8449" width="23.6328125" customWidth="1"/>
    <col min="8450" max="8450" width="16.36328125" customWidth="1"/>
    <col min="8451" max="8459" width="13.453125" customWidth="1"/>
    <col min="8460" max="8460" width="15.6328125" customWidth="1"/>
    <col min="8461" max="8461" width="16.81640625" customWidth="1"/>
    <col min="8462" max="8462" width="13.453125" customWidth="1"/>
    <col min="8463" max="8463" width="10.6328125" customWidth="1"/>
    <col min="8705" max="8705" width="23.6328125" customWidth="1"/>
    <col min="8706" max="8706" width="16.36328125" customWidth="1"/>
    <col min="8707" max="8715" width="13.453125" customWidth="1"/>
    <col min="8716" max="8716" width="15.6328125" customWidth="1"/>
    <col min="8717" max="8717" width="16.81640625" customWidth="1"/>
    <col min="8718" max="8718" width="13.453125" customWidth="1"/>
    <col min="8719" max="8719" width="10.6328125" customWidth="1"/>
    <col min="8961" max="8961" width="23.6328125" customWidth="1"/>
    <col min="8962" max="8962" width="16.36328125" customWidth="1"/>
    <col min="8963" max="8971" width="13.453125" customWidth="1"/>
    <col min="8972" max="8972" width="15.6328125" customWidth="1"/>
    <col min="8973" max="8973" width="16.81640625" customWidth="1"/>
    <col min="8974" max="8974" width="13.453125" customWidth="1"/>
    <col min="8975" max="8975" width="10.6328125" customWidth="1"/>
    <col min="9217" max="9217" width="23.6328125" customWidth="1"/>
    <col min="9218" max="9218" width="16.36328125" customWidth="1"/>
    <col min="9219" max="9227" width="13.453125" customWidth="1"/>
    <col min="9228" max="9228" width="15.6328125" customWidth="1"/>
    <col min="9229" max="9229" width="16.81640625" customWidth="1"/>
    <col min="9230" max="9230" width="13.453125" customWidth="1"/>
    <col min="9231" max="9231" width="10.6328125" customWidth="1"/>
    <col min="9473" max="9473" width="23.6328125" customWidth="1"/>
    <col min="9474" max="9474" width="16.36328125" customWidth="1"/>
    <col min="9475" max="9483" width="13.453125" customWidth="1"/>
    <col min="9484" max="9484" width="15.6328125" customWidth="1"/>
    <col min="9485" max="9485" width="16.81640625" customWidth="1"/>
    <col min="9486" max="9486" width="13.453125" customWidth="1"/>
    <col min="9487" max="9487" width="10.6328125" customWidth="1"/>
    <col min="9729" max="9729" width="23.6328125" customWidth="1"/>
    <col min="9730" max="9730" width="16.36328125" customWidth="1"/>
    <col min="9731" max="9739" width="13.453125" customWidth="1"/>
    <col min="9740" max="9740" width="15.6328125" customWidth="1"/>
    <col min="9741" max="9741" width="16.81640625" customWidth="1"/>
    <col min="9742" max="9742" width="13.453125" customWidth="1"/>
    <col min="9743" max="9743" width="10.6328125" customWidth="1"/>
    <col min="9985" max="9985" width="23.6328125" customWidth="1"/>
    <col min="9986" max="9986" width="16.36328125" customWidth="1"/>
    <col min="9987" max="9995" width="13.453125" customWidth="1"/>
    <col min="9996" max="9996" width="15.6328125" customWidth="1"/>
    <col min="9997" max="9997" width="16.81640625" customWidth="1"/>
    <col min="9998" max="9998" width="13.453125" customWidth="1"/>
    <col min="9999" max="9999" width="10.6328125" customWidth="1"/>
    <col min="10241" max="10241" width="23.6328125" customWidth="1"/>
    <col min="10242" max="10242" width="16.36328125" customWidth="1"/>
    <col min="10243" max="10251" width="13.453125" customWidth="1"/>
    <col min="10252" max="10252" width="15.6328125" customWidth="1"/>
    <col min="10253" max="10253" width="16.81640625" customWidth="1"/>
    <col min="10254" max="10254" width="13.453125" customWidth="1"/>
    <col min="10255" max="10255" width="10.6328125" customWidth="1"/>
    <col min="10497" max="10497" width="23.6328125" customWidth="1"/>
    <col min="10498" max="10498" width="16.36328125" customWidth="1"/>
    <col min="10499" max="10507" width="13.453125" customWidth="1"/>
    <col min="10508" max="10508" width="15.6328125" customWidth="1"/>
    <col min="10509" max="10509" width="16.81640625" customWidth="1"/>
    <col min="10510" max="10510" width="13.453125" customWidth="1"/>
    <col min="10511" max="10511" width="10.6328125" customWidth="1"/>
    <col min="10753" max="10753" width="23.6328125" customWidth="1"/>
    <col min="10754" max="10754" width="16.36328125" customWidth="1"/>
    <col min="10755" max="10763" width="13.453125" customWidth="1"/>
    <col min="10764" max="10764" width="15.6328125" customWidth="1"/>
    <col min="10765" max="10765" width="16.81640625" customWidth="1"/>
    <col min="10766" max="10766" width="13.453125" customWidth="1"/>
    <col min="10767" max="10767" width="10.6328125" customWidth="1"/>
    <col min="11009" max="11009" width="23.6328125" customWidth="1"/>
    <col min="11010" max="11010" width="16.36328125" customWidth="1"/>
    <col min="11011" max="11019" width="13.453125" customWidth="1"/>
    <col min="11020" max="11020" width="15.6328125" customWidth="1"/>
    <col min="11021" max="11021" width="16.81640625" customWidth="1"/>
    <col min="11022" max="11022" width="13.453125" customWidth="1"/>
    <col min="11023" max="11023" width="10.6328125" customWidth="1"/>
    <col min="11265" max="11265" width="23.6328125" customWidth="1"/>
    <col min="11266" max="11266" width="16.36328125" customWidth="1"/>
    <col min="11267" max="11275" width="13.453125" customWidth="1"/>
    <col min="11276" max="11276" width="15.6328125" customWidth="1"/>
    <col min="11277" max="11277" width="16.81640625" customWidth="1"/>
    <col min="11278" max="11278" width="13.453125" customWidth="1"/>
    <col min="11279" max="11279" width="10.6328125" customWidth="1"/>
    <col min="11521" max="11521" width="23.6328125" customWidth="1"/>
    <col min="11522" max="11522" width="16.36328125" customWidth="1"/>
    <col min="11523" max="11531" width="13.453125" customWidth="1"/>
    <col min="11532" max="11532" width="15.6328125" customWidth="1"/>
    <col min="11533" max="11533" width="16.81640625" customWidth="1"/>
    <col min="11534" max="11534" width="13.453125" customWidth="1"/>
    <col min="11535" max="11535" width="10.6328125" customWidth="1"/>
    <col min="11777" max="11777" width="23.6328125" customWidth="1"/>
    <col min="11778" max="11778" width="16.36328125" customWidth="1"/>
    <col min="11779" max="11787" width="13.453125" customWidth="1"/>
    <col min="11788" max="11788" width="15.6328125" customWidth="1"/>
    <col min="11789" max="11789" width="16.81640625" customWidth="1"/>
    <col min="11790" max="11790" width="13.453125" customWidth="1"/>
    <col min="11791" max="11791" width="10.6328125" customWidth="1"/>
    <col min="12033" max="12033" width="23.6328125" customWidth="1"/>
    <col min="12034" max="12034" width="16.36328125" customWidth="1"/>
    <col min="12035" max="12043" width="13.453125" customWidth="1"/>
    <col min="12044" max="12044" width="15.6328125" customWidth="1"/>
    <col min="12045" max="12045" width="16.81640625" customWidth="1"/>
    <col min="12046" max="12046" width="13.453125" customWidth="1"/>
    <col min="12047" max="12047" width="10.6328125" customWidth="1"/>
    <col min="12289" max="12289" width="23.6328125" customWidth="1"/>
    <col min="12290" max="12290" width="16.36328125" customWidth="1"/>
    <col min="12291" max="12299" width="13.453125" customWidth="1"/>
    <col min="12300" max="12300" width="15.6328125" customWidth="1"/>
    <col min="12301" max="12301" width="16.81640625" customWidth="1"/>
    <col min="12302" max="12302" width="13.453125" customWidth="1"/>
    <col min="12303" max="12303" width="10.6328125" customWidth="1"/>
    <col min="12545" max="12545" width="23.6328125" customWidth="1"/>
    <col min="12546" max="12546" width="16.36328125" customWidth="1"/>
    <col min="12547" max="12555" width="13.453125" customWidth="1"/>
    <col min="12556" max="12556" width="15.6328125" customWidth="1"/>
    <col min="12557" max="12557" width="16.81640625" customWidth="1"/>
    <col min="12558" max="12558" width="13.453125" customWidth="1"/>
    <col min="12559" max="12559" width="10.6328125" customWidth="1"/>
    <col min="12801" max="12801" width="23.6328125" customWidth="1"/>
    <col min="12802" max="12802" width="16.36328125" customWidth="1"/>
    <col min="12803" max="12811" width="13.453125" customWidth="1"/>
    <col min="12812" max="12812" width="15.6328125" customWidth="1"/>
    <col min="12813" max="12813" width="16.81640625" customWidth="1"/>
    <col min="12814" max="12814" width="13.453125" customWidth="1"/>
    <col min="12815" max="12815" width="10.6328125" customWidth="1"/>
    <col min="13057" max="13057" width="23.6328125" customWidth="1"/>
    <col min="13058" max="13058" width="16.36328125" customWidth="1"/>
    <col min="13059" max="13067" width="13.453125" customWidth="1"/>
    <col min="13068" max="13068" width="15.6328125" customWidth="1"/>
    <col min="13069" max="13069" width="16.81640625" customWidth="1"/>
    <col min="13070" max="13070" width="13.453125" customWidth="1"/>
    <col min="13071" max="13071" width="10.6328125" customWidth="1"/>
    <col min="13313" max="13313" width="23.6328125" customWidth="1"/>
    <col min="13314" max="13314" width="16.36328125" customWidth="1"/>
    <col min="13315" max="13323" width="13.453125" customWidth="1"/>
    <col min="13324" max="13324" width="15.6328125" customWidth="1"/>
    <col min="13325" max="13325" width="16.81640625" customWidth="1"/>
    <col min="13326" max="13326" width="13.453125" customWidth="1"/>
    <col min="13327" max="13327" width="10.6328125" customWidth="1"/>
    <col min="13569" max="13569" width="23.6328125" customWidth="1"/>
    <col min="13570" max="13570" width="16.36328125" customWidth="1"/>
    <col min="13571" max="13579" width="13.453125" customWidth="1"/>
    <col min="13580" max="13580" width="15.6328125" customWidth="1"/>
    <col min="13581" max="13581" width="16.81640625" customWidth="1"/>
    <col min="13582" max="13582" width="13.453125" customWidth="1"/>
    <col min="13583" max="13583" width="10.6328125" customWidth="1"/>
    <col min="13825" max="13825" width="23.6328125" customWidth="1"/>
    <col min="13826" max="13826" width="16.36328125" customWidth="1"/>
    <col min="13827" max="13835" width="13.453125" customWidth="1"/>
    <col min="13836" max="13836" width="15.6328125" customWidth="1"/>
    <col min="13837" max="13837" width="16.81640625" customWidth="1"/>
    <col min="13838" max="13838" width="13.453125" customWidth="1"/>
    <col min="13839" max="13839" width="10.6328125" customWidth="1"/>
    <col min="14081" max="14081" width="23.6328125" customWidth="1"/>
    <col min="14082" max="14082" width="16.36328125" customWidth="1"/>
    <col min="14083" max="14091" width="13.453125" customWidth="1"/>
    <col min="14092" max="14092" width="15.6328125" customWidth="1"/>
    <col min="14093" max="14093" width="16.81640625" customWidth="1"/>
    <col min="14094" max="14094" width="13.453125" customWidth="1"/>
    <col min="14095" max="14095" width="10.6328125" customWidth="1"/>
    <col min="14337" max="14337" width="23.6328125" customWidth="1"/>
    <col min="14338" max="14338" width="16.36328125" customWidth="1"/>
    <col min="14339" max="14347" width="13.453125" customWidth="1"/>
    <col min="14348" max="14348" width="15.6328125" customWidth="1"/>
    <col min="14349" max="14349" width="16.81640625" customWidth="1"/>
    <col min="14350" max="14350" width="13.453125" customWidth="1"/>
    <col min="14351" max="14351" width="10.6328125" customWidth="1"/>
    <col min="14593" max="14593" width="23.6328125" customWidth="1"/>
    <col min="14594" max="14594" width="16.36328125" customWidth="1"/>
    <col min="14595" max="14603" width="13.453125" customWidth="1"/>
    <col min="14604" max="14604" width="15.6328125" customWidth="1"/>
    <col min="14605" max="14605" width="16.81640625" customWidth="1"/>
    <col min="14606" max="14606" width="13.453125" customWidth="1"/>
    <col min="14607" max="14607" width="10.6328125" customWidth="1"/>
    <col min="14849" max="14849" width="23.6328125" customWidth="1"/>
    <col min="14850" max="14850" width="16.36328125" customWidth="1"/>
    <col min="14851" max="14859" width="13.453125" customWidth="1"/>
    <col min="14860" max="14860" width="15.6328125" customWidth="1"/>
    <col min="14861" max="14861" width="16.81640625" customWidth="1"/>
    <col min="14862" max="14862" width="13.453125" customWidth="1"/>
    <col min="14863" max="14863" width="10.6328125" customWidth="1"/>
    <col min="15105" max="15105" width="23.6328125" customWidth="1"/>
    <col min="15106" max="15106" width="16.36328125" customWidth="1"/>
    <col min="15107" max="15115" width="13.453125" customWidth="1"/>
    <col min="15116" max="15116" width="15.6328125" customWidth="1"/>
    <col min="15117" max="15117" width="16.81640625" customWidth="1"/>
    <col min="15118" max="15118" width="13.453125" customWidth="1"/>
    <col min="15119" max="15119" width="10.6328125" customWidth="1"/>
    <col min="15361" max="15361" width="23.6328125" customWidth="1"/>
    <col min="15362" max="15362" width="16.36328125" customWidth="1"/>
    <col min="15363" max="15371" width="13.453125" customWidth="1"/>
    <col min="15372" max="15372" width="15.6328125" customWidth="1"/>
    <col min="15373" max="15373" width="16.81640625" customWidth="1"/>
    <col min="15374" max="15374" width="13.453125" customWidth="1"/>
    <col min="15375" max="15375" width="10.6328125" customWidth="1"/>
    <col min="15617" max="15617" width="23.6328125" customWidth="1"/>
    <col min="15618" max="15618" width="16.36328125" customWidth="1"/>
    <col min="15619" max="15627" width="13.453125" customWidth="1"/>
    <col min="15628" max="15628" width="15.6328125" customWidth="1"/>
    <col min="15629" max="15629" width="16.81640625" customWidth="1"/>
    <col min="15630" max="15630" width="13.453125" customWidth="1"/>
    <col min="15631" max="15631" width="10.6328125" customWidth="1"/>
    <col min="15873" max="15873" width="23.6328125" customWidth="1"/>
    <col min="15874" max="15874" width="16.36328125" customWidth="1"/>
    <col min="15875" max="15883" width="13.453125" customWidth="1"/>
    <col min="15884" max="15884" width="15.6328125" customWidth="1"/>
    <col min="15885" max="15885" width="16.81640625" customWidth="1"/>
    <col min="15886" max="15886" width="13.453125" customWidth="1"/>
    <col min="15887" max="15887" width="10.6328125" customWidth="1"/>
    <col min="16129" max="16129" width="23.6328125" customWidth="1"/>
    <col min="16130" max="16130" width="16.36328125" customWidth="1"/>
    <col min="16131" max="16139" width="13.453125" customWidth="1"/>
    <col min="16140" max="16140" width="15.6328125" customWidth="1"/>
    <col min="16141" max="16141" width="16.81640625" customWidth="1"/>
    <col min="16142" max="16142" width="13.453125" customWidth="1"/>
    <col min="16143" max="16143" width="10.6328125" customWidth="1"/>
  </cols>
  <sheetData>
    <row r="1" spans="1:14" ht="12.75" customHeight="1" x14ac:dyDescent="0.35">
      <c r="A1" s="3"/>
      <c r="B1" s="4"/>
      <c r="C1" s="4"/>
      <c r="D1" s="4"/>
      <c r="E1" s="4"/>
      <c r="F1" s="4"/>
      <c r="G1" s="4"/>
      <c r="H1" s="4"/>
      <c r="I1" s="4"/>
      <c r="J1" s="4"/>
      <c r="K1" s="4"/>
      <c r="L1" s="4"/>
      <c r="M1" s="4"/>
      <c r="N1" s="5"/>
    </row>
    <row r="2" spans="1:14" ht="24" customHeight="1" x14ac:dyDescent="0.35">
      <c r="A2" s="6" t="s">
        <v>43</v>
      </c>
      <c r="B2" s="4"/>
      <c r="C2" s="4"/>
      <c r="D2" s="4"/>
      <c r="E2" s="4"/>
      <c r="F2" s="4"/>
      <c r="G2" s="4"/>
      <c r="H2" s="4"/>
      <c r="I2" s="4"/>
      <c r="J2" s="4"/>
      <c r="K2" s="4"/>
      <c r="L2" s="4"/>
      <c r="M2" s="4"/>
      <c r="N2" s="5"/>
    </row>
    <row r="3" spans="1:14" ht="10.5" customHeight="1" x14ac:dyDescent="0.35">
      <c r="A3" s="6"/>
      <c r="B3" s="4"/>
      <c r="C3" s="4"/>
      <c r="D3" s="4"/>
      <c r="E3" s="4"/>
      <c r="F3" s="4"/>
      <c r="G3" s="4"/>
      <c r="H3" s="4"/>
      <c r="I3" s="4"/>
      <c r="J3" s="4"/>
      <c r="K3" s="4"/>
      <c r="L3" s="4"/>
      <c r="M3" s="4"/>
      <c r="N3" s="5"/>
    </row>
    <row r="4" spans="1:14" ht="16.5" customHeight="1" thickBot="1" x14ac:dyDescent="0.4">
      <c r="A4" s="7" t="s">
        <v>44</v>
      </c>
      <c r="B4" s="4"/>
      <c r="C4" s="4"/>
      <c r="D4" s="4"/>
      <c r="E4" s="4"/>
      <c r="F4" s="4"/>
      <c r="G4" s="4"/>
      <c r="H4" s="4"/>
      <c r="I4" s="4"/>
      <c r="J4" s="4"/>
      <c r="K4" s="4"/>
      <c r="L4" s="4"/>
      <c r="M4" s="4"/>
      <c r="N4" s="5"/>
    </row>
    <row r="5" spans="1:14" ht="20" customHeight="1" thickBot="1" x14ac:dyDescent="0.45">
      <c r="A5" s="8"/>
      <c r="B5" s="9"/>
      <c r="C5" s="10" t="s">
        <v>45</v>
      </c>
      <c r="D5" s="11"/>
      <c r="E5" s="11"/>
      <c r="F5" s="11"/>
      <c r="G5" s="11"/>
      <c r="H5" s="12"/>
      <c r="I5" s="13" t="s">
        <v>46</v>
      </c>
      <c r="J5" s="14"/>
      <c r="K5" s="14"/>
      <c r="L5" s="14"/>
      <c r="M5" s="14"/>
      <c r="N5" s="15"/>
    </row>
    <row r="6" spans="1:14" ht="18" customHeight="1" thickBot="1" x14ac:dyDescent="0.45">
      <c r="A6" s="16"/>
      <c r="B6" s="17"/>
      <c r="C6" s="18" t="s">
        <v>47</v>
      </c>
      <c r="D6" s="12"/>
      <c r="E6" s="12"/>
      <c r="F6" s="18" t="s">
        <v>48</v>
      </c>
      <c r="G6" s="12"/>
      <c r="H6" s="12"/>
      <c r="I6" s="18" t="s">
        <v>47</v>
      </c>
      <c r="J6" s="12"/>
      <c r="K6" s="12"/>
      <c r="L6" s="19" t="s">
        <v>49</v>
      </c>
      <c r="M6" s="12"/>
      <c r="N6" s="20"/>
    </row>
    <row r="7" spans="1:14" ht="15" customHeight="1" x14ac:dyDescent="0.4">
      <c r="A7" s="21" t="s">
        <v>50</v>
      </c>
      <c r="B7" s="17"/>
      <c r="C7" s="22" t="s">
        <v>51</v>
      </c>
      <c r="D7" s="22" t="s">
        <v>51</v>
      </c>
      <c r="E7" s="22" t="s">
        <v>51</v>
      </c>
      <c r="F7" s="23" t="s">
        <v>51</v>
      </c>
      <c r="G7" s="22" t="s">
        <v>51</v>
      </c>
      <c r="H7" s="22" t="s">
        <v>51</v>
      </c>
      <c r="I7" s="22" t="s">
        <v>51</v>
      </c>
      <c r="J7" s="22" t="s">
        <v>51</v>
      </c>
      <c r="K7" s="22" t="s">
        <v>51</v>
      </c>
      <c r="L7" s="24"/>
      <c r="M7" s="22"/>
      <c r="N7" s="25" t="s">
        <v>52</v>
      </c>
    </row>
    <row r="8" spans="1:14" ht="17" customHeight="1" x14ac:dyDescent="0.4">
      <c r="A8" s="16"/>
      <c r="B8" s="26"/>
      <c r="C8" s="22" t="s">
        <v>53</v>
      </c>
      <c r="D8" s="22" t="s">
        <v>54</v>
      </c>
      <c r="E8" s="22" t="s">
        <v>55</v>
      </c>
      <c r="F8" s="23" t="s">
        <v>56</v>
      </c>
      <c r="G8" s="22" t="s">
        <v>57</v>
      </c>
      <c r="H8" s="22" t="s">
        <v>58</v>
      </c>
      <c r="I8" s="22" t="s">
        <v>53</v>
      </c>
      <c r="J8" s="22" t="s">
        <v>54</v>
      </c>
      <c r="K8" s="22" t="s">
        <v>53</v>
      </c>
      <c r="L8" s="24"/>
      <c r="M8" s="22"/>
      <c r="N8" s="25" t="s">
        <v>59</v>
      </c>
    </row>
    <row r="9" spans="1:14" ht="19.5" customHeight="1" x14ac:dyDescent="0.4">
      <c r="A9" s="16"/>
      <c r="B9" s="26"/>
      <c r="C9" s="27" t="s">
        <v>60</v>
      </c>
      <c r="D9" s="27" t="s">
        <v>61</v>
      </c>
      <c r="E9" s="28">
        <v>2019</v>
      </c>
      <c r="F9" s="23" t="s">
        <v>62</v>
      </c>
      <c r="G9" s="22" t="s">
        <v>63</v>
      </c>
      <c r="H9" s="22" t="s">
        <v>55</v>
      </c>
      <c r="I9" s="27" t="s">
        <v>60</v>
      </c>
      <c r="J9" s="27" t="s">
        <v>61</v>
      </c>
      <c r="K9" s="27">
        <v>2018</v>
      </c>
      <c r="L9" s="28">
        <v>2019</v>
      </c>
      <c r="M9" s="27">
        <v>2018</v>
      </c>
      <c r="N9" s="29" t="s">
        <v>64</v>
      </c>
    </row>
    <row r="10" spans="1:14" ht="12" customHeight="1" thickBot="1" x14ac:dyDescent="0.4">
      <c r="A10" s="30"/>
      <c r="B10" s="31"/>
      <c r="C10" s="31"/>
      <c r="D10" s="31"/>
      <c r="E10" s="31"/>
      <c r="F10" s="31"/>
      <c r="G10" s="31"/>
      <c r="H10" s="31"/>
      <c r="I10" s="31"/>
      <c r="J10" s="31"/>
      <c r="K10" s="31"/>
      <c r="L10" s="31"/>
      <c r="M10" s="31"/>
      <c r="N10" s="32"/>
    </row>
    <row r="11" spans="1:14" ht="9" customHeight="1" x14ac:dyDescent="0.35">
      <c r="A11" s="3"/>
      <c r="B11" s="33"/>
      <c r="C11" s="34"/>
      <c r="D11" s="34"/>
      <c r="E11" s="34"/>
      <c r="F11" s="100"/>
      <c r="G11" s="100"/>
      <c r="H11" s="100"/>
      <c r="I11" s="34"/>
      <c r="J11" s="34"/>
      <c r="K11" s="34"/>
      <c r="L11" s="34"/>
      <c r="M11" s="34"/>
      <c r="N11" s="101"/>
    </row>
    <row r="12" spans="1:14" ht="18" customHeight="1" x14ac:dyDescent="0.4">
      <c r="A12" s="35" t="s">
        <v>65</v>
      </c>
      <c r="B12" s="36"/>
      <c r="C12" s="37"/>
      <c r="D12" s="37"/>
      <c r="E12" s="37"/>
      <c r="F12" s="102"/>
      <c r="G12" s="102"/>
      <c r="H12" s="102"/>
      <c r="I12" s="37"/>
      <c r="J12" s="37"/>
      <c r="K12" s="37"/>
      <c r="L12" s="37"/>
      <c r="M12" s="37"/>
      <c r="N12" s="103"/>
    </row>
    <row r="13" spans="1:14" ht="9" customHeight="1" x14ac:dyDescent="0.35">
      <c r="A13" s="38"/>
      <c r="B13" s="33"/>
      <c r="C13" s="37"/>
      <c r="D13" s="37"/>
      <c r="E13" s="37"/>
      <c r="F13" s="102"/>
      <c r="G13" s="102"/>
      <c r="H13" s="102"/>
      <c r="I13" s="37"/>
      <c r="J13" s="37"/>
      <c r="K13" s="37"/>
      <c r="L13" s="37"/>
      <c r="M13" s="37"/>
      <c r="N13" s="103"/>
    </row>
    <row r="14" spans="1:14" ht="17" customHeight="1" x14ac:dyDescent="0.35">
      <c r="A14" s="39" t="s">
        <v>66</v>
      </c>
      <c r="B14" s="33"/>
      <c r="C14" s="37" t="s">
        <v>51</v>
      </c>
      <c r="D14" s="37" t="s">
        <v>51</v>
      </c>
      <c r="E14" s="37" t="s">
        <v>51</v>
      </c>
      <c r="F14" s="102" t="s">
        <v>51</v>
      </c>
      <c r="G14" s="102" t="s">
        <v>51</v>
      </c>
      <c r="H14" s="102" t="s">
        <v>51</v>
      </c>
      <c r="I14" s="37" t="s">
        <v>51</v>
      </c>
      <c r="J14" s="37" t="s">
        <v>51</v>
      </c>
      <c r="K14" s="37" t="s">
        <v>51</v>
      </c>
      <c r="L14" s="37" t="s">
        <v>51</v>
      </c>
      <c r="M14" s="37" t="s">
        <v>51</v>
      </c>
      <c r="N14" s="103" t="s">
        <v>51</v>
      </c>
    </row>
    <row r="15" spans="1:14" ht="18.75" customHeight="1" x14ac:dyDescent="0.35">
      <c r="A15" s="40" t="s">
        <v>67</v>
      </c>
      <c r="B15" s="33"/>
      <c r="C15" s="41">
        <v>254092</v>
      </c>
      <c r="D15" s="41">
        <v>253190</v>
      </c>
      <c r="E15" s="41">
        <v>257319</v>
      </c>
      <c r="F15" s="104">
        <v>0.4</v>
      </c>
      <c r="G15" s="104">
        <v>-1.6</v>
      </c>
      <c r="H15" s="104">
        <v>-0.5</v>
      </c>
      <c r="I15" s="41">
        <v>261855</v>
      </c>
      <c r="J15" s="41">
        <v>252218</v>
      </c>
      <c r="K15" s="41">
        <v>254534</v>
      </c>
      <c r="L15" s="41">
        <v>1262276</v>
      </c>
      <c r="M15" s="41">
        <v>1214767</v>
      </c>
      <c r="N15" s="105">
        <v>3.9</v>
      </c>
    </row>
    <row r="16" spans="1:14" ht="19.5" customHeight="1" x14ac:dyDescent="0.35">
      <c r="A16" s="40" t="s">
        <v>68</v>
      </c>
      <c r="B16" s="33"/>
      <c r="C16" s="59">
        <v>243367</v>
      </c>
      <c r="D16" s="41">
        <v>246694</v>
      </c>
      <c r="E16" s="41">
        <v>253834</v>
      </c>
      <c r="F16" s="104">
        <v>-1.3</v>
      </c>
      <c r="G16" s="104">
        <v>-2.8</v>
      </c>
      <c r="H16" s="104">
        <v>1.7</v>
      </c>
      <c r="I16" s="41">
        <v>244890</v>
      </c>
      <c r="J16" s="41">
        <v>245438</v>
      </c>
      <c r="K16" s="41">
        <v>253209</v>
      </c>
      <c r="L16" s="41">
        <v>1235760</v>
      </c>
      <c r="M16" s="41">
        <v>1223819</v>
      </c>
      <c r="N16" s="105">
        <v>1</v>
      </c>
    </row>
    <row r="17" spans="1:18" ht="9" customHeight="1" x14ac:dyDescent="0.35">
      <c r="A17" s="40"/>
      <c r="B17" s="33"/>
      <c r="C17" s="41"/>
      <c r="D17" s="41"/>
      <c r="E17" s="41"/>
      <c r="F17" s="104"/>
      <c r="G17" s="104"/>
      <c r="H17" s="104"/>
      <c r="I17" s="41"/>
      <c r="J17" s="41"/>
      <c r="K17" s="41"/>
      <c r="L17" s="41"/>
      <c r="M17" s="41"/>
      <c r="N17" s="105"/>
    </row>
    <row r="18" spans="1:18" ht="20" customHeight="1" x14ac:dyDescent="0.35">
      <c r="A18" s="42" t="s">
        <v>69</v>
      </c>
      <c r="B18" s="33"/>
      <c r="C18" s="41"/>
      <c r="D18" s="41"/>
      <c r="E18" s="41"/>
      <c r="F18" s="104"/>
      <c r="G18" s="104"/>
      <c r="H18" s="104"/>
      <c r="I18" s="41"/>
      <c r="J18" s="41"/>
      <c r="K18" s="41"/>
      <c r="L18" s="41"/>
      <c r="M18" s="41"/>
      <c r="N18" s="105"/>
    </row>
    <row r="19" spans="1:18" ht="17.25" customHeight="1" x14ac:dyDescent="0.35">
      <c r="A19" s="40" t="s">
        <v>67</v>
      </c>
      <c r="B19" s="33"/>
      <c r="C19" s="41">
        <v>168337</v>
      </c>
      <c r="D19" s="41">
        <v>167677</v>
      </c>
      <c r="E19" s="41">
        <v>167815</v>
      </c>
      <c r="F19" s="104">
        <v>0.4</v>
      </c>
      <c r="G19" s="104">
        <v>-0.1</v>
      </c>
      <c r="H19" s="104">
        <v>-0.7</v>
      </c>
      <c r="I19" s="41">
        <v>173204</v>
      </c>
      <c r="J19" s="41">
        <v>167920</v>
      </c>
      <c r="K19" s="41">
        <v>169648</v>
      </c>
      <c r="L19" s="41">
        <v>825457</v>
      </c>
      <c r="M19" s="41">
        <v>802497</v>
      </c>
      <c r="N19" s="105">
        <v>2.9</v>
      </c>
    </row>
    <row r="20" spans="1:18" ht="18" customHeight="1" x14ac:dyDescent="0.35">
      <c r="A20" s="40" t="s">
        <v>68</v>
      </c>
      <c r="B20" s="33"/>
      <c r="C20" s="41">
        <v>163371</v>
      </c>
      <c r="D20" s="41">
        <v>162840</v>
      </c>
      <c r="E20" s="41">
        <v>163039</v>
      </c>
      <c r="F20" s="104">
        <v>0.3</v>
      </c>
      <c r="G20" s="104">
        <v>-0.1</v>
      </c>
      <c r="H20" s="104">
        <v>-0.5</v>
      </c>
      <c r="I20" s="41">
        <v>168217</v>
      </c>
      <c r="J20" s="41">
        <v>165761</v>
      </c>
      <c r="K20" s="41">
        <v>168092</v>
      </c>
      <c r="L20" s="41">
        <v>815382</v>
      </c>
      <c r="M20" s="41">
        <v>803279</v>
      </c>
      <c r="N20" s="105">
        <v>1.5</v>
      </c>
    </row>
    <row r="21" spans="1:18" ht="9" customHeight="1" x14ac:dyDescent="0.35">
      <c r="A21" s="40"/>
      <c r="B21" s="33"/>
      <c r="C21" s="41"/>
      <c r="D21" s="41"/>
      <c r="E21" s="41"/>
      <c r="F21" s="104"/>
      <c r="G21" s="104"/>
      <c r="H21" s="104"/>
      <c r="I21" s="41"/>
      <c r="J21" s="41"/>
      <c r="K21" s="41"/>
      <c r="L21" s="41"/>
      <c r="M21" s="41"/>
      <c r="N21" s="105"/>
    </row>
    <row r="22" spans="1:18" ht="20" customHeight="1" x14ac:dyDescent="0.35">
      <c r="A22" s="42" t="s">
        <v>70</v>
      </c>
      <c r="B22" s="33"/>
      <c r="C22" s="41"/>
      <c r="D22" s="41"/>
      <c r="E22" s="41"/>
      <c r="F22" s="104"/>
      <c r="G22" s="104"/>
      <c r="H22" s="104"/>
      <c r="I22" s="41"/>
      <c r="J22" s="41"/>
      <c r="K22" s="41"/>
      <c r="L22" s="41"/>
      <c r="M22" s="41"/>
      <c r="N22" s="105"/>
    </row>
    <row r="23" spans="1:18" ht="17.25" customHeight="1" x14ac:dyDescent="0.35">
      <c r="A23" s="40" t="s">
        <v>67</v>
      </c>
      <c r="B23" s="33"/>
      <c r="C23" s="41">
        <v>239037</v>
      </c>
      <c r="D23" s="41">
        <v>238127</v>
      </c>
      <c r="E23" s="41">
        <v>242824</v>
      </c>
      <c r="F23" s="104">
        <v>0.4</v>
      </c>
      <c r="G23" s="104">
        <v>-1.9</v>
      </c>
      <c r="H23" s="104">
        <v>-0.6</v>
      </c>
      <c r="I23" s="41">
        <v>247078</v>
      </c>
      <c r="J23" s="41">
        <v>238689</v>
      </c>
      <c r="K23" s="41">
        <v>241367</v>
      </c>
      <c r="L23" s="41">
        <v>1191391</v>
      </c>
      <c r="M23" s="41">
        <v>1151435</v>
      </c>
      <c r="N23" s="105">
        <v>3.5</v>
      </c>
    </row>
    <row r="24" spans="1:18" ht="20.25" customHeight="1" x14ac:dyDescent="0.35">
      <c r="A24" s="40" t="s">
        <v>68</v>
      </c>
      <c r="B24" s="33"/>
      <c r="C24" s="41">
        <v>227976</v>
      </c>
      <c r="D24" s="41">
        <v>229451</v>
      </c>
      <c r="E24" s="41">
        <v>237243</v>
      </c>
      <c r="F24" s="104">
        <v>-0.6</v>
      </c>
      <c r="G24" s="104">
        <v>-3.3</v>
      </c>
      <c r="H24" s="104">
        <v>0.1</v>
      </c>
      <c r="I24" s="41">
        <v>231842</v>
      </c>
      <c r="J24" s="41">
        <v>231325</v>
      </c>
      <c r="K24" s="41">
        <v>239784</v>
      </c>
      <c r="L24" s="41">
        <v>1164577</v>
      </c>
      <c r="M24" s="41">
        <v>1160583</v>
      </c>
      <c r="N24" s="105">
        <v>0.3</v>
      </c>
    </row>
    <row r="25" spans="1:18" ht="9" customHeight="1" x14ac:dyDescent="0.4">
      <c r="A25" s="43"/>
      <c r="B25" s="33"/>
      <c r="C25" s="41"/>
      <c r="D25" s="41"/>
      <c r="E25" s="41"/>
      <c r="F25" s="104"/>
      <c r="G25" s="104"/>
      <c r="H25" s="104"/>
      <c r="I25" s="41"/>
      <c r="J25" s="41"/>
      <c r="K25" s="41"/>
      <c r="L25" s="41"/>
      <c r="M25" s="41"/>
      <c r="N25" s="105"/>
    </row>
    <row r="26" spans="1:18" ht="20" customHeight="1" x14ac:dyDescent="0.35">
      <c r="A26" s="42" t="s">
        <v>71</v>
      </c>
      <c r="B26" s="33"/>
      <c r="C26" s="41"/>
      <c r="D26" s="41"/>
      <c r="E26" s="41"/>
      <c r="F26" s="104"/>
      <c r="G26" s="104"/>
      <c r="H26" s="104"/>
      <c r="I26" s="41"/>
      <c r="J26" s="41"/>
      <c r="K26" s="41"/>
      <c r="L26" s="41"/>
      <c r="M26" s="41"/>
      <c r="N26" s="105"/>
    </row>
    <row r="27" spans="1:18" ht="17.25" customHeight="1" x14ac:dyDescent="0.35">
      <c r="A27" s="40" t="s">
        <v>67</v>
      </c>
      <c r="B27" s="33"/>
      <c r="C27" s="41">
        <v>176299</v>
      </c>
      <c r="D27" s="41">
        <v>175963</v>
      </c>
      <c r="E27" s="41">
        <v>178585</v>
      </c>
      <c r="F27" s="104">
        <v>0.2</v>
      </c>
      <c r="G27" s="104">
        <v>-1.5</v>
      </c>
      <c r="H27" s="104">
        <v>-0.6</v>
      </c>
      <c r="I27" s="41">
        <v>181805</v>
      </c>
      <c r="J27" s="41">
        <v>173849</v>
      </c>
      <c r="K27" s="41">
        <v>179552</v>
      </c>
      <c r="L27" s="41">
        <v>874765</v>
      </c>
      <c r="M27" s="41">
        <v>844699</v>
      </c>
      <c r="N27" s="105">
        <v>3.6</v>
      </c>
    </row>
    <row r="28" spans="1:18" ht="19.5" customHeight="1" x14ac:dyDescent="0.35">
      <c r="A28" s="40" t="s">
        <v>72</v>
      </c>
      <c r="B28" s="33"/>
      <c r="C28" s="41">
        <v>169928</v>
      </c>
      <c r="D28" s="41">
        <v>173658</v>
      </c>
      <c r="E28" s="41">
        <v>179278</v>
      </c>
      <c r="F28" s="104">
        <v>-2.1</v>
      </c>
      <c r="G28" s="104">
        <v>-3.1</v>
      </c>
      <c r="H28" s="104">
        <v>2.4</v>
      </c>
      <c r="I28" s="41">
        <v>168570</v>
      </c>
      <c r="J28" s="41">
        <v>170930</v>
      </c>
      <c r="K28" s="41">
        <v>181624</v>
      </c>
      <c r="L28" s="41">
        <v>868271</v>
      </c>
      <c r="M28" s="41">
        <v>872495</v>
      </c>
      <c r="N28" s="105">
        <v>-0.5</v>
      </c>
    </row>
    <row r="29" spans="1:18" ht="9" customHeight="1" x14ac:dyDescent="0.35">
      <c r="A29" s="40"/>
      <c r="B29" s="33"/>
      <c r="C29" s="41"/>
      <c r="D29" s="41"/>
      <c r="E29" s="41"/>
      <c r="F29" s="104"/>
      <c r="G29" s="104"/>
      <c r="H29" s="104"/>
      <c r="I29" s="41"/>
      <c r="J29" s="41"/>
      <c r="K29" s="41"/>
      <c r="L29" s="41"/>
      <c r="M29" s="41"/>
      <c r="N29" s="105"/>
    </row>
    <row r="30" spans="1:18" ht="16.5" customHeight="1" x14ac:dyDescent="0.35">
      <c r="A30" s="42" t="s">
        <v>73</v>
      </c>
      <c r="B30" s="33"/>
      <c r="C30" s="41"/>
      <c r="D30" s="41"/>
      <c r="E30" s="41"/>
      <c r="F30" s="104"/>
      <c r="G30" s="104"/>
      <c r="H30" s="104"/>
      <c r="I30" s="41"/>
      <c r="J30" s="41"/>
      <c r="K30" s="41"/>
      <c r="L30" s="41"/>
      <c r="M30" s="41"/>
      <c r="N30" s="105"/>
    </row>
    <row r="31" spans="1:18" ht="18" customHeight="1" x14ac:dyDescent="0.35">
      <c r="A31" s="40" t="s">
        <v>67</v>
      </c>
      <c r="B31" s="33"/>
      <c r="C31" s="41">
        <v>20652</v>
      </c>
      <c r="D31" s="41">
        <v>20801</v>
      </c>
      <c r="E31" s="41">
        <v>21105</v>
      </c>
      <c r="F31" s="104">
        <v>-0.7</v>
      </c>
      <c r="G31" s="104">
        <v>-1.4</v>
      </c>
      <c r="H31" s="104">
        <v>-1.4</v>
      </c>
      <c r="I31" s="41">
        <v>21771</v>
      </c>
      <c r="J31" s="41">
        <v>21653</v>
      </c>
      <c r="K31" s="41">
        <v>22560</v>
      </c>
      <c r="L31" s="41">
        <v>106840</v>
      </c>
      <c r="M31" s="41">
        <v>105546</v>
      </c>
      <c r="N31" s="105">
        <v>1.2</v>
      </c>
    </row>
    <row r="32" spans="1:18" ht="17.25" customHeight="1" x14ac:dyDescent="0.35">
      <c r="A32" s="40" t="s">
        <v>72</v>
      </c>
      <c r="B32" s="33"/>
      <c r="C32" s="41">
        <v>20589</v>
      </c>
      <c r="D32" s="41">
        <v>20517</v>
      </c>
      <c r="E32" s="41">
        <v>21027</v>
      </c>
      <c r="F32" s="104">
        <v>0.4</v>
      </c>
      <c r="G32" s="104">
        <v>-2.4</v>
      </c>
      <c r="H32" s="104">
        <v>-2</v>
      </c>
      <c r="I32" s="41">
        <v>21108</v>
      </c>
      <c r="J32" s="41">
        <v>21531</v>
      </c>
      <c r="K32" s="41">
        <v>22589</v>
      </c>
      <c r="L32" s="41">
        <v>107596</v>
      </c>
      <c r="M32" s="41">
        <v>108614</v>
      </c>
      <c r="N32" s="105">
        <v>-0.9</v>
      </c>
      <c r="R32" s="60">
        <f>C32+C36+C40+C44+C57+C61+C77</f>
        <v>243367</v>
      </c>
    </row>
    <row r="33" spans="1:14" ht="9" customHeight="1" x14ac:dyDescent="0.35">
      <c r="A33" s="44"/>
      <c r="B33" s="33"/>
      <c r="C33" s="41"/>
      <c r="D33" s="41"/>
      <c r="E33" s="41"/>
      <c r="F33" s="104"/>
      <c r="G33" s="104"/>
      <c r="H33" s="104"/>
      <c r="I33" s="41"/>
      <c r="J33" s="41"/>
      <c r="K33" s="41"/>
      <c r="L33" s="41"/>
      <c r="M33" s="41"/>
      <c r="N33" s="105"/>
    </row>
    <row r="34" spans="1:14" ht="18" customHeight="1" x14ac:dyDescent="0.35">
      <c r="A34" s="44" t="s">
        <v>74</v>
      </c>
      <c r="B34" s="33"/>
      <c r="C34" s="41"/>
      <c r="D34" s="41"/>
      <c r="E34" s="41"/>
      <c r="F34" s="104"/>
      <c r="G34" s="104"/>
      <c r="H34" s="104"/>
      <c r="I34" s="41"/>
      <c r="J34" s="41"/>
      <c r="K34" s="41"/>
      <c r="L34" s="41"/>
      <c r="M34" s="41"/>
      <c r="N34" s="105"/>
    </row>
    <row r="35" spans="1:14" ht="18" customHeight="1" x14ac:dyDescent="0.35">
      <c r="A35" s="40" t="s">
        <v>67</v>
      </c>
      <c r="B35" s="33"/>
      <c r="C35" s="41">
        <v>33620</v>
      </c>
      <c r="D35" s="41">
        <v>33417</v>
      </c>
      <c r="E35" s="41">
        <v>33655</v>
      </c>
      <c r="F35" s="104">
        <v>0.6</v>
      </c>
      <c r="G35" s="104">
        <v>-0.7</v>
      </c>
      <c r="H35" s="104">
        <v>-0.7</v>
      </c>
      <c r="I35" s="41">
        <v>35341</v>
      </c>
      <c r="J35" s="41">
        <v>33878</v>
      </c>
      <c r="K35" s="41">
        <v>34301</v>
      </c>
      <c r="L35" s="41">
        <v>166849</v>
      </c>
      <c r="M35" s="41">
        <v>159830</v>
      </c>
      <c r="N35" s="105">
        <v>4.4000000000000004</v>
      </c>
    </row>
    <row r="36" spans="1:14" ht="17.25" customHeight="1" x14ac:dyDescent="0.35">
      <c r="A36" s="40" t="s">
        <v>72</v>
      </c>
      <c r="B36" s="33"/>
      <c r="C36" s="41">
        <v>33307</v>
      </c>
      <c r="D36" s="41">
        <v>33435</v>
      </c>
      <c r="E36" s="41">
        <v>33160</v>
      </c>
      <c r="F36" s="104">
        <v>-0.4</v>
      </c>
      <c r="G36" s="104">
        <v>0.8</v>
      </c>
      <c r="H36" s="104">
        <v>-1.5</v>
      </c>
      <c r="I36" s="41">
        <v>35642</v>
      </c>
      <c r="J36" s="41">
        <v>34943</v>
      </c>
      <c r="K36" s="41">
        <v>35670</v>
      </c>
      <c r="L36" s="41">
        <v>171019</v>
      </c>
      <c r="M36" s="41">
        <v>167785</v>
      </c>
      <c r="N36" s="105">
        <v>1.9</v>
      </c>
    </row>
    <row r="37" spans="1:14" ht="9" customHeight="1" x14ac:dyDescent="0.4">
      <c r="A37" s="43"/>
      <c r="B37" s="33"/>
      <c r="C37" s="41"/>
      <c r="D37" s="41"/>
      <c r="E37" s="41"/>
      <c r="F37" s="104"/>
      <c r="G37" s="104"/>
      <c r="H37" s="104"/>
      <c r="I37" s="41"/>
      <c r="J37" s="41"/>
      <c r="K37" s="41"/>
      <c r="L37" s="41"/>
      <c r="M37" s="41"/>
      <c r="N37" s="105"/>
    </row>
    <row r="38" spans="1:14" ht="18.75" customHeight="1" x14ac:dyDescent="0.35">
      <c r="A38" s="40" t="s">
        <v>75</v>
      </c>
      <c r="B38" s="33"/>
      <c r="C38" s="41"/>
      <c r="D38" s="41"/>
      <c r="E38" s="41"/>
      <c r="F38" s="104"/>
      <c r="G38" s="104"/>
      <c r="H38" s="104"/>
      <c r="I38" s="41"/>
      <c r="J38" s="41"/>
      <c r="K38" s="41"/>
      <c r="L38" s="41"/>
      <c r="M38" s="41"/>
      <c r="N38" s="105"/>
    </row>
    <row r="39" spans="1:14" ht="19.5" customHeight="1" x14ac:dyDescent="0.35">
      <c r="A39" s="40" t="s">
        <v>67</v>
      </c>
      <c r="B39" s="33"/>
      <c r="C39" s="41">
        <v>33419</v>
      </c>
      <c r="D39" s="41">
        <v>33060</v>
      </c>
      <c r="E39" s="41">
        <v>32969</v>
      </c>
      <c r="F39" s="104">
        <v>1.1000000000000001</v>
      </c>
      <c r="G39" s="104">
        <v>0.3</v>
      </c>
      <c r="H39" s="104">
        <v>-1.4</v>
      </c>
      <c r="I39" s="41">
        <v>35049</v>
      </c>
      <c r="J39" s="41">
        <v>33775</v>
      </c>
      <c r="K39" s="41">
        <v>33920</v>
      </c>
      <c r="L39" s="41">
        <v>166232</v>
      </c>
      <c r="M39" s="41">
        <v>161305</v>
      </c>
      <c r="N39" s="105">
        <v>3.1</v>
      </c>
    </row>
    <row r="40" spans="1:14" ht="17.25" customHeight="1" x14ac:dyDescent="0.35">
      <c r="A40" s="40" t="s">
        <v>72</v>
      </c>
      <c r="B40" s="33"/>
      <c r="C40" s="41">
        <v>32824</v>
      </c>
      <c r="D40" s="41">
        <v>32608</v>
      </c>
      <c r="E40" s="41">
        <v>32545</v>
      </c>
      <c r="F40" s="104">
        <v>0.7</v>
      </c>
      <c r="G40" s="104">
        <v>0.2</v>
      </c>
      <c r="H40" s="104">
        <v>-2</v>
      </c>
      <c r="I40" s="41">
        <v>33857</v>
      </c>
      <c r="J40" s="41">
        <v>33858</v>
      </c>
      <c r="K40" s="41">
        <v>33832</v>
      </c>
      <c r="L40" s="41">
        <v>166817</v>
      </c>
      <c r="M40" s="41">
        <v>164920</v>
      </c>
      <c r="N40" s="105">
        <v>1.2</v>
      </c>
    </row>
    <row r="41" spans="1:14" ht="9" customHeight="1" x14ac:dyDescent="0.35">
      <c r="A41" s="42"/>
      <c r="B41" s="33"/>
      <c r="C41" s="41"/>
      <c r="D41" s="41"/>
      <c r="E41" s="41"/>
      <c r="F41" s="104"/>
      <c r="G41" s="104"/>
      <c r="H41" s="104"/>
      <c r="I41" s="41"/>
      <c r="J41" s="41"/>
      <c r="K41" s="41"/>
      <c r="L41" s="41"/>
      <c r="M41" s="41"/>
      <c r="N41" s="105"/>
    </row>
    <row r="42" spans="1:14" ht="20" customHeight="1" x14ac:dyDescent="0.35">
      <c r="A42" s="40" t="s">
        <v>76</v>
      </c>
      <c r="B42" s="33"/>
      <c r="C42" s="41"/>
      <c r="D42" s="41"/>
      <c r="E42" s="41"/>
      <c r="F42" s="104"/>
      <c r="G42" s="104"/>
      <c r="H42" s="104"/>
      <c r="I42" s="41"/>
      <c r="J42" s="41"/>
      <c r="K42" s="41"/>
      <c r="L42" s="41"/>
      <c r="M42" s="41"/>
      <c r="N42" s="105"/>
    </row>
    <row r="43" spans="1:14" ht="18" customHeight="1" x14ac:dyDescent="0.35">
      <c r="A43" s="40" t="s">
        <v>67</v>
      </c>
      <c r="B43" s="33"/>
      <c r="C43" s="41">
        <v>28311</v>
      </c>
      <c r="D43" s="41">
        <v>28134</v>
      </c>
      <c r="E43" s="41">
        <v>27791</v>
      </c>
      <c r="F43" s="104">
        <v>0.6</v>
      </c>
      <c r="G43" s="104">
        <v>1.2</v>
      </c>
      <c r="H43" s="104">
        <v>-1</v>
      </c>
      <c r="I43" s="41">
        <v>26605</v>
      </c>
      <c r="J43" s="41">
        <v>25808</v>
      </c>
      <c r="K43" s="41">
        <v>25083</v>
      </c>
      <c r="L43" s="41">
        <v>131148</v>
      </c>
      <c r="M43" s="41">
        <v>124284</v>
      </c>
      <c r="N43" s="105">
        <v>5.5</v>
      </c>
    </row>
    <row r="44" spans="1:14" ht="20.25" customHeight="1" x14ac:dyDescent="0.35">
      <c r="A44" s="40" t="s">
        <v>72</v>
      </c>
      <c r="B44" s="33"/>
      <c r="C44" s="41">
        <v>24091</v>
      </c>
      <c r="D44" s="41">
        <v>23905</v>
      </c>
      <c r="E44" s="41">
        <v>24056</v>
      </c>
      <c r="F44" s="104">
        <v>0.8</v>
      </c>
      <c r="G44" s="104">
        <v>-0.6</v>
      </c>
      <c r="H44" s="104">
        <v>2.1</v>
      </c>
      <c r="I44" s="41">
        <v>22710</v>
      </c>
      <c r="J44" s="41">
        <v>22050</v>
      </c>
      <c r="K44" s="41">
        <v>22010</v>
      </c>
      <c r="L44" s="41">
        <v>113226</v>
      </c>
      <c r="M44" s="41">
        <v>108402</v>
      </c>
      <c r="N44" s="105">
        <v>4.5</v>
      </c>
    </row>
    <row r="45" spans="1:14" ht="9" customHeight="1" x14ac:dyDescent="0.35">
      <c r="A45" s="44"/>
      <c r="B45" s="33"/>
      <c r="C45" s="41"/>
      <c r="D45" s="41"/>
      <c r="E45" s="41"/>
      <c r="F45" s="104"/>
      <c r="G45" s="104"/>
      <c r="H45" s="104"/>
      <c r="I45" s="41"/>
      <c r="J45" s="41"/>
      <c r="K45" s="41"/>
      <c r="L45" s="41"/>
      <c r="M45" s="41"/>
      <c r="N45" s="105"/>
    </row>
    <row r="46" spans="1:14" ht="18.75" customHeight="1" x14ac:dyDescent="0.35">
      <c r="A46" s="42" t="s">
        <v>77</v>
      </c>
      <c r="B46" s="33"/>
      <c r="C46" s="41"/>
      <c r="D46" s="41"/>
      <c r="E46" s="41"/>
      <c r="F46" s="104"/>
      <c r="G46" s="104"/>
      <c r="H46" s="104"/>
      <c r="I46" s="41"/>
      <c r="J46" s="41"/>
      <c r="K46" s="41"/>
      <c r="L46" s="41"/>
      <c r="M46" s="41"/>
      <c r="N46" s="105"/>
    </row>
    <row r="47" spans="1:14" ht="18.75" customHeight="1" x14ac:dyDescent="0.35">
      <c r="A47" s="45" t="s">
        <v>67</v>
      </c>
      <c r="B47" s="33"/>
      <c r="C47" s="41">
        <v>1813</v>
      </c>
      <c r="D47" s="41">
        <v>1827</v>
      </c>
      <c r="E47" s="41">
        <v>1750</v>
      </c>
      <c r="F47" s="104">
        <v>-0.8</v>
      </c>
      <c r="G47" s="104">
        <v>4.4000000000000004</v>
      </c>
      <c r="H47" s="104">
        <v>-5.4</v>
      </c>
      <c r="I47" s="41">
        <v>1624</v>
      </c>
      <c r="J47" s="41">
        <v>1523</v>
      </c>
      <c r="K47" s="41">
        <v>1623</v>
      </c>
      <c r="L47" s="41">
        <v>7831</v>
      </c>
      <c r="M47" s="41">
        <v>7826</v>
      </c>
      <c r="N47" s="105">
        <v>0.1</v>
      </c>
    </row>
    <row r="48" spans="1:14" ht="18" customHeight="1" x14ac:dyDescent="0.35">
      <c r="A48" s="40" t="s">
        <v>72</v>
      </c>
      <c r="B48" s="33"/>
      <c r="C48" s="41">
        <v>1770</v>
      </c>
      <c r="D48" s="41">
        <v>1813</v>
      </c>
      <c r="E48" s="41">
        <v>1752</v>
      </c>
      <c r="F48" s="104">
        <v>-2.4</v>
      </c>
      <c r="G48" s="104">
        <v>3.5</v>
      </c>
      <c r="H48" s="104">
        <v>-4.8</v>
      </c>
      <c r="I48" s="41">
        <v>1581</v>
      </c>
      <c r="J48" s="41">
        <v>1509</v>
      </c>
      <c r="K48" s="41">
        <v>1632</v>
      </c>
      <c r="L48" s="41">
        <v>7808</v>
      </c>
      <c r="M48" s="41">
        <v>7963</v>
      </c>
      <c r="N48" s="105">
        <v>-1.9</v>
      </c>
    </row>
    <row r="49" spans="1:14" ht="9" customHeight="1" x14ac:dyDescent="0.35">
      <c r="A49" s="45" t="s">
        <v>78</v>
      </c>
      <c r="B49" s="33"/>
      <c r="C49" s="41"/>
      <c r="D49" s="41"/>
      <c r="E49" s="41"/>
      <c r="F49" s="104"/>
      <c r="G49" s="104"/>
      <c r="H49" s="104"/>
      <c r="I49" s="41"/>
      <c r="J49" s="41"/>
      <c r="K49" s="41"/>
      <c r="L49" s="41"/>
      <c r="M49" s="41"/>
      <c r="N49" s="105"/>
    </row>
    <row r="50" spans="1:14" ht="18.75" customHeight="1" x14ac:dyDescent="0.35">
      <c r="A50" s="40" t="s">
        <v>79</v>
      </c>
      <c r="B50" s="33"/>
      <c r="C50" s="41"/>
      <c r="D50" s="41"/>
      <c r="E50" s="41"/>
      <c r="F50" s="104"/>
      <c r="G50" s="104"/>
      <c r="H50" s="104"/>
      <c r="I50" s="41"/>
      <c r="J50" s="41"/>
      <c r="K50" s="41"/>
      <c r="L50" s="41"/>
      <c r="M50" s="41"/>
      <c r="N50" s="105"/>
    </row>
    <row r="51" spans="1:14" ht="18.75" customHeight="1" x14ac:dyDescent="0.35">
      <c r="A51" s="40" t="s">
        <v>67</v>
      </c>
      <c r="B51" s="33"/>
      <c r="C51" s="41">
        <v>3826</v>
      </c>
      <c r="D51" s="41">
        <v>3825</v>
      </c>
      <c r="E51" s="41">
        <v>3835</v>
      </c>
      <c r="F51" s="104">
        <v>0</v>
      </c>
      <c r="G51" s="104">
        <v>-0.3</v>
      </c>
      <c r="H51" s="104">
        <v>0.6</v>
      </c>
      <c r="I51" s="41">
        <v>3570</v>
      </c>
      <c r="J51" s="41">
        <v>3476</v>
      </c>
      <c r="K51" s="41">
        <v>3197</v>
      </c>
      <c r="L51" s="41">
        <v>17559</v>
      </c>
      <c r="M51" s="41">
        <v>15654</v>
      </c>
      <c r="N51" s="105">
        <v>12.2</v>
      </c>
    </row>
    <row r="52" spans="1:14" ht="18.75" customHeight="1" x14ac:dyDescent="0.35">
      <c r="A52" s="40" t="s">
        <v>72</v>
      </c>
      <c r="B52" s="33"/>
      <c r="C52" s="41">
        <v>3695</v>
      </c>
      <c r="D52" s="41">
        <v>3633</v>
      </c>
      <c r="E52" s="41">
        <v>3920</v>
      </c>
      <c r="F52" s="104">
        <v>1.7</v>
      </c>
      <c r="G52" s="104">
        <v>-7.3</v>
      </c>
      <c r="H52" s="104">
        <v>10.199999999999999</v>
      </c>
      <c r="I52" s="41">
        <v>3412</v>
      </c>
      <c r="J52" s="41">
        <v>3316</v>
      </c>
      <c r="K52" s="41">
        <v>3304</v>
      </c>
      <c r="L52" s="41">
        <v>17508</v>
      </c>
      <c r="M52" s="41">
        <v>16711</v>
      </c>
      <c r="N52" s="105">
        <v>4.8</v>
      </c>
    </row>
    <row r="53" spans="1:14" ht="9" customHeight="1" x14ac:dyDescent="0.35">
      <c r="A53" s="40"/>
      <c r="B53" s="33"/>
      <c r="C53" s="41"/>
      <c r="D53" s="41"/>
      <c r="E53" s="41"/>
      <c r="F53" s="104"/>
      <c r="G53" s="104"/>
      <c r="H53" s="104"/>
      <c r="I53" s="41"/>
      <c r="J53" s="41"/>
      <c r="K53" s="41"/>
      <c r="L53" s="41"/>
      <c r="M53" s="41"/>
      <c r="N53" s="106"/>
    </row>
    <row r="54" spans="1:14" ht="18.75" customHeight="1" x14ac:dyDescent="0.35">
      <c r="A54" s="42" t="s">
        <v>80</v>
      </c>
      <c r="B54" s="33"/>
      <c r="C54" s="41"/>
      <c r="D54" s="41"/>
      <c r="E54" s="41"/>
      <c r="F54" s="104"/>
      <c r="G54" s="104"/>
      <c r="H54" s="104"/>
      <c r="I54" s="41"/>
      <c r="J54" s="41"/>
      <c r="K54" s="41"/>
      <c r="L54" s="41"/>
      <c r="M54" s="41"/>
      <c r="N54" s="106"/>
    </row>
    <row r="55" spans="1:14" ht="18.75" customHeight="1" x14ac:dyDescent="0.35">
      <c r="A55" s="40" t="s">
        <v>81</v>
      </c>
      <c r="B55" s="33"/>
      <c r="C55" s="41"/>
      <c r="D55" s="41"/>
      <c r="E55" s="41"/>
      <c r="F55" s="104"/>
      <c r="G55" s="104"/>
      <c r="H55" s="104"/>
      <c r="I55" s="41"/>
      <c r="J55" s="41"/>
      <c r="K55" s="41"/>
      <c r="L55" s="41"/>
      <c r="M55" s="41"/>
      <c r="N55" s="106"/>
    </row>
    <row r="56" spans="1:14" ht="15" customHeight="1" x14ac:dyDescent="0.35">
      <c r="A56" s="40" t="s">
        <v>67</v>
      </c>
      <c r="B56" s="33"/>
      <c r="C56" s="41">
        <v>11586</v>
      </c>
      <c r="D56" s="41">
        <v>11595</v>
      </c>
      <c r="E56" s="41">
        <v>11616</v>
      </c>
      <c r="F56" s="104">
        <v>-0.1</v>
      </c>
      <c r="G56" s="104">
        <v>-0.2</v>
      </c>
      <c r="H56" s="104">
        <v>0.6</v>
      </c>
      <c r="I56" s="41">
        <v>11800</v>
      </c>
      <c r="J56" s="41">
        <v>11403</v>
      </c>
      <c r="K56" s="41">
        <v>11472</v>
      </c>
      <c r="L56" s="41">
        <v>56152</v>
      </c>
      <c r="M56" s="41">
        <v>54278</v>
      </c>
      <c r="N56" s="105">
        <v>3.5</v>
      </c>
    </row>
    <row r="57" spans="1:14" ht="15" customHeight="1" x14ac:dyDescent="0.35">
      <c r="A57" s="40" t="s">
        <v>72</v>
      </c>
      <c r="B57" s="33"/>
      <c r="C57" s="41">
        <v>11731</v>
      </c>
      <c r="D57" s="41">
        <v>11776</v>
      </c>
      <c r="E57" s="41">
        <v>11657</v>
      </c>
      <c r="F57" s="104">
        <v>-0.4</v>
      </c>
      <c r="G57" s="104">
        <v>1</v>
      </c>
      <c r="H57" s="104">
        <v>1.1000000000000001</v>
      </c>
      <c r="I57" s="41">
        <v>12013</v>
      </c>
      <c r="J57" s="41">
        <v>11689</v>
      </c>
      <c r="K57" s="41">
        <v>11540</v>
      </c>
      <c r="L57" s="41">
        <v>57367</v>
      </c>
      <c r="M57" s="41">
        <v>55138</v>
      </c>
      <c r="N57" s="105">
        <v>4</v>
      </c>
    </row>
    <row r="58" spans="1:14" ht="9" customHeight="1" x14ac:dyDescent="0.35">
      <c r="A58" s="44"/>
      <c r="B58" s="33"/>
      <c r="C58" s="41"/>
      <c r="D58" s="41"/>
      <c r="E58" s="41"/>
      <c r="F58" s="104"/>
      <c r="G58" s="104"/>
      <c r="H58" s="104"/>
      <c r="I58" s="41"/>
      <c r="J58" s="41"/>
      <c r="K58" s="41"/>
      <c r="L58" s="41"/>
      <c r="M58" s="41"/>
      <c r="N58" s="105"/>
    </row>
    <row r="59" spans="1:14" ht="15" customHeight="1" x14ac:dyDescent="0.35">
      <c r="A59" s="42" t="s">
        <v>82</v>
      </c>
      <c r="B59" s="33"/>
      <c r="C59" s="41"/>
      <c r="D59" s="41"/>
      <c r="E59" s="41"/>
      <c r="F59" s="104"/>
      <c r="G59" s="104"/>
      <c r="H59" s="104"/>
      <c r="I59" s="41"/>
      <c r="J59" s="41"/>
      <c r="K59" s="41"/>
      <c r="L59" s="41"/>
      <c r="M59" s="41"/>
      <c r="N59" s="105"/>
    </row>
    <row r="60" spans="1:14" ht="20.25" customHeight="1" x14ac:dyDescent="0.35">
      <c r="A60" s="40" t="s">
        <v>67</v>
      </c>
      <c r="B60" s="33"/>
      <c r="C60" s="41">
        <v>85755</v>
      </c>
      <c r="D60" s="41">
        <v>85513</v>
      </c>
      <c r="E60" s="41">
        <v>89504</v>
      </c>
      <c r="F60" s="104">
        <v>0.3</v>
      </c>
      <c r="G60" s="104">
        <v>-4.5</v>
      </c>
      <c r="H60" s="104">
        <v>-0.1</v>
      </c>
      <c r="I60" s="41">
        <v>88651</v>
      </c>
      <c r="J60" s="41">
        <v>84298</v>
      </c>
      <c r="K60" s="41">
        <v>84886</v>
      </c>
      <c r="L60" s="41">
        <v>436819</v>
      </c>
      <c r="M60" s="41">
        <v>412270</v>
      </c>
      <c r="N60" s="105">
        <v>6</v>
      </c>
    </row>
    <row r="61" spans="1:14" ht="17.25" customHeight="1" x14ac:dyDescent="0.35">
      <c r="A61" s="40" t="s">
        <v>72</v>
      </c>
      <c r="B61" s="33"/>
      <c r="C61" s="41">
        <v>79996</v>
      </c>
      <c r="D61" s="41">
        <v>83854</v>
      </c>
      <c r="E61" s="41">
        <v>90795</v>
      </c>
      <c r="F61" s="104">
        <v>-4.5999999999999996</v>
      </c>
      <c r="G61" s="104">
        <v>-7.6</v>
      </c>
      <c r="H61" s="104">
        <v>6</v>
      </c>
      <c r="I61" s="41">
        <v>76673</v>
      </c>
      <c r="J61" s="41">
        <v>79677</v>
      </c>
      <c r="K61" s="41">
        <v>85117</v>
      </c>
      <c r="L61" s="41">
        <v>420378</v>
      </c>
      <c r="M61" s="41">
        <v>420540</v>
      </c>
      <c r="N61" s="105">
        <v>0</v>
      </c>
    </row>
    <row r="62" spans="1:14" ht="9" customHeight="1" x14ac:dyDescent="0.35">
      <c r="A62" s="40"/>
      <c r="B62" s="33"/>
      <c r="C62" s="41"/>
      <c r="D62" s="41"/>
      <c r="E62" s="41"/>
      <c r="F62" s="104"/>
      <c r="G62" s="104"/>
      <c r="H62" s="104"/>
      <c r="I62" s="41"/>
      <c r="J62" s="41"/>
      <c r="K62" s="41"/>
      <c r="L62" s="41"/>
      <c r="M62" s="41"/>
      <c r="N62" s="105"/>
    </row>
    <row r="63" spans="1:14" ht="18.75" customHeight="1" x14ac:dyDescent="0.35">
      <c r="A63" s="44" t="s">
        <v>83</v>
      </c>
      <c r="B63" s="33"/>
      <c r="C63" s="41"/>
      <c r="D63" s="41"/>
      <c r="E63" s="41"/>
      <c r="F63" s="104"/>
      <c r="G63" s="104"/>
      <c r="H63" s="104"/>
      <c r="I63" s="41"/>
      <c r="J63" s="41"/>
      <c r="K63" s="41"/>
      <c r="L63" s="41"/>
      <c r="M63" s="41"/>
      <c r="N63" s="105"/>
    </row>
    <row r="64" spans="1:14" ht="18" customHeight="1" x14ac:dyDescent="0.35">
      <c r="A64" s="40" t="s">
        <v>67</v>
      </c>
      <c r="B64" s="33"/>
      <c r="C64" s="41">
        <v>60555</v>
      </c>
      <c r="D64" s="41">
        <v>60292</v>
      </c>
      <c r="E64" s="41">
        <v>62353</v>
      </c>
      <c r="F64" s="104">
        <v>0.4</v>
      </c>
      <c r="G64" s="104">
        <v>-3.3</v>
      </c>
      <c r="H64" s="104">
        <v>1</v>
      </c>
      <c r="I64" s="41">
        <v>63150</v>
      </c>
      <c r="J64" s="41">
        <v>61502</v>
      </c>
      <c r="K64" s="41">
        <v>57515</v>
      </c>
      <c r="L64" s="41">
        <v>309961</v>
      </c>
      <c r="M64" s="41">
        <v>288140</v>
      </c>
      <c r="N64" s="105">
        <v>7.6</v>
      </c>
    </row>
    <row r="65" spans="1:14" ht="15.75" customHeight="1" x14ac:dyDescent="0.35">
      <c r="A65" s="40" t="s">
        <v>72</v>
      </c>
      <c r="B65" s="33"/>
      <c r="C65" s="41">
        <v>60477</v>
      </c>
      <c r="D65" s="41">
        <v>60142</v>
      </c>
      <c r="E65" s="41">
        <v>62146</v>
      </c>
      <c r="F65" s="104">
        <v>0.6</v>
      </c>
      <c r="G65" s="104">
        <v>-3.2</v>
      </c>
      <c r="H65" s="104">
        <v>0.4</v>
      </c>
      <c r="I65" s="41">
        <v>63108</v>
      </c>
      <c r="J65" s="41">
        <v>60764</v>
      </c>
      <c r="K65" s="41">
        <v>57617</v>
      </c>
      <c r="L65" s="41">
        <v>310317</v>
      </c>
      <c r="M65" s="41">
        <v>288729</v>
      </c>
      <c r="N65" s="105">
        <v>7.5</v>
      </c>
    </row>
    <row r="66" spans="1:14" ht="9" customHeight="1" x14ac:dyDescent="0.35">
      <c r="A66" s="45" t="s">
        <v>84</v>
      </c>
      <c r="B66" s="33"/>
      <c r="C66" s="41"/>
      <c r="D66" s="41"/>
      <c r="E66" s="41"/>
      <c r="F66" s="104"/>
      <c r="G66" s="104"/>
      <c r="H66" s="104"/>
      <c r="I66" s="41"/>
      <c r="J66" s="41"/>
      <c r="K66" s="41"/>
      <c r="L66" s="41"/>
      <c r="M66" s="41"/>
      <c r="N66" s="105"/>
    </row>
    <row r="67" spans="1:14" ht="18.75" customHeight="1" x14ac:dyDescent="0.35">
      <c r="A67" s="40" t="s">
        <v>85</v>
      </c>
      <c r="B67" s="33"/>
      <c r="C67" s="41"/>
      <c r="D67" s="41"/>
      <c r="E67" s="41"/>
      <c r="F67" s="104"/>
      <c r="G67" s="104"/>
      <c r="H67" s="104"/>
      <c r="I67" s="41"/>
      <c r="J67" s="41"/>
      <c r="K67" s="41"/>
      <c r="L67" s="41"/>
      <c r="M67" s="41"/>
      <c r="N67" s="105"/>
    </row>
    <row r="68" spans="1:14" ht="20.25" customHeight="1" x14ac:dyDescent="0.35">
      <c r="A68" s="40" t="s">
        <v>67</v>
      </c>
      <c r="B68" s="33"/>
      <c r="C68" s="41">
        <v>10407</v>
      </c>
      <c r="D68" s="41">
        <v>10558</v>
      </c>
      <c r="E68" s="41">
        <v>13085</v>
      </c>
      <c r="F68" s="104">
        <v>-1.4</v>
      </c>
      <c r="G68" s="104">
        <v>-19.3</v>
      </c>
      <c r="H68" s="104">
        <v>-3.4</v>
      </c>
      <c r="I68" s="41">
        <v>10281</v>
      </c>
      <c r="J68" s="41">
        <v>9131</v>
      </c>
      <c r="K68" s="41">
        <v>13842</v>
      </c>
      <c r="L68" s="41">
        <v>56289</v>
      </c>
      <c r="M68" s="41">
        <v>60508</v>
      </c>
      <c r="N68" s="105">
        <v>-7</v>
      </c>
    </row>
    <row r="69" spans="1:14" ht="18" customHeight="1" x14ac:dyDescent="0.35">
      <c r="A69" s="40" t="s">
        <v>72</v>
      </c>
      <c r="B69" s="33"/>
      <c r="C69" s="41">
        <v>5338</v>
      </c>
      <c r="D69" s="41">
        <v>7438</v>
      </c>
      <c r="E69" s="41">
        <v>12256</v>
      </c>
      <c r="F69" s="107">
        <v>-28.2</v>
      </c>
      <c r="G69" s="107">
        <v>-39.299999999999997</v>
      </c>
      <c r="H69" s="107">
        <v>7.8</v>
      </c>
      <c r="I69" s="41">
        <v>780</v>
      </c>
      <c r="J69" s="41">
        <v>5260</v>
      </c>
      <c r="K69" s="41">
        <v>12998</v>
      </c>
      <c r="L69" s="41">
        <v>41339</v>
      </c>
      <c r="M69" s="41">
        <v>68240</v>
      </c>
      <c r="N69" s="105">
        <v>-39.4</v>
      </c>
    </row>
    <row r="70" spans="1:14" ht="9" customHeight="1" x14ac:dyDescent="0.35">
      <c r="A70" s="40"/>
      <c r="B70" s="33"/>
      <c r="C70" s="41"/>
      <c r="D70" s="41"/>
      <c r="E70" s="41"/>
      <c r="F70" s="104"/>
      <c r="G70" s="104"/>
      <c r="H70" s="104"/>
      <c r="I70" s="41"/>
      <c r="J70" s="41"/>
      <c r="K70" s="41"/>
      <c r="L70" s="41"/>
      <c r="M70" s="41"/>
      <c r="N70" s="105"/>
    </row>
    <row r="71" spans="1:14" ht="18.75" customHeight="1" x14ac:dyDescent="0.35">
      <c r="A71" s="40" t="s">
        <v>86</v>
      </c>
      <c r="B71" s="33"/>
      <c r="C71" s="41"/>
      <c r="D71" s="41"/>
      <c r="E71" s="41"/>
      <c r="F71" s="104"/>
      <c r="G71" s="104"/>
      <c r="H71" s="104"/>
      <c r="I71" s="41"/>
      <c r="J71" s="41"/>
      <c r="K71" s="41"/>
      <c r="L71" s="41"/>
      <c r="M71" s="41"/>
      <c r="N71" s="105"/>
    </row>
    <row r="72" spans="1:14" ht="18.75" customHeight="1" x14ac:dyDescent="0.35">
      <c r="A72" s="40" t="s">
        <v>67</v>
      </c>
      <c r="B72" s="33"/>
      <c r="C72" s="41">
        <v>4708</v>
      </c>
      <c r="D72" s="41">
        <v>4783</v>
      </c>
      <c r="E72" s="41">
        <v>4516</v>
      </c>
      <c r="F72" s="104">
        <v>-1.6</v>
      </c>
      <c r="G72" s="104">
        <v>5.9</v>
      </c>
      <c r="H72" s="104">
        <v>-2.6</v>
      </c>
      <c r="I72" s="41">
        <v>4637</v>
      </c>
      <c r="J72" s="41">
        <v>4012</v>
      </c>
      <c r="K72" s="41">
        <v>4539</v>
      </c>
      <c r="L72" s="41">
        <v>21858</v>
      </c>
      <c r="M72" s="41">
        <v>20594</v>
      </c>
      <c r="N72" s="105">
        <v>6.1</v>
      </c>
    </row>
    <row r="73" spans="1:14" ht="18.75" customHeight="1" x14ac:dyDescent="0.35">
      <c r="A73" s="40" t="s">
        <v>72</v>
      </c>
      <c r="B73" s="33"/>
      <c r="C73" s="41">
        <v>4534</v>
      </c>
      <c r="D73" s="41">
        <v>5350</v>
      </c>
      <c r="E73" s="41">
        <v>5590</v>
      </c>
      <c r="F73" s="104">
        <v>-15.3</v>
      </c>
      <c r="G73" s="104">
        <v>-4.3</v>
      </c>
      <c r="H73" s="104">
        <v>19</v>
      </c>
      <c r="I73" s="41">
        <v>2749</v>
      </c>
      <c r="J73" s="41">
        <v>4933</v>
      </c>
      <c r="K73" s="41">
        <v>4404</v>
      </c>
      <c r="L73" s="41">
        <v>21532</v>
      </c>
      <c r="M73" s="41">
        <v>17897</v>
      </c>
      <c r="N73" s="105">
        <v>20.3</v>
      </c>
    </row>
    <row r="74" spans="1:14" ht="9" customHeight="1" x14ac:dyDescent="0.35">
      <c r="A74" s="40"/>
      <c r="B74" s="33"/>
      <c r="C74" s="41"/>
      <c r="D74" s="41"/>
      <c r="E74" s="41"/>
      <c r="F74" s="104"/>
      <c r="G74" s="104"/>
      <c r="H74" s="104"/>
      <c r="I74" s="41"/>
      <c r="J74" s="41"/>
      <c r="K74" s="41"/>
      <c r="L74" s="41"/>
      <c r="M74" s="41"/>
      <c r="N74" s="105"/>
    </row>
    <row r="75" spans="1:14" ht="18.75" customHeight="1" x14ac:dyDescent="0.35">
      <c r="A75" s="40" t="s">
        <v>87</v>
      </c>
      <c r="B75" s="33"/>
      <c r="C75" s="41"/>
      <c r="D75" s="41"/>
      <c r="E75" s="41"/>
      <c r="F75" s="104"/>
      <c r="G75" s="104"/>
      <c r="H75" s="104"/>
      <c r="I75" s="41"/>
      <c r="J75" s="41"/>
      <c r="K75" s="41"/>
      <c r="L75" s="41"/>
      <c r="M75" s="41"/>
      <c r="N75" s="105"/>
    </row>
    <row r="76" spans="1:14" ht="18" customHeight="1" x14ac:dyDescent="0.35">
      <c r="A76" s="40" t="s">
        <v>67</v>
      </c>
      <c r="B76" s="33"/>
      <c r="C76" s="41">
        <v>40749</v>
      </c>
      <c r="D76" s="41">
        <v>40670</v>
      </c>
      <c r="E76" s="41">
        <v>40679</v>
      </c>
      <c r="F76" s="104">
        <v>0.2</v>
      </c>
      <c r="G76" s="104">
        <v>0</v>
      </c>
      <c r="H76" s="104">
        <v>0.2</v>
      </c>
      <c r="I76" s="41">
        <v>42638</v>
      </c>
      <c r="J76" s="41">
        <v>41403</v>
      </c>
      <c r="K76" s="41">
        <v>42312</v>
      </c>
      <c r="L76" s="41">
        <v>198236</v>
      </c>
      <c r="M76" s="41">
        <v>197254</v>
      </c>
      <c r="N76" s="105">
        <v>0.5</v>
      </c>
    </row>
    <row r="77" spans="1:14" ht="18.75" customHeight="1" x14ac:dyDescent="0.35">
      <c r="A77" s="40" t="s">
        <v>72</v>
      </c>
      <c r="B77" s="33"/>
      <c r="C77" s="41">
        <v>40829</v>
      </c>
      <c r="D77" s="41">
        <v>40599</v>
      </c>
      <c r="E77" s="41">
        <v>40594</v>
      </c>
      <c r="F77" s="104">
        <v>0.6</v>
      </c>
      <c r="G77" s="104">
        <v>0</v>
      </c>
      <c r="H77" s="104">
        <v>0.3</v>
      </c>
      <c r="I77" s="41">
        <v>42887</v>
      </c>
      <c r="J77" s="41">
        <v>41690</v>
      </c>
      <c r="K77" s="41">
        <v>42451</v>
      </c>
      <c r="L77" s="41">
        <v>199357</v>
      </c>
      <c r="M77" s="41">
        <v>198420</v>
      </c>
      <c r="N77" s="105">
        <v>0.5</v>
      </c>
    </row>
    <row r="78" spans="1:14" ht="9" customHeight="1" x14ac:dyDescent="0.35">
      <c r="A78" s="40"/>
      <c r="B78" s="33"/>
      <c r="C78" s="41"/>
      <c r="D78" s="41"/>
      <c r="E78" s="41"/>
      <c r="F78" s="104"/>
      <c r="G78" s="104"/>
      <c r="H78" s="104"/>
      <c r="I78" s="41"/>
      <c r="J78" s="41"/>
      <c r="K78" s="41"/>
      <c r="L78" s="41"/>
      <c r="M78" s="41"/>
      <c r="N78" s="105"/>
    </row>
    <row r="79" spans="1:14" ht="21.75" customHeight="1" x14ac:dyDescent="0.35">
      <c r="A79" s="40" t="s">
        <v>88</v>
      </c>
      <c r="B79" s="33"/>
      <c r="C79" s="41"/>
      <c r="D79" s="41"/>
      <c r="E79" s="41"/>
      <c r="F79" s="104"/>
      <c r="G79" s="104"/>
      <c r="H79" s="104"/>
      <c r="I79" s="41"/>
      <c r="J79" s="41"/>
      <c r="K79" s="41"/>
      <c r="L79" s="41"/>
      <c r="M79" s="41"/>
      <c r="N79" s="105"/>
    </row>
    <row r="80" spans="1:14" ht="18" customHeight="1" x14ac:dyDescent="0.35">
      <c r="A80" s="40" t="s">
        <v>67</v>
      </c>
      <c r="B80" s="33"/>
      <c r="C80" s="41">
        <v>89098</v>
      </c>
      <c r="D80" s="41">
        <v>88691</v>
      </c>
      <c r="E80" s="41">
        <v>90810</v>
      </c>
      <c r="F80" s="104">
        <v>0.5</v>
      </c>
      <c r="G80" s="104">
        <v>-2.2999999999999998</v>
      </c>
      <c r="H80" s="104">
        <v>-0.6</v>
      </c>
      <c r="I80" s="41">
        <v>89136</v>
      </c>
      <c r="J80" s="41">
        <v>85154</v>
      </c>
      <c r="K80" s="41">
        <v>88478</v>
      </c>
      <c r="L80" s="41">
        <v>435752</v>
      </c>
      <c r="M80" s="41">
        <v>421434</v>
      </c>
      <c r="N80" s="105">
        <v>3.4</v>
      </c>
    </row>
    <row r="81" spans="1:14" ht="18.75" customHeight="1" x14ac:dyDescent="0.35">
      <c r="A81" s="40" t="s">
        <v>72</v>
      </c>
      <c r="B81" s="33"/>
      <c r="C81" s="41">
        <v>84657</v>
      </c>
      <c r="D81" s="41">
        <v>87523</v>
      </c>
      <c r="E81" s="41">
        <v>91900</v>
      </c>
      <c r="F81" s="104">
        <v>-3.3</v>
      </c>
      <c r="G81" s="104">
        <v>-4.8</v>
      </c>
      <c r="H81" s="104">
        <v>6.3</v>
      </c>
      <c r="I81" s="41">
        <v>78520</v>
      </c>
      <c r="J81" s="41">
        <v>82435</v>
      </c>
      <c r="K81" s="41">
        <v>87316</v>
      </c>
      <c r="L81" s="41">
        <v>426540</v>
      </c>
      <c r="M81" s="41">
        <v>434256</v>
      </c>
      <c r="N81" s="105">
        <v>-1.8</v>
      </c>
    </row>
    <row r="82" spans="1:14" ht="9" customHeight="1" x14ac:dyDescent="0.35">
      <c r="A82" s="40"/>
      <c r="B82" s="33"/>
      <c r="C82" s="41"/>
      <c r="D82" s="41"/>
      <c r="E82" s="41"/>
      <c r="F82" s="104"/>
      <c r="G82" s="104"/>
      <c r="H82" s="104"/>
      <c r="I82" s="41"/>
      <c r="J82" s="41"/>
      <c r="K82" s="41"/>
      <c r="L82" s="41"/>
      <c r="M82" s="41"/>
      <c r="N82" s="105"/>
    </row>
    <row r="83" spans="1:14" ht="18.75" customHeight="1" x14ac:dyDescent="0.35">
      <c r="A83" s="40" t="s">
        <v>89</v>
      </c>
      <c r="B83" s="33"/>
      <c r="C83" s="41"/>
      <c r="D83" s="41"/>
      <c r="E83" s="41"/>
      <c r="F83" s="104"/>
      <c r="G83" s="104"/>
      <c r="H83" s="104"/>
      <c r="I83" s="41"/>
      <c r="J83" s="41"/>
      <c r="K83" s="41"/>
      <c r="L83" s="41"/>
      <c r="M83" s="41"/>
      <c r="N83" s="105"/>
    </row>
    <row r="84" spans="1:14" ht="20.25" customHeight="1" x14ac:dyDescent="0.35">
      <c r="A84" s="40" t="s">
        <v>67</v>
      </c>
      <c r="B84" s="33"/>
      <c r="C84" s="41">
        <v>76086</v>
      </c>
      <c r="D84" s="41">
        <v>75738</v>
      </c>
      <c r="E84" s="41">
        <v>78288</v>
      </c>
      <c r="F84" s="104">
        <v>0.5</v>
      </c>
      <c r="G84" s="104">
        <v>-3.3</v>
      </c>
      <c r="H84" s="104">
        <v>-0.9</v>
      </c>
      <c r="I84" s="41">
        <v>76273</v>
      </c>
      <c r="J84" s="41">
        <v>73314</v>
      </c>
      <c r="K84" s="41">
        <v>77209</v>
      </c>
      <c r="L84" s="41">
        <v>374259</v>
      </c>
      <c r="M84" s="41">
        <v>367199</v>
      </c>
      <c r="N84" s="105">
        <v>1.9</v>
      </c>
    </row>
    <row r="85" spans="1:14" ht="18.75" customHeight="1" x14ac:dyDescent="0.35">
      <c r="A85" s="40" t="s">
        <v>72</v>
      </c>
      <c r="B85" s="33"/>
      <c r="C85" s="41">
        <v>70792</v>
      </c>
      <c r="D85" s="41">
        <v>72485</v>
      </c>
      <c r="E85" s="41">
        <v>77840</v>
      </c>
      <c r="F85" s="104">
        <v>-2.2999999999999998</v>
      </c>
      <c r="G85" s="104">
        <v>-6.9</v>
      </c>
      <c r="H85" s="104">
        <v>2.6</v>
      </c>
      <c r="I85" s="41">
        <v>66329</v>
      </c>
      <c r="J85" s="41">
        <v>70690</v>
      </c>
      <c r="K85" s="41">
        <v>75891</v>
      </c>
      <c r="L85" s="41">
        <v>363648</v>
      </c>
      <c r="M85" s="41">
        <v>379805</v>
      </c>
      <c r="N85" s="105">
        <v>-4.3</v>
      </c>
    </row>
    <row r="86" spans="1:14" ht="9" customHeight="1" x14ac:dyDescent="0.4">
      <c r="A86" s="43"/>
      <c r="B86" s="33"/>
      <c r="C86" s="41"/>
      <c r="D86" s="41"/>
      <c r="E86" s="41"/>
      <c r="F86" s="104"/>
      <c r="G86" s="104"/>
      <c r="H86" s="104"/>
      <c r="I86" s="41"/>
      <c r="J86" s="41"/>
      <c r="K86" s="41"/>
      <c r="L86" s="41"/>
      <c r="M86" s="41"/>
      <c r="N86" s="105"/>
    </row>
    <row r="87" spans="1:14" ht="20.25" customHeight="1" x14ac:dyDescent="0.35">
      <c r="A87" s="40" t="s">
        <v>90</v>
      </c>
      <c r="B87" s="33"/>
      <c r="C87" s="41"/>
      <c r="D87" s="41"/>
      <c r="E87" s="41"/>
      <c r="F87" s="104"/>
      <c r="G87" s="104"/>
      <c r="H87" s="104"/>
      <c r="I87" s="41"/>
      <c r="J87" s="41"/>
      <c r="K87" s="41"/>
      <c r="L87" s="41"/>
      <c r="M87" s="41"/>
      <c r="N87" s="105"/>
    </row>
    <row r="88" spans="1:14" ht="20.25" customHeight="1" x14ac:dyDescent="0.35">
      <c r="A88" s="40" t="s">
        <v>91</v>
      </c>
      <c r="B88" s="33"/>
      <c r="C88" s="41">
        <v>70086</v>
      </c>
      <c r="D88" s="41">
        <v>69633</v>
      </c>
      <c r="E88" s="41">
        <v>69380</v>
      </c>
      <c r="F88" s="104">
        <v>0.7</v>
      </c>
      <c r="G88" s="104">
        <v>0.4</v>
      </c>
      <c r="H88" s="104">
        <v>-0.6</v>
      </c>
      <c r="I88" s="41">
        <v>70306</v>
      </c>
      <c r="J88" s="41">
        <v>68288</v>
      </c>
      <c r="K88" s="41">
        <v>67487</v>
      </c>
      <c r="L88" s="41">
        <v>339783</v>
      </c>
      <c r="M88" s="41">
        <v>327431</v>
      </c>
      <c r="N88" s="105">
        <v>3.8</v>
      </c>
    </row>
    <row r="89" spans="1:14" ht="20.25" customHeight="1" x14ac:dyDescent="0.35">
      <c r="A89" s="40" t="s">
        <v>92</v>
      </c>
      <c r="B89" s="33"/>
      <c r="C89" s="41">
        <v>68950</v>
      </c>
      <c r="D89" s="41">
        <v>68695</v>
      </c>
      <c r="E89" s="41">
        <v>69396</v>
      </c>
      <c r="F89" s="104">
        <v>0.4</v>
      </c>
      <c r="G89" s="104">
        <v>-1</v>
      </c>
      <c r="H89" s="104">
        <v>0.3</v>
      </c>
      <c r="I89" s="41">
        <v>68846</v>
      </c>
      <c r="J89" s="41">
        <v>68174</v>
      </c>
      <c r="K89" s="41">
        <v>68188</v>
      </c>
      <c r="L89" s="41">
        <v>341825</v>
      </c>
      <c r="M89" s="41">
        <v>334262</v>
      </c>
      <c r="N89" s="105">
        <v>2.2999999999999998</v>
      </c>
    </row>
    <row r="90" spans="1:14" ht="9" customHeight="1" x14ac:dyDescent="0.4">
      <c r="A90" s="43"/>
      <c r="B90" s="33"/>
      <c r="C90" s="41"/>
      <c r="D90" s="41"/>
      <c r="E90" s="41"/>
      <c r="F90" s="104"/>
      <c r="G90" s="104"/>
      <c r="H90" s="104"/>
      <c r="I90" s="41"/>
      <c r="J90" s="41"/>
      <c r="K90" s="41"/>
      <c r="L90" s="41"/>
      <c r="M90" s="41"/>
      <c r="N90" s="105"/>
    </row>
    <row r="91" spans="1:14" ht="18.75" customHeight="1" x14ac:dyDescent="0.35">
      <c r="A91" s="40" t="s">
        <v>93</v>
      </c>
      <c r="B91" s="33"/>
      <c r="C91" s="41"/>
      <c r="D91" s="41"/>
      <c r="E91" s="41"/>
      <c r="F91" s="104"/>
      <c r="G91" s="104"/>
      <c r="H91" s="104"/>
      <c r="I91" s="41"/>
      <c r="J91" s="41"/>
      <c r="K91" s="41"/>
      <c r="L91" s="41"/>
      <c r="M91" s="41"/>
      <c r="N91" s="105"/>
    </row>
    <row r="92" spans="1:14" ht="18" customHeight="1" x14ac:dyDescent="0.35">
      <c r="A92" s="40" t="s">
        <v>67</v>
      </c>
      <c r="B92" s="33"/>
      <c r="C92" s="41">
        <v>13012</v>
      </c>
      <c r="D92" s="41">
        <v>12953</v>
      </c>
      <c r="E92" s="41">
        <v>12522</v>
      </c>
      <c r="F92" s="104">
        <v>0.5</v>
      </c>
      <c r="G92" s="104">
        <v>3.4</v>
      </c>
      <c r="H92" s="104">
        <v>0.9</v>
      </c>
      <c r="I92" s="41">
        <v>12863</v>
      </c>
      <c r="J92" s="41">
        <v>11840</v>
      </c>
      <c r="K92" s="41">
        <v>11269</v>
      </c>
      <c r="L92" s="41">
        <v>61493</v>
      </c>
      <c r="M92" s="41">
        <v>54235</v>
      </c>
      <c r="N92" s="105">
        <v>13.4</v>
      </c>
    </row>
    <row r="93" spans="1:14" ht="15" customHeight="1" x14ac:dyDescent="0.35">
      <c r="A93" s="40" t="s">
        <v>72</v>
      </c>
      <c r="B93" s="33"/>
      <c r="C93" s="41">
        <v>13865</v>
      </c>
      <c r="D93" s="41">
        <v>15038</v>
      </c>
      <c r="E93" s="41">
        <v>14060</v>
      </c>
      <c r="F93" s="104">
        <v>-7.8</v>
      </c>
      <c r="G93" s="104">
        <v>7</v>
      </c>
      <c r="H93" s="104">
        <v>32.700000000000003</v>
      </c>
      <c r="I93" s="41">
        <v>12191</v>
      </c>
      <c r="J93" s="41">
        <v>11745</v>
      </c>
      <c r="K93" s="41">
        <v>11425</v>
      </c>
      <c r="L93" s="41">
        <v>62892</v>
      </c>
      <c r="M93" s="41">
        <v>54451</v>
      </c>
      <c r="N93" s="105">
        <v>15.5</v>
      </c>
    </row>
    <row r="94" spans="1:14" ht="9" customHeight="1" thickBot="1" x14ac:dyDescent="0.4">
      <c r="A94" s="30"/>
      <c r="B94" s="31"/>
      <c r="C94" s="46"/>
      <c r="D94" s="46"/>
      <c r="E94" s="46"/>
      <c r="F94" s="108"/>
      <c r="G94" s="108"/>
      <c r="H94" s="108"/>
      <c r="I94" s="46"/>
      <c r="J94" s="46"/>
      <c r="K94" s="46"/>
      <c r="L94" s="46"/>
      <c r="M94" s="46"/>
      <c r="N94" s="109"/>
    </row>
    <row r="95" spans="1:14" ht="9" customHeight="1" x14ac:dyDescent="0.35">
      <c r="A95" s="3"/>
      <c r="B95" s="3"/>
      <c r="C95" s="47"/>
      <c r="D95" s="47"/>
      <c r="E95" s="47"/>
      <c r="F95" s="110"/>
      <c r="G95" s="110"/>
      <c r="H95" s="110"/>
      <c r="I95" s="47"/>
      <c r="J95" s="47"/>
      <c r="K95" s="47"/>
      <c r="L95" s="47"/>
      <c r="M95" s="47"/>
      <c r="N95" s="101"/>
    </row>
    <row r="96" spans="1:14" ht="9" customHeight="1" x14ac:dyDescent="0.35">
      <c r="A96" s="3"/>
      <c r="B96" s="3"/>
      <c r="C96" s="47"/>
      <c r="D96" s="47"/>
      <c r="E96" s="47"/>
      <c r="F96" s="110"/>
      <c r="G96" s="110"/>
      <c r="H96" s="110"/>
      <c r="I96" s="47"/>
      <c r="J96" s="47"/>
      <c r="K96" s="47"/>
      <c r="L96" s="47"/>
      <c r="M96" s="47"/>
      <c r="N96" s="101"/>
    </row>
    <row r="97" spans="1:14" ht="9" customHeight="1" x14ac:dyDescent="0.35">
      <c r="A97" s="3"/>
      <c r="B97" s="3"/>
      <c r="C97" s="3"/>
      <c r="D97" s="3"/>
      <c r="E97" s="3"/>
      <c r="F97" s="3"/>
      <c r="G97" s="3"/>
      <c r="H97" s="3"/>
      <c r="I97" s="3"/>
      <c r="J97" s="3"/>
      <c r="K97" s="3"/>
      <c r="L97" s="3"/>
      <c r="M97" s="3"/>
      <c r="N97" s="5"/>
    </row>
    <row r="98" spans="1:14" ht="320.25" customHeight="1" x14ac:dyDescent="0.35">
      <c r="A98" s="140" t="s">
        <v>94</v>
      </c>
      <c r="B98" s="141"/>
      <c r="C98" s="141"/>
      <c r="D98" s="141"/>
      <c r="E98" s="141"/>
      <c r="F98" s="141"/>
      <c r="G98" s="141"/>
      <c r="H98" s="141"/>
      <c r="I98" s="141"/>
      <c r="J98" s="141"/>
      <c r="K98" s="141"/>
      <c r="L98" s="141"/>
      <c r="M98" s="141"/>
      <c r="N98" s="142"/>
    </row>
    <row r="99" spans="1:14" ht="18" customHeight="1" x14ac:dyDescent="0.35">
      <c r="A99" s="48"/>
      <c r="B99" s="49"/>
      <c r="C99" s="49"/>
      <c r="D99" s="49"/>
      <c r="E99" s="49"/>
      <c r="F99" s="49"/>
      <c r="G99" s="49"/>
      <c r="H99" s="49"/>
      <c r="I99" s="49"/>
      <c r="J99" s="49"/>
      <c r="K99" s="49"/>
      <c r="L99" s="49"/>
      <c r="M99" s="49"/>
      <c r="N99" s="49"/>
    </row>
    <row r="100" spans="1:14" ht="12" customHeight="1" x14ac:dyDescent="0.35">
      <c r="A100" s="50"/>
      <c r="B100" s="51"/>
    </row>
    <row r="101" spans="1:14" ht="18" customHeight="1" x14ac:dyDescent="0.35">
      <c r="A101" s="52"/>
      <c r="B101" s="51"/>
    </row>
    <row r="102" spans="1:14" ht="6.5" customHeight="1" x14ac:dyDescent="0.35">
      <c r="A102" s="50"/>
      <c r="B102" s="51"/>
    </row>
    <row r="103" spans="1:14" ht="18" customHeight="1" x14ac:dyDescent="0.35">
      <c r="A103" s="52"/>
      <c r="B103" s="51"/>
    </row>
    <row r="104" spans="1:14" ht="6.5" customHeight="1" x14ac:dyDescent="0.35">
      <c r="A104" s="50"/>
      <c r="B104" s="51"/>
    </row>
    <row r="105" spans="1:14" ht="12" customHeight="1" x14ac:dyDescent="0.35">
      <c r="B105" s="51"/>
    </row>
    <row r="106" spans="1:14" ht="12.75" customHeight="1" x14ac:dyDescent="0.35"/>
    <row r="107" spans="1:14" ht="12.75" customHeight="1" x14ac:dyDescent="0.35">
      <c r="B107" s="53"/>
      <c r="C107" s="53"/>
      <c r="D107" s="53"/>
      <c r="E107" s="53"/>
      <c r="F107" s="53"/>
      <c r="G107" s="53"/>
      <c r="H107" s="53"/>
      <c r="I107" s="53"/>
      <c r="J107" s="53"/>
      <c r="K107" s="53"/>
      <c r="L107" s="53"/>
      <c r="M107" s="53"/>
    </row>
    <row r="108" spans="1:14" ht="12.75" customHeight="1" x14ac:dyDescent="0.35">
      <c r="B108" s="53"/>
      <c r="C108" s="53"/>
      <c r="D108" s="53"/>
      <c r="E108" s="53"/>
      <c r="F108" s="53"/>
      <c r="G108" s="53"/>
      <c r="H108" s="53"/>
      <c r="I108" s="53"/>
      <c r="J108" s="53"/>
      <c r="K108" s="53"/>
      <c r="L108" s="53"/>
      <c r="M108" s="53"/>
    </row>
    <row r="109" spans="1:14" ht="12" customHeight="1" x14ac:dyDescent="0.35">
      <c r="B109" s="53"/>
      <c r="C109" s="53"/>
      <c r="D109" s="53"/>
      <c r="E109" s="53"/>
      <c r="F109" s="53"/>
      <c r="G109" s="53"/>
      <c r="H109" s="53"/>
      <c r="I109" s="53"/>
      <c r="J109" s="53"/>
      <c r="K109" s="53"/>
      <c r="L109" s="53"/>
      <c r="M109" s="53"/>
    </row>
    <row r="110" spans="1:14" ht="12.75" customHeight="1" x14ac:dyDescent="0.35">
      <c r="B110" s="53"/>
      <c r="C110" s="53"/>
      <c r="D110" s="53"/>
      <c r="E110" s="53"/>
      <c r="F110" s="53"/>
      <c r="G110" s="53"/>
      <c r="H110" s="53"/>
      <c r="I110" s="53"/>
      <c r="J110" s="53"/>
      <c r="K110" s="53"/>
      <c r="L110" s="53"/>
      <c r="M110" s="53"/>
    </row>
    <row r="111" spans="1:14" ht="12.75" customHeight="1" x14ac:dyDescent="0.35">
      <c r="B111" s="53"/>
      <c r="C111" s="53"/>
      <c r="D111" s="53"/>
      <c r="E111" s="53"/>
      <c r="F111" s="53"/>
      <c r="G111" s="53"/>
      <c r="H111" s="53"/>
      <c r="I111" s="53"/>
      <c r="J111" s="53"/>
      <c r="K111" s="53"/>
      <c r="L111" s="53"/>
      <c r="M111" s="53"/>
    </row>
    <row r="112" spans="1:14" ht="12.75" customHeight="1" x14ac:dyDescent="0.35">
      <c r="B112" s="53"/>
      <c r="C112" s="53"/>
      <c r="D112" s="53"/>
      <c r="E112" s="53"/>
      <c r="F112" s="53"/>
      <c r="G112" s="53"/>
      <c r="H112" s="53"/>
      <c r="I112" s="53"/>
      <c r="J112" s="53"/>
      <c r="K112" s="53"/>
      <c r="L112" s="53"/>
      <c r="M112" s="53"/>
    </row>
    <row r="113" spans="1:15" ht="12.75" customHeight="1" x14ac:dyDescent="0.35">
      <c r="B113" s="53"/>
      <c r="C113" s="53"/>
      <c r="D113" s="53"/>
      <c r="E113" s="53"/>
      <c r="F113" s="53"/>
      <c r="G113" s="53"/>
      <c r="H113" s="53"/>
      <c r="I113" s="53"/>
      <c r="J113" s="53"/>
      <c r="K113" s="53"/>
      <c r="L113" s="53"/>
      <c r="M113" s="53"/>
    </row>
    <row r="114" spans="1:15" ht="12.75" customHeight="1" x14ac:dyDescent="0.35">
      <c r="B114" s="53"/>
      <c r="C114" s="53"/>
      <c r="D114" s="53"/>
      <c r="E114" s="53"/>
      <c r="F114" s="53"/>
      <c r="G114" s="53"/>
      <c r="H114" s="53"/>
      <c r="I114" s="53"/>
      <c r="J114" s="53"/>
      <c r="K114" s="53"/>
      <c r="L114" s="53"/>
      <c r="M114" s="53"/>
    </row>
    <row r="115" spans="1:15" ht="20.25" customHeight="1" x14ac:dyDescent="0.35">
      <c r="A115" s="54"/>
      <c r="B115" s="53"/>
      <c r="C115" s="53"/>
      <c r="D115" s="53"/>
      <c r="E115" s="53"/>
      <c r="F115" s="53"/>
      <c r="G115" s="53"/>
      <c r="H115" s="53"/>
      <c r="I115" s="53"/>
      <c r="J115" s="53"/>
      <c r="K115" s="53"/>
      <c r="L115" s="53"/>
      <c r="M115" s="53"/>
    </row>
    <row r="116" spans="1:15" ht="15" customHeight="1" x14ac:dyDescent="0.35">
      <c r="A116" s="55"/>
      <c r="B116" s="53"/>
      <c r="C116" s="53"/>
      <c r="D116" s="53"/>
      <c r="E116" s="53"/>
      <c r="F116" s="53"/>
      <c r="G116" s="53"/>
      <c r="H116" s="53"/>
      <c r="I116" s="53"/>
      <c r="J116" s="53"/>
      <c r="K116" s="53"/>
      <c r="L116" s="53"/>
      <c r="M116" s="53"/>
    </row>
    <row r="117" spans="1:15" ht="12.75" customHeight="1" x14ac:dyDescent="0.35"/>
    <row r="118" spans="1:15" ht="18" customHeight="1" x14ac:dyDescent="0.35"/>
    <row r="119" spans="1:15" ht="18" customHeight="1" x14ac:dyDescent="0.35"/>
    <row r="120" spans="1:15" ht="15" customHeight="1" x14ac:dyDescent="0.35"/>
    <row r="122" spans="1:15" x14ac:dyDescent="0.35">
      <c r="O122" s="56"/>
    </row>
    <row r="123" spans="1:15" x14ac:dyDescent="0.35">
      <c r="O123" s="57"/>
    </row>
    <row r="127" spans="1:15" x14ac:dyDescent="0.35">
      <c r="O127" s="57"/>
    </row>
    <row r="129" spans="15:15" x14ac:dyDescent="0.35">
      <c r="O129" s="57"/>
    </row>
    <row r="130" spans="15:15" x14ac:dyDescent="0.35">
      <c r="O130" s="57"/>
    </row>
    <row r="131" spans="15:15" x14ac:dyDescent="0.35">
      <c r="O131" s="57"/>
    </row>
    <row r="132" spans="15:15" x14ac:dyDescent="0.35">
      <c r="O132" s="57"/>
    </row>
    <row r="133" spans="15:15" x14ac:dyDescent="0.35">
      <c r="O133" s="57"/>
    </row>
    <row r="134" spans="15:15" x14ac:dyDescent="0.35">
      <c r="O134" s="57"/>
    </row>
    <row r="135" spans="15:15" x14ac:dyDescent="0.35">
      <c r="O135" s="57"/>
    </row>
    <row r="136" spans="15:15" x14ac:dyDescent="0.35">
      <c r="O136" s="57"/>
    </row>
    <row r="137" spans="15:15" x14ac:dyDescent="0.35">
      <c r="O137" s="57"/>
    </row>
    <row r="139" spans="15:15" x14ac:dyDescent="0.35">
      <c r="O139" s="57"/>
    </row>
    <row r="140" spans="15:15" x14ac:dyDescent="0.35">
      <c r="O140" s="57"/>
    </row>
    <row r="142" spans="15:15" x14ac:dyDescent="0.35">
      <c r="O142" s="57"/>
    </row>
    <row r="144" spans="15:15" x14ac:dyDescent="0.35">
      <c r="O144" s="57"/>
    </row>
    <row r="146" spans="15:15" x14ac:dyDescent="0.35">
      <c r="O146" s="57"/>
    </row>
    <row r="147" spans="15:15" x14ac:dyDescent="0.35">
      <c r="O147" s="57"/>
    </row>
    <row r="148" spans="15:15" x14ac:dyDescent="0.35">
      <c r="O148" s="57"/>
    </row>
    <row r="150" spans="15:15" x14ac:dyDescent="0.35">
      <c r="O150" s="57"/>
    </row>
    <row r="151" spans="15:15" x14ac:dyDescent="0.35">
      <c r="O151" s="57"/>
    </row>
    <row r="152" spans="15:15" x14ac:dyDescent="0.35">
      <c r="O152" s="57"/>
    </row>
    <row r="153" spans="15:15" x14ac:dyDescent="0.35">
      <c r="O153" s="57"/>
    </row>
    <row r="155" spans="15:15" x14ac:dyDescent="0.35">
      <c r="O155" s="57"/>
    </row>
    <row r="204" spans="3:13" x14ac:dyDescent="0.35">
      <c r="C204" s="58"/>
      <c r="D204" s="58"/>
      <c r="E204" s="58"/>
      <c r="I204" s="58"/>
      <c r="J204" s="58"/>
      <c r="K204" s="58"/>
      <c r="L204" s="58"/>
      <c r="M204" s="58"/>
    </row>
  </sheetData>
  <mergeCells count="1">
    <mergeCell ref="A98:N98"/>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1" tint="0.499984740745262"/>
  </sheetPr>
  <dimension ref="A1:M779"/>
  <sheetViews>
    <sheetView zoomScale="160" zoomScaleNormal="160" workbookViewId="0">
      <pane ySplit="1" topLeftCell="A771" activePane="bottomLeft" state="frozen"/>
      <selection pane="bottomLeft" activeCell="Q21" sqref="Q21"/>
    </sheetView>
  </sheetViews>
  <sheetFormatPr defaultColWidth="8.81640625" defaultRowHeight="14.5" x14ac:dyDescent="0.35"/>
  <cols>
    <col min="1" max="1" width="12.6328125" customWidth="1"/>
    <col min="2" max="7" width="9.6328125" customWidth="1"/>
    <col min="8" max="10" width="10.6328125" customWidth="1"/>
    <col min="11" max="11" width="9.6328125" customWidth="1"/>
    <col min="12" max="12" width="10.6328125" customWidth="1"/>
    <col min="13" max="13" width="9.6328125" customWidth="1"/>
    <col min="14" max="256" width="9.1796875" customWidth="1"/>
    <col min="257" max="257" width="12.6328125" customWidth="1"/>
    <col min="258" max="262" width="9.6328125" customWidth="1"/>
    <col min="263" max="266" width="10.6328125" customWidth="1"/>
    <col min="267" max="267" width="9.6328125" customWidth="1"/>
    <col min="268" max="268" width="10.6328125" customWidth="1"/>
    <col min="269" max="269" width="9.6328125" customWidth="1"/>
    <col min="270" max="512" width="9.1796875" customWidth="1"/>
    <col min="513" max="513" width="12.6328125" customWidth="1"/>
    <col min="514" max="518" width="9.6328125" customWidth="1"/>
    <col min="519" max="522" width="10.6328125" customWidth="1"/>
    <col min="523" max="523" width="9.6328125" customWidth="1"/>
    <col min="524" max="524" width="10.6328125" customWidth="1"/>
    <col min="525" max="525" width="9.6328125" customWidth="1"/>
    <col min="526" max="768" width="9.1796875" customWidth="1"/>
    <col min="769" max="769" width="12.6328125" customWidth="1"/>
    <col min="770" max="774" width="9.6328125" customWidth="1"/>
    <col min="775" max="778" width="10.6328125" customWidth="1"/>
    <col min="779" max="779" width="9.6328125" customWidth="1"/>
    <col min="780" max="780" width="10.6328125" customWidth="1"/>
    <col min="781" max="781" width="9.6328125" customWidth="1"/>
    <col min="782" max="1024" width="9.1796875" customWidth="1"/>
    <col min="1025" max="1025" width="12.6328125" customWidth="1"/>
    <col min="1026" max="1030" width="9.6328125" customWidth="1"/>
    <col min="1031" max="1034" width="10.6328125" customWidth="1"/>
    <col min="1035" max="1035" width="9.6328125" customWidth="1"/>
    <col min="1036" max="1036" width="10.6328125" customWidth="1"/>
    <col min="1037" max="1037" width="9.6328125" customWidth="1"/>
    <col min="1038" max="1280" width="9.1796875" customWidth="1"/>
    <col min="1281" max="1281" width="12.6328125" customWidth="1"/>
    <col min="1282" max="1286" width="9.6328125" customWidth="1"/>
    <col min="1287" max="1290" width="10.6328125" customWidth="1"/>
    <col min="1291" max="1291" width="9.6328125" customWidth="1"/>
    <col min="1292" max="1292" width="10.6328125" customWidth="1"/>
    <col min="1293" max="1293" width="9.6328125" customWidth="1"/>
    <col min="1294" max="1536" width="9.1796875" customWidth="1"/>
    <col min="1537" max="1537" width="12.6328125" customWidth="1"/>
    <col min="1538" max="1542" width="9.6328125" customWidth="1"/>
    <col min="1543" max="1546" width="10.6328125" customWidth="1"/>
    <col min="1547" max="1547" width="9.6328125" customWidth="1"/>
    <col min="1548" max="1548" width="10.6328125" customWidth="1"/>
    <col min="1549" max="1549" width="9.6328125" customWidth="1"/>
    <col min="1550" max="1792" width="9.1796875" customWidth="1"/>
    <col min="1793" max="1793" width="12.6328125" customWidth="1"/>
    <col min="1794" max="1798" width="9.6328125" customWidth="1"/>
    <col min="1799" max="1802" width="10.6328125" customWidth="1"/>
    <col min="1803" max="1803" width="9.6328125" customWidth="1"/>
    <col min="1804" max="1804" width="10.6328125" customWidth="1"/>
    <col min="1805" max="1805" width="9.6328125" customWidth="1"/>
    <col min="1806" max="2048" width="9.1796875" customWidth="1"/>
    <col min="2049" max="2049" width="12.6328125" customWidth="1"/>
    <col min="2050" max="2054" width="9.6328125" customWidth="1"/>
    <col min="2055" max="2058" width="10.6328125" customWidth="1"/>
    <col min="2059" max="2059" width="9.6328125" customWidth="1"/>
    <col min="2060" max="2060" width="10.6328125" customWidth="1"/>
    <col min="2061" max="2061" width="9.6328125" customWidth="1"/>
    <col min="2062" max="2304" width="9.1796875" customWidth="1"/>
    <col min="2305" max="2305" width="12.6328125" customWidth="1"/>
    <col min="2306" max="2310" width="9.6328125" customWidth="1"/>
    <col min="2311" max="2314" width="10.6328125" customWidth="1"/>
    <col min="2315" max="2315" width="9.6328125" customWidth="1"/>
    <col min="2316" max="2316" width="10.6328125" customWidth="1"/>
    <col min="2317" max="2317" width="9.6328125" customWidth="1"/>
    <col min="2318" max="2560" width="9.1796875" customWidth="1"/>
    <col min="2561" max="2561" width="12.6328125" customWidth="1"/>
    <col min="2562" max="2566" width="9.6328125" customWidth="1"/>
    <col min="2567" max="2570" width="10.6328125" customWidth="1"/>
    <col min="2571" max="2571" width="9.6328125" customWidth="1"/>
    <col min="2572" max="2572" width="10.6328125" customWidth="1"/>
    <col min="2573" max="2573" width="9.6328125" customWidth="1"/>
    <col min="2574" max="2816" width="9.1796875" customWidth="1"/>
    <col min="2817" max="2817" width="12.6328125" customWidth="1"/>
    <col min="2818" max="2822" width="9.6328125" customWidth="1"/>
    <col min="2823" max="2826" width="10.6328125" customWidth="1"/>
    <col min="2827" max="2827" width="9.6328125" customWidth="1"/>
    <col min="2828" max="2828" width="10.6328125" customWidth="1"/>
    <col min="2829" max="2829" width="9.6328125" customWidth="1"/>
    <col min="2830" max="3072" width="9.1796875" customWidth="1"/>
    <col min="3073" max="3073" width="12.6328125" customWidth="1"/>
    <col min="3074" max="3078" width="9.6328125" customWidth="1"/>
    <col min="3079" max="3082" width="10.6328125" customWidth="1"/>
    <col min="3083" max="3083" width="9.6328125" customWidth="1"/>
    <col min="3084" max="3084" width="10.6328125" customWidth="1"/>
    <col min="3085" max="3085" width="9.6328125" customWidth="1"/>
    <col min="3086" max="3328" width="9.1796875" customWidth="1"/>
    <col min="3329" max="3329" width="12.6328125" customWidth="1"/>
    <col min="3330" max="3334" width="9.6328125" customWidth="1"/>
    <col min="3335" max="3338" width="10.6328125" customWidth="1"/>
    <col min="3339" max="3339" width="9.6328125" customWidth="1"/>
    <col min="3340" max="3340" width="10.6328125" customWidth="1"/>
    <col min="3341" max="3341" width="9.6328125" customWidth="1"/>
    <col min="3342" max="3584" width="9.1796875" customWidth="1"/>
    <col min="3585" max="3585" width="12.6328125" customWidth="1"/>
    <col min="3586" max="3590" width="9.6328125" customWidth="1"/>
    <col min="3591" max="3594" width="10.6328125" customWidth="1"/>
    <col min="3595" max="3595" width="9.6328125" customWidth="1"/>
    <col min="3596" max="3596" width="10.6328125" customWidth="1"/>
    <col min="3597" max="3597" width="9.6328125" customWidth="1"/>
    <col min="3598" max="3840" width="9.1796875" customWidth="1"/>
    <col min="3841" max="3841" width="12.6328125" customWidth="1"/>
    <col min="3842" max="3846" width="9.6328125" customWidth="1"/>
    <col min="3847" max="3850" width="10.6328125" customWidth="1"/>
    <col min="3851" max="3851" width="9.6328125" customWidth="1"/>
    <col min="3852" max="3852" width="10.6328125" customWidth="1"/>
    <col min="3853" max="3853" width="9.6328125" customWidth="1"/>
    <col min="3854" max="4096" width="9.1796875" customWidth="1"/>
    <col min="4097" max="4097" width="12.6328125" customWidth="1"/>
    <col min="4098" max="4102" width="9.6328125" customWidth="1"/>
    <col min="4103" max="4106" width="10.6328125" customWidth="1"/>
    <col min="4107" max="4107" width="9.6328125" customWidth="1"/>
    <col min="4108" max="4108" width="10.6328125" customWidth="1"/>
    <col min="4109" max="4109" width="9.6328125" customWidth="1"/>
    <col min="4110" max="4352" width="9.1796875" customWidth="1"/>
    <col min="4353" max="4353" width="12.6328125" customWidth="1"/>
    <col min="4354" max="4358" width="9.6328125" customWidth="1"/>
    <col min="4359" max="4362" width="10.6328125" customWidth="1"/>
    <col min="4363" max="4363" width="9.6328125" customWidth="1"/>
    <col min="4364" max="4364" width="10.6328125" customWidth="1"/>
    <col min="4365" max="4365" width="9.6328125" customWidth="1"/>
    <col min="4366" max="4608" width="9.1796875" customWidth="1"/>
    <col min="4609" max="4609" width="12.6328125" customWidth="1"/>
    <col min="4610" max="4614" width="9.6328125" customWidth="1"/>
    <col min="4615" max="4618" width="10.6328125" customWidth="1"/>
    <col min="4619" max="4619" width="9.6328125" customWidth="1"/>
    <col min="4620" max="4620" width="10.6328125" customWidth="1"/>
    <col min="4621" max="4621" width="9.6328125" customWidth="1"/>
    <col min="4622" max="4864" width="9.1796875" customWidth="1"/>
    <col min="4865" max="4865" width="12.6328125" customWidth="1"/>
    <col min="4866" max="4870" width="9.6328125" customWidth="1"/>
    <col min="4871" max="4874" width="10.6328125" customWidth="1"/>
    <col min="4875" max="4875" width="9.6328125" customWidth="1"/>
    <col min="4876" max="4876" width="10.6328125" customWidth="1"/>
    <col min="4877" max="4877" width="9.6328125" customWidth="1"/>
    <col min="4878" max="5120" width="9.1796875" customWidth="1"/>
    <col min="5121" max="5121" width="12.6328125" customWidth="1"/>
    <col min="5122" max="5126" width="9.6328125" customWidth="1"/>
    <col min="5127" max="5130" width="10.6328125" customWidth="1"/>
    <col min="5131" max="5131" width="9.6328125" customWidth="1"/>
    <col min="5132" max="5132" width="10.6328125" customWidth="1"/>
    <col min="5133" max="5133" width="9.6328125" customWidth="1"/>
    <col min="5134" max="5376" width="9.1796875" customWidth="1"/>
    <col min="5377" max="5377" width="12.6328125" customWidth="1"/>
    <col min="5378" max="5382" width="9.6328125" customWidth="1"/>
    <col min="5383" max="5386" width="10.6328125" customWidth="1"/>
    <col min="5387" max="5387" width="9.6328125" customWidth="1"/>
    <col min="5388" max="5388" width="10.6328125" customWidth="1"/>
    <col min="5389" max="5389" width="9.6328125" customWidth="1"/>
    <col min="5390" max="5632" width="9.1796875" customWidth="1"/>
    <col min="5633" max="5633" width="12.6328125" customWidth="1"/>
    <col min="5634" max="5638" width="9.6328125" customWidth="1"/>
    <col min="5639" max="5642" width="10.6328125" customWidth="1"/>
    <col min="5643" max="5643" width="9.6328125" customWidth="1"/>
    <col min="5644" max="5644" width="10.6328125" customWidth="1"/>
    <col min="5645" max="5645" width="9.6328125" customWidth="1"/>
    <col min="5646" max="5888" width="9.1796875" customWidth="1"/>
    <col min="5889" max="5889" width="12.6328125" customWidth="1"/>
    <col min="5890" max="5894" width="9.6328125" customWidth="1"/>
    <col min="5895" max="5898" width="10.6328125" customWidth="1"/>
    <col min="5899" max="5899" width="9.6328125" customWidth="1"/>
    <col min="5900" max="5900" width="10.6328125" customWidth="1"/>
    <col min="5901" max="5901" width="9.6328125" customWidth="1"/>
    <col min="5902" max="6144" width="9.1796875" customWidth="1"/>
    <col min="6145" max="6145" width="12.6328125" customWidth="1"/>
    <col min="6146" max="6150" width="9.6328125" customWidth="1"/>
    <col min="6151" max="6154" width="10.6328125" customWidth="1"/>
    <col min="6155" max="6155" width="9.6328125" customWidth="1"/>
    <col min="6156" max="6156" width="10.6328125" customWidth="1"/>
    <col min="6157" max="6157" width="9.6328125" customWidth="1"/>
    <col min="6158" max="6400" width="9.1796875" customWidth="1"/>
    <col min="6401" max="6401" width="12.6328125" customWidth="1"/>
    <col min="6402" max="6406" width="9.6328125" customWidth="1"/>
    <col min="6407" max="6410" width="10.6328125" customWidth="1"/>
    <col min="6411" max="6411" width="9.6328125" customWidth="1"/>
    <col min="6412" max="6412" width="10.6328125" customWidth="1"/>
    <col min="6413" max="6413" width="9.6328125" customWidth="1"/>
    <col min="6414" max="6656" width="9.1796875" customWidth="1"/>
    <col min="6657" max="6657" width="12.6328125" customWidth="1"/>
    <col min="6658" max="6662" width="9.6328125" customWidth="1"/>
    <col min="6663" max="6666" width="10.6328125" customWidth="1"/>
    <col min="6667" max="6667" width="9.6328125" customWidth="1"/>
    <col min="6668" max="6668" width="10.6328125" customWidth="1"/>
    <col min="6669" max="6669" width="9.6328125" customWidth="1"/>
    <col min="6670" max="6912" width="9.1796875" customWidth="1"/>
    <col min="6913" max="6913" width="12.6328125" customWidth="1"/>
    <col min="6914" max="6918" width="9.6328125" customWidth="1"/>
    <col min="6919" max="6922" width="10.6328125" customWidth="1"/>
    <col min="6923" max="6923" width="9.6328125" customWidth="1"/>
    <col min="6924" max="6924" width="10.6328125" customWidth="1"/>
    <col min="6925" max="6925" width="9.6328125" customWidth="1"/>
    <col min="6926" max="7168" width="9.1796875" customWidth="1"/>
    <col min="7169" max="7169" width="12.6328125" customWidth="1"/>
    <col min="7170" max="7174" width="9.6328125" customWidth="1"/>
    <col min="7175" max="7178" width="10.6328125" customWidth="1"/>
    <col min="7179" max="7179" width="9.6328125" customWidth="1"/>
    <col min="7180" max="7180" width="10.6328125" customWidth="1"/>
    <col min="7181" max="7181" width="9.6328125" customWidth="1"/>
    <col min="7182" max="7424" width="9.1796875" customWidth="1"/>
    <col min="7425" max="7425" width="12.6328125" customWidth="1"/>
    <col min="7426" max="7430" width="9.6328125" customWidth="1"/>
    <col min="7431" max="7434" width="10.6328125" customWidth="1"/>
    <col min="7435" max="7435" width="9.6328125" customWidth="1"/>
    <col min="7436" max="7436" width="10.6328125" customWidth="1"/>
    <col min="7437" max="7437" width="9.6328125" customWidth="1"/>
    <col min="7438" max="7680" width="9.1796875" customWidth="1"/>
    <col min="7681" max="7681" width="12.6328125" customWidth="1"/>
    <col min="7682" max="7686" width="9.6328125" customWidth="1"/>
    <col min="7687" max="7690" width="10.6328125" customWidth="1"/>
    <col min="7691" max="7691" width="9.6328125" customWidth="1"/>
    <col min="7692" max="7692" width="10.6328125" customWidth="1"/>
    <col min="7693" max="7693" width="9.6328125" customWidth="1"/>
    <col min="7694" max="7936" width="9.1796875" customWidth="1"/>
    <col min="7937" max="7937" width="12.6328125" customWidth="1"/>
    <col min="7938" max="7942" width="9.6328125" customWidth="1"/>
    <col min="7943" max="7946" width="10.6328125" customWidth="1"/>
    <col min="7947" max="7947" width="9.6328125" customWidth="1"/>
    <col min="7948" max="7948" width="10.6328125" customWidth="1"/>
    <col min="7949" max="7949" width="9.6328125" customWidth="1"/>
    <col min="7950" max="8192" width="9.1796875" customWidth="1"/>
    <col min="8193" max="8193" width="12.6328125" customWidth="1"/>
    <col min="8194" max="8198" width="9.6328125" customWidth="1"/>
    <col min="8199" max="8202" width="10.6328125" customWidth="1"/>
    <col min="8203" max="8203" width="9.6328125" customWidth="1"/>
    <col min="8204" max="8204" width="10.6328125" customWidth="1"/>
    <col min="8205" max="8205" width="9.6328125" customWidth="1"/>
    <col min="8206" max="8448" width="9.1796875" customWidth="1"/>
    <col min="8449" max="8449" width="12.6328125" customWidth="1"/>
    <col min="8450" max="8454" width="9.6328125" customWidth="1"/>
    <col min="8455" max="8458" width="10.6328125" customWidth="1"/>
    <col min="8459" max="8459" width="9.6328125" customWidth="1"/>
    <col min="8460" max="8460" width="10.6328125" customWidth="1"/>
    <col min="8461" max="8461" width="9.6328125" customWidth="1"/>
    <col min="8462" max="8704" width="9.1796875" customWidth="1"/>
    <col min="8705" max="8705" width="12.6328125" customWidth="1"/>
    <col min="8706" max="8710" width="9.6328125" customWidth="1"/>
    <col min="8711" max="8714" width="10.6328125" customWidth="1"/>
    <col min="8715" max="8715" width="9.6328125" customWidth="1"/>
    <col min="8716" max="8716" width="10.6328125" customWidth="1"/>
    <col min="8717" max="8717" width="9.6328125" customWidth="1"/>
    <col min="8718" max="8960" width="9.1796875" customWidth="1"/>
    <col min="8961" max="8961" width="12.6328125" customWidth="1"/>
    <col min="8962" max="8966" width="9.6328125" customWidth="1"/>
    <col min="8967" max="8970" width="10.6328125" customWidth="1"/>
    <col min="8971" max="8971" width="9.6328125" customWidth="1"/>
    <col min="8972" max="8972" width="10.6328125" customWidth="1"/>
    <col min="8973" max="8973" width="9.6328125" customWidth="1"/>
    <col min="8974" max="9216" width="9.1796875" customWidth="1"/>
    <col min="9217" max="9217" width="12.6328125" customWidth="1"/>
    <col min="9218" max="9222" width="9.6328125" customWidth="1"/>
    <col min="9223" max="9226" width="10.6328125" customWidth="1"/>
    <col min="9227" max="9227" width="9.6328125" customWidth="1"/>
    <col min="9228" max="9228" width="10.6328125" customWidth="1"/>
    <col min="9229" max="9229" width="9.6328125" customWidth="1"/>
    <col min="9230" max="9472" width="9.1796875" customWidth="1"/>
    <col min="9473" max="9473" width="12.6328125" customWidth="1"/>
    <col min="9474" max="9478" width="9.6328125" customWidth="1"/>
    <col min="9479" max="9482" width="10.6328125" customWidth="1"/>
    <col min="9483" max="9483" width="9.6328125" customWidth="1"/>
    <col min="9484" max="9484" width="10.6328125" customWidth="1"/>
    <col min="9485" max="9485" width="9.6328125" customWidth="1"/>
    <col min="9486" max="9728" width="9.1796875" customWidth="1"/>
    <col min="9729" max="9729" width="12.6328125" customWidth="1"/>
    <col min="9730" max="9734" width="9.6328125" customWidth="1"/>
    <col min="9735" max="9738" width="10.6328125" customWidth="1"/>
    <col min="9739" max="9739" width="9.6328125" customWidth="1"/>
    <col min="9740" max="9740" width="10.6328125" customWidth="1"/>
    <col min="9741" max="9741" width="9.6328125" customWidth="1"/>
    <col min="9742" max="9984" width="9.1796875" customWidth="1"/>
    <col min="9985" max="9985" width="12.6328125" customWidth="1"/>
    <col min="9986" max="9990" width="9.6328125" customWidth="1"/>
    <col min="9991" max="9994" width="10.6328125" customWidth="1"/>
    <col min="9995" max="9995" width="9.6328125" customWidth="1"/>
    <col min="9996" max="9996" width="10.6328125" customWidth="1"/>
    <col min="9997" max="9997" width="9.6328125" customWidth="1"/>
    <col min="9998" max="10240" width="9.1796875" customWidth="1"/>
    <col min="10241" max="10241" width="12.6328125" customWidth="1"/>
    <col min="10242" max="10246" width="9.6328125" customWidth="1"/>
    <col min="10247" max="10250" width="10.6328125" customWidth="1"/>
    <col min="10251" max="10251" width="9.6328125" customWidth="1"/>
    <col min="10252" max="10252" width="10.6328125" customWidth="1"/>
    <col min="10253" max="10253" width="9.6328125" customWidth="1"/>
    <col min="10254" max="10496" width="9.1796875" customWidth="1"/>
    <col min="10497" max="10497" width="12.6328125" customWidth="1"/>
    <col min="10498" max="10502" width="9.6328125" customWidth="1"/>
    <col min="10503" max="10506" width="10.6328125" customWidth="1"/>
    <col min="10507" max="10507" width="9.6328125" customWidth="1"/>
    <col min="10508" max="10508" width="10.6328125" customWidth="1"/>
    <col min="10509" max="10509" width="9.6328125" customWidth="1"/>
    <col min="10510" max="10752" width="9.1796875" customWidth="1"/>
    <col min="10753" max="10753" width="12.6328125" customWidth="1"/>
    <col min="10754" max="10758" width="9.6328125" customWidth="1"/>
    <col min="10759" max="10762" width="10.6328125" customWidth="1"/>
    <col min="10763" max="10763" width="9.6328125" customWidth="1"/>
    <col min="10764" max="10764" width="10.6328125" customWidth="1"/>
    <col min="10765" max="10765" width="9.6328125" customWidth="1"/>
    <col min="10766" max="11008" width="9.1796875" customWidth="1"/>
    <col min="11009" max="11009" width="12.6328125" customWidth="1"/>
    <col min="11010" max="11014" width="9.6328125" customWidth="1"/>
    <col min="11015" max="11018" width="10.6328125" customWidth="1"/>
    <col min="11019" max="11019" width="9.6328125" customWidth="1"/>
    <col min="11020" max="11020" width="10.6328125" customWidth="1"/>
    <col min="11021" max="11021" width="9.6328125" customWidth="1"/>
    <col min="11022" max="11264" width="9.1796875" customWidth="1"/>
    <col min="11265" max="11265" width="12.6328125" customWidth="1"/>
    <col min="11266" max="11270" width="9.6328125" customWidth="1"/>
    <col min="11271" max="11274" width="10.6328125" customWidth="1"/>
    <col min="11275" max="11275" width="9.6328125" customWidth="1"/>
    <col min="11276" max="11276" width="10.6328125" customWidth="1"/>
    <col min="11277" max="11277" width="9.6328125" customWidth="1"/>
    <col min="11278" max="11520" width="9.1796875" customWidth="1"/>
    <col min="11521" max="11521" width="12.6328125" customWidth="1"/>
    <col min="11522" max="11526" width="9.6328125" customWidth="1"/>
    <col min="11527" max="11530" width="10.6328125" customWidth="1"/>
    <col min="11531" max="11531" width="9.6328125" customWidth="1"/>
    <col min="11532" max="11532" width="10.6328125" customWidth="1"/>
    <col min="11533" max="11533" width="9.6328125" customWidth="1"/>
    <col min="11534" max="11776" width="9.1796875" customWidth="1"/>
    <col min="11777" max="11777" width="12.6328125" customWidth="1"/>
    <col min="11778" max="11782" width="9.6328125" customWidth="1"/>
    <col min="11783" max="11786" width="10.6328125" customWidth="1"/>
    <col min="11787" max="11787" width="9.6328125" customWidth="1"/>
    <col min="11788" max="11788" width="10.6328125" customWidth="1"/>
    <col min="11789" max="11789" width="9.6328125" customWidth="1"/>
    <col min="11790" max="12032" width="9.1796875" customWidth="1"/>
    <col min="12033" max="12033" width="12.6328125" customWidth="1"/>
    <col min="12034" max="12038" width="9.6328125" customWidth="1"/>
    <col min="12039" max="12042" width="10.6328125" customWidth="1"/>
    <col min="12043" max="12043" width="9.6328125" customWidth="1"/>
    <col min="12044" max="12044" width="10.6328125" customWidth="1"/>
    <col min="12045" max="12045" width="9.6328125" customWidth="1"/>
    <col min="12046" max="12288" width="9.1796875" customWidth="1"/>
    <col min="12289" max="12289" width="12.6328125" customWidth="1"/>
    <col min="12290" max="12294" width="9.6328125" customWidth="1"/>
    <col min="12295" max="12298" width="10.6328125" customWidth="1"/>
    <col min="12299" max="12299" width="9.6328125" customWidth="1"/>
    <col min="12300" max="12300" width="10.6328125" customWidth="1"/>
    <col min="12301" max="12301" width="9.6328125" customWidth="1"/>
    <col min="12302" max="12544" width="9.1796875" customWidth="1"/>
    <col min="12545" max="12545" width="12.6328125" customWidth="1"/>
    <col min="12546" max="12550" width="9.6328125" customWidth="1"/>
    <col min="12551" max="12554" width="10.6328125" customWidth="1"/>
    <col min="12555" max="12555" width="9.6328125" customWidth="1"/>
    <col min="12556" max="12556" width="10.6328125" customWidth="1"/>
    <col min="12557" max="12557" width="9.6328125" customWidth="1"/>
    <col min="12558" max="12800" width="9.1796875" customWidth="1"/>
    <col min="12801" max="12801" width="12.6328125" customWidth="1"/>
    <col min="12802" max="12806" width="9.6328125" customWidth="1"/>
    <col min="12807" max="12810" width="10.6328125" customWidth="1"/>
    <col min="12811" max="12811" width="9.6328125" customWidth="1"/>
    <col min="12812" max="12812" width="10.6328125" customWidth="1"/>
    <col min="12813" max="12813" width="9.6328125" customWidth="1"/>
    <col min="12814" max="13056" width="9.1796875" customWidth="1"/>
    <col min="13057" max="13057" width="12.6328125" customWidth="1"/>
    <col min="13058" max="13062" width="9.6328125" customWidth="1"/>
    <col min="13063" max="13066" width="10.6328125" customWidth="1"/>
    <col min="13067" max="13067" width="9.6328125" customWidth="1"/>
    <col min="13068" max="13068" width="10.6328125" customWidth="1"/>
    <col min="13069" max="13069" width="9.6328125" customWidth="1"/>
    <col min="13070" max="13312" width="9.1796875" customWidth="1"/>
    <col min="13313" max="13313" width="12.6328125" customWidth="1"/>
    <col min="13314" max="13318" width="9.6328125" customWidth="1"/>
    <col min="13319" max="13322" width="10.6328125" customWidth="1"/>
    <col min="13323" max="13323" width="9.6328125" customWidth="1"/>
    <col min="13324" max="13324" width="10.6328125" customWidth="1"/>
    <col min="13325" max="13325" width="9.6328125" customWidth="1"/>
    <col min="13326" max="13568" width="9.1796875" customWidth="1"/>
    <col min="13569" max="13569" width="12.6328125" customWidth="1"/>
    <col min="13570" max="13574" width="9.6328125" customWidth="1"/>
    <col min="13575" max="13578" width="10.6328125" customWidth="1"/>
    <col min="13579" max="13579" width="9.6328125" customWidth="1"/>
    <col min="13580" max="13580" width="10.6328125" customWidth="1"/>
    <col min="13581" max="13581" width="9.6328125" customWidth="1"/>
    <col min="13582" max="13824" width="9.1796875" customWidth="1"/>
    <col min="13825" max="13825" width="12.6328125" customWidth="1"/>
    <col min="13826" max="13830" width="9.6328125" customWidth="1"/>
    <col min="13831" max="13834" width="10.6328125" customWidth="1"/>
    <col min="13835" max="13835" width="9.6328125" customWidth="1"/>
    <col min="13836" max="13836" width="10.6328125" customWidth="1"/>
    <col min="13837" max="13837" width="9.6328125" customWidth="1"/>
    <col min="13838" max="14080" width="9.1796875" customWidth="1"/>
    <col min="14081" max="14081" width="12.6328125" customWidth="1"/>
    <col min="14082" max="14086" width="9.6328125" customWidth="1"/>
    <col min="14087" max="14090" width="10.6328125" customWidth="1"/>
    <col min="14091" max="14091" width="9.6328125" customWidth="1"/>
    <col min="14092" max="14092" width="10.6328125" customWidth="1"/>
    <col min="14093" max="14093" width="9.6328125" customWidth="1"/>
    <col min="14094" max="14336" width="9.1796875" customWidth="1"/>
    <col min="14337" max="14337" width="12.6328125" customWidth="1"/>
    <col min="14338" max="14342" width="9.6328125" customWidth="1"/>
    <col min="14343" max="14346" width="10.6328125" customWidth="1"/>
    <col min="14347" max="14347" width="9.6328125" customWidth="1"/>
    <col min="14348" max="14348" width="10.6328125" customWidth="1"/>
    <col min="14349" max="14349" width="9.6328125" customWidth="1"/>
    <col min="14350" max="14592" width="9.1796875" customWidth="1"/>
    <col min="14593" max="14593" width="12.6328125" customWidth="1"/>
    <col min="14594" max="14598" width="9.6328125" customWidth="1"/>
    <col min="14599" max="14602" width="10.6328125" customWidth="1"/>
    <col min="14603" max="14603" width="9.6328125" customWidth="1"/>
    <col min="14604" max="14604" width="10.6328125" customWidth="1"/>
    <col min="14605" max="14605" width="9.6328125" customWidth="1"/>
    <col min="14606" max="14848" width="9.1796875" customWidth="1"/>
    <col min="14849" max="14849" width="12.6328125" customWidth="1"/>
    <col min="14850" max="14854" width="9.6328125" customWidth="1"/>
    <col min="14855" max="14858" width="10.6328125" customWidth="1"/>
    <col min="14859" max="14859" width="9.6328125" customWidth="1"/>
    <col min="14860" max="14860" width="10.6328125" customWidth="1"/>
    <col min="14861" max="14861" width="9.6328125" customWidth="1"/>
    <col min="14862" max="15104" width="9.1796875" customWidth="1"/>
    <col min="15105" max="15105" width="12.6328125" customWidth="1"/>
    <col min="15106" max="15110" width="9.6328125" customWidth="1"/>
    <col min="15111" max="15114" width="10.6328125" customWidth="1"/>
    <col min="15115" max="15115" width="9.6328125" customWidth="1"/>
    <col min="15116" max="15116" width="10.6328125" customWidth="1"/>
    <col min="15117" max="15117" width="9.6328125" customWidth="1"/>
    <col min="15118" max="15360" width="9.1796875" customWidth="1"/>
    <col min="15361" max="15361" width="12.6328125" customWidth="1"/>
    <col min="15362" max="15366" width="9.6328125" customWidth="1"/>
    <col min="15367" max="15370" width="10.6328125" customWidth="1"/>
    <col min="15371" max="15371" width="9.6328125" customWidth="1"/>
    <col min="15372" max="15372" width="10.6328125" customWidth="1"/>
    <col min="15373" max="15373" width="9.6328125" customWidth="1"/>
    <col min="15374" max="15616" width="9.1796875" customWidth="1"/>
    <col min="15617" max="15617" width="12.6328125" customWidth="1"/>
    <col min="15618" max="15622" width="9.6328125" customWidth="1"/>
    <col min="15623" max="15626" width="10.6328125" customWidth="1"/>
    <col min="15627" max="15627" width="9.6328125" customWidth="1"/>
    <col min="15628" max="15628" width="10.6328125" customWidth="1"/>
    <col min="15629" max="15629" width="9.6328125" customWidth="1"/>
    <col min="15630" max="15872" width="9.1796875" customWidth="1"/>
    <col min="15873" max="15873" width="12.6328125" customWidth="1"/>
    <col min="15874" max="15878" width="9.6328125" customWidth="1"/>
    <col min="15879" max="15882" width="10.6328125" customWidth="1"/>
    <col min="15883" max="15883" width="9.6328125" customWidth="1"/>
    <col min="15884" max="15884" width="10.6328125" customWidth="1"/>
    <col min="15885" max="15885" width="9.6328125" customWidth="1"/>
    <col min="15886" max="16128" width="9.1796875" customWidth="1"/>
    <col min="16129" max="16129" width="12.6328125" customWidth="1"/>
    <col min="16130" max="16134" width="9.6328125" customWidth="1"/>
    <col min="16135" max="16138" width="10.6328125" customWidth="1"/>
    <col min="16139" max="16139" width="9.6328125" customWidth="1"/>
    <col min="16140" max="16140" width="10.6328125" customWidth="1"/>
    <col min="16141" max="16141" width="9.6328125" customWidth="1"/>
    <col min="16142" max="16384" width="9.1796875" customWidth="1"/>
  </cols>
  <sheetData>
    <row r="1" spans="1:13" x14ac:dyDescent="0.35">
      <c r="A1" t="s">
        <v>95</v>
      </c>
      <c r="B1" t="s">
        <v>39</v>
      </c>
      <c r="C1" t="s">
        <v>30</v>
      </c>
      <c r="D1" t="s">
        <v>33</v>
      </c>
      <c r="E1" t="s">
        <v>36</v>
      </c>
      <c r="F1" t="s">
        <v>40</v>
      </c>
      <c r="G1" t="s">
        <v>27</v>
      </c>
      <c r="H1" t="s">
        <v>96</v>
      </c>
      <c r="I1" t="s">
        <v>17</v>
      </c>
      <c r="J1" t="s">
        <v>24</v>
      </c>
      <c r="K1" t="s">
        <v>97</v>
      </c>
      <c r="L1" t="s">
        <v>14</v>
      </c>
      <c r="M1" t="s">
        <v>21</v>
      </c>
    </row>
    <row r="2" spans="1:13" x14ac:dyDescent="0.35">
      <c r="A2" s="120">
        <v>21217</v>
      </c>
      <c r="L2">
        <v>0</v>
      </c>
    </row>
    <row r="3" spans="1:13" x14ac:dyDescent="0.35">
      <c r="A3" s="120">
        <v>21245</v>
      </c>
      <c r="L3">
        <v>0</v>
      </c>
    </row>
    <row r="4" spans="1:13" x14ac:dyDescent="0.35">
      <c r="A4" s="120">
        <v>21276</v>
      </c>
      <c r="L4">
        <v>0</v>
      </c>
    </row>
    <row r="5" spans="1:13" x14ac:dyDescent="0.35">
      <c r="A5" s="120">
        <v>21306</v>
      </c>
      <c r="L5">
        <v>0</v>
      </c>
    </row>
    <row r="6" spans="1:13" x14ac:dyDescent="0.35">
      <c r="A6" s="120">
        <v>21337</v>
      </c>
      <c r="L6">
        <v>0</v>
      </c>
    </row>
    <row r="7" spans="1:13" x14ac:dyDescent="0.35">
      <c r="A7" s="120">
        <v>21367</v>
      </c>
      <c r="L7">
        <v>0</v>
      </c>
    </row>
    <row r="8" spans="1:13" x14ac:dyDescent="0.35">
      <c r="A8" s="120">
        <v>21398</v>
      </c>
      <c r="L8">
        <v>0</v>
      </c>
    </row>
    <row r="9" spans="1:13" x14ac:dyDescent="0.35">
      <c r="A9" s="120">
        <v>21429</v>
      </c>
      <c r="L9">
        <v>0</v>
      </c>
    </row>
    <row r="10" spans="1:13" x14ac:dyDescent="0.35">
      <c r="A10" s="120">
        <v>21459</v>
      </c>
      <c r="L10">
        <v>0</v>
      </c>
    </row>
    <row r="11" spans="1:13" x14ac:dyDescent="0.35">
      <c r="A11" s="120">
        <v>21490</v>
      </c>
      <c r="L11">
        <v>0</v>
      </c>
    </row>
    <row r="12" spans="1:13" x14ac:dyDescent="0.35">
      <c r="A12" s="120">
        <v>21520</v>
      </c>
      <c r="L12">
        <v>0</v>
      </c>
    </row>
    <row r="13" spans="1:13" x14ac:dyDescent="0.35">
      <c r="A13" s="120">
        <v>21551</v>
      </c>
      <c r="L13">
        <v>0</v>
      </c>
    </row>
    <row r="14" spans="1:13" x14ac:dyDescent="0.35">
      <c r="A14" s="120">
        <v>21582</v>
      </c>
      <c r="L14">
        <v>0</v>
      </c>
    </row>
    <row r="15" spans="1:13" x14ac:dyDescent="0.35">
      <c r="A15" s="120">
        <v>21610</v>
      </c>
      <c r="L15">
        <v>0</v>
      </c>
    </row>
    <row r="16" spans="1:13" x14ac:dyDescent="0.35">
      <c r="A16" s="120">
        <v>21641</v>
      </c>
      <c r="L16">
        <v>0</v>
      </c>
    </row>
    <row r="17" spans="1:12" x14ac:dyDescent="0.35">
      <c r="A17" s="120">
        <v>21671</v>
      </c>
      <c r="L17">
        <v>0</v>
      </c>
    </row>
    <row r="18" spans="1:12" x14ac:dyDescent="0.35">
      <c r="A18" s="120">
        <v>21702</v>
      </c>
      <c r="L18">
        <v>0</v>
      </c>
    </row>
    <row r="19" spans="1:12" x14ac:dyDescent="0.35">
      <c r="A19" s="120">
        <v>21732</v>
      </c>
      <c r="L19">
        <v>0</v>
      </c>
    </row>
    <row r="20" spans="1:12" x14ac:dyDescent="0.35">
      <c r="A20" s="120">
        <v>21763</v>
      </c>
      <c r="L20">
        <v>0</v>
      </c>
    </row>
    <row r="21" spans="1:12" x14ac:dyDescent="0.35">
      <c r="A21" s="120">
        <v>21794</v>
      </c>
      <c r="L21">
        <v>0</v>
      </c>
    </row>
    <row r="22" spans="1:12" x14ac:dyDescent="0.35">
      <c r="A22" s="120">
        <v>21824</v>
      </c>
      <c r="L22">
        <v>0</v>
      </c>
    </row>
    <row r="23" spans="1:12" x14ac:dyDescent="0.35">
      <c r="A23" s="120">
        <v>21855</v>
      </c>
      <c r="L23">
        <v>0</v>
      </c>
    </row>
    <row r="24" spans="1:12" x14ac:dyDescent="0.35">
      <c r="A24" s="120">
        <v>21885</v>
      </c>
      <c r="L24">
        <v>0</v>
      </c>
    </row>
    <row r="25" spans="1:12" x14ac:dyDescent="0.35">
      <c r="A25" s="120">
        <v>21916</v>
      </c>
      <c r="L25">
        <v>0</v>
      </c>
    </row>
    <row r="26" spans="1:12" x14ac:dyDescent="0.35">
      <c r="A26" s="120">
        <v>21947</v>
      </c>
      <c r="L26">
        <v>0</v>
      </c>
    </row>
    <row r="27" spans="1:12" x14ac:dyDescent="0.35">
      <c r="A27" s="120">
        <v>21976</v>
      </c>
      <c r="L27">
        <v>0</v>
      </c>
    </row>
    <row r="28" spans="1:12" x14ac:dyDescent="0.35">
      <c r="A28" s="120">
        <v>22007</v>
      </c>
      <c r="L28">
        <v>0</v>
      </c>
    </row>
    <row r="29" spans="1:12" x14ac:dyDescent="0.35">
      <c r="A29" s="120">
        <v>22037</v>
      </c>
      <c r="L29">
        <v>0</v>
      </c>
    </row>
    <row r="30" spans="1:12" x14ac:dyDescent="0.35">
      <c r="A30" s="120">
        <v>22068</v>
      </c>
      <c r="L30">
        <v>0</v>
      </c>
    </row>
    <row r="31" spans="1:12" x14ac:dyDescent="0.35">
      <c r="A31" s="120">
        <v>22098</v>
      </c>
      <c r="L31">
        <v>0</v>
      </c>
    </row>
    <row r="32" spans="1:12" x14ac:dyDescent="0.35">
      <c r="A32" s="120">
        <v>22129</v>
      </c>
      <c r="L32">
        <v>0</v>
      </c>
    </row>
    <row r="33" spans="1:12" x14ac:dyDescent="0.35">
      <c r="A33" s="120">
        <v>22160</v>
      </c>
      <c r="L33">
        <v>0</v>
      </c>
    </row>
    <row r="34" spans="1:12" x14ac:dyDescent="0.35">
      <c r="A34" s="120">
        <v>22190</v>
      </c>
      <c r="L34">
        <v>0</v>
      </c>
    </row>
    <row r="35" spans="1:12" x14ac:dyDescent="0.35">
      <c r="A35" s="120">
        <v>22221</v>
      </c>
      <c r="L35">
        <v>0</v>
      </c>
    </row>
    <row r="36" spans="1:12" x14ac:dyDescent="0.35">
      <c r="A36" s="120">
        <v>22251</v>
      </c>
      <c r="L36">
        <v>0</v>
      </c>
    </row>
    <row r="37" spans="1:12" x14ac:dyDescent="0.35">
      <c r="A37" s="120">
        <v>22282</v>
      </c>
      <c r="L37">
        <v>0</v>
      </c>
    </row>
    <row r="38" spans="1:12" x14ac:dyDescent="0.35">
      <c r="A38" s="120">
        <v>22313</v>
      </c>
      <c r="L38">
        <v>0</v>
      </c>
    </row>
    <row r="39" spans="1:12" x14ac:dyDescent="0.35">
      <c r="A39" s="120">
        <v>22341</v>
      </c>
      <c r="L39">
        <v>0</v>
      </c>
    </row>
    <row r="40" spans="1:12" x14ac:dyDescent="0.35">
      <c r="A40" s="120">
        <v>22372</v>
      </c>
      <c r="L40">
        <v>0</v>
      </c>
    </row>
    <row r="41" spans="1:12" x14ac:dyDescent="0.35">
      <c r="A41" s="120">
        <v>22402</v>
      </c>
      <c r="L41">
        <v>0</v>
      </c>
    </row>
    <row r="42" spans="1:12" x14ac:dyDescent="0.35">
      <c r="A42" s="120">
        <v>22433</v>
      </c>
      <c r="L42">
        <v>0</v>
      </c>
    </row>
    <row r="43" spans="1:12" x14ac:dyDescent="0.35">
      <c r="A43" s="120">
        <v>22463</v>
      </c>
      <c r="L43">
        <v>0</v>
      </c>
    </row>
    <row r="44" spans="1:12" x14ac:dyDescent="0.35">
      <c r="A44" s="120">
        <v>22494</v>
      </c>
      <c r="L44">
        <v>0</v>
      </c>
    </row>
    <row r="45" spans="1:12" x14ac:dyDescent="0.35">
      <c r="A45" s="120">
        <v>22525</v>
      </c>
      <c r="L45">
        <v>0</v>
      </c>
    </row>
    <row r="46" spans="1:12" x14ac:dyDescent="0.35">
      <c r="A46" s="120">
        <v>22555</v>
      </c>
      <c r="L46">
        <v>0</v>
      </c>
    </row>
    <row r="47" spans="1:12" x14ac:dyDescent="0.35">
      <c r="A47" s="120">
        <v>22586</v>
      </c>
      <c r="L47">
        <v>0</v>
      </c>
    </row>
    <row r="48" spans="1:12" x14ac:dyDescent="0.35">
      <c r="A48" s="120">
        <v>22616</v>
      </c>
      <c r="L48">
        <v>0</v>
      </c>
    </row>
    <row r="49" spans="1:12" x14ac:dyDescent="0.35">
      <c r="A49" s="120">
        <v>22647</v>
      </c>
      <c r="L49">
        <v>0</v>
      </c>
    </row>
    <row r="50" spans="1:12" x14ac:dyDescent="0.35">
      <c r="A50" s="120">
        <v>22678</v>
      </c>
      <c r="L50">
        <v>0</v>
      </c>
    </row>
    <row r="51" spans="1:12" x14ac:dyDescent="0.35">
      <c r="A51" s="120">
        <v>22706</v>
      </c>
      <c r="L51">
        <v>0</v>
      </c>
    </row>
    <row r="52" spans="1:12" x14ac:dyDescent="0.35">
      <c r="A52" s="120">
        <v>22737</v>
      </c>
      <c r="L52">
        <v>0</v>
      </c>
    </row>
    <row r="53" spans="1:12" x14ac:dyDescent="0.35">
      <c r="A53" s="120">
        <v>22767</v>
      </c>
      <c r="L53">
        <v>0</v>
      </c>
    </row>
    <row r="54" spans="1:12" x14ac:dyDescent="0.35">
      <c r="A54" s="120">
        <v>22798</v>
      </c>
      <c r="L54">
        <v>0</v>
      </c>
    </row>
    <row r="55" spans="1:12" x14ac:dyDescent="0.35">
      <c r="A55" s="120">
        <v>22828</v>
      </c>
      <c r="L55">
        <v>0</v>
      </c>
    </row>
    <row r="56" spans="1:12" x14ac:dyDescent="0.35">
      <c r="A56" s="120">
        <v>22859</v>
      </c>
      <c r="L56">
        <v>0</v>
      </c>
    </row>
    <row r="57" spans="1:12" x14ac:dyDescent="0.35">
      <c r="A57" s="120">
        <v>22890</v>
      </c>
      <c r="L57">
        <v>0</v>
      </c>
    </row>
    <row r="58" spans="1:12" x14ac:dyDescent="0.35">
      <c r="A58" s="120">
        <v>22920</v>
      </c>
      <c r="L58">
        <v>0</v>
      </c>
    </row>
    <row r="59" spans="1:12" x14ac:dyDescent="0.35">
      <c r="A59" s="120">
        <v>22951</v>
      </c>
      <c r="L59">
        <v>0</v>
      </c>
    </row>
    <row r="60" spans="1:12" x14ac:dyDescent="0.35">
      <c r="A60" s="120">
        <v>22981</v>
      </c>
      <c r="L60">
        <v>0</v>
      </c>
    </row>
    <row r="61" spans="1:12" x14ac:dyDescent="0.35">
      <c r="A61" s="120">
        <v>23012</v>
      </c>
      <c r="L61">
        <v>0</v>
      </c>
    </row>
    <row r="62" spans="1:12" x14ac:dyDescent="0.35">
      <c r="A62" s="120">
        <v>23043</v>
      </c>
      <c r="L62">
        <v>0</v>
      </c>
    </row>
    <row r="63" spans="1:12" x14ac:dyDescent="0.35">
      <c r="A63" s="120">
        <v>23071</v>
      </c>
      <c r="L63">
        <v>0</v>
      </c>
    </row>
    <row r="64" spans="1:12" x14ac:dyDescent="0.35">
      <c r="A64" s="120">
        <v>23102</v>
      </c>
      <c r="L64">
        <v>0</v>
      </c>
    </row>
    <row r="65" spans="1:12" x14ac:dyDescent="0.35">
      <c r="A65" s="120">
        <v>23132</v>
      </c>
      <c r="L65">
        <v>0</v>
      </c>
    </row>
    <row r="66" spans="1:12" x14ac:dyDescent="0.35">
      <c r="A66" s="120">
        <v>23163</v>
      </c>
      <c r="L66">
        <v>0</v>
      </c>
    </row>
    <row r="67" spans="1:12" x14ac:dyDescent="0.35">
      <c r="A67" s="120">
        <v>23193</v>
      </c>
      <c r="L67">
        <v>0</v>
      </c>
    </row>
    <row r="68" spans="1:12" x14ac:dyDescent="0.35">
      <c r="A68" s="120">
        <v>23224</v>
      </c>
      <c r="L68">
        <v>0</v>
      </c>
    </row>
    <row r="69" spans="1:12" x14ac:dyDescent="0.35">
      <c r="A69" s="120">
        <v>23255</v>
      </c>
      <c r="L69">
        <v>0</v>
      </c>
    </row>
    <row r="70" spans="1:12" x14ac:dyDescent="0.35">
      <c r="A70" s="120">
        <v>23285</v>
      </c>
      <c r="L70">
        <v>0</v>
      </c>
    </row>
    <row r="71" spans="1:12" x14ac:dyDescent="0.35">
      <c r="A71" s="120">
        <v>23316</v>
      </c>
      <c r="L71">
        <v>0</v>
      </c>
    </row>
    <row r="72" spans="1:12" x14ac:dyDescent="0.35">
      <c r="A72" s="120">
        <v>23346</v>
      </c>
      <c r="L72">
        <v>0</v>
      </c>
    </row>
    <row r="73" spans="1:12" x14ac:dyDescent="0.35">
      <c r="A73" s="120">
        <v>23377</v>
      </c>
      <c r="L73">
        <v>0</v>
      </c>
    </row>
    <row r="74" spans="1:12" x14ac:dyDescent="0.35">
      <c r="A74" s="120">
        <v>23408</v>
      </c>
      <c r="L74">
        <v>0</v>
      </c>
    </row>
    <row r="75" spans="1:12" x14ac:dyDescent="0.35">
      <c r="A75" s="120">
        <v>23437</v>
      </c>
      <c r="L75">
        <v>0</v>
      </c>
    </row>
    <row r="76" spans="1:12" x14ac:dyDescent="0.35">
      <c r="A76" s="120">
        <v>23468</v>
      </c>
      <c r="L76">
        <v>0</v>
      </c>
    </row>
    <row r="77" spans="1:12" x14ac:dyDescent="0.35">
      <c r="A77" s="120">
        <v>23498</v>
      </c>
      <c r="L77">
        <v>0</v>
      </c>
    </row>
    <row r="78" spans="1:12" x14ac:dyDescent="0.35">
      <c r="A78" s="120">
        <v>23529</v>
      </c>
      <c r="L78">
        <v>0</v>
      </c>
    </row>
    <row r="79" spans="1:12" x14ac:dyDescent="0.35">
      <c r="A79" s="120">
        <v>23559</v>
      </c>
      <c r="L79">
        <v>0</v>
      </c>
    </row>
    <row r="80" spans="1:12" x14ac:dyDescent="0.35">
      <c r="A80" s="120">
        <v>23590</v>
      </c>
      <c r="L80">
        <v>0</v>
      </c>
    </row>
    <row r="81" spans="1:12" x14ac:dyDescent="0.35">
      <c r="A81" s="120">
        <v>23621</v>
      </c>
      <c r="L81">
        <v>0</v>
      </c>
    </row>
    <row r="82" spans="1:12" x14ac:dyDescent="0.35">
      <c r="A82" s="120">
        <v>23651</v>
      </c>
      <c r="L82">
        <v>0</v>
      </c>
    </row>
    <row r="83" spans="1:12" x14ac:dyDescent="0.35">
      <c r="A83" s="120">
        <v>23682</v>
      </c>
      <c r="L83">
        <v>0</v>
      </c>
    </row>
    <row r="84" spans="1:12" x14ac:dyDescent="0.35">
      <c r="A84" s="120">
        <v>23712</v>
      </c>
      <c r="L84">
        <v>0</v>
      </c>
    </row>
    <row r="85" spans="1:12" x14ac:dyDescent="0.35">
      <c r="A85" s="120">
        <v>23743</v>
      </c>
      <c r="L85">
        <v>0</v>
      </c>
    </row>
    <row r="86" spans="1:12" x14ac:dyDescent="0.35">
      <c r="A86" s="120">
        <v>23774</v>
      </c>
      <c r="L86">
        <v>0</v>
      </c>
    </row>
    <row r="87" spans="1:12" x14ac:dyDescent="0.35">
      <c r="A87" s="120">
        <v>23802</v>
      </c>
      <c r="L87">
        <v>0</v>
      </c>
    </row>
    <row r="88" spans="1:12" x14ac:dyDescent="0.35">
      <c r="A88" s="120">
        <v>23833</v>
      </c>
      <c r="L88">
        <v>0</v>
      </c>
    </row>
    <row r="89" spans="1:12" x14ac:dyDescent="0.35">
      <c r="A89" s="120">
        <v>23863</v>
      </c>
      <c r="L89">
        <v>0</v>
      </c>
    </row>
    <row r="90" spans="1:12" x14ac:dyDescent="0.35">
      <c r="A90" s="120">
        <v>23894</v>
      </c>
      <c r="L90">
        <v>0</v>
      </c>
    </row>
    <row r="91" spans="1:12" x14ac:dyDescent="0.35">
      <c r="A91" s="120">
        <v>23924</v>
      </c>
      <c r="L91">
        <v>0</v>
      </c>
    </row>
    <row r="92" spans="1:12" x14ac:dyDescent="0.35">
      <c r="A92" s="120">
        <v>23955</v>
      </c>
      <c r="L92">
        <v>0</v>
      </c>
    </row>
    <row r="93" spans="1:12" x14ac:dyDescent="0.35">
      <c r="A93" s="120">
        <v>23986</v>
      </c>
      <c r="L93">
        <v>0</v>
      </c>
    </row>
    <row r="94" spans="1:12" x14ac:dyDescent="0.35">
      <c r="A94" s="120">
        <v>24016</v>
      </c>
      <c r="L94">
        <v>0</v>
      </c>
    </row>
    <row r="95" spans="1:12" x14ac:dyDescent="0.35">
      <c r="A95" s="120">
        <v>24047</v>
      </c>
      <c r="L95">
        <v>0</v>
      </c>
    </row>
    <row r="96" spans="1:12" x14ac:dyDescent="0.35">
      <c r="A96" s="120">
        <v>24077</v>
      </c>
      <c r="L96">
        <v>0</v>
      </c>
    </row>
    <row r="97" spans="1:12" x14ac:dyDescent="0.35">
      <c r="A97" s="120">
        <v>24108</v>
      </c>
      <c r="L97">
        <v>0</v>
      </c>
    </row>
    <row r="98" spans="1:12" x14ac:dyDescent="0.35">
      <c r="A98" s="120">
        <v>24139</v>
      </c>
      <c r="L98">
        <v>0</v>
      </c>
    </row>
    <row r="99" spans="1:12" x14ac:dyDescent="0.35">
      <c r="A99" s="120">
        <v>24167</v>
      </c>
      <c r="L99">
        <v>0</v>
      </c>
    </row>
    <row r="100" spans="1:12" x14ac:dyDescent="0.35">
      <c r="A100" s="120">
        <v>24198</v>
      </c>
      <c r="L100">
        <v>0</v>
      </c>
    </row>
    <row r="101" spans="1:12" x14ac:dyDescent="0.35">
      <c r="A101" s="120">
        <v>24228</v>
      </c>
      <c r="L101">
        <v>0</v>
      </c>
    </row>
    <row r="102" spans="1:12" x14ac:dyDescent="0.35">
      <c r="A102" s="120">
        <v>24259</v>
      </c>
      <c r="L102">
        <v>0</v>
      </c>
    </row>
    <row r="103" spans="1:12" x14ac:dyDescent="0.35">
      <c r="A103" s="120">
        <v>24289</v>
      </c>
      <c r="L103">
        <v>0</v>
      </c>
    </row>
    <row r="104" spans="1:12" x14ac:dyDescent="0.35">
      <c r="A104" s="120">
        <v>24320</v>
      </c>
      <c r="L104">
        <v>0</v>
      </c>
    </row>
    <row r="105" spans="1:12" x14ac:dyDescent="0.35">
      <c r="A105" s="120">
        <v>24351</v>
      </c>
      <c r="L105">
        <v>0</v>
      </c>
    </row>
    <row r="106" spans="1:12" x14ac:dyDescent="0.35">
      <c r="A106" s="120">
        <v>24381</v>
      </c>
      <c r="L106">
        <v>0</v>
      </c>
    </row>
    <row r="107" spans="1:12" x14ac:dyDescent="0.35">
      <c r="A107" s="120">
        <v>24412</v>
      </c>
      <c r="L107">
        <v>0</v>
      </c>
    </row>
    <row r="108" spans="1:12" x14ac:dyDescent="0.35">
      <c r="A108" s="120">
        <v>24442</v>
      </c>
      <c r="L108">
        <v>0</v>
      </c>
    </row>
    <row r="109" spans="1:12" x14ac:dyDescent="0.35">
      <c r="A109" s="120">
        <v>24473</v>
      </c>
      <c r="L109">
        <v>0</v>
      </c>
    </row>
    <row r="110" spans="1:12" x14ac:dyDescent="0.35">
      <c r="A110" s="120">
        <v>24504</v>
      </c>
      <c r="L110">
        <v>0</v>
      </c>
    </row>
    <row r="111" spans="1:12" x14ac:dyDescent="0.35">
      <c r="A111" s="120">
        <v>24532</v>
      </c>
      <c r="L111">
        <v>0</v>
      </c>
    </row>
    <row r="112" spans="1:12" x14ac:dyDescent="0.35">
      <c r="A112" s="120">
        <v>24563</v>
      </c>
      <c r="L112">
        <v>0</v>
      </c>
    </row>
    <row r="113" spans="1:13" x14ac:dyDescent="0.35">
      <c r="A113" s="120">
        <v>24593</v>
      </c>
      <c r="L113">
        <v>0</v>
      </c>
    </row>
    <row r="114" spans="1:13" x14ac:dyDescent="0.35">
      <c r="A114" s="120">
        <v>24624</v>
      </c>
      <c r="L114">
        <v>0</v>
      </c>
    </row>
    <row r="115" spans="1:13" x14ac:dyDescent="0.35">
      <c r="A115" s="120">
        <v>24654</v>
      </c>
      <c r="L115">
        <v>0</v>
      </c>
    </row>
    <row r="116" spans="1:13" x14ac:dyDescent="0.35">
      <c r="A116" s="120">
        <v>24685</v>
      </c>
      <c r="L116">
        <v>0</v>
      </c>
    </row>
    <row r="117" spans="1:13" x14ac:dyDescent="0.35">
      <c r="A117" s="120">
        <v>24716</v>
      </c>
      <c r="L117">
        <v>0</v>
      </c>
    </row>
    <row r="118" spans="1:13" x14ac:dyDescent="0.35">
      <c r="A118" s="120">
        <v>24746</v>
      </c>
      <c r="L118">
        <v>0</v>
      </c>
    </row>
    <row r="119" spans="1:13" x14ac:dyDescent="0.35">
      <c r="A119" s="120">
        <v>24777</v>
      </c>
      <c r="L119">
        <v>0</v>
      </c>
    </row>
    <row r="120" spans="1:13" x14ac:dyDescent="0.35">
      <c r="A120" s="120">
        <v>24807</v>
      </c>
      <c r="L120">
        <v>0</v>
      </c>
    </row>
    <row r="121" spans="1:13" x14ac:dyDescent="0.35">
      <c r="A121" s="120">
        <v>24838</v>
      </c>
      <c r="L121">
        <v>0</v>
      </c>
    </row>
    <row r="122" spans="1:13" x14ac:dyDescent="0.35">
      <c r="A122" s="120">
        <v>24869</v>
      </c>
      <c r="L122">
        <v>0</v>
      </c>
      <c r="M122">
        <v>0</v>
      </c>
    </row>
    <row r="123" spans="1:13" x14ac:dyDescent="0.35">
      <c r="A123" s="120">
        <v>24898</v>
      </c>
      <c r="L123">
        <v>0</v>
      </c>
      <c r="M123">
        <v>0</v>
      </c>
    </row>
    <row r="124" spans="1:13" x14ac:dyDescent="0.35">
      <c r="A124" s="120">
        <v>24929</v>
      </c>
      <c r="L124">
        <v>0</v>
      </c>
      <c r="M124">
        <v>0</v>
      </c>
    </row>
    <row r="125" spans="1:13" x14ac:dyDescent="0.35">
      <c r="A125" s="120">
        <v>24959</v>
      </c>
      <c r="L125">
        <v>0</v>
      </c>
      <c r="M125">
        <v>0</v>
      </c>
    </row>
    <row r="126" spans="1:13" x14ac:dyDescent="0.35">
      <c r="A126" s="120">
        <v>24990</v>
      </c>
      <c r="L126">
        <v>0</v>
      </c>
      <c r="M126">
        <v>0</v>
      </c>
    </row>
    <row r="127" spans="1:13" x14ac:dyDescent="0.35">
      <c r="A127" s="120">
        <v>25020</v>
      </c>
      <c r="L127">
        <v>0</v>
      </c>
      <c r="M127">
        <v>0</v>
      </c>
    </row>
    <row r="128" spans="1:13" x14ac:dyDescent="0.35">
      <c r="A128" s="120">
        <v>25051</v>
      </c>
      <c r="L128">
        <v>0</v>
      </c>
      <c r="M128">
        <v>0</v>
      </c>
    </row>
    <row r="129" spans="1:13" x14ac:dyDescent="0.35">
      <c r="A129" s="120">
        <v>25082</v>
      </c>
      <c r="L129">
        <v>0</v>
      </c>
      <c r="M129">
        <v>0</v>
      </c>
    </row>
    <row r="130" spans="1:13" x14ac:dyDescent="0.35">
      <c r="A130" s="120">
        <v>25112</v>
      </c>
      <c r="L130">
        <v>0</v>
      </c>
      <c r="M130">
        <v>0</v>
      </c>
    </row>
    <row r="131" spans="1:13" x14ac:dyDescent="0.35">
      <c r="A131" s="120">
        <v>25143</v>
      </c>
      <c r="L131">
        <v>0</v>
      </c>
      <c r="M131">
        <v>0</v>
      </c>
    </row>
    <row r="132" spans="1:13" x14ac:dyDescent="0.35">
      <c r="A132" s="120">
        <v>25173</v>
      </c>
      <c r="L132">
        <v>0</v>
      </c>
      <c r="M132">
        <v>0</v>
      </c>
    </row>
    <row r="133" spans="1:13" x14ac:dyDescent="0.35">
      <c r="A133" s="120">
        <v>25204</v>
      </c>
      <c r="L133">
        <v>0</v>
      </c>
      <c r="M133">
        <v>0</v>
      </c>
    </row>
    <row r="134" spans="1:13" x14ac:dyDescent="0.35">
      <c r="A134" s="120">
        <v>25235</v>
      </c>
      <c r="L134">
        <v>0</v>
      </c>
      <c r="M134">
        <v>0</v>
      </c>
    </row>
    <row r="135" spans="1:13" x14ac:dyDescent="0.35">
      <c r="A135" s="120">
        <v>25263</v>
      </c>
      <c r="L135">
        <v>0</v>
      </c>
      <c r="M135">
        <v>0</v>
      </c>
    </row>
    <row r="136" spans="1:13" x14ac:dyDescent="0.35">
      <c r="A136" s="120">
        <v>25294</v>
      </c>
      <c r="L136">
        <v>0</v>
      </c>
      <c r="M136">
        <v>0</v>
      </c>
    </row>
    <row r="137" spans="1:13" x14ac:dyDescent="0.35">
      <c r="A137" s="120">
        <v>25324</v>
      </c>
      <c r="L137">
        <v>0</v>
      </c>
      <c r="M137">
        <v>0</v>
      </c>
    </row>
    <row r="138" spans="1:13" x14ac:dyDescent="0.35">
      <c r="A138" s="120">
        <v>25355</v>
      </c>
      <c r="L138">
        <v>0</v>
      </c>
      <c r="M138">
        <v>0</v>
      </c>
    </row>
    <row r="139" spans="1:13" x14ac:dyDescent="0.35">
      <c r="A139" s="120">
        <v>25385</v>
      </c>
      <c r="L139">
        <v>0</v>
      </c>
      <c r="M139">
        <v>0</v>
      </c>
    </row>
    <row r="140" spans="1:13" x14ac:dyDescent="0.35">
      <c r="A140" s="120">
        <v>25416</v>
      </c>
      <c r="L140">
        <v>0</v>
      </c>
      <c r="M140">
        <v>0</v>
      </c>
    </row>
    <row r="141" spans="1:13" x14ac:dyDescent="0.35">
      <c r="A141" s="120">
        <v>25447</v>
      </c>
      <c r="L141">
        <v>0</v>
      </c>
      <c r="M141">
        <v>0</v>
      </c>
    </row>
    <row r="142" spans="1:13" x14ac:dyDescent="0.35">
      <c r="A142" s="120">
        <v>25477</v>
      </c>
      <c r="L142">
        <v>0</v>
      </c>
      <c r="M142">
        <v>0</v>
      </c>
    </row>
    <row r="143" spans="1:13" x14ac:dyDescent="0.35">
      <c r="A143" s="120">
        <v>25508</v>
      </c>
      <c r="L143">
        <v>0</v>
      </c>
      <c r="M143">
        <v>0</v>
      </c>
    </row>
    <row r="144" spans="1:13" x14ac:dyDescent="0.35">
      <c r="A144" s="120">
        <v>25538</v>
      </c>
      <c r="L144">
        <v>0</v>
      </c>
      <c r="M144">
        <v>0</v>
      </c>
    </row>
    <row r="145" spans="1:13" x14ac:dyDescent="0.35">
      <c r="A145" s="120">
        <v>25569</v>
      </c>
      <c r="L145">
        <v>0</v>
      </c>
      <c r="M145">
        <v>0</v>
      </c>
    </row>
    <row r="146" spans="1:13" x14ac:dyDescent="0.35">
      <c r="A146" s="120">
        <v>25600</v>
      </c>
      <c r="L146">
        <v>0</v>
      </c>
      <c r="M146">
        <v>0</v>
      </c>
    </row>
    <row r="147" spans="1:13" x14ac:dyDescent="0.35">
      <c r="A147" s="120">
        <v>25628</v>
      </c>
      <c r="L147">
        <v>0</v>
      </c>
      <c r="M147">
        <v>0</v>
      </c>
    </row>
    <row r="148" spans="1:13" x14ac:dyDescent="0.35">
      <c r="A148" s="120">
        <v>25659</v>
      </c>
      <c r="L148">
        <v>0</v>
      </c>
      <c r="M148">
        <v>0</v>
      </c>
    </row>
    <row r="149" spans="1:13" x14ac:dyDescent="0.35">
      <c r="A149" s="120">
        <v>25689</v>
      </c>
      <c r="L149">
        <v>0</v>
      </c>
      <c r="M149">
        <v>0</v>
      </c>
    </row>
    <row r="150" spans="1:13" x14ac:dyDescent="0.35">
      <c r="A150" s="120">
        <v>25720</v>
      </c>
      <c r="L150">
        <v>0</v>
      </c>
      <c r="M150">
        <v>0</v>
      </c>
    </row>
    <row r="151" spans="1:13" x14ac:dyDescent="0.35">
      <c r="A151" s="120">
        <v>25750</v>
      </c>
      <c r="L151">
        <v>0</v>
      </c>
      <c r="M151">
        <v>0</v>
      </c>
    </row>
    <row r="152" spans="1:13" x14ac:dyDescent="0.35">
      <c r="A152" s="120">
        <v>25781</v>
      </c>
      <c r="L152">
        <v>0</v>
      </c>
      <c r="M152">
        <v>0</v>
      </c>
    </row>
    <row r="153" spans="1:13" x14ac:dyDescent="0.35">
      <c r="A153" s="120">
        <v>25812</v>
      </c>
      <c r="L153">
        <v>0</v>
      </c>
      <c r="M153">
        <v>0</v>
      </c>
    </row>
    <row r="154" spans="1:13" x14ac:dyDescent="0.35">
      <c r="A154" s="120">
        <v>25842</v>
      </c>
      <c r="L154">
        <v>0</v>
      </c>
      <c r="M154">
        <v>0</v>
      </c>
    </row>
    <row r="155" spans="1:13" x14ac:dyDescent="0.35">
      <c r="A155" s="120">
        <v>25873</v>
      </c>
      <c r="L155">
        <v>0</v>
      </c>
      <c r="M155">
        <v>0</v>
      </c>
    </row>
    <row r="156" spans="1:13" x14ac:dyDescent="0.35">
      <c r="A156" s="120">
        <v>25903</v>
      </c>
      <c r="L156">
        <v>0</v>
      </c>
      <c r="M156">
        <v>0</v>
      </c>
    </row>
    <row r="157" spans="1:13" x14ac:dyDescent="0.35">
      <c r="A157" s="120">
        <v>25934</v>
      </c>
      <c r="L157">
        <v>0</v>
      </c>
      <c r="M157">
        <v>0</v>
      </c>
    </row>
    <row r="158" spans="1:13" x14ac:dyDescent="0.35">
      <c r="A158" s="120">
        <v>25965</v>
      </c>
      <c r="L158">
        <v>0</v>
      </c>
      <c r="M158">
        <v>0</v>
      </c>
    </row>
    <row r="159" spans="1:13" x14ac:dyDescent="0.35">
      <c r="A159" s="120">
        <v>25993</v>
      </c>
      <c r="L159">
        <v>0</v>
      </c>
      <c r="M159">
        <v>0</v>
      </c>
    </row>
    <row r="160" spans="1:13" x14ac:dyDescent="0.35">
      <c r="A160" s="120">
        <v>26024</v>
      </c>
      <c r="L160">
        <v>0</v>
      </c>
      <c r="M160">
        <v>0</v>
      </c>
    </row>
    <row r="161" spans="1:13" x14ac:dyDescent="0.35">
      <c r="A161" s="120">
        <v>26054</v>
      </c>
      <c r="L161">
        <v>0</v>
      </c>
      <c r="M161">
        <v>0</v>
      </c>
    </row>
    <row r="162" spans="1:13" x14ac:dyDescent="0.35">
      <c r="A162" s="120">
        <v>26085</v>
      </c>
      <c r="L162">
        <v>0</v>
      </c>
      <c r="M162">
        <v>0</v>
      </c>
    </row>
    <row r="163" spans="1:13" x14ac:dyDescent="0.35">
      <c r="A163" s="120">
        <v>26115</v>
      </c>
      <c r="L163">
        <v>0</v>
      </c>
      <c r="M163">
        <v>0</v>
      </c>
    </row>
    <row r="164" spans="1:13" x14ac:dyDescent="0.35">
      <c r="A164" s="120">
        <v>26146</v>
      </c>
      <c r="L164">
        <v>0</v>
      </c>
      <c r="M164">
        <v>0</v>
      </c>
    </row>
    <row r="165" spans="1:13" x14ac:dyDescent="0.35">
      <c r="A165" s="120">
        <v>26177</v>
      </c>
      <c r="L165">
        <v>0</v>
      </c>
      <c r="M165">
        <v>0</v>
      </c>
    </row>
    <row r="166" spans="1:13" x14ac:dyDescent="0.35">
      <c r="A166" s="120">
        <v>26207</v>
      </c>
      <c r="L166">
        <v>0</v>
      </c>
      <c r="M166">
        <v>0</v>
      </c>
    </row>
    <row r="167" spans="1:13" x14ac:dyDescent="0.35">
      <c r="A167" s="120">
        <v>26238</v>
      </c>
      <c r="L167">
        <v>0</v>
      </c>
      <c r="M167">
        <v>0</v>
      </c>
    </row>
    <row r="168" spans="1:13" x14ac:dyDescent="0.35">
      <c r="A168" s="120">
        <v>26268</v>
      </c>
      <c r="L168">
        <v>0</v>
      </c>
      <c r="M168">
        <v>0</v>
      </c>
    </row>
    <row r="169" spans="1:13" x14ac:dyDescent="0.35">
      <c r="A169" s="120">
        <v>26299</v>
      </c>
      <c r="L169">
        <v>0</v>
      </c>
      <c r="M169">
        <v>0</v>
      </c>
    </row>
    <row r="170" spans="1:13" x14ac:dyDescent="0.35">
      <c r="A170" s="120">
        <v>26330</v>
      </c>
      <c r="L170">
        <v>0</v>
      </c>
      <c r="M170">
        <v>0</v>
      </c>
    </row>
    <row r="171" spans="1:13" x14ac:dyDescent="0.35">
      <c r="A171" s="120">
        <v>26359</v>
      </c>
      <c r="L171">
        <v>0</v>
      </c>
      <c r="M171">
        <v>0</v>
      </c>
    </row>
    <row r="172" spans="1:13" x14ac:dyDescent="0.35">
      <c r="A172" s="120">
        <v>26390</v>
      </c>
      <c r="L172">
        <v>0</v>
      </c>
      <c r="M172">
        <v>0</v>
      </c>
    </row>
    <row r="173" spans="1:13" x14ac:dyDescent="0.35">
      <c r="A173" s="120">
        <v>26420</v>
      </c>
      <c r="L173">
        <v>0</v>
      </c>
      <c r="M173">
        <v>0</v>
      </c>
    </row>
    <row r="174" spans="1:13" x14ac:dyDescent="0.35">
      <c r="A174" s="120">
        <v>26451</v>
      </c>
      <c r="L174">
        <v>0</v>
      </c>
      <c r="M174">
        <v>0</v>
      </c>
    </row>
    <row r="175" spans="1:13" x14ac:dyDescent="0.35">
      <c r="A175" s="120">
        <v>26481</v>
      </c>
      <c r="L175">
        <v>0</v>
      </c>
      <c r="M175">
        <v>0</v>
      </c>
    </row>
    <row r="176" spans="1:13" x14ac:dyDescent="0.35">
      <c r="A176" s="120">
        <v>26512</v>
      </c>
      <c r="L176">
        <v>0</v>
      </c>
      <c r="M176">
        <v>0</v>
      </c>
    </row>
    <row r="177" spans="1:13" x14ac:dyDescent="0.35">
      <c r="A177" s="120">
        <v>26543</v>
      </c>
      <c r="L177">
        <v>0</v>
      </c>
      <c r="M177">
        <v>0</v>
      </c>
    </row>
    <row r="178" spans="1:13" x14ac:dyDescent="0.35">
      <c r="A178" s="120">
        <v>26573</v>
      </c>
      <c r="L178">
        <v>0</v>
      </c>
      <c r="M178">
        <v>0</v>
      </c>
    </row>
    <row r="179" spans="1:13" x14ac:dyDescent="0.35">
      <c r="A179" s="120">
        <v>26604</v>
      </c>
      <c r="L179">
        <v>0</v>
      </c>
      <c r="M179">
        <v>0</v>
      </c>
    </row>
    <row r="180" spans="1:13" x14ac:dyDescent="0.35">
      <c r="A180" s="120">
        <v>26634</v>
      </c>
      <c r="L180">
        <v>0</v>
      </c>
      <c r="M180">
        <v>0</v>
      </c>
    </row>
    <row r="181" spans="1:13" x14ac:dyDescent="0.35">
      <c r="A181" s="120">
        <v>26665</v>
      </c>
      <c r="L181">
        <v>0</v>
      </c>
      <c r="M181">
        <v>0</v>
      </c>
    </row>
    <row r="182" spans="1:13" x14ac:dyDescent="0.35">
      <c r="A182" s="120">
        <v>26696</v>
      </c>
      <c r="L182">
        <v>0</v>
      </c>
      <c r="M182">
        <v>0</v>
      </c>
    </row>
    <row r="183" spans="1:13" x14ac:dyDescent="0.35">
      <c r="A183" s="120">
        <v>26724</v>
      </c>
      <c r="L183">
        <v>0</v>
      </c>
      <c r="M183">
        <v>0</v>
      </c>
    </row>
    <row r="184" spans="1:13" x14ac:dyDescent="0.35">
      <c r="A184" s="120">
        <v>26755</v>
      </c>
      <c r="L184">
        <v>0</v>
      </c>
      <c r="M184">
        <v>0</v>
      </c>
    </row>
    <row r="185" spans="1:13" x14ac:dyDescent="0.35">
      <c r="A185" s="120">
        <v>26785</v>
      </c>
      <c r="L185">
        <v>0</v>
      </c>
      <c r="M185">
        <v>0</v>
      </c>
    </row>
    <row r="186" spans="1:13" x14ac:dyDescent="0.35">
      <c r="A186" s="120">
        <v>26816</v>
      </c>
      <c r="L186">
        <v>0</v>
      </c>
      <c r="M186">
        <v>0</v>
      </c>
    </row>
    <row r="187" spans="1:13" x14ac:dyDescent="0.35">
      <c r="A187" s="120">
        <v>26846</v>
      </c>
      <c r="L187">
        <v>0</v>
      </c>
      <c r="M187">
        <v>0</v>
      </c>
    </row>
    <row r="188" spans="1:13" x14ac:dyDescent="0.35">
      <c r="A188" s="120">
        <v>26877</v>
      </c>
      <c r="L188">
        <v>0</v>
      </c>
      <c r="M188">
        <v>0</v>
      </c>
    </row>
    <row r="189" spans="1:13" x14ac:dyDescent="0.35">
      <c r="A189" s="120">
        <v>26908</v>
      </c>
      <c r="L189">
        <v>0</v>
      </c>
      <c r="M189">
        <v>0</v>
      </c>
    </row>
    <row r="190" spans="1:13" x14ac:dyDescent="0.35">
      <c r="A190" s="120">
        <v>26938</v>
      </c>
      <c r="L190">
        <v>0</v>
      </c>
      <c r="M190">
        <v>0</v>
      </c>
    </row>
    <row r="191" spans="1:13" x14ac:dyDescent="0.35">
      <c r="A191" s="120">
        <v>26969</v>
      </c>
      <c r="L191">
        <v>0</v>
      </c>
      <c r="M191">
        <v>0</v>
      </c>
    </row>
    <row r="192" spans="1:13" x14ac:dyDescent="0.35">
      <c r="A192" s="120">
        <v>26999</v>
      </c>
      <c r="L192">
        <v>0</v>
      </c>
      <c r="M192">
        <v>0</v>
      </c>
    </row>
    <row r="193" spans="1:13" x14ac:dyDescent="0.35">
      <c r="A193" s="120">
        <v>27030</v>
      </c>
      <c r="L193">
        <v>0</v>
      </c>
      <c r="M193">
        <v>0</v>
      </c>
    </row>
    <row r="194" spans="1:13" x14ac:dyDescent="0.35">
      <c r="A194" s="120">
        <v>27061</v>
      </c>
      <c r="L194">
        <v>0</v>
      </c>
      <c r="M194">
        <v>0</v>
      </c>
    </row>
    <row r="195" spans="1:13" x14ac:dyDescent="0.35">
      <c r="A195" s="120">
        <v>27089</v>
      </c>
      <c r="L195">
        <v>0</v>
      </c>
      <c r="M195">
        <v>0</v>
      </c>
    </row>
    <row r="196" spans="1:13" x14ac:dyDescent="0.35">
      <c r="A196" s="120">
        <v>27120</v>
      </c>
      <c r="L196">
        <v>0</v>
      </c>
      <c r="M196">
        <v>0</v>
      </c>
    </row>
    <row r="197" spans="1:13" x14ac:dyDescent="0.35">
      <c r="A197" s="120">
        <v>27150</v>
      </c>
      <c r="L197">
        <v>0</v>
      </c>
      <c r="M197">
        <v>0</v>
      </c>
    </row>
    <row r="198" spans="1:13" x14ac:dyDescent="0.35">
      <c r="A198" s="120">
        <v>27181</v>
      </c>
      <c r="L198">
        <v>0</v>
      </c>
      <c r="M198">
        <v>0</v>
      </c>
    </row>
    <row r="199" spans="1:13" x14ac:dyDescent="0.35">
      <c r="A199" s="120">
        <v>27211</v>
      </c>
      <c r="L199">
        <v>0</v>
      </c>
      <c r="M199">
        <v>0</v>
      </c>
    </row>
    <row r="200" spans="1:13" x14ac:dyDescent="0.35">
      <c r="A200" s="120">
        <v>27242</v>
      </c>
      <c r="L200">
        <v>0</v>
      </c>
      <c r="M200">
        <v>0</v>
      </c>
    </row>
    <row r="201" spans="1:13" x14ac:dyDescent="0.35">
      <c r="A201" s="120">
        <v>27273</v>
      </c>
      <c r="L201">
        <v>0</v>
      </c>
      <c r="M201">
        <v>0</v>
      </c>
    </row>
    <row r="202" spans="1:13" x14ac:dyDescent="0.35">
      <c r="A202" s="120">
        <v>27303</v>
      </c>
      <c r="L202">
        <v>0</v>
      </c>
      <c r="M202">
        <v>0</v>
      </c>
    </row>
    <row r="203" spans="1:13" x14ac:dyDescent="0.35">
      <c r="A203" s="120">
        <v>27334</v>
      </c>
      <c r="L203">
        <v>0</v>
      </c>
      <c r="M203">
        <v>0</v>
      </c>
    </row>
    <row r="204" spans="1:13" x14ac:dyDescent="0.35">
      <c r="A204" s="120">
        <v>27364</v>
      </c>
      <c r="L204">
        <v>0</v>
      </c>
      <c r="M204">
        <v>0</v>
      </c>
    </row>
    <row r="205" spans="1:13" x14ac:dyDescent="0.35">
      <c r="A205" s="120">
        <v>27395</v>
      </c>
      <c r="L205">
        <v>0</v>
      </c>
      <c r="M205">
        <v>0</v>
      </c>
    </row>
    <row r="206" spans="1:13" x14ac:dyDescent="0.35">
      <c r="A206" s="120">
        <v>27426</v>
      </c>
      <c r="L206">
        <v>0</v>
      </c>
      <c r="M206">
        <v>0</v>
      </c>
    </row>
    <row r="207" spans="1:13" x14ac:dyDescent="0.35">
      <c r="A207" s="120">
        <v>27454</v>
      </c>
      <c r="L207">
        <v>0</v>
      </c>
      <c r="M207">
        <v>0</v>
      </c>
    </row>
    <row r="208" spans="1:13" x14ac:dyDescent="0.35">
      <c r="A208" s="120">
        <v>27485</v>
      </c>
      <c r="L208">
        <v>0</v>
      </c>
      <c r="M208">
        <v>0</v>
      </c>
    </row>
    <row r="209" spans="1:13" x14ac:dyDescent="0.35">
      <c r="A209" s="120">
        <v>27515</v>
      </c>
      <c r="L209">
        <v>0</v>
      </c>
      <c r="M209">
        <v>0</v>
      </c>
    </row>
    <row r="210" spans="1:13" x14ac:dyDescent="0.35">
      <c r="A210" s="120">
        <v>27546</v>
      </c>
      <c r="L210">
        <v>0</v>
      </c>
      <c r="M210">
        <v>0</v>
      </c>
    </row>
    <row r="211" spans="1:13" x14ac:dyDescent="0.35">
      <c r="A211" s="120">
        <v>27576</v>
      </c>
      <c r="L211">
        <v>0</v>
      </c>
      <c r="M211">
        <v>0</v>
      </c>
    </row>
    <row r="212" spans="1:13" x14ac:dyDescent="0.35">
      <c r="A212" s="120">
        <v>27607</v>
      </c>
      <c r="L212">
        <v>0</v>
      </c>
      <c r="M212">
        <v>0</v>
      </c>
    </row>
    <row r="213" spans="1:13" x14ac:dyDescent="0.35">
      <c r="A213" s="120">
        <v>27638</v>
      </c>
      <c r="L213">
        <v>0</v>
      </c>
      <c r="M213">
        <v>0</v>
      </c>
    </row>
    <row r="214" spans="1:13" x14ac:dyDescent="0.35">
      <c r="A214" s="120">
        <v>27668</v>
      </c>
      <c r="L214">
        <v>0</v>
      </c>
      <c r="M214">
        <v>0</v>
      </c>
    </row>
    <row r="215" spans="1:13" x14ac:dyDescent="0.35">
      <c r="A215" s="120">
        <v>27699</v>
      </c>
      <c r="L215">
        <v>0</v>
      </c>
      <c r="M215">
        <v>0</v>
      </c>
    </row>
    <row r="216" spans="1:13" x14ac:dyDescent="0.35">
      <c r="A216" s="120">
        <v>27729</v>
      </c>
      <c r="L216">
        <v>0</v>
      </c>
      <c r="M216">
        <v>0</v>
      </c>
    </row>
    <row r="217" spans="1:13" x14ac:dyDescent="0.35">
      <c r="A217" s="120">
        <v>27760</v>
      </c>
      <c r="L217">
        <v>0</v>
      </c>
      <c r="M217">
        <v>0</v>
      </c>
    </row>
    <row r="218" spans="1:13" x14ac:dyDescent="0.35">
      <c r="A218" s="120">
        <v>27791</v>
      </c>
      <c r="L218">
        <v>0</v>
      </c>
      <c r="M218">
        <v>0</v>
      </c>
    </row>
    <row r="219" spans="1:13" x14ac:dyDescent="0.35">
      <c r="A219" s="120">
        <v>27820</v>
      </c>
      <c r="L219">
        <v>0</v>
      </c>
      <c r="M219">
        <v>0</v>
      </c>
    </row>
    <row r="220" spans="1:13" x14ac:dyDescent="0.35">
      <c r="A220" s="120">
        <v>27851</v>
      </c>
      <c r="L220">
        <v>0</v>
      </c>
      <c r="M220">
        <v>0</v>
      </c>
    </row>
    <row r="221" spans="1:13" x14ac:dyDescent="0.35">
      <c r="A221" s="120">
        <v>27881</v>
      </c>
      <c r="L221">
        <v>0</v>
      </c>
      <c r="M221">
        <v>0</v>
      </c>
    </row>
    <row r="222" spans="1:13" x14ac:dyDescent="0.35">
      <c r="A222" s="120">
        <v>27912</v>
      </c>
      <c r="L222">
        <v>0</v>
      </c>
      <c r="M222">
        <v>0</v>
      </c>
    </row>
    <row r="223" spans="1:13" x14ac:dyDescent="0.35">
      <c r="A223" s="120">
        <v>27942</v>
      </c>
      <c r="L223">
        <v>0</v>
      </c>
      <c r="M223">
        <v>0</v>
      </c>
    </row>
    <row r="224" spans="1:13" x14ac:dyDescent="0.35">
      <c r="A224" s="120">
        <v>27973</v>
      </c>
      <c r="L224">
        <v>0</v>
      </c>
      <c r="M224">
        <v>0</v>
      </c>
    </row>
    <row r="225" spans="1:13" x14ac:dyDescent="0.35">
      <c r="A225" s="120">
        <v>28004</v>
      </c>
      <c r="L225">
        <v>0</v>
      </c>
      <c r="M225">
        <v>0</v>
      </c>
    </row>
    <row r="226" spans="1:13" x14ac:dyDescent="0.35">
      <c r="A226" s="120">
        <v>28034</v>
      </c>
      <c r="L226">
        <v>0</v>
      </c>
      <c r="M226">
        <v>0</v>
      </c>
    </row>
    <row r="227" spans="1:13" x14ac:dyDescent="0.35">
      <c r="A227" s="120">
        <v>28065</v>
      </c>
      <c r="L227">
        <v>0</v>
      </c>
      <c r="M227">
        <v>0</v>
      </c>
    </row>
    <row r="228" spans="1:13" x14ac:dyDescent="0.35">
      <c r="A228" s="120">
        <v>28095</v>
      </c>
      <c r="L228">
        <v>0</v>
      </c>
      <c r="M228">
        <v>0</v>
      </c>
    </row>
    <row r="229" spans="1:13" x14ac:dyDescent="0.35">
      <c r="A229" s="120">
        <v>28126</v>
      </c>
      <c r="L229">
        <v>0</v>
      </c>
      <c r="M229">
        <v>0</v>
      </c>
    </row>
    <row r="230" spans="1:13" x14ac:dyDescent="0.35">
      <c r="A230" s="120">
        <v>28157</v>
      </c>
      <c r="L230">
        <v>0</v>
      </c>
      <c r="M230">
        <v>0</v>
      </c>
    </row>
    <row r="231" spans="1:13" x14ac:dyDescent="0.35">
      <c r="A231" s="120">
        <v>28185</v>
      </c>
      <c r="L231">
        <v>0</v>
      </c>
      <c r="M231">
        <v>0</v>
      </c>
    </row>
    <row r="232" spans="1:13" x14ac:dyDescent="0.35">
      <c r="A232" s="120">
        <v>28216</v>
      </c>
      <c r="L232">
        <v>0</v>
      </c>
      <c r="M232">
        <v>0</v>
      </c>
    </row>
    <row r="233" spans="1:13" x14ac:dyDescent="0.35">
      <c r="A233" s="120">
        <v>28246</v>
      </c>
      <c r="L233">
        <v>0</v>
      </c>
      <c r="M233">
        <v>0</v>
      </c>
    </row>
    <row r="234" spans="1:13" x14ac:dyDescent="0.35">
      <c r="A234" s="120">
        <v>28277</v>
      </c>
      <c r="L234">
        <v>0</v>
      </c>
      <c r="M234">
        <v>0</v>
      </c>
    </row>
    <row r="235" spans="1:13" x14ac:dyDescent="0.35">
      <c r="A235" s="120">
        <v>28307</v>
      </c>
      <c r="L235">
        <v>0</v>
      </c>
      <c r="M235">
        <v>0</v>
      </c>
    </row>
    <row r="236" spans="1:13" x14ac:dyDescent="0.35">
      <c r="A236" s="120">
        <v>28338</v>
      </c>
      <c r="L236">
        <v>0</v>
      </c>
      <c r="M236">
        <v>0</v>
      </c>
    </row>
    <row r="237" spans="1:13" x14ac:dyDescent="0.35">
      <c r="A237" s="120">
        <v>28369</v>
      </c>
      <c r="L237">
        <v>0</v>
      </c>
      <c r="M237">
        <v>0</v>
      </c>
    </row>
    <row r="238" spans="1:13" x14ac:dyDescent="0.35">
      <c r="A238" s="120">
        <v>28399</v>
      </c>
      <c r="L238">
        <v>0</v>
      </c>
      <c r="M238">
        <v>0</v>
      </c>
    </row>
    <row r="239" spans="1:13" x14ac:dyDescent="0.35">
      <c r="A239" s="120">
        <v>28430</v>
      </c>
      <c r="L239">
        <v>0</v>
      </c>
      <c r="M239">
        <v>0</v>
      </c>
    </row>
    <row r="240" spans="1:13" x14ac:dyDescent="0.35">
      <c r="A240" s="120">
        <v>28460</v>
      </c>
      <c r="L240">
        <v>0</v>
      </c>
      <c r="M240">
        <v>0</v>
      </c>
    </row>
    <row r="241" spans="1:13" x14ac:dyDescent="0.35">
      <c r="A241" s="120">
        <v>28491</v>
      </c>
      <c r="L241">
        <v>0</v>
      </c>
      <c r="M241">
        <v>0</v>
      </c>
    </row>
    <row r="242" spans="1:13" x14ac:dyDescent="0.35">
      <c r="A242" s="120">
        <v>28522</v>
      </c>
      <c r="L242">
        <v>0</v>
      </c>
      <c r="M242">
        <v>0</v>
      </c>
    </row>
    <row r="243" spans="1:13" x14ac:dyDescent="0.35">
      <c r="A243" s="120">
        <v>28550</v>
      </c>
      <c r="L243">
        <v>0</v>
      </c>
      <c r="M243">
        <v>0</v>
      </c>
    </row>
    <row r="244" spans="1:13" x14ac:dyDescent="0.35">
      <c r="A244" s="120">
        <v>28581</v>
      </c>
      <c r="L244">
        <v>0</v>
      </c>
      <c r="M244">
        <v>0</v>
      </c>
    </row>
    <row r="245" spans="1:13" x14ac:dyDescent="0.35">
      <c r="A245" s="120">
        <v>28611</v>
      </c>
      <c r="L245">
        <v>0</v>
      </c>
      <c r="M245">
        <v>0</v>
      </c>
    </row>
    <row r="246" spans="1:13" x14ac:dyDescent="0.35">
      <c r="A246" s="120">
        <v>28642</v>
      </c>
      <c r="L246">
        <v>0</v>
      </c>
      <c r="M246">
        <v>0</v>
      </c>
    </row>
    <row r="247" spans="1:13" x14ac:dyDescent="0.35">
      <c r="A247" s="120">
        <v>28672</v>
      </c>
      <c r="L247">
        <v>0</v>
      </c>
      <c r="M247">
        <v>0</v>
      </c>
    </row>
    <row r="248" spans="1:13" x14ac:dyDescent="0.35">
      <c r="A248" s="120">
        <v>28703</v>
      </c>
      <c r="L248">
        <v>0</v>
      </c>
      <c r="M248">
        <v>0</v>
      </c>
    </row>
    <row r="249" spans="1:13" x14ac:dyDescent="0.35">
      <c r="A249" s="120">
        <v>28734</v>
      </c>
      <c r="L249">
        <v>0</v>
      </c>
      <c r="M249">
        <v>0</v>
      </c>
    </row>
    <row r="250" spans="1:13" x14ac:dyDescent="0.35">
      <c r="A250" s="120">
        <v>28764</v>
      </c>
      <c r="L250">
        <v>0</v>
      </c>
      <c r="M250">
        <v>0</v>
      </c>
    </row>
    <row r="251" spans="1:13" x14ac:dyDescent="0.35">
      <c r="A251" s="120">
        <v>28795</v>
      </c>
      <c r="L251">
        <v>0</v>
      </c>
      <c r="M251">
        <v>0</v>
      </c>
    </row>
    <row r="252" spans="1:13" x14ac:dyDescent="0.35">
      <c r="A252" s="120">
        <v>28825</v>
      </c>
      <c r="L252">
        <v>0</v>
      </c>
      <c r="M252">
        <v>0</v>
      </c>
    </row>
    <row r="253" spans="1:13" x14ac:dyDescent="0.35">
      <c r="A253" s="120">
        <v>28856</v>
      </c>
      <c r="L253">
        <v>0</v>
      </c>
      <c r="M253">
        <v>0</v>
      </c>
    </row>
    <row r="254" spans="1:13" x14ac:dyDescent="0.35">
      <c r="A254" s="120">
        <v>28887</v>
      </c>
      <c r="L254">
        <v>0</v>
      </c>
      <c r="M254">
        <v>0</v>
      </c>
    </row>
    <row r="255" spans="1:13" x14ac:dyDescent="0.35">
      <c r="A255" s="120">
        <v>28915</v>
      </c>
      <c r="L255">
        <v>0</v>
      </c>
      <c r="M255">
        <v>0</v>
      </c>
    </row>
    <row r="256" spans="1:13" x14ac:dyDescent="0.35">
      <c r="A256" s="120">
        <v>28946</v>
      </c>
      <c r="L256">
        <v>0</v>
      </c>
      <c r="M256">
        <v>0</v>
      </c>
    </row>
    <row r="257" spans="1:13" x14ac:dyDescent="0.35">
      <c r="A257" s="120">
        <v>28976</v>
      </c>
      <c r="L257">
        <v>0</v>
      </c>
      <c r="M257">
        <v>0</v>
      </c>
    </row>
    <row r="258" spans="1:13" x14ac:dyDescent="0.35">
      <c r="A258" s="120">
        <v>29007</v>
      </c>
      <c r="L258">
        <v>0</v>
      </c>
      <c r="M258">
        <v>0</v>
      </c>
    </row>
    <row r="259" spans="1:13" x14ac:dyDescent="0.35">
      <c r="A259" s="120">
        <v>29037</v>
      </c>
      <c r="L259">
        <v>0</v>
      </c>
      <c r="M259">
        <v>0</v>
      </c>
    </row>
    <row r="260" spans="1:13" x14ac:dyDescent="0.35">
      <c r="A260" s="120">
        <v>29068</v>
      </c>
      <c r="L260">
        <v>0</v>
      </c>
      <c r="M260">
        <v>0</v>
      </c>
    </row>
    <row r="261" spans="1:13" x14ac:dyDescent="0.35">
      <c r="A261" s="120">
        <v>29099</v>
      </c>
      <c r="L261">
        <v>0</v>
      </c>
      <c r="M261">
        <v>0</v>
      </c>
    </row>
    <row r="262" spans="1:13" x14ac:dyDescent="0.35">
      <c r="A262" s="120">
        <v>29129</v>
      </c>
      <c r="L262">
        <v>0</v>
      </c>
      <c r="M262">
        <v>0</v>
      </c>
    </row>
    <row r="263" spans="1:13" x14ac:dyDescent="0.35">
      <c r="A263" s="120">
        <v>29160</v>
      </c>
      <c r="L263">
        <v>0</v>
      </c>
      <c r="M263">
        <v>0</v>
      </c>
    </row>
    <row r="264" spans="1:13" x14ac:dyDescent="0.35">
      <c r="A264" s="120">
        <v>29190</v>
      </c>
      <c r="L264">
        <v>0</v>
      </c>
      <c r="M264">
        <v>0</v>
      </c>
    </row>
    <row r="265" spans="1:13" x14ac:dyDescent="0.35">
      <c r="A265" s="120">
        <v>29221</v>
      </c>
      <c r="L265">
        <v>0</v>
      </c>
      <c r="M265">
        <v>0</v>
      </c>
    </row>
    <row r="266" spans="1:13" x14ac:dyDescent="0.35">
      <c r="A266" s="120">
        <v>29252</v>
      </c>
      <c r="L266">
        <v>0</v>
      </c>
      <c r="M266">
        <v>0</v>
      </c>
    </row>
    <row r="267" spans="1:13" x14ac:dyDescent="0.35">
      <c r="A267" s="120">
        <v>29281</v>
      </c>
      <c r="L267">
        <v>0</v>
      </c>
      <c r="M267">
        <v>0</v>
      </c>
    </row>
    <row r="268" spans="1:13" x14ac:dyDescent="0.35">
      <c r="A268" s="120">
        <v>29312</v>
      </c>
      <c r="L268">
        <v>0</v>
      </c>
      <c r="M268">
        <v>0</v>
      </c>
    </row>
    <row r="269" spans="1:13" x14ac:dyDescent="0.35">
      <c r="A269" s="120">
        <v>29342</v>
      </c>
      <c r="L269">
        <v>0</v>
      </c>
      <c r="M269">
        <v>0</v>
      </c>
    </row>
    <row r="270" spans="1:13" x14ac:dyDescent="0.35">
      <c r="A270" s="120">
        <v>29373</v>
      </c>
      <c r="L270">
        <v>0</v>
      </c>
      <c r="M270">
        <v>0</v>
      </c>
    </row>
    <row r="271" spans="1:13" x14ac:dyDescent="0.35">
      <c r="A271" s="120">
        <v>29403</v>
      </c>
      <c r="L271">
        <v>0</v>
      </c>
      <c r="M271">
        <v>0</v>
      </c>
    </row>
    <row r="272" spans="1:13" x14ac:dyDescent="0.35">
      <c r="A272" s="120">
        <v>29434</v>
      </c>
      <c r="L272">
        <v>0</v>
      </c>
      <c r="M272">
        <v>0</v>
      </c>
    </row>
    <row r="273" spans="1:13" x14ac:dyDescent="0.35">
      <c r="A273" s="120">
        <v>29465</v>
      </c>
      <c r="L273">
        <v>0</v>
      </c>
      <c r="M273">
        <v>0</v>
      </c>
    </row>
    <row r="274" spans="1:13" x14ac:dyDescent="0.35">
      <c r="A274" s="120">
        <v>29495</v>
      </c>
      <c r="L274">
        <v>0</v>
      </c>
      <c r="M274">
        <v>0</v>
      </c>
    </row>
    <row r="275" spans="1:13" x14ac:dyDescent="0.35">
      <c r="A275" s="120">
        <v>29526</v>
      </c>
      <c r="L275">
        <v>0</v>
      </c>
      <c r="M275">
        <v>0</v>
      </c>
    </row>
    <row r="276" spans="1:13" x14ac:dyDescent="0.35">
      <c r="A276" s="120">
        <v>29556</v>
      </c>
      <c r="L276">
        <v>0</v>
      </c>
      <c r="M276">
        <v>0</v>
      </c>
    </row>
    <row r="277" spans="1:13" x14ac:dyDescent="0.35">
      <c r="A277" s="120">
        <v>29587</v>
      </c>
      <c r="L277">
        <v>0</v>
      </c>
      <c r="M277">
        <v>0</v>
      </c>
    </row>
    <row r="278" spans="1:13" x14ac:dyDescent="0.35">
      <c r="A278" s="120">
        <v>29618</v>
      </c>
      <c r="L278">
        <v>0</v>
      </c>
      <c r="M278">
        <v>0</v>
      </c>
    </row>
    <row r="279" spans="1:13" x14ac:dyDescent="0.35">
      <c r="A279" s="120">
        <v>29646</v>
      </c>
      <c r="L279">
        <v>0</v>
      </c>
      <c r="M279">
        <v>0</v>
      </c>
    </row>
    <row r="280" spans="1:13" x14ac:dyDescent="0.35">
      <c r="A280" s="120">
        <v>29677</v>
      </c>
      <c r="L280">
        <v>0</v>
      </c>
      <c r="M280">
        <v>0</v>
      </c>
    </row>
    <row r="281" spans="1:13" x14ac:dyDescent="0.35">
      <c r="A281" s="120">
        <v>29707</v>
      </c>
      <c r="L281">
        <v>0</v>
      </c>
      <c r="M281">
        <v>0</v>
      </c>
    </row>
    <row r="282" spans="1:13" x14ac:dyDescent="0.35">
      <c r="A282" s="120">
        <v>29738</v>
      </c>
      <c r="L282">
        <v>0</v>
      </c>
      <c r="M282">
        <v>0</v>
      </c>
    </row>
    <row r="283" spans="1:13" x14ac:dyDescent="0.35">
      <c r="A283" s="120">
        <v>29768</v>
      </c>
      <c r="L283">
        <v>0</v>
      </c>
      <c r="M283">
        <v>0</v>
      </c>
    </row>
    <row r="284" spans="1:13" x14ac:dyDescent="0.35">
      <c r="A284" s="120">
        <v>29799</v>
      </c>
      <c r="L284">
        <v>0</v>
      </c>
      <c r="M284">
        <v>0</v>
      </c>
    </row>
    <row r="285" spans="1:13" x14ac:dyDescent="0.35">
      <c r="A285" s="120">
        <v>29830</v>
      </c>
      <c r="L285">
        <v>0</v>
      </c>
      <c r="M285">
        <v>0</v>
      </c>
    </row>
    <row r="286" spans="1:13" x14ac:dyDescent="0.35">
      <c r="A286" s="120">
        <v>29860</v>
      </c>
      <c r="L286">
        <v>0</v>
      </c>
      <c r="M286">
        <v>0</v>
      </c>
    </row>
    <row r="287" spans="1:13" x14ac:dyDescent="0.35">
      <c r="A287" s="120">
        <v>29891</v>
      </c>
      <c r="L287">
        <v>0</v>
      </c>
      <c r="M287">
        <v>0</v>
      </c>
    </row>
    <row r="288" spans="1:13" x14ac:dyDescent="0.35">
      <c r="A288" s="120">
        <v>29921</v>
      </c>
      <c r="L288">
        <v>0</v>
      </c>
      <c r="M288">
        <v>0</v>
      </c>
    </row>
    <row r="289" spans="1:13" x14ac:dyDescent="0.35">
      <c r="A289" s="120">
        <v>29952</v>
      </c>
      <c r="L289">
        <v>0</v>
      </c>
      <c r="M289">
        <v>0</v>
      </c>
    </row>
    <row r="290" spans="1:13" x14ac:dyDescent="0.35">
      <c r="A290" s="120">
        <v>29983</v>
      </c>
      <c r="L290">
        <v>0</v>
      </c>
      <c r="M290">
        <v>0</v>
      </c>
    </row>
    <row r="291" spans="1:13" x14ac:dyDescent="0.35">
      <c r="A291" s="120">
        <v>30011</v>
      </c>
      <c r="L291">
        <v>0</v>
      </c>
      <c r="M291">
        <v>0</v>
      </c>
    </row>
    <row r="292" spans="1:13" x14ac:dyDescent="0.35">
      <c r="A292" s="120">
        <v>30042</v>
      </c>
      <c r="L292">
        <v>0</v>
      </c>
      <c r="M292">
        <v>0</v>
      </c>
    </row>
    <row r="293" spans="1:13" x14ac:dyDescent="0.35">
      <c r="A293" s="120">
        <v>30072</v>
      </c>
      <c r="L293">
        <v>0</v>
      </c>
      <c r="M293">
        <v>0</v>
      </c>
    </row>
    <row r="294" spans="1:13" x14ac:dyDescent="0.35">
      <c r="A294" s="120">
        <v>30103</v>
      </c>
      <c r="L294">
        <v>0</v>
      </c>
      <c r="M294">
        <v>0</v>
      </c>
    </row>
    <row r="295" spans="1:13" x14ac:dyDescent="0.35">
      <c r="A295" s="120">
        <v>30133</v>
      </c>
      <c r="L295">
        <v>0</v>
      </c>
      <c r="M295">
        <v>0</v>
      </c>
    </row>
    <row r="296" spans="1:13" x14ac:dyDescent="0.35">
      <c r="A296" s="120">
        <v>30164</v>
      </c>
      <c r="L296">
        <v>0</v>
      </c>
      <c r="M296">
        <v>0</v>
      </c>
    </row>
    <row r="297" spans="1:13" x14ac:dyDescent="0.35">
      <c r="A297" s="120">
        <v>30195</v>
      </c>
      <c r="L297">
        <v>0</v>
      </c>
      <c r="M297">
        <v>0</v>
      </c>
    </row>
    <row r="298" spans="1:13" x14ac:dyDescent="0.35">
      <c r="A298" s="120">
        <v>30225</v>
      </c>
      <c r="L298">
        <v>0</v>
      </c>
      <c r="M298">
        <v>0</v>
      </c>
    </row>
    <row r="299" spans="1:13" x14ac:dyDescent="0.35">
      <c r="A299" s="120">
        <v>30256</v>
      </c>
      <c r="L299">
        <v>0</v>
      </c>
      <c r="M299">
        <v>0</v>
      </c>
    </row>
    <row r="300" spans="1:13" x14ac:dyDescent="0.35">
      <c r="A300" s="120">
        <v>30286</v>
      </c>
      <c r="L300">
        <v>0</v>
      </c>
      <c r="M300">
        <v>0</v>
      </c>
    </row>
    <row r="301" spans="1:13" x14ac:dyDescent="0.35">
      <c r="A301" s="120">
        <v>30317</v>
      </c>
      <c r="L301">
        <v>0</v>
      </c>
      <c r="M301">
        <v>0</v>
      </c>
    </row>
    <row r="302" spans="1:13" x14ac:dyDescent="0.35">
      <c r="A302" s="120">
        <v>30348</v>
      </c>
      <c r="L302">
        <v>0</v>
      </c>
      <c r="M302">
        <v>0</v>
      </c>
    </row>
    <row r="303" spans="1:13" x14ac:dyDescent="0.35">
      <c r="A303" s="120">
        <v>30376</v>
      </c>
      <c r="L303">
        <v>0</v>
      </c>
      <c r="M303">
        <v>0</v>
      </c>
    </row>
    <row r="304" spans="1:13" x14ac:dyDescent="0.35">
      <c r="A304" s="120">
        <v>30407</v>
      </c>
      <c r="L304">
        <v>0</v>
      </c>
      <c r="M304">
        <v>0</v>
      </c>
    </row>
    <row r="305" spans="1:13" x14ac:dyDescent="0.35">
      <c r="A305" s="120">
        <v>30437</v>
      </c>
      <c r="L305">
        <v>0</v>
      </c>
      <c r="M305">
        <v>0</v>
      </c>
    </row>
    <row r="306" spans="1:13" x14ac:dyDescent="0.35">
      <c r="A306" s="120">
        <v>30468</v>
      </c>
      <c r="L306">
        <v>0</v>
      </c>
      <c r="M306">
        <v>0</v>
      </c>
    </row>
    <row r="307" spans="1:13" x14ac:dyDescent="0.35">
      <c r="A307" s="120">
        <v>30498</v>
      </c>
      <c r="L307">
        <v>0</v>
      </c>
      <c r="M307">
        <v>0</v>
      </c>
    </row>
    <row r="308" spans="1:13" x14ac:dyDescent="0.35">
      <c r="A308" s="120">
        <v>30529</v>
      </c>
      <c r="L308">
        <v>0</v>
      </c>
      <c r="M308">
        <v>0</v>
      </c>
    </row>
    <row r="309" spans="1:13" x14ac:dyDescent="0.35">
      <c r="A309" s="120">
        <v>30560</v>
      </c>
      <c r="L309">
        <v>0</v>
      </c>
      <c r="M309">
        <v>0</v>
      </c>
    </row>
    <row r="310" spans="1:13" x14ac:dyDescent="0.35">
      <c r="A310" s="120">
        <v>30590</v>
      </c>
      <c r="L310">
        <v>0</v>
      </c>
      <c r="M310">
        <v>0</v>
      </c>
    </row>
    <row r="311" spans="1:13" x14ac:dyDescent="0.35">
      <c r="A311" s="120">
        <v>30621</v>
      </c>
      <c r="L311">
        <v>0</v>
      </c>
      <c r="M311">
        <v>0</v>
      </c>
    </row>
    <row r="312" spans="1:13" x14ac:dyDescent="0.35">
      <c r="A312" s="120">
        <v>30651</v>
      </c>
      <c r="L312">
        <v>0</v>
      </c>
      <c r="M312">
        <v>0</v>
      </c>
    </row>
    <row r="313" spans="1:13" x14ac:dyDescent="0.35">
      <c r="A313" s="120">
        <v>30682</v>
      </c>
      <c r="L313">
        <v>0</v>
      </c>
      <c r="M313">
        <v>0</v>
      </c>
    </row>
    <row r="314" spans="1:13" x14ac:dyDescent="0.35">
      <c r="A314" s="120">
        <v>30713</v>
      </c>
      <c r="L314">
        <v>0</v>
      </c>
      <c r="M314">
        <v>0</v>
      </c>
    </row>
    <row r="315" spans="1:13" x14ac:dyDescent="0.35">
      <c r="A315" s="120">
        <v>30742</v>
      </c>
      <c r="L315">
        <v>0</v>
      </c>
      <c r="M315">
        <v>0</v>
      </c>
    </row>
    <row r="316" spans="1:13" x14ac:dyDescent="0.35">
      <c r="A316" s="120">
        <v>30773</v>
      </c>
      <c r="L316">
        <v>0</v>
      </c>
      <c r="M316">
        <v>0</v>
      </c>
    </row>
    <row r="317" spans="1:13" x14ac:dyDescent="0.35">
      <c r="A317" s="120">
        <v>30803</v>
      </c>
      <c r="L317">
        <v>0</v>
      </c>
      <c r="M317">
        <v>0</v>
      </c>
    </row>
    <row r="318" spans="1:13" x14ac:dyDescent="0.35">
      <c r="A318" s="120">
        <v>30834</v>
      </c>
      <c r="L318">
        <v>0</v>
      </c>
      <c r="M318">
        <v>0</v>
      </c>
    </row>
    <row r="319" spans="1:13" x14ac:dyDescent="0.35">
      <c r="A319" s="120">
        <v>30864</v>
      </c>
      <c r="L319">
        <v>0</v>
      </c>
      <c r="M319">
        <v>0</v>
      </c>
    </row>
    <row r="320" spans="1:13" x14ac:dyDescent="0.35">
      <c r="A320" s="120">
        <v>30895</v>
      </c>
      <c r="L320">
        <v>0</v>
      </c>
      <c r="M320">
        <v>0</v>
      </c>
    </row>
    <row r="321" spans="1:13" x14ac:dyDescent="0.35">
      <c r="A321" s="120">
        <v>30926</v>
      </c>
      <c r="L321">
        <v>0</v>
      </c>
      <c r="M321">
        <v>0</v>
      </c>
    </row>
    <row r="322" spans="1:13" x14ac:dyDescent="0.35">
      <c r="A322" s="120">
        <v>30956</v>
      </c>
      <c r="L322">
        <v>0</v>
      </c>
      <c r="M322">
        <v>0</v>
      </c>
    </row>
    <row r="323" spans="1:13" x14ac:dyDescent="0.35">
      <c r="A323" s="120">
        <v>30987</v>
      </c>
      <c r="L323">
        <v>0</v>
      </c>
      <c r="M323">
        <v>0</v>
      </c>
    </row>
    <row r="324" spans="1:13" x14ac:dyDescent="0.35">
      <c r="A324" s="120">
        <v>31017</v>
      </c>
      <c r="L324">
        <v>0</v>
      </c>
      <c r="M324">
        <v>0</v>
      </c>
    </row>
    <row r="325" spans="1:13" x14ac:dyDescent="0.35">
      <c r="A325" s="120">
        <v>31048</v>
      </c>
      <c r="L325">
        <v>0</v>
      </c>
      <c r="M325">
        <v>0</v>
      </c>
    </row>
    <row r="326" spans="1:13" x14ac:dyDescent="0.35">
      <c r="A326" s="120">
        <v>31079</v>
      </c>
      <c r="L326">
        <v>0</v>
      </c>
      <c r="M326">
        <v>0</v>
      </c>
    </row>
    <row r="327" spans="1:13" x14ac:dyDescent="0.35">
      <c r="A327" s="120">
        <v>31107</v>
      </c>
      <c r="L327">
        <v>0</v>
      </c>
      <c r="M327">
        <v>0</v>
      </c>
    </row>
    <row r="328" spans="1:13" x14ac:dyDescent="0.35">
      <c r="A328" s="120">
        <v>31138</v>
      </c>
      <c r="L328">
        <v>0</v>
      </c>
      <c r="M328">
        <v>0</v>
      </c>
    </row>
    <row r="329" spans="1:13" x14ac:dyDescent="0.35">
      <c r="A329" s="120">
        <v>31168</v>
      </c>
      <c r="L329">
        <v>0</v>
      </c>
      <c r="M329">
        <v>0</v>
      </c>
    </row>
    <row r="330" spans="1:13" x14ac:dyDescent="0.35">
      <c r="A330" s="120">
        <v>31199</v>
      </c>
      <c r="L330">
        <v>0</v>
      </c>
      <c r="M330">
        <v>0</v>
      </c>
    </row>
    <row r="331" spans="1:13" x14ac:dyDescent="0.35">
      <c r="A331" s="120">
        <v>31229</v>
      </c>
      <c r="L331">
        <v>0</v>
      </c>
      <c r="M331">
        <v>0</v>
      </c>
    </row>
    <row r="332" spans="1:13" x14ac:dyDescent="0.35">
      <c r="A332" s="120">
        <v>31260</v>
      </c>
      <c r="L332">
        <v>0</v>
      </c>
      <c r="M332">
        <v>0</v>
      </c>
    </row>
    <row r="333" spans="1:13" x14ac:dyDescent="0.35">
      <c r="A333" s="120">
        <v>31291</v>
      </c>
      <c r="L333">
        <v>0</v>
      </c>
      <c r="M333">
        <v>0</v>
      </c>
    </row>
    <row r="334" spans="1:13" x14ac:dyDescent="0.35">
      <c r="A334" s="120">
        <v>31321</v>
      </c>
      <c r="L334">
        <v>0</v>
      </c>
      <c r="M334">
        <v>0</v>
      </c>
    </row>
    <row r="335" spans="1:13" x14ac:dyDescent="0.35">
      <c r="A335" s="120">
        <v>31352</v>
      </c>
      <c r="L335">
        <v>0</v>
      </c>
      <c r="M335">
        <v>0</v>
      </c>
    </row>
    <row r="336" spans="1:13" x14ac:dyDescent="0.35">
      <c r="A336" s="120">
        <v>31382</v>
      </c>
      <c r="L336">
        <v>0</v>
      </c>
      <c r="M336">
        <v>0</v>
      </c>
    </row>
    <row r="337" spans="1:13" x14ac:dyDescent="0.35">
      <c r="A337" s="120">
        <v>31413</v>
      </c>
      <c r="L337">
        <v>0</v>
      </c>
      <c r="M337">
        <v>0</v>
      </c>
    </row>
    <row r="338" spans="1:13" x14ac:dyDescent="0.35">
      <c r="A338" s="120">
        <v>31444</v>
      </c>
      <c r="L338">
        <v>0</v>
      </c>
      <c r="M338">
        <v>0</v>
      </c>
    </row>
    <row r="339" spans="1:13" x14ac:dyDescent="0.35">
      <c r="A339" s="120">
        <v>31472</v>
      </c>
      <c r="L339">
        <v>0</v>
      </c>
      <c r="M339">
        <v>0</v>
      </c>
    </row>
    <row r="340" spans="1:13" x14ac:dyDescent="0.35">
      <c r="A340" s="120">
        <v>31503</v>
      </c>
      <c r="L340">
        <v>0</v>
      </c>
      <c r="M340">
        <v>0</v>
      </c>
    </row>
    <row r="341" spans="1:13" x14ac:dyDescent="0.35">
      <c r="A341" s="120">
        <v>31533</v>
      </c>
      <c r="L341">
        <v>0</v>
      </c>
      <c r="M341">
        <v>0</v>
      </c>
    </row>
    <row r="342" spans="1:13" x14ac:dyDescent="0.35">
      <c r="A342" s="120">
        <v>31564</v>
      </c>
      <c r="L342">
        <v>0</v>
      </c>
      <c r="M342">
        <v>0</v>
      </c>
    </row>
    <row r="343" spans="1:13" x14ac:dyDescent="0.35">
      <c r="A343" s="120">
        <v>31594</v>
      </c>
      <c r="L343">
        <v>0</v>
      </c>
      <c r="M343">
        <v>0</v>
      </c>
    </row>
    <row r="344" spans="1:13" x14ac:dyDescent="0.35">
      <c r="A344" s="120">
        <v>31625</v>
      </c>
      <c r="L344">
        <v>0</v>
      </c>
      <c r="M344">
        <v>0</v>
      </c>
    </row>
    <row r="345" spans="1:13" x14ac:dyDescent="0.35">
      <c r="A345" s="120">
        <v>31656</v>
      </c>
      <c r="L345">
        <v>0</v>
      </c>
      <c r="M345">
        <v>0</v>
      </c>
    </row>
    <row r="346" spans="1:13" x14ac:dyDescent="0.35">
      <c r="A346" s="120">
        <v>31686</v>
      </c>
      <c r="L346">
        <v>0</v>
      </c>
      <c r="M346">
        <v>0</v>
      </c>
    </row>
    <row r="347" spans="1:13" x14ac:dyDescent="0.35">
      <c r="A347" s="120">
        <v>31717</v>
      </c>
      <c r="L347">
        <v>0</v>
      </c>
      <c r="M347">
        <v>0</v>
      </c>
    </row>
    <row r="348" spans="1:13" x14ac:dyDescent="0.35">
      <c r="A348" s="120">
        <v>31747</v>
      </c>
      <c r="L348">
        <v>0</v>
      </c>
      <c r="M348">
        <v>0</v>
      </c>
    </row>
    <row r="349" spans="1:13" x14ac:dyDescent="0.35">
      <c r="A349" s="120">
        <v>31778</v>
      </c>
      <c r="L349">
        <v>0</v>
      </c>
      <c r="M349">
        <v>0</v>
      </c>
    </row>
    <row r="350" spans="1:13" x14ac:dyDescent="0.35">
      <c r="A350" s="120">
        <v>31809</v>
      </c>
      <c r="L350">
        <v>0</v>
      </c>
      <c r="M350">
        <v>0</v>
      </c>
    </row>
    <row r="351" spans="1:13" x14ac:dyDescent="0.35">
      <c r="A351" s="120">
        <v>31837</v>
      </c>
      <c r="L351">
        <v>0</v>
      </c>
      <c r="M351">
        <v>0</v>
      </c>
    </row>
    <row r="352" spans="1:13" x14ac:dyDescent="0.35">
      <c r="A352" s="120">
        <v>31868</v>
      </c>
      <c r="L352">
        <v>0</v>
      </c>
      <c r="M352">
        <v>0</v>
      </c>
    </row>
    <row r="353" spans="1:13" x14ac:dyDescent="0.35">
      <c r="A353" s="120">
        <v>31898</v>
      </c>
      <c r="L353">
        <v>0</v>
      </c>
      <c r="M353">
        <v>0</v>
      </c>
    </row>
    <row r="354" spans="1:13" x14ac:dyDescent="0.35">
      <c r="A354" s="120">
        <v>31929</v>
      </c>
      <c r="L354">
        <v>0</v>
      </c>
      <c r="M354">
        <v>0</v>
      </c>
    </row>
    <row r="355" spans="1:13" x14ac:dyDescent="0.35">
      <c r="A355" s="120">
        <v>31959</v>
      </c>
      <c r="L355">
        <v>0</v>
      </c>
      <c r="M355">
        <v>0</v>
      </c>
    </row>
    <row r="356" spans="1:13" x14ac:dyDescent="0.35">
      <c r="A356" s="120">
        <v>31990</v>
      </c>
      <c r="L356">
        <v>0</v>
      </c>
      <c r="M356">
        <v>0</v>
      </c>
    </row>
    <row r="357" spans="1:13" x14ac:dyDescent="0.35">
      <c r="A357" s="120">
        <v>32021</v>
      </c>
      <c r="L357">
        <v>0</v>
      </c>
      <c r="M357">
        <v>0</v>
      </c>
    </row>
    <row r="358" spans="1:13" x14ac:dyDescent="0.35">
      <c r="A358" s="120">
        <v>32051</v>
      </c>
      <c r="L358">
        <v>0</v>
      </c>
      <c r="M358">
        <v>0</v>
      </c>
    </row>
    <row r="359" spans="1:13" x14ac:dyDescent="0.35">
      <c r="A359" s="120">
        <v>32082</v>
      </c>
      <c r="L359">
        <v>0</v>
      </c>
      <c r="M359">
        <v>0</v>
      </c>
    </row>
    <row r="360" spans="1:13" x14ac:dyDescent="0.35">
      <c r="A360" s="120">
        <v>32112</v>
      </c>
      <c r="L360">
        <v>0</v>
      </c>
      <c r="M360">
        <v>0</v>
      </c>
    </row>
    <row r="361" spans="1:13" x14ac:dyDescent="0.35">
      <c r="A361" s="120">
        <v>32143</v>
      </c>
      <c r="L361">
        <v>0</v>
      </c>
      <c r="M361">
        <v>0</v>
      </c>
    </row>
    <row r="362" spans="1:13" x14ac:dyDescent="0.35">
      <c r="A362" s="120">
        <v>32174</v>
      </c>
      <c r="L362">
        <v>0</v>
      </c>
      <c r="M362">
        <v>0</v>
      </c>
    </row>
    <row r="363" spans="1:13" x14ac:dyDescent="0.35">
      <c r="A363" s="120">
        <v>32203</v>
      </c>
      <c r="L363">
        <v>0</v>
      </c>
      <c r="M363">
        <v>0</v>
      </c>
    </row>
    <row r="364" spans="1:13" x14ac:dyDescent="0.35">
      <c r="A364" s="120">
        <v>32234</v>
      </c>
      <c r="L364">
        <v>0</v>
      </c>
      <c r="M364">
        <v>0</v>
      </c>
    </row>
    <row r="365" spans="1:13" x14ac:dyDescent="0.35">
      <c r="A365" s="120">
        <v>32264</v>
      </c>
      <c r="L365">
        <v>0</v>
      </c>
      <c r="M365">
        <v>0</v>
      </c>
    </row>
    <row r="366" spans="1:13" x14ac:dyDescent="0.35">
      <c r="A366" s="120">
        <v>32295</v>
      </c>
      <c r="L366">
        <v>0</v>
      </c>
      <c r="M366">
        <v>0</v>
      </c>
    </row>
    <row r="367" spans="1:13" x14ac:dyDescent="0.35">
      <c r="A367" s="120">
        <v>32325</v>
      </c>
      <c r="L367">
        <v>0</v>
      </c>
      <c r="M367">
        <v>0</v>
      </c>
    </row>
    <row r="368" spans="1:13" x14ac:dyDescent="0.35">
      <c r="A368" s="120">
        <v>32356</v>
      </c>
      <c r="L368">
        <v>0</v>
      </c>
      <c r="M368">
        <v>0</v>
      </c>
    </row>
    <row r="369" spans="1:13" x14ac:dyDescent="0.35">
      <c r="A369" s="120">
        <v>32387</v>
      </c>
      <c r="L369">
        <v>0</v>
      </c>
      <c r="M369">
        <v>0</v>
      </c>
    </row>
    <row r="370" spans="1:13" x14ac:dyDescent="0.35">
      <c r="A370" s="120">
        <v>32417</v>
      </c>
      <c r="L370">
        <v>0</v>
      </c>
      <c r="M370">
        <v>0</v>
      </c>
    </row>
    <row r="371" spans="1:13" x14ac:dyDescent="0.35">
      <c r="A371" s="120">
        <v>32448</v>
      </c>
      <c r="L371">
        <v>0</v>
      </c>
      <c r="M371">
        <v>0</v>
      </c>
    </row>
    <row r="372" spans="1:13" x14ac:dyDescent="0.35">
      <c r="A372" s="120">
        <v>32478</v>
      </c>
      <c r="L372">
        <v>0</v>
      </c>
      <c r="M372">
        <v>0</v>
      </c>
    </row>
    <row r="373" spans="1:13" x14ac:dyDescent="0.35">
      <c r="A373" s="120">
        <v>32509</v>
      </c>
      <c r="L373">
        <v>0</v>
      </c>
      <c r="M373">
        <v>0</v>
      </c>
    </row>
    <row r="374" spans="1:13" x14ac:dyDescent="0.35">
      <c r="A374" s="120">
        <v>32540</v>
      </c>
      <c r="L374">
        <v>0</v>
      </c>
      <c r="M374">
        <v>0</v>
      </c>
    </row>
    <row r="375" spans="1:13" x14ac:dyDescent="0.35">
      <c r="A375" s="120">
        <v>32568</v>
      </c>
      <c r="L375">
        <v>0</v>
      </c>
      <c r="M375">
        <v>0</v>
      </c>
    </row>
    <row r="376" spans="1:13" x14ac:dyDescent="0.35">
      <c r="A376" s="120">
        <v>32599</v>
      </c>
      <c r="L376">
        <v>0</v>
      </c>
      <c r="M376">
        <v>0</v>
      </c>
    </row>
    <row r="377" spans="1:13" x14ac:dyDescent="0.35">
      <c r="A377" s="120">
        <v>32629</v>
      </c>
      <c r="L377">
        <v>0</v>
      </c>
      <c r="M377">
        <v>0</v>
      </c>
    </row>
    <row r="378" spans="1:13" x14ac:dyDescent="0.35">
      <c r="A378" s="120">
        <v>32660</v>
      </c>
      <c r="L378">
        <v>0</v>
      </c>
      <c r="M378">
        <v>0</v>
      </c>
    </row>
    <row r="379" spans="1:13" x14ac:dyDescent="0.35">
      <c r="A379" s="120">
        <v>32690</v>
      </c>
      <c r="L379">
        <v>0</v>
      </c>
      <c r="M379">
        <v>0</v>
      </c>
    </row>
    <row r="380" spans="1:13" x14ac:dyDescent="0.35">
      <c r="A380" s="120">
        <v>32721</v>
      </c>
      <c r="L380">
        <v>0</v>
      </c>
      <c r="M380">
        <v>0</v>
      </c>
    </row>
    <row r="381" spans="1:13" x14ac:dyDescent="0.35">
      <c r="A381" s="120">
        <v>32752</v>
      </c>
      <c r="L381">
        <v>0</v>
      </c>
      <c r="M381">
        <v>0</v>
      </c>
    </row>
    <row r="382" spans="1:13" x14ac:dyDescent="0.35">
      <c r="A382" s="120">
        <v>32782</v>
      </c>
      <c r="L382">
        <v>0</v>
      </c>
      <c r="M382">
        <v>0</v>
      </c>
    </row>
    <row r="383" spans="1:13" x14ac:dyDescent="0.35">
      <c r="A383" s="120">
        <v>32813</v>
      </c>
      <c r="L383">
        <v>0</v>
      </c>
      <c r="M383">
        <v>0</v>
      </c>
    </row>
    <row r="384" spans="1:13" x14ac:dyDescent="0.35">
      <c r="A384" s="120">
        <v>32843</v>
      </c>
      <c r="L384">
        <v>0</v>
      </c>
      <c r="M384">
        <v>0</v>
      </c>
    </row>
    <row r="385" spans="1:13" x14ac:dyDescent="0.35">
      <c r="A385" s="120">
        <v>32874</v>
      </c>
      <c r="L385">
        <v>0</v>
      </c>
      <c r="M385">
        <v>0</v>
      </c>
    </row>
    <row r="386" spans="1:13" x14ac:dyDescent="0.35">
      <c r="A386" s="120">
        <v>32905</v>
      </c>
      <c r="L386">
        <v>0</v>
      </c>
      <c r="M386">
        <v>0</v>
      </c>
    </row>
    <row r="387" spans="1:13" x14ac:dyDescent="0.35">
      <c r="A387" s="120">
        <v>32933</v>
      </c>
      <c r="L387">
        <v>0</v>
      </c>
      <c r="M387">
        <v>0</v>
      </c>
    </row>
    <row r="388" spans="1:13" x14ac:dyDescent="0.35">
      <c r="A388" s="120">
        <v>32964</v>
      </c>
      <c r="L388">
        <v>0</v>
      </c>
      <c r="M388">
        <v>0</v>
      </c>
    </row>
    <row r="389" spans="1:13" x14ac:dyDescent="0.35">
      <c r="A389" s="120">
        <v>32994</v>
      </c>
      <c r="L389">
        <v>0</v>
      </c>
      <c r="M389">
        <v>0</v>
      </c>
    </row>
    <row r="390" spans="1:13" x14ac:dyDescent="0.35">
      <c r="A390" s="120">
        <v>33025</v>
      </c>
      <c r="L390">
        <v>0</v>
      </c>
      <c r="M390">
        <v>0</v>
      </c>
    </row>
    <row r="391" spans="1:13" x14ac:dyDescent="0.35">
      <c r="A391" s="120">
        <v>33055</v>
      </c>
      <c r="L391">
        <v>0</v>
      </c>
      <c r="M391">
        <v>0</v>
      </c>
    </row>
    <row r="392" spans="1:13" x14ac:dyDescent="0.35">
      <c r="A392" s="120">
        <v>33086</v>
      </c>
      <c r="L392">
        <v>0</v>
      </c>
      <c r="M392">
        <v>0</v>
      </c>
    </row>
    <row r="393" spans="1:13" x14ac:dyDescent="0.35">
      <c r="A393" s="120">
        <v>33117</v>
      </c>
      <c r="L393">
        <v>0</v>
      </c>
      <c r="M393">
        <v>0</v>
      </c>
    </row>
    <row r="394" spans="1:13" x14ac:dyDescent="0.35">
      <c r="A394" s="120">
        <v>33147</v>
      </c>
      <c r="L394">
        <v>0</v>
      </c>
      <c r="M394">
        <v>0</v>
      </c>
    </row>
    <row r="395" spans="1:13" x14ac:dyDescent="0.35">
      <c r="A395" s="120">
        <v>33178</v>
      </c>
      <c r="L395">
        <v>0</v>
      </c>
      <c r="M395">
        <v>0</v>
      </c>
    </row>
    <row r="396" spans="1:13" x14ac:dyDescent="0.35">
      <c r="A396" s="120">
        <v>33208</v>
      </c>
      <c r="L396">
        <v>0</v>
      </c>
      <c r="M396">
        <v>0</v>
      </c>
    </row>
    <row r="397" spans="1:13" x14ac:dyDescent="0.35">
      <c r="A397" s="120">
        <v>33239</v>
      </c>
      <c r="L397">
        <v>0</v>
      </c>
      <c r="M397">
        <v>0</v>
      </c>
    </row>
    <row r="398" spans="1:13" x14ac:dyDescent="0.35">
      <c r="A398" s="120">
        <v>33270</v>
      </c>
      <c r="L398">
        <v>0</v>
      </c>
      <c r="M398">
        <v>0</v>
      </c>
    </row>
    <row r="399" spans="1:13" x14ac:dyDescent="0.35">
      <c r="A399" s="120">
        <v>33298</v>
      </c>
      <c r="L399">
        <v>0</v>
      </c>
      <c r="M399">
        <v>0</v>
      </c>
    </row>
    <row r="400" spans="1:13" x14ac:dyDescent="0.35">
      <c r="A400" s="120">
        <v>33329</v>
      </c>
      <c r="L400">
        <v>0</v>
      </c>
      <c r="M400">
        <v>0</v>
      </c>
    </row>
    <row r="401" spans="1:13" x14ac:dyDescent="0.35">
      <c r="A401" s="120">
        <v>33359</v>
      </c>
      <c r="L401">
        <v>0</v>
      </c>
      <c r="M401">
        <v>0</v>
      </c>
    </row>
    <row r="402" spans="1:13" x14ac:dyDescent="0.35">
      <c r="A402" s="120">
        <v>33390</v>
      </c>
      <c r="L402">
        <v>0</v>
      </c>
      <c r="M402">
        <v>0</v>
      </c>
    </row>
    <row r="403" spans="1:13" x14ac:dyDescent="0.35">
      <c r="A403" s="120">
        <v>33420</v>
      </c>
      <c r="L403">
        <v>0</v>
      </c>
      <c r="M403">
        <v>0</v>
      </c>
    </row>
    <row r="404" spans="1:13" x14ac:dyDescent="0.35">
      <c r="A404" s="120">
        <v>33451</v>
      </c>
      <c r="L404">
        <v>0</v>
      </c>
      <c r="M404">
        <v>0</v>
      </c>
    </row>
    <row r="405" spans="1:13" x14ac:dyDescent="0.35">
      <c r="A405" s="120">
        <v>33482</v>
      </c>
      <c r="L405">
        <v>0</v>
      </c>
      <c r="M405">
        <v>0</v>
      </c>
    </row>
    <row r="406" spans="1:13" x14ac:dyDescent="0.35">
      <c r="A406" s="120">
        <v>33512</v>
      </c>
      <c r="L406">
        <v>0</v>
      </c>
      <c r="M406">
        <v>0</v>
      </c>
    </row>
    <row r="407" spans="1:13" x14ac:dyDescent="0.35">
      <c r="A407" s="120">
        <v>33543</v>
      </c>
      <c r="L407">
        <v>0</v>
      </c>
      <c r="M407">
        <v>0</v>
      </c>
    </row>
    <row r="408" spans="1:13" x14ac:dyDescent="0.35">
      <c r="A408" s="120">
        <v>33573</v>
      </c>
      <c r="L408">
        <v>0</v>
      </c>
      <c r="M408">
        <v>0</v>
      </c>
    </row>
    <row r="409" spans="1:13" x14ac:dyDescent="0.35">
      <c r="A409" s="120">
        <v>33604</v>
      </c>
      <c r="K409">
        <v>35110</v>
      </c>
      <c r="L409">
        <v>0</v>
      </c>
      <c r="M409">
        <v>0</v>
      </c>
    </row>
    <row r="410" spans="1:13" x14ac:dyDescent="0.35">
      <c r="A410" s="120">
        <v>33635</v>
      </c>
      <c r="B410">
        <v>9777</v>
      </c>
      <c r="C410">
        <v>13385</v>
      </c>
      <c r="D410">
        <v>14202</v>
      </c>
      <c r="E410">
        <v>19538</v>
      </c>
      <c r="F410">
        <v>6199</v>
      </c>
      <c r="G410">
        <v>31604</v>
      </c>
      <c r="H410">
        <v>106189</v>
      </c>
      <c r="I410">
        <v>82931</v>
      </c>
      <c r="J410">
        <v>82864</v>
      </c>
      <c r="K410">
        <v>33899</v>
      </c>
      <c r="L410">
        <v>114535</v>
      </c>
      <c r="M410">
        <v>33857</v>
      </c>
    </row>
    <row r="411" spans="1:13" x14ac:dyDescent="0.35">
      <c r="A411" s="120">
        <v>33664</v>
      </c>
      <c r="B411">
        <v>10283</v>
      </c>
      <c r="C411">
        <v>13542</v>
      </c>
      <c r="D411">
        <v>15050</v>
      </c>
      <c r="E411">
        <v>19720</v>
      </c>
      <c r="F411">
        <v>6614</v>
      </c>
      <c r="G411">
        <v>34300</v>
      </c>
      <c r="H411">
        <v>113354</v>
      </c>
      <c r="I411">
        <v>85725</v>
      </c>
      <c r="J411">
        <v>86424</v>
      </c>
      <c r="K411">
        <v>35629</v>
      </c>
      <c r="L411">
        <v>120025</v>
      </c>
      <c r="M411">
        <v>35258</v>
      </c>
    </row>
    <row r="412" spans="1:13" x14ac:dyDescent="0.35">
      <c r="A412" s="120">
        <v>33695</v>
      </c>
      <c r="B412">
        <v>10452</v>
      </c>
      <c r="C412">
        <v>13441</v>
      </c>
      <c r="D412">
        <v>15704</v>
      </c>
      <c r="E412">
        <v>19017</v>
      </c>
      <c r="F412">
        <v>6858</v>
      </c>
      <c r="G412">
        <v>37866</v>
      </c>
      <c r="H412">
        <v>115995</v>
      </c>
      <c r="I412">
        <v>86604</v>
      </c>
      <c r="J412">
        <v>90805</v>
      </c>
      <c r="K412">
        <v>36044</v>
      </c>
      <c r="L412">
        <v>124470</v>
      </c>
      <c r="M412">
        <v>35992</v>
      </c>
    </row>
    <row r="413" spans="1:13" x14ac:dyDescent="0.35">
      <c r="A413" s="120">
        <v>33725</v>
      </c>
      <c r="B413">
        <v>10779</v>
      </c>
      <c r="C413">
        <v>14086</v>
      </c>
      <c r="D413">
        <v>15439</v>
      </c>
      <c r="E413">
        <v>20433</v>
      </c>
      <c r="F413">
        <v>6825</v>
      </c>
      <c r="G413">
        <v>37482</v>
      </c>
      <c r="H413">
        <v>117605</v>
      </c>
      <c r="I413">
        <v>88340</v>
      </c>
      <c r="J413">
        <v>91120</v>
      </c>
      <c r="K413">
        <v>35942</v>
      </c>
      <c r="L413">
        <v>125822</v>
      </c>
      <c r="M413">
        <v>36811</v>
      </c>
    </row>
    <row r="414" spans="1:13" x14ac:dyDescent="0.35">
      <c r="A414" s="120">
        <v>33756</v>
      </c>
      <c r="B414">
        <v>10822</v>
      </c>
      <c r="C414">
        <v>14416</v>
      </c>
      <c r="D414">
        <v>16029</v>
      </c>
      <c r="E414">
        <v>19551</v>
      </c>
      <c r="F414">
        <v>6606</v>
      </c>
      <c r="G414">
        <v>34615</v>
      </c>
      <c r="H414">
        <v>115878</v>
      </c>
      <c r="I414">
        <v>88219</v>
      </c>
      <c r="J414">
        <v>88649</v>
      </c>
      <c r="K414">
        <v>36349</v>
      </c>
      <c r="L414">
        <v>122834</v>
      </c>
      <c r="M414">
        <v>36666</v>
      </c>
    </row>
    <row r="415" spans="1:13" x14ac:dyDescent="0.35">
      <c r="A415" s="120">
        <v>33786</v>
      </c>
      <c r="B415">
        <v>10801</v>
      </c>
      <c r="C415">
        <v>13991</v>
      </c>
      <c r="D415">
        <v>15458</v>
      </c>
      <c r="E415">
        <v>19700</v>
      </c>
      <c r="F415">
        <v>6782</v>
      </c>
      <c r="G415">
        <v>34863</v>
      </c>
      <c r="H415">
        <v>116709</v>
      </c>
      <c r="I415">
        <v>87727</v>
      </c>
      <c r="J415">
        <v>87342</v>
      </c>
      <c r="K415">
        <v>36850</v>
      </c>
      <c r="L415">
        <v>122590</v>
      </c>
      <c r="M415">
        <v>36629</v>
      </c>
    </row>
    <row r="416" spans="1:13" x14ac:dyDescent="0.35">
      <c r="A416" s="120">
        <v>33817</v>
      </c>
      <c r="B416">
        <v>10778</v>
      </c>
      <c r="C416">
        <v>14156</v>
      </c>
      <c r="D416">
        <v>15379</v>
      </c>
      <c r="E416">
        <v>19482</v>
      </c>
      <c r="F416">
        <v>6921</v>
      </c>
      <c r="G416">
        <v>32914</v>
      </c>
      <c r="H416">
        <v>114544</v>
      </c>
      <c r="I416">
        <v>87497</v>
      </c>
      <c r="J416">
        <v>85995</v>
      </c>
      <c r="K416">
        <v>36373</v>
      </c>
      <c r="L416">
        <v>120411</v>
      </c>
      <c r="M416">
        <v>36131</v>
      </c>
    </row>
    <row r="417" spans="1:13" x14ac:dyDescent="0.35">
      <c r="A417" s="120">
        <v>33848</v>
      </c>
      <c r="B417">
        <v>9907</v>
      </c>
      <c r="C417">
        <v>14560</v>
      </c>
      <c r="D417">
        <v>16511</v>
      </c>
      <c r="E417">
        <v>20030</v>
      </c>
      <c r="F417">
        <v>6746</v>
      </c>
      <c r="G417">
        <v>32030</v>
      </c>
      <c r="H417">
        <v>114022</v>
      </c>
      <c r="I417">
        <v>88681</v>
      </c>
      <c r="J417">
        <v>86668</v>
      </c>
      <c r="K417">
        <v>37262</v>
      </c>
      <c r="L417">
        <v>120711</v>
      </c>
      <c r="M417">
        <v>37629</v>
      </c>
    </row>
    <row r="418" spans="1:13" x14ac:dyDescent="0.35">
      <c r="A418" s="120">
        <v>33878</v>
      </c>
      <c r="B418">
        <v>9896</v>
      </c>
      <c r="C418">
        <v>14541</v>
      </c>
      <c r="D418">
        <v>15630</v>
      </c>
      <c r="E418">
        <v>19187</v>
      </c>
      <c r="F418">
        <v>6975</v>
      </c>
      <c r="G418">
        <v>40328</v>
      </c>
      <c r="H418">
        <v>115727</v>
      </c>
      <c r="I418">
        <v>87064</v>
      </c>
      <c r="J418">
        <v>93051</v>
      </c>
      <c r="K418">
        <v>36576</v>
      </c>
      <c r="L418">
        <v>127392</v>
      </c>
      <c r="M418">
        <v>36668</v>
      </c>
    </row>
    <row r="419" spans="1:13" x14ac:dyDescent="0.35">
      <c r="A419" s="120">
        <v>33909</v>
      </c>
      <c r="B419">
        <v>10100</v>
      </c>
      <c r="C419">
        <v>14301</v>
      </c>
      <c r="D419">
        <v>16071</v>
      </c>
      <c r="E419">
        <v>21027</v>
      </c>
      <c r="F419">
        <v>6984</v>
      </c>
      <c r="G419">
        <v>32877</v>
      </c>
      <c r="H419">
        <v>114116</v>
      </c>
      <c r="I419">
        <v>89497</v>
      </c>
      <c r="J419">
        <v>87613</v>
      </c>
      <c r="K419">
        <v>36647</v>
      </c>
      <c r="L419">
        <v>122374</v>
      </c>
      <c r="M419">
        <v>37573</v>
      </c>
    </row>
    <row r="420" spans="1:13" x14ac:dyDescent="0.35">
      <c r="A420" s="120">
        <v>33939</v>
      </c>
      <c r="B420">
        <v>10602</v>
      </c>
      <c r="C420">
        <v>14938</v>
      </c>
      <c r="D420">
        <v>16704</v>
      </c>
      <c r="E420">
        <v>21666</v>
      </c>
      <c r="F420">
        <v>6853</v>
      </c>
      <c r="G420">
        <v>34721</v>
      </c>
      <c r="H420">
        <v>117702</v>
      </c>
      <c r="I420">
        <v>91359</v>
      </c>
      <c r="J420">
        <v>91480</v>
      </c>
      <c r="K420">
        <v>38225</v>
      </c>
      <c r="L420">
        <v>126080</v>
      </c>
      <c r="M420">
        <v>38374</v>
      </c>
    </row>
    <row r="421" spans="1:13" x14ac:dyDescent="0.35">
      <c r="A421" s="120">
        <v>33970</v>
      </c>
      <c r="B421">
        <v>10891</v>
      </c>
      <c r="C421">
        <v>13919</v>
      </c>
      <c r="D421">
        <v>16286</v>
      </c>
      <c r="E421">
        <v>20541</v>
      </c>
      <c r="F421">
        <v>7236</v>
      </c>
      <c r="G421">
        <v>30563</v>
      </c>
      <c r="H421">
        <v>115615</v>
      </c>
      <c r="I421">
        <v>91074</v>
      </c>
      <c r="J421">
        <v>85937</v>
      </c>
      <c r="K421">
        <v>37790</v>
      </c>
      <c r="L421">
        <v>121637</v>
      </c>
      <c r="M421">
        <v>37041</v>
      </c>
    </row>
    <row r="422" spans="1:13" x14ac:dyDescent="0.35">
      <c r="A422" s="120">
        <v>34001</v>
      </c>
      <c r="B422">
        <v>10670</v>
      </c>
      <c r="C422">
        <v>14272</v>
      </c>
      <c r="D422">
        <v>15365</v>
      </c>
      <c r="E422">
        <v>20113</v>
      </c>
      <c r="F422">
        <v>7188</v>
      </c>
      <c r="G422">
        <v>38406</v>
      </c>
      <c r="H422">
        <v>121420</v>
      </c>
      <c r="I422">
        <v>90448</v>
      </c>
      <c r="J422">
        <v>92361</v>
      </c>
      <c r="K422">
        <v>37158</v>
      </c>
      <c r="L422">
        <v>128854</v>
      </c>
      <c r="M422">
        <v>36962</v>
      </c>
    </row>
    <row r="423" spans="1:13" x14ac:dyDescent="0.35">
      <c r="A423" s="120">
        <v>34029</v>
      </c>
      <c r="B423">
        <v>11682</v>
      </c>
      <c r="C423">
        <v>14265</v>
      </c>
      <c r="D423">
        <v>16021</v>
      </c>
      <c r="E423">
        <v>20413</v>
      </c>
      <c r="F423">
        <v>7163</v>
      </c>
      <c r="G423">
        <v>34839</v>
      </c>
      <c r="H423">
        <v>118717</v>
      </c>
      <c r="I423">
        <v>91923</v>
      </c>
      <c r="J423">
        <v>90529</v>
      </c>
      <c r="K423">
        <v>37713</v>
      </c>
      <c r="L423">
        <v>126762</v>
      </c>
      <c r="M423">
        <v>36895</v>
      </c>
    </row>
    <row r="424" spans="1:13" x14ac:dyDescent="0.35">
      <c r="A424" s="120">
        <v>34060</v>
      </c>
      <c r="B424">
        <v>10450</v>
      </c>
      <c r="C424">
        <v>14368</v>
      </c>
      <c r="D424">
        <v>16200</v>
      </c>
      <c r="E424">
        <v>20516</v>
      </c>
      <c r="F424">
        <v>7188</v>
      </c>
      <c r="G424">
        <v>35695</v>
      </c>
      <c r="H424">
        <v>120216</v>
      </c>
      <c r="I424">
        <v>91700</v>
      </c>
      <c r="J424">
        <v>91131</v>
      </c>
      <c r="K424">
        <v>37231</v>
      </c>
      <c r="L424">
        <v>127395</v>
      </c>
      <c r="M424">
        <v>37729</v>
      </c>
    </row>
    <row r="425" spans="1:13" x14ac:dyDescent="0.35">
      <c r="A425" s="120">
        <v>34090</v>
      </c>
      <c r="B425">
        <v>10564</v>
      </c>
      <c r="C425">
        <v>14205</v>
      </c>
      <c r="D425">
        <v>16437</v>
      </c>
      <c r="E425">
        <v>20495</v>
      </c>
      <c r="F425">
        <v>7312</v>
      </c>
      <c r="G425">
        <v>35036</v>
      </c>
      <c r="H425">
        <v>119649</v>
      </c>
      <c r="I425">
        <v>91493</v>
      </c>
      <c r="J425">
        <v>89831</v>
      </c>
      <c r="K425">
        <v>37869</v>
      </c>
      <c r="L425">
        <v>126529</v>
      </c>
      <c r="M425">
        <v>37869</v>
      </c>
    </row>
    <row r="426" spans="1:13" x14ac:dyDescent="0.35">
      <c r="A426" s="120">
        <v>34121</v>
      </c>
      <c r="B426">
        <v>10692</v>
      </c>
      <c r="C426">
        <v>14456</v>
      </c>
      <c r="D426">
        <v>16781</v>
      </c>
      <c r="E426">
        <v>19770</v>
      </c>
      <c r="F426">
        <v>7197</v>
      </c>
      <c r="G426">
        <v>39073</v>
      </c>
      <c r="H426">
        <v>124266</v>
      </c>
      <c r="I426">
        <v>91139</v>
      </c>
      <c r="J426">
        <v>93493</v>
      </c>
      <c r="K426">
        <v>38235</v>
      </c>
      <c r="L426">
        <v>130212</v>
      </c>
      <c r="M426">
        <v>38381</v>
      </c>
    </row>
    <row r="427" spans="1:13" x14ac:dyDescent="0.35">
      <c r="A427" s="120">
        <v>34151</v>
      </c>
      <c r="B427">
        <v>10427</v>
      </c>
      <c r="C427">
        <v>14738</v>
      </c>
      <c r="D427">
        <v>16926</v>
      </c>
      <c r="E427">
        <v>20734</v>
      </c>
      <c r="F427">
        <v>7337</v>
      </c>
      <c r="G427">
        <v>35615</v>
      </c>
      <c r="H427">
        <v>119325</v>
      </c>
      <c r="I427">
        <v>92496</v>
      </c>
      <c r="J427">
        <v>92023</v>
      </c>
      <c r="K427">
        <v>38318</v>
      </c>
      <c r="L427">
        <v>128111</v>
      </c>
      <c r="M427">
        <v>38915</v>
      </c>
    </row>
    <row r="428" spans="1:13" x14ac:dyDescent="0.35">
      <c r="A428" s="120">
        <v>34182</v>
      </c>
      <c r="B428">
        <v>10411</v>
      </c>
      <c r="C428">
        <v>14787</v>
      </c>
      <c r="D428">
        <v>16913</v>
      </c>
      <c r="E428">
        <v>21352</v>
      </c>
      <c r="F428">
        <v>7508</v>
      </c>
      <c r="G428">
        <v>35954</v>
      </c>
      <c r="H428">
        <v>121450</v>
      </c>
      <c r="I428">
        <v>93424</v>
      </c>
      <c r="J428">
        <v>94226</v>
      </c>
      <c r="K428">
        <v>38394</v>
      </c>
      <c r="L428">
        <v>129378</v>
      </c>
      <c r="M428">
        <v>39309</v>
      </c>
    </row>
    <row r="429" spans="1:13" x14ac:dyDescent="0.35">
      <c r="A429" s="120">
        <v>34213</v>
      </c>
      <c r="B429">
        <v>10836</v>
      </c>
      <c r="C429">
        <v>15065</v>
      </c>
      <c r="D429">
        <v>17396</v>
      </c>
      <c r="E429">
        <v>20750</v>
      </c>
      <c r="F429">
        <v>7609</v>
      </c>
      <c r="G429">
        <v>33151</v>
      </c>
      <c r="H429">
        <v>120779</v>
      </c>
      <c r="I429">
        <v>94082</v>
      </c>
      <c r="J429">
        <v>90477</v>
      </c>
      <c r="K429">
        <v>39656</v>
      </c>
      <c r="L429">
        <v>127233</v>
      </c>
      <c r="M429">
        <v>39307</v>
      </c>
    </row>
    <row r="430" spans="1:13" x14ac:dyDescent="0.35">
      <c r="A430" s="120">
        <v>34243</v>
      </c>
      <c r="B430">
        <v>10919</v>
      </c>
      <c r="C430">
        <v>15188</v>
      </c>
      <c r="D430">
        <v>17276</v>
      </c>
      <c r="E430">
        <v>22212</v>
      </c>
      <c r="F430">
        <v>7546</v>
      </c>
      <c r="G430">
        <v>37135</v>
      </c>
      <c r="H430">
        <v>125808</v>
      </c>
      <c r="I430">
        <v>96033</v>
      </c>
      <c r="J430">
        <v>94772</v>
      </c>
      <c r="K430">
        <v>39814</v>
      </c>
      <c r="L430">
        <v>133168</v>
      </c>
      <c r="M430">
        <v>40550</v>
      </c>
    </row>
    <row r="431" spans="1:13" x14ac:dyDescent="0.35">
      <c r="A431" s="120">
        <v>34274</v>
      </c>
      <c r="B431">
        <v>10830</v>
      </c>
      <c r="C431">
        <v>14524</v>
      </c>
      <c r="D431">
        <v>17210</v>
      </c>
      <c r="E431">
        <v>21504</v>
      </c>
      <c r="F431">
        <v>7549</v>
      </c>
      <c r="G431">
        <v>35941</v>
      </c>
      <c r="H431">
        <v>124269</v>
      </c>
      <c r="I431">
        <v>94450</v>
      </c>
      <c r="J431">
        <v>92009</v>
      </c>
      <c r="K431">
        <v>40070</v>
      </c>
      <c r="L431">
        <v>130391</v>
      </c>
      <c r="M431">
        <v>40301</v>
      </c>
    </row>
    <row r="432" spans="1:13" x14ac:dyDescent="0.35">
      <c r="A432" s="120">
        <v>34304</v>
      </c>
      <c r="B432">
        <v>10659</v>
      </c>
      <c r="C432">
        <v>16356</v>
      </c>
      <c r="D432">
        <v>19964</v>
      </c>
      <c r="E432">
        <v>19601</v>
      </c>
      <c r="F432">
        <v>7412</v>
      </c>
      <c r="G432">
        <v>35708</v>
      </c>
      <c r="H432">
        <v>127594</v>
      </c>
      <c r="I432">
        <v>97857</v>
      </c>
      <c r="J432">
        <v>94944</v>
      </c>
      <c r="K432">
        <v>41523</v>
      </c>
      <c r="L432">
        <v>133565</v>
      </c>
      <c r="M432">
        <v>43296</v>
      </c>
    </row>
    <row r="433" spans="1:13" x14ac:dyDescent="0.35">
      <c r="A433" s="120">
        <v>34335</v>
      </c>
      <c r="B433">
        <v>10842</v>
      </c>
      <c r="C433">
        <v>15603</v>
      </c>
      <c r="D433">
        <v>17444</v>
      </c>
      <c r="E433">
        <v>21516</v>
      </c>
      <c r="F433">
        <v>7807</v>
      </c>
      <c r="G433">
        <v>41248</v>
      </c>
      <c r="H433">
        <v>130159</v>
      </c>
      <c r="I433">
        <v>97250</v>
      </c>
      <c r="J433">
        <v>98647</v>
      </c>
      <c r="K433">
        <v>40254</v>
      </c>
      <c r="L433">
        <v>138498</v>
      </c>
      <c r="M433">
        <v>39801</v>
      </c>
    </row>
    <row r="434" spans="1:13" x14ac:dyDescent="0.35">
      <c r="A434" s="120">
        <v>34366</v>
      </c>
      <c r="B434">
        <v>11246</v>
      </c>
      <c r="C434">
        <v>15294</v>
      </c>
      <c r="D434">
        <v>18254</v>
      </c>
      <c r="E434">
        <v>22300</v>
      </c>
      <c r="F434">
        <v>7955</v>
      </c>
      <c r="G434">
        <v>38421</v>
      </c>
      <c r="H434">
        <v>131270</v>
      </c>
      <c r="I434">
        <v>98720</v>
      </c>
      <c r="J434">
        <v>97358</v>
      </c>
      <c r="K434">
        <v>41273</v>
      </c>
      <c r="L434">
        <v>137141</v>
      </c>
      <c r="M434">
        <v>41736</v>
      </c>
    </row>
    <row r="435" spans="1:13" x14ac:dyDescent="0.35">
      <c r="A435" s="120">
        <v>34394</v>
      </c>
      <c r="B435">
        <v>11727</v>
      </c>
      <c r="C435">
        <v>16330</v>
      </c>
      <c r="D435">
        <v>17949</v>
      </c>
      <c r="E435">
        <v>20509</v>
      </c>
      <c r="F435">
        <v>7799</v>
      </c>
      <c r="G435">
        <v>38051</v>
      </c>
      <c r="H435">
        <v>131368</v>
      </c>
      <c r="I435">
        <v>98497</v>
      </c>
      <c r="J435">
        <v>96706</v>
      </c>
      <c r="K435">
        <v>40601</v>
      </c>
      <c r="L435">
        <v>136548</v>
      </c>
      <c r="M435">
        <v>41245</v>
      </c>
    </row>
    <row r="436" spans="1:13" x14ac:dyDescent="0.35">
      <c r="A436" s="120">
        <v>34425</v>
      </c>
      <c r="B436">
        <v>11530</v>
      </c>
      <c r="C436">
        <v>15786</v>
      </c>
      <c r="D436">
        <v>18595</v>
      </c>
      <c r="E436">
        <v>22665</v>
      </c>
      <c r="F436">
        <v>8129</v>
      </c>
      <c r="G436">
        <v>39235</v>
      </c>
      <c r="H436">
        <v>134410</v>
      </c>
      <c r="I436">
        <v>101101</v>
      </c>
      <c r="J436">
        <v>99591</v>
      </c>
      <c r="K436">
        <v>41814</v>
      </c>
      <c r="L436">
        <v>140336</v>
      </c>
      <c r="M436">
        <v>42992</v>
      </c>
    </row>
    <row r="437" spans="1:13" x14ac:dyDescent="0.35">
      <c r="A437" s="120">
        <v>34455</v>
      </c>
      <c r="B437">
        <v>12012</v>
      </c>
      <c r="C437">
        <v>16252</v>
      </c>
      <c r="D437">
        <v>18973</v>
      </c>
      <c r="E437">
        <v>22505</v>
      </c>
      <c r="F437">
        <v>8132</v>
      </c>
      <c r="G437">
        <v>40007</v>
      </c>
      <c r="H437">
        <v>135316</v>
      </c>
      <c r="I437">
        <v>102623</v>
      </c>
      <c r="J437">
        <v>101522</v>
      </c>
      <c r="K437">
        <v>42432</v>
      </c>
      <c r="L437">
        <v>142630</v>
      </c>
      <c r="M437">
        <v>42849</v>
      </c>
    </row>
    <row r="438" spans="1:13" x14ac:dyDescent="0.35">
      <c r="A438" s="120">
        <v>34486</v>
      </c>
      <c r="B438">
        <v>12102</v>
      </c>
      <c r="C438">
        <v>16443</v>
      </c>
      <c r="D438">
        <v>20095</v>
      </c>
      <c r="E438">
        <v>23421</v>
      </c>
      <c r="F438">
        <v>8137</v>
      </c>
      <c r="G438">
        <v>40588</v>
      </c>
      <c r="H438">
        <v>138289</v>
      </c>
      <c r="I438">
        <v>104475</v>
      </c>
      <c r="J438">
        <v>103928</v>
      </c>
      <c r="K438">
        <v>42693</v>
      </c>
      <c r="L438">
        <v>145063</v>
      </c>
      <c r="M438">
        <v>44555</v>
      </c>
    </row>
    <row r="439" spans="1:13" x14ac:dyDescent="0.35">
      <c r="A439" s="120">
        <v>34516</v>
      </c>
      <c r="B439">
        <v>12217</v>
      </c>
      <c r="C439">
        <v>16502</v>
      </c>
      <c r="D439">
        <v>19528</v>
      </c>
      <c r="E439">
        <v>23762</v>
      </c>
      <c r="F439">
        <v>8307</v>
      </c>
      <c r="G439">
        <v>40172</v>
      </c>
      <c r="H439">
        <v>138141</v>
      </c>
      <c r="I439">
        <v>104841</v>
      </c>
      <c r="J439">
        <v>103538</v>
      </c>
      <c r="K439">
        <v>42885</v>
      </c>
      <c r="L439">
        <v>145013</v>
      </c>
      <c r="M439">
        <v>44016</v>
      </c>
    </row>
    <row r="440" spans="1:13" x14ac:dyDescent="0.35">
      <c r="A440" s="120">
        <v>34547</v>
      </c>
      <c r="B440">
        <v>12085</v>
      </c>
      <c r="C440">
        <v>16767</v>
      </c>
      <c r="D440">
        <v>20035</v>
      </c>
      <c r="E440">
        <v>22975</v>
      </c>
      <c r="F440">
        <v>7812</v>
      </c>
      <c r="G440">
        <v>41980</v>
      </c>
      <c r="H440">
        <v>139058</v>
      </c>
      <c r="I440">
        <v>103904</v>
      </c>
      <c r="J440">
        <v>103907</v>
      </c>
      <c r="K440">
        <v>43076</v>
      </c>
      <c r="L440">
        <v>145884</v>
      </c>
      <c r="M440">
        <v>44406</v>
      </c>
    </row>
    <row r="441" spans="1:13" x14ac:dyDescent="0.35">
      <c r="A441" s="120">
        <v>34578</v>
      </c>
      <c r="B441">
        <v>13113</v>
      </c>
      <c r="C441">
        <v>16326</v>
      </c>
      <c r="D441">
        <v>19847</v>
      </c>
      <c r="E441">
        <v>23340</v>
      </c>
      <c r="F441">
        <v>8099</v>
      </c>
      <c r="G441">
        <v>40661</v>
      </c>
      <c r="H441">
        <v>139135</v>
      </c>
      <c r="I441">
        <v>104826</v>
      </c>
      <c r="J441">
        <v>104150</v>
      </c>
      <c r="K441">
        <v>43322</v>
      </c>
      <c r="L441">
        <v>145487</v>
      </c>
      <c r="M441">
        <v>44507</v>
      </c>
    </row>
    <row r="442" spans="1:13" x14ac:dyDescent="0.35">
      <c r="A442" s="120">
        <v>34608</v>
      </c>
      <c r="B442">
        <v>13177</v>
      </c>
      <c r="C442">
        <v>16853</v>
      </c>
      <c r="D442">
        <v>20784</v>
      </c>
      <c r="E442">
        <v>24094</v>
      </c>
      <c r="F442">
        <v>8591</v>
      </c>
      <c r="G442">
        <v>41592</v>
      </c>
      <c r="H442">
        <v>141113</v>
      </c>
      <c r="I442">
        <v>107955</v>
      </c>
      <c r="J442">
        <v>107573</v>
      </c>
      <c r="K442">
        <v>43646</v>
      </c>
      <c r="L442">
        <v>149547</v>
      </c>
      <c r="M442">
        <v>45959</v>
      </c>
    </row>
    <row r="443" spans="1:13" x14ac:dyDescent="0.35">
      <c r="A443" s="120">
        <v>34639</v>
      </c>
      <c r="B443">
        <v>13087</v>
      </c>
      <c r="C443">
        <v>17125</v>
      </c>
      <c r="D443">
        <v>20783</v>
      </c>
      <c r="E443">
        <v>23893</v>
      </c>
      <c r="F443">
        <v>8102</v>
      </c>
      <c r="G443">
        <v>42896</v>
      </c>
      <c r="H443">
        <v>143323</v>
      </c>
      <c r="I443">
        <v>107142</v>
      </c>
      <c r="J443">
        <v>107130</v>
      </c>
      <c r="K443">
        <v>44846</v>
      </c>
      <c r="L443">
        <v>150038</v>
      </c>
      <c r="M443">
        <v>45942</v>
      </c>
    </row>
    <row r="444" spans="1:13" x14ac:dyDescent="0.35">
      <c r="A444" s="120">
        <v>34669</v>
      </c>
      <c r="B444">
        <v>13870</v>
      </c>
      <c r="C444">
        <v>17561</v>
      </c>
      <c r="D444">
        <v>20949</v>
      </c>
      <c r="E444">
        <v>23829</v>
      </c>
      <c r="F444">
        <v>8201</v>
      </c>
      <c r="G444">
        <v>43132</v>
      </c>
      <c r="H444">
        <v>144805</v>
      </c>
      <c r="I444">
        <v>109357</v>
      </c>
      <c r="J444">
        <v>108697</v>
      </c>
      <c r="K444">
        <v>45860</v>
      </c>
      <c r="L444">
        <v>152489</v>
      </c>
      <c r="M444">
        <v>46186</v>
      </c>
    </row>
    <row r="445" spans="1:13" x14ac:dyDescent="0.35">
      <c r="A445" s="120">
        <v>34700</v>
      </c>
      <c r="B445">
        <v>13875</v>
      </c>
      <c r="C445">
        <v>18222</v>
      </c>
      <c r="D445">
        <v>20813</v>
      </c>
      <c r="E445">
        <v>24307</v>
      </c>
      <c r="F445">
        <v>8626</v>
      </c>
      <c r="G445">
        <v>38560</v>
      </c>
      <c r="H445">
        <v>145879</v>
      </c>
      <c r="I445">
        <v>111899</v>
      </c>
      <c r="J445">
        <v>107635</v>
      </c>
      <c r="K445">
        <v>45244</v>
      </c>
      <c r="L445">
        <v>150459</v>
      </c>
      <c r="M445">
        <v>47317</v>
      </c>
    </row>
    <row r="446" spans="1:13" x14ac:dyDescent="0.35">
      <c r="A446" s="120">
        <v>34731</v>
      </c>
      <c r="B446">
        <v>13372</v>
      </c>
      <c r="C446">
        <v>17932</v>
      </c>
      <c r="D446">
        <v>20278</v>
      </c>
      <c r="E446">
        <v>23932</v>
      </c>
      <c r="F446">
        <v>8411</v>
      </c>
      <c r="G446">
        <v>44372</v>
      </c>
      <c r="H446">
        <v>146538</v>
      </c>
      <c r="I446">
        <v>109484</v>
      </c>
      <c r="J446">
        <v>110588</v>
      </c>
      <c r="K446">
        <v>45939</v>
      </c>
      <c r="L446">
        <v>153856</v>
      </c>
      <c r="M446">
        <v>46200</v>
      </c>
    </row>
    <row r="447" spans="1:13" x14ac:dyDescent="0.35">
      <c r="A447" s="120">
        <v>34759</v>
      </c>
      <c r="B447">
        <v>13650</v>
      </c>
      <c r="C447">
        <v>17741</v>
      </c>
      <c r="D447">
        <v>20090</v>
      </c>
      <c r="E447">
        <v>24617</v>
      </c>
      <c r="F447">
        <v>8556</v>
      </c>
      <c r="G447">
        <v>43176</v>
      </c>
      <c r="H447">
        <v>145807</v>
      </c>
      <c r="I447">
        <v>109712</v>
      </c>
      <c r="J447">
        <v>110175</v>
      </c>
      <c r="K447">
        <v>45318</v>
      </c>
      <c r="L447">
        <v>152888</v>
      </c>
      <c r="M447">
        <v>46095</v>
      </c>
    </row>
    <row r="448" spans="1:13" x14ac:dyDescent="0.35">
      <c r="A448" s="120">
        <v>34790</v>
      </c>
      <c r="B448">
        <v>13396</v>
      </c>
      <c r="C448">
        <v>17693</v>
      </c>
      <c r="D448">
        <v>19901</v>
      </c>
      <c r="E448">
        <v>25903</v>
      </c>
      <c r="F448">
        <v>8166</v>
      </c>
      <c r="G448">
        <v>40921</v>
      </c>
      <c r="H448">
        <v>145517</v>
      </c>
      <c r="I448">
        <v>110480</v>
      </c>
      <c r="J448">
        <v>108608</v>
      </c>
      <c r="K448">
        <v>46461</v>
      </c>
      <c r="L448">
        <v>151401</v>
      </c>
      <c r="M448">
        <v>46776</v>
      </c>
    </row>
    <row r="449" spans="1:13" x14ac:dyDescent="0.35">
      <c r="A449" s="120">
        <v>34820</v>
      </c>
      <c r="B449">
        <v>12852</v>
      </c>
      <c r="C449">
        <v>18061</v>
      </c>
      <c r="D449">
        <v>20610</v>
      </c>
      <c r="E449">
        <v>26720</v>
      </c>
      <c r="F449">
        <v>8249</v>
      </c>
      <c r="G449">
        <v>41044</v>
      </c>
      <c r="H449">
        <v>146352</v>
      </c>
      <c r="I449">
        <v>111794</v>
      </c>
      <c r="J449">
        <v>111257</v>
      </c>
      <c r="K449">
        <v>46614</v>
      </c>
      <c r="L449">
        <v>152838</v>
      </c>
      <c r="M449">
        <v>48401</v>
      </c>
    </row>
    <row r="450" spans="1:13" x14ac:dyDescent="0.35">
      <c r="A450" s="120">
        <v>34851</v>
      </c>
      <c r="B450">
        <v>12712</v>
      </c>
      <c r="C450">
        <v>17425</v>
      </c>
      <c r="D450">
        <v>21247</v>
      </c>
      <c r="E450">
        <v>25141</v>
      </c>
      <c r="F450">
        <v>8243</v>
      </c>
      <c r="G450">
        <v>40611</v>
      </c>
      <c r="H450">
        <v>143562</v>
      </c>
      <c r="I450">
        <v>109440</v>
      </c>
      <c r="J450">
        <v>108462</v>
      </c>
      <c r="K450">
        <v>47124</v>
      </c>
      <c r="L450">
        <v>150051</v>
      </c>
      <c r="M450">
        <v>47970</v>
      </c>
    </row>
    <row r="451" spans="1:13" x14ac:dyDescent="0.35">
      <c r="A451" s="120">
        <v>34881</v>
      </c>
      <c r="B451">
        <v>12659</v>
      </c>
      <c r="C451">
        <v>17685</v>
      </c>
      <c r="D451">
        <v>19780</v>
      </c>
      <c r="E451">
        <v>24896</v>
      </c>
      <c r="F451">
        <v>8488</v>
      </c>
      <c r="G451">
        <v>39925</v>
      </c>
      <c r="H451">
        <v>142786</v>
      </c>
      <c r="I451">
        <v>108990</v>
      </c>
      <c r="J451">
        <v>107267</v>
      </c>
      <c r="K451">
        <v>45905</v>
      </c>
      <c r="L451">
        <v>148915</v>
      </c>
      <c r="M451">
        <v>45962</v>
      </c>
    </row>
    <row r="452" spans="1:13" x14ac:dyDescent="0.35">
      <c r="A452" s="120">
        <v>34912</v>
      </c>
      <c r="B452">
        <v>13585</v>
      </c>
      <c r="C452">
        <v>17768</v>
      </c>
      <c r="D452">
        <v>21215</v>
      </c>
      <c r="E452">
        <v>25700</v>
      </c>
      <c r="F452">
        <v>8588</v>
      </c>
      <c r="G452">
        <v>42056</v>
      </c>
      <c r="H452">
        <v>147062</v>
      </c>
      <c r="I452">
        <v>112316</v>
      </c>
      <c r="J452">
        <v>112114</v>
      </c>
      <c r="K452">
        <v>47284</v>
      </c>
      <c r="L452">
        <v>154372</v>
      </c>
      <c r="M452">
        <v>47502</v>
      </c>
    </row>
    <row r="453" spans="1:13" x14ac:dyDescent="0.35">
      <c r="A453" s="120">
        <v>34943</v>
      </c>
      <c r="B453">
        <v>13303</v>
      </c>
      <c r="C453">
        <v>17796</v>
      </c>
      <c r="D453">
        <v>22008</v>
      </c>
      <c r="E453">
        <v>26606</v>
      </c>
      <c r="F453">
        <v>8412</v>
      </c>
      <c r="G453">
        <v>47156</v>
      </c>
      <c r="H453">
        <v>153556</v>
      </c>
      <c r="I453">
        <v>113019</v>
      </c>
      <c r="J453">
        <v>116838</v>
      </c>
      <c r="K453">
        <v>48057</v>
      </c>
      <c r="L453">
        <v>160175</v>
      </c>
      <c r="M453">
        <v>49431</v>
      </c>
    </row>
    <row r="454" spans="1:13" x14ac:dyDescent="0.35">
      <c r="A454" s="120">
        <v>34973</v>
      </c>
      <c r="B454">
        <v>13731</v>
      </c>
      <c r="C454">
        <v>18112</v>
      </c>
      <c r="D454">
        <v>21537</v>
      </c>
      <c r="E454">
        <v>28407</v>
      </c>
      <c r="F454">
        <v>8507</v>
      </c>
      <c r="G454">
        <v>39823</v>
      </c>
      <c r="H454">
        <v>149481</v>
      </c>
      <c r="I454">
        <v>115650</v>
      </c>
      <c r="J454">
        <v>112366</v>
      </c>
      <c r="K454">
        <v>47758</v>
      </c>
      <c r="L454">
        <v>155473</v>
      </c>
      <c r="M454">
        <v>50283</v>
      </c>
    </row>
    <row r="455" spans="1:13" x14ac:dyDescent="0.35">
      <c r="A455" s="120">
        <v>35004</v>
      </c>
      <c r="B455">
        <v>13411</v>
      </c>
      <c r="C455">
        <v>17996</v>
      </c>
      <c r="D455">
        <v>21392</v>
      </c>
      <c r="E455">
        <v>27131</v>
      </c>
      <c r="F455">
        <v>8569</v>
      </c>
      <c r="G455">
        <v>42673</v>
      </c>
      <c r="H455">
        <v>150718</v>
      </c>
      <c r="I455">
        <v>113473</v>
      </c>
      <c r="J455">
        <v>113784</v>
      </c>
      <c r="K455">
        <v>48739</v>
      </c>
      <c r="L455">
        <v>156146</v>
      </c>
      <c r="M455">
        <v>49798</v>
      </c>
    </row>
    <row r="456" spans="1:13" x14ac:dyDescent="0.35">
      <c r="A456" s="120">
        <v>35034</v>
      </c>
      <c r="B456">
        <v>13544</v>
      </c>
      <c r="C456">
        <v>18386</v>
      </c>
      <c r="D456">
        <v>23004</v>
      </c>
      <c r="E456">
        <v>27344</v>
      </c>
      <c r="F456">
        <v>8772</v>
      </c>
      <c r="G456">
        <v>46847</v>
      </c>
      <c r="H456">
        <v>156997</v>
      </c>
      <c r="I456">
        <v>116432</v>
      </c>
      <c r="J456">
        <v>119874</v>
      </c>
      <c r="K456">
        <v>51286</v>
      </c>
      <c r="L456">
        <v>163279</v>
      </c>
      <c r="M456">
        <v>51221</v>
      </c>
    </row>
    <row r="457" spans="1:13" x14ac:dyDescent="0.35">
      <c r="A457" s="120">
        <v>35065</v>
      </c>
      <c r="B457">
        <v>12893</v>
      </c>
      <c r="C457">
        <v>17960</v>
      </c>
      <c r="D457">
        <v>21185</v>
      </c>
      <c r="E457">
        <v>26027</v>
      </c>
      <c r="F457">
        <v>8036</v>
      </c>
      <c r="G457">
        <v>43736</v>
      </c>
      <c r="H457">
        <v>148982</v>
      </c>
      <c r="I457">
        <v>112070</v>
      </c>
      <c r="J457">
        <v>114288</v>
      </c>
      <c r="K457">
        <v>47338</v>
      </c>
      <c r="L457">
        <v>155806</v>
      </c>
      <c r="M457">
        <v>47931</v>
      </c>
    </row>
    <row r="458" spans="1:13" x14ac:dyDescent="0.35">
      <c r="A458" s="120">
        <v>35096</v>
      </c>
      <c r="B458">
        <v>12550</v>
      </c>
      <c r="C458">
        <v>17150</v>
      </c>
      <c r="D458">
        <v>21265</v>
      </c>
      <c r="E458">
        <v>26891</v>
      </c>
      <c r="F458">
        <v>8006</v>
      </c>
      <c r="G458">
        <v>40375</v>
      </c>
      <c r="H458">
        <v>145094</v>
      </c>
      <c r="I458">
        <v>110398</v>
      </c>
      <c r="J458">
        <v>109375</v>
      </c>
      <c r="K458">
        <v>47837</v>
      </c>
      <c r="L458">
        <v>150773</v>
      </c>
      <c r="M458">
        <v>49183</v>
      </c>
    </row>
    <row r="459" spans="1:13" x14ac:dyDescent="0.35">
      <c r="A459" s="120">
        <v>35125</v>
      </c>
      <c r="B459">
        <v>12676</v>
      </c>
      <c r="C459">
        <v>18301</v>
      </c>
      <c r="D459">
        <v>21010</v>
      </c>
      <c r="E459">
        <v>26863</v>
      </c>
      <c r="F459">
        <v>8892</v>
      </c>
      <c r="G459">
        <v>50323</v>
      </c>
      <c r="H459">
        <v>152130</v>
      </c>
      <c r="I459">
        <v>114653</v>
      </c>
      <c r="J459">
        <v>122567</v>
      </c>
      <c r="K459">
        <v>50325</v>
      </c>
      <c r="L459">
        <v>164976</v>
      </c>
      <c r="M459">
        <v>49780</v>
      </c>
    </row>
    <row r="460" spans="1:13" x14ac:dyDescent="0.35">
      <c r="A460" s="120">
        <v>35156</v>
      </c>
      <c r="B460">
        <v>13126</v>
      </c>
      <c r="C460">
        <v>18870</v>
      </c>
      <c r="D460">
        <v>20134</v>
      </c>
      <c r="E460">
        <v>26655</v>
      </c>
      <c r="F460">
        <v>8399</v>
      </c>
      <c r="G460">
        <v>43028</v>
      </c>
      <c r="H460">
        <v>150475</v>
      </c>
      <c r="I460">
        <v>113802</v>
      </c>
      <c r="J460">
        <v>112882</v>
      </c>
      <c r="K460">
        <v>48614</v>
      </c>
      <c r="L460">
        <v>156830</v>
      </c>
      <c r="M460">
        <v>48102</v>
      </c>
    </row>
    <row r="461" spans="1:13" x14ac:dyDescent="0.35">
      <c r="A461" s="120">
        <v>35186</v>
      </c>
      <c r="B461">
        <v>13666</v>
      </c>
      <c r="C461">
        <v>19020</v>
      </c>
      <c r="D461">
        <v>21649</v>
      </c>
      <c r="E461">
        <v>27181</v>
      </c>
      <c r="F461">
        <v>8587</v>
      </c>
      <c r="G461">
        <v>47327</v>
      </c>
      <c r="H461">
        <v>156429</v>
      </c>
      <c r="I461">
        <v>117175</v>
      </c>
      <c r="J461">
        <v>119613</v>
      </c>
      <c r="K461">
        <v>49805</v>
      </c>
      <c r="L461">
        <v>164502</v>
      </c>
      <c r="M461">
        <v>50505</v>
      </c>
    </row>
    <row r="462" spans="1:13" x14ac:dyDescent="0.35">
      <c r="A462" s="120">
        <v>35217</v>
      </c>
      <c r="B462">
        <v>13617</v>
      </c>
      <c r="C462">
        <v>19293</v>
      </c>
      <c r="D462">
        <v>22400</v>
      </c>
      <c r="E462">
        <v>26365</v>
      </c>
      <c r="F462">
        <v>9196</v>
      </c>
      <c r="G462">
        <v>46710</v>
      </c>
      <c r="H462">
        <v>156863</v>
      </c>
      <c r="I462">
        <v>117889</v>
      </c>
      <c r="J462">
        <v>118924</v>
      </c>
      <c r="K462">
        <v>51589</v>
      </c>
      <c r="L462">
        <v>164599</v>
      </c>
      <c r="M462">
        <v>51556</v>
      </c>
    </row>
    <row r="463" spans="1:13" x14ac:dyDescent="0.35">
      <c r="A463" s="120">
        <v>35247</v>
      </c>
      <c r="B463">
        <v>13554</v>
      </c>
      <c r="C463">
        <v>18982</v>
      </c>
      <c r="D463">
        <v>21040</v>
      </c>
      <c r="E463">
        <v>27499</v>
      </c>
      <c r="F463">
        <v>8718</v>
      </c>
      <c r="G463">
        <v>46990</v>
      </c>
      <c r="H463">
        <v>157889</v>
      </c>
      <c r="I463">
        <v>116598</v>
      </c>
      <c r="J463">
        <v>117941</v>
      </c>
      <c r="K463">
        <v>49208</v>
      </c>
      <c r="L463">
        <v>163588</v>
      </c>
      <c r="M463">
        <v>51047</v>
      </c>
    </row>
    <row r="464" spans="1:13" x14ac:dyDescent="0.35">
      <c r="A464" s="120">
        <v>35278</v>
      </c>
      <c r="B464">
        <v>13363</v>
      </c>
      <c r="C464">
        <v>19459</v>
      </c>
      <c r="D464">
        <v>21424</v>
      </c>
      <c r="E464">
        <v>27699</v>
      </c>
      <c r="F464">
        <v>8824</v>
      </c>
      <c r="G464">
        <v>39602</v>
      </c>
      <c r="H464">
        <v>151860</v>
      </c>
      <c r="I464">
        <v>117708</v>
      </c>
      <c r="J464">
        <v>112297</v>
      </c>
      <c r="K464">
        <v>50278</v>
      </c>
      <c r="L464">
        <v>157310</v>
      </c>
      <c r="M464">
        <v>50780</v>
      </c>
    </row>
    <row r="465" spans="1:13" x14ac:dyDescent="0.35">
      <c r="A465" s="120">
        <v>35309</v>
      </c>
      <c r="B465">
        <v>13039</v>
      </c>
      <c r="C465">
        <v>19973</v>
      </c>
      <c r="D465">
        <v>22243</v>
      </c>
      <c r="E465">
        <v>25321</v>
      </c>
      <c r="F465">
        <v>8767</v>
      </c>
      <c r="G465">
        <v>49106</v>
      </c>
      <c r="H465">
        <v>159031</v>
      </c>
      <c r="I465">
        <v>116336</v>
      </c>
      <c r="J465">
        <v>118848</v>
      </c>
      <c r="K465">
        <v>51324</v>
      </c>
      <c r="L465">
        <v>165442</v>
      </c>
      <c r="M465">
        <v>49824</v>
      </c>
    </row>
    <row r="466" spans="1:13" x14ac:dyDescent="0.35">
      <c r="A466" s="120">
        <v>35339</v>
      </c>
      <c r="B466">
        <v>12859</v>
      </c>
      <c r="C466">
        <v>19101</v>
      </c>
      <c r="D466">
        <v>21054</v>
      </c>
      <c r="E466">
        <v>29984</v>
      </c>
      <c r="F466">
        <v>8965</v>
      </c>
      <c r="G466">
        <v>45767</v>
      </c>
      <c r="H466">
        <v>158298</v>
      </c>
      <c r="I466">
        <v>119499</v>
      </c>
      <c r="J466">
        <v>119956</v>
      </c>
      <c r="K466">
        <v>50663</v>
      </c>
      <c r="L466">
        <v>165266</v>
      </c>
      <c r="M466">
        <v>52556</v>
      </c>
    </row>
    <row r="467" spans="1:13" x14ac:dyDescent="0.35">
      <c r="A467" s="120">
        <v>35370</v>
      </c>
      <c r="B467">
        <v>12963</v>
      </c>
      <c r="C467">
        <v>19495</v>
      </c>
      <c r="D467">
        <v>21723</v>
      </c>
      <c r="E467">
        <v>29093</v>
      </c>
      <c r="F467">
        <v>9235</v>
      </c>
      <c r="G467">
        <v>51214</v>
      </c>
      <c r="H467">
        <v>156723</v>
      </c>
      <c r="I467">
        <v>119569</v>
      </c>
      <c r="J467">
        <v>124724</v>
      </c>
      <c r="K467">
        <v>52150</v>
      </c>
      <c r="L467">
        <v>170783</v>
      </c>
      <c r="M467">
        <v>52664</v>
      </c>
    </row>
    <row r="468" spans="1:13" x14ac:dyDescent="0.35">
      <c r="A468" s="120">
        <v>35400</v>
      </c>
      <c r="B468">
        <v>13379</v>
      </c>
      <c r="C468">
        <v>19364</v>
      </c>
      <c r="D468">
        <v>22992</v>
      </c>
      <c r="E468">
        <v>25961</v>
      </c>
      <c r="F468">
        <v>8791</v>
      </c>
      <c r="G468">
        <v>45637</v>
      </c>
      <c r="H468">
        <v>151939</v>
      </c>
      <c r="I468">
        <v>116695</v>
      </c>
      <c r="J468">
        <v>117137</v>
      </c>
      <c r="K468">
        <v>53292</v>
      </c>
      <c r="L468">
        <v>162332</v>
      </c>
      <c r="M468">
        <v>50765</v>
      </c>
    </row>
    <row r="469" spans="1:13" x14ac:dyDescent="0.35">
      <c r="A469" s="120">
        <v>35431</v>
      </c>
      <c r="B469">
        <v>13827</v>
      </c>
      <c r="C469">
        <v>19304</v>
      </c>
      <c r="D469">
        <v>20733</v>
      </c>
      <c r="E469">
        <v>28145</v>
      </c>
      <c r="F469">
        <v>9324</v>
      </c>
      <c r="G469">
        <v>43137</v>
      </c>
      <c r="H469">
        <v>157118</v>
      </c>
      <c r="I469">
        <v>118690</v>
      </c>
      <c r="J469">
        <v>114626</v>
      </c>
      <c r="K469">
        <v>50928</v>
      </c>
      <c r="L469">
        <v>161827</v>
      </c>
      <c r="M469">
        <v>51958</v>
      </c>
    </row>
    <row r="470" spans="1:13" x14ac:dyDescent="0.35">
      <c r="A470" s="120">
        <v>35462</v>
      </c>
      <c r="B470">
        <v>13865</v>
      </c>
      <c r="C470">
        <v>20169</v>
      </c>
      <c r="D470">
        <v>21467</v>
      </c>
      <c r="E470">
        <v>30728</v>
      </c>
      <c r="F470">
        <v>9130</v>
      </c>
      <c r="G470">
        <v>46731</v>
      </c>
      <c r="H470">
        <v>163696</v>
      </c>
      <c r="I470">
        <v>123490</v>
      </c>
      <c r="J470">
        <v>122876</v>
      </c>
      <c r="K470">
        <v>53129</v>
      </c>
      <c r="L470">
        <v>170221</v>
      </c>
      <c r="M470">
        <v>54285</v>
      </c>
    </row>
    <row r="471" spans="1:13" x14ac:dyDescent="0.35">
      <c r="A471" s="120">
        <v>35490</v>
      </c>
      <c r="B471">
        <v>13748</v>
      </c>
      <c r="C471">
        <v>20190</v>
      </c>
      <c r="D471">
        <v>22450</v>
      </c>
      <c r="E471">
        <v>29295</v>
      </c>
      <c r="F471">
        <v>9479</v>
      </c>
      <c r="G471">
        <v>44383</v>
      </c>
      <c r="H471">
        <v>162083</v>
      </c>
      <c r="I471">
        <v>123185</v>
      </c>
      <c r="J471">
        <v>119668</v>
      </c>
      <c r="K471">
        <v>53688</v>
      </c>
      <c r="L471">
        <v>167568</v>
      </c>
      <c r="M471">
        <v>54195</v>
      </c>
    </row>
    <row r="472" spans="1:13" x14ac:dyDescent="0.35">
      <c r="A472" s="120">
        <v>35521</v>
      </c>
      <c r="B472">
        <v>14402</v>
      </c>
      <c r="C472">
        <v>20978</v>
      </c>
      <c r="D472">
        <v>22429</v>
      </c>
      <c r="E472">
        <v>29922</v>
      </c>
      <c r="F472">
        <v>9578</v>
      </c>
      <c r="G472">
        <v>48145</v>
      </c>
      <c r="H472">
        <v>167051</v>
      </c>
      <c r="I472">
        <v>125909</v>
      </c>
      <c r="J472">
        <v>125615</v>
      </c>
      <c r="K472">
        <v>54482</v>
      </c>
      <c r="L472">
        <v>174054</v>
      </c>
      <c r="M472">
        <v>55044</v>
      </c>
    </row>
    <row r="473" spans="1:13" x14ac:dyDescent="0.35">
      <c r="A473" s="120">
        <v>35551</v>
      </c>
      <c r="B473">
        <v>14009</v>
      </c>
      <c r="C473">
        <v>20185</v>
      </c>
      <c r="D473">
        <v>21492</v>
      </c>
      <c r="E473">
        <v>29530</v>
      </c>
      <c r="F473">
        <v>9209</v>
      </c>
      <c r="G473">
        <v>45726</v>
      </c>
      <c r="H473">
        <v>162721</v>
      </c>
      <c r="I473">
        <v>122860</v>
      </c>
      <c r="J473">
        <v>120972</v>
      </c>
      <c r="K473">
        <v>54054</v>
      </c>
      <c r="L473">
        <v>168586</v>
      </c>
      <c r="M473">
        <v>53924</v>
      </c>
    </row>
    <row r="474" spans="1:13" x14ac:dyDescent="0.35">
      <c r="A474" s="120">
        <v>35582</v>
      </c>
      <c r="B474">
        <v>14308</v>
      </c>
      <c r="C474">
        <v>21148</v>
      </c>
      <c r="D474">
        <v>22520</v>
      </c>
      <c r="E474">
        <v>30873</v>
      </c>
      <c r="F474">
        <v>9151</v>
      </c>
      <c r="G474">
        <v>48371</v>
      </c>
      <c r="H474">
        <v>168024</v>
      </c>
      <c r="I474">
        <v>126457</v>
      </c>
      <c r="J474">
        <v>126186</v>
      </c>
      <c r="K474">
        <v>55945</v>
      </c>
      <c r="L474">
        <v>174828</v>
      </c>
      <c r="M474">
        <v>55972</v>
      </c>
    </row>
    <row r="475" spans="1:13" x14ac:dyDescent="0.35">
      <c r="A475" s="120">
        <v>35612</v>
      </c>
      <c r="B475">
        <v>14415</v>
      </c>
      <c r="C475">
        <v>20438</v>
      </c>
      <c r="D475">
        <v>22815</v>
      </c>
      <c r="E475">
        <v>32570</v>
      </c>
      <c r="F475">
        <v>9524</v>
      </c>
      <c r="G475">
        <v>49923</v>
      </c>
      <c r="H475">
        <v>172439</v>
      </c>
      <c r="I475">
        <v>128937</v>
      </c>
      <c r="J475">
        <v>127337</v>
      </c>
      <c r="K475">
        <v>56487</v>
      </c>
      <c r="L475">
        <v>178860</v>
      </c>
      <c r="M475">
        <v>58969</v>
      </c>
    </row>
    <row r="476" spans="1:13" x14ac:dyDescent="0.35">
      <c r="A476" s="120">
        <v>35643</v>
      </c>
      <c r="B476">
        <v>14301</v>
      </c>
      <c r="C476">
        <v>20688</v>
      </c>
      <c r="D476">
        <v>23774</v>
      </c>
      <c r="E476">
        <v>31387</v>
      </c>
      <c r="F476">
        <v>9519</v>
      </c>
      <c r="G476">
        <v>49485</v>
      </c>
      <c r="H476">
        <v>170596</v>
      </c>
      <c r="I476">
        <v>127817</v>
      </c>
      <c r="J476">
        <v>127334</v>
      </c>
      <c r="K476">
        <v>56866</v>
      </c>
      <c r="L476">
        <v>177302</v>
      </c>
      <c r="M476">
        <v>58232</v>
      </c>
    </row>
    <row r="477" spans="1:13" x14ac:dyDescent="0.35">
      <c r="A477" s="120">
        <v>35674</v>
      </c>
      <c r="B477">
        <v>14783</v>
      </c>
      <c r="C477">
        <v>21539</v>
      </c>
      <c r="D477">
        <v>24114</v>
      </c>
      <c r="E477">
        <v>31135</v>
      </c>
      <c r="F477">
        <v>10444</v>
      </c>
      <c r="G477">
        <v>47162</v>
      </c>
      <c r="H477">
        <v>172083</v>
      </c>
      <c r="I477">
        <v>130673</v>
      </c>
      <c r="J477">
        <v>128051</v>
      </c>
      <c r="K477">
        <v>57040</v>
      </c>
      <c r="L477">
        <v>177835</v>
      </c>
      <c r="M477">
        <v>60143</v>
      </c>
    </row>
    <row r="478" spans="1:13" x14ac:dyDescent="0.35">
      <c r="A478" s="120">
        <v>35704</v>
      </c>
      <c r="B478">
        <v>14651</v>
      </c>
      <c r="C478">
        <v>21183</v>
      </c>
      <c r="D478">
        <v>23945</v>
      </c>
      <c r="E478">
        <v>29844</v>
      </c>
      <c r="F478">
        <v>8817</v>
      </c>
      <c r="G478">
        <v>50414</v>
      </c>
      <c r="H478">
        <v>172275</v>
      </c>
      <c r="I478">
        <v>127387</v>
      </c>
      <c r="J478">
        <v>128062</v>
      </c>
      <c r="K478">
        <v>57235</v>
      </c>
      <c r="L478">
        <v>177801</v>
      </c>
      <c r="M478">
        <v>57582</v>
      </c>
    </row>
    <row r="479" spans="1:13" x14ac:dyDescent="0.35">
      <c r="A479" s="120">
        <v>35735</v>
      </c>
      <c r="B479">
        <v>15024</v>
      </c>
      <c r="C479">
        <v>21102</v>
      </c>
      <c r="D479">
        <v>23746</v>
      </c>
      <c r="E479">
        <v>30060</v>
      </c>
      <c r="F479">
        <v>9779</v>
      </c>
      <c r="G479">
        <v>62601</v>
      </c>
      <c r="H479">
        <v>184858</v>
      </c>
      <c r="I479">
        <v>128586</v>
      </c>
      <c r="J479">
        <v>139761</v>
      </c>
      <c r="K479">
        <v>57151</v>
      </c>
      <c r="L479">
        <v>191187</v>
      </c>
      <c r="M479">
        <v>57967</v>
      </c>
    </row>
    <row r="480" spans="1:13" x14ac:dyDescent="0.35">
      <c r="A480" s="120">
        <v>35765</v>
      </c>
      <c r="B480">
        <v>14402</v>
      </c>
      <c r="C480">
        <v>21125</v>
      </c>
      <c r="D480">
        <v>23903</v>
      </c>
      <c r="E480">
        <v>30405</v>
      </c>
      <c r="F480">
        <v>9555</v>
      </c>
      <c r="G480">
        <v>45579</v>
      </c>
      <c r="H480">
        <v>169053</v>
      </c>
      <c r="I480">
        <v>128191</v>
      </c>
      <c r="J480">
        <v>122759</v>
      </c>
      <c r="K480">
        <v>57867</v>
      </c>
      <c r="L480">
        <v>173770</v>
      </c>
      <c r="M480">
        <v>58401</v>
      </c>
    </row>
    <row r="481" spans="1:13" x14ac:dyDescent="0.35">
      <c r="A481" s="120">
        <v>35796</v>
      </c>
      <c r="B481">
        <v>14058</v>
      </c>
      <c r="C481">
        <v>21060</v>
      </c>
      <c r="D481">
        <v>22396</v>
      </c>
      <c r="E481">
        <v>30554</v>
      </c>
      <c r="F481">
        <v>9428</v>
      </c>
      <c r="G481">
        <v>47026</v>
      </c>
      <c r="H481">
        <v>168413</v>
      </c>
      <c r="I481">
        <v>127262</v>
      </c>
      <c r="J481">
        <v>125004</v>
      </c>
      <c r="K481">
        <v>56289</v>
      </c>
      <c r="L481">
        <v>174288</v>
      </c>
      <c r="M481">
        <v>56811</v>
      </c>
    </row>
    <row r="482" spans="1:13" x14ac:dyDescent="0.35">
      <c r="A482" s="120">
        <v>35827</v>
      </c>
      <c r="B482">
        <v>14299</v>
      </c>
      <c r="C482">
        <v>21645</v>
      </c>
      <c r="D482">
        <v>23100</v>
      </c>
      <c r="E482">
        <v>31806</v>
      </c>
      <c r="F482">
        <v>10437</v>
      </c>
      <c r="G482">
        <v>50640</v>
      </c>
      <c r="H482">
        <v>175093</v>
      </c>
      <c r="I482">
        <v>130630</v>
      </c>
      <c r="J482">
        <v>129378</v>
      </c>
      <c r="K482">
        <v>58384</v>
      </c>
      <c r="L482">
        <v>181270</v>
      </c>
      <c r="M482">
        <v>59362</v>
      </c>
    </row>
    <row r="483" spans="1:13" x14ac:dyDescent="0.35">
      <c r="A483" s="120">
        <v>35855</v>
      </c>
      <c r="B483">
        <v>13946</v>
      </c>
      <c r="C483">
        <v>21318</v>
      </c>
      <c r="D483">
        <v>23909</v>
      </c>
      <c r="E483">
        <v>30954</v>
      </c>
      <c r="F483">
        <v>9164</v>
      </c>
      <c r="G483">
        <v>48115</v>
      </c>
      <c r="H483">
        <v>171668</v>
      </c>
      <c r="I483">
        <v>128771</v>
      </c>
      <c r="J483">
        <v>124823</v>
      </c>
      <c r="K483">
        <v>59052</v>
      </c>
      <c r="L483">
        <v>176886</v>
      </c>
      <c r="M483">
        <v>57672</v>
      </c>
    </row>
    <row r="484" spans="1:13" x14ac:dyDescent="0.35">
      <c r="A484" s="120">
        <v>35886</v>
      </c>
      <c r="B484">
        <v>13800</v>
      </c>
      <c r="C484">
        <v>21524</v>
      </c>
      <c r="D484">
        <v>22388</v>
      </c>
      <c r="E484">
        <v>30361</v>
      </c>
      <c r="F484">
        <v>9564</v>
      </c>
      <c r="G484">
        <v>54396</v>
      </c>
      <c r="H484">
        <v>173267</v>
      </c>
      <c r="I484">
        <v>126519</v>
      </c>
      <c r="J484">
        <v>129329</v>
      </c>
      <c r="K484">
        <v>57168</v>
      </c>
      <c r="L484">
        <v>180915</v>
      </c>
      <c r="M484">
        <v>55909</v>
      </c>
    </row>
    <row r="485" spans="1:13" x14ac:dyDescent="0.35">
      <c r="A485" s="120">
        <v>35916</v>
      </c>
      <c r="B485">
        <v>13758</v>
      </c>
      <c r="C485">
        <v>21131</v>
      </c>
      <c r="D485">
        <v>23232</v>
      </c>
      <c r="E485">
        <v>31964</v>
      </c>
      <c r="F485">
        <v>9692</v>
      </c>
      <c r="G485">
        <v>50894</v>
      </c>
      <c r="H485">
        <v>175262</v>
      </c>
      <c r="I485">
        <v>129740</v>
      </c>
      <c r="J485">
        <v>128089</v>
      </c>
      <c r="K485">
        <v>57823</v>
      </c>
      <c r="L485">
        <v>180634</v>
      </c>
      <c r="M485">
        <v>58575</v>
      </c>
    </row>
    <row r="486" spans="1:13" x14ac:dyDescent="0.35">
      <c r="A486" s="120">
        <v>35947</v>
      </c>
      <c r="B486">
        <v>13333</v>
      </c>
      <c r="C486">
        <v>21308</v>
      </c>
      <c r="D486">
        <v>23698</v>
      </c>
      <c r="E486">
        <v>31647</v>
      </c>
      <c r="F486">
        <v>9622</v>
      </c>
      <c r="G486">
        <v>42141</v>
      </c>
      <c r="H486">
        <v>166768</v>
      </c>
      <c r="I486">
        <v>130048</v>
      </c>
      <c r="J486">
        <v>123912</v>
      </c>
      <c r="K486">
        <v>58851</v>
      </c>
      <c r="L486">
        <v>172189</v>
      </c>
      <c r="M486">
        <v>59020</v>
      </c>
    </row>
    <row r="487" spans="1:13" x14ac:dyDescent="0.35">
      <c r="A487" s="120">
        <v>35977</v>
      </c>
      <c r="B487">
        <v>12751</v>
      </c>
      <c r="C487">
        <v>21032</v>
      </c>
      <c r="D487">
        <v>23061</v>
      </c>
      <c r="E487">
        <v>30003</v>
      </c>
      <c r="F487">
        <v>9299</v>
      </c>
      <c r="G487">
        <v>44357</v>
      </c>
      <c r="H487">
        <v>164656</v>
      </c>
      <c r="I487">
        <v>126102</v>
      </c>
      <c r="J487">
        <v>122090</v>
      </c>
      <c r="K487">
        <v>56990</v>
      </c>
      <c r="L487">
        <v>170459</v>
      </c>
      <c r="M487">
        <v>56670</v>
      </c>
    </row>
    <row r="488" spans="1:13" x14ac:dyDescent="0.35">
      <c r="A488" s="120">
        <v>36008</v>
      </c>
      <c r="B488">
        <v>13363</v>
      </c>
      <c r="C488">
        <v>20724</v>
      </c>
      <c r="D488">
        <v>22853</v>
      </c>
      <c r="E488">
        <v>29964</v>
      </c>
      <c r="F488">
        <v>9572</v>
      </c>
      <c r="G488">
        <v>52444</v>
      </c>
      <c r="H488">
        <v>173292</v>
      </c>
      <c r="I488">
        <v>126589</v>
      </c>
      <c r="J488">
        <v>127658</v>
      </c>
      <c r="K488">
        <v>56694</v>
      </c>
      <c r="L488">
        <v>179033</v>
      </c>
      <c r="M488">
        <v>57658</v>
      </c>
    </row>
    <row r="489" spans="1:13" x14ac:dyDescent="0.35">
      <c r="A489" s="120">
        <v>36039</v>
      </c>
      <c r="B489">
        <v>12850</v>
      </c>
      <c r="C489">
        <v>20884</v>
      </c>
      <c r="D489">
        <v>24270</v>
      </c>
      <c r="E489">
        <v>31326</v>
      </c>
      <c r="F489">
        <v>9753</v>
      </c>
      <c r="G489">
        <v>52602</v>
      </c>
      <c r="H489">
        <v>173517</v>
      </c>
      <c r="I489">
        <v>128820</v>
      </c>
      <c r="J489">
        <v>129434</v>
      </c>
      <c r="K489">
        <v>58667</v>
      </c>
      <c r="L489">
        <v>181422</v>
      </c>
      <c r="M489">
        <v>60257</v>
      </c>
    </row>
    <row r="490" spans="1:13" x14ac:dyDescent="0.35">
      <c r="A490" s="120">
        <v>36069</v>
      </c>
      <c r="B490">
        <v>12307</v>
      </c>
      <c r="C490">
        <v>20522</v>
      </c>
      <c r="D490">
        <v>22408</v>
      </c>
      <c r="E490">
        <v>30272</v>
      </c>
      <c r="F490">
        <v>9391</v>
      </c>
      <c r="G490">
        <v>53136</v>
      </c>
      <c r="H490">
        <v>172814</v>
      </c>
      <c r="I490">
        <v>125391</v>
      </c>
      <c r="J490">
        <v>125301</v>
      </c>
      <c r="K490">
        <v>57813</v>
      </c>
      <c r="L490">
        <v>178527</v>
      </c>
      <c r="M490">
        <v>56319</v>
      </c>
    </row>
    <row r="491" spans="1:13" x14ac:dyDescent="0.35">
      <c r="A491" s="120">
        <v>36100</v>
      </c>
      <c r="B491">
        <v>13163</v>
      </c>
      <c r="C491">
        <v>21769</v>
      </c>
      <c r="D491">
        <v>22128</v>
      </c>
      <c r="E491">
        <v>31086</v>
      </c>
      <c r="F491">
        <v>9870</v>
      </c>
      <c r="G491">
        <v>54298</v>
      </c>
      <c r="H491">
        <v>175917</v>
      </c>
      <c r="I491">
        <v>128102</v>
      </c>
      <c r="J491">
        <v>128665</v>
      </c>
      <c r="K491">
        <v>58316</v>
      </c>
      <c r="L491">
        <v>182400</v>
      </c>
      <c r="M491">
        <v>58162</v>
      </c>
    </row>
    <row r="492" spans="1:13" x14ac:dyDescent="0.35">
      <c r="A492" s="120">
        <v>36130</v>
      </c>
      <c r="B492">
        <v>12871</v>
      </c>
      <c r="C492">
        <v>21059</v>
      </c>
      <c r="D492">
        <v>24028</v>
      </c>
      <c r="E492">
        <v>32059</v>
      </c>
      <c r="F492">
        <v>9827</v>
      </c>
      <c r="G492">
        <v>47671</v>
      </c>
      <c r="H492">
        <v>171696</v>
      </c>
      <c r="I492">
        <v>130753</v>
      </c>
      <c r="J492">
        <v>124510</v>
      </c>
      <c r="K492">
        <v>58845</v>
      </c>
      <c r="L492">
        <v>178424</v>
      </c>
      <c r="M492">
        <v>60818</v>
      </c>
    </row>
    <row r="493" spans="1:13" x14ac:dyDescent="0.35">
      <c r="A493" s="120">
        <v>36161</v>
      </c>
      <c r="B493">
        <v>12443</v>
      </c>
      <c r="C493">
        <v>21293</v>
      </c>
      <c r="D493">
        <v>22271</v>
      </c>
      <c r="E493">
        <v>30567</v>
      </c>
      <c r="F493">
        <v>9556</v>
      </c>
      <c r="G493">
        <v>59402</v>
      </c>
      <c r="H493">
        <v>178955</v>
      </c>
      <c r="I493">
        <v>127125</v>
      </c>
      <c r="J493">
        <v>132005</v>
      </c>
      <c r="K493">
        <v>57455</v>
      </c>
      <c r="L493">
        <v>186527</v>
      </c>
      <c r="M493">
        <v>57160</v>
      </c>
    </row>
    <row r="494" spans="1:13" x14ac:dyDescent="0.35">
      <c r="A494" s="120">
        <v>36192</v>
      </c>
      <c r="B494">
        <v>13205</v>
      </c>
      <c r="C494">
        <v>21503</v>
      </c>
      <c r="D494">
        <v>22203</v>
      </c>
      <c r="E494">
        <v>31473</v>
      </c>
      <c r="F494">
        <v>9820</v>
      </c>
      <c r="G494">
        <v>55403</v>
      </c>
      <c r="H494">
        <v>178797</v>
      </c>
      <c r="I494">
        <v>130143</v>
      </c>
      <c r="J494">
        <v>129227</v>
      </c>
      <c r="K494">
        <v>58340</v>
      </c>
      <c r="L494">
        <v>185546</v>
      </c>
      <c r="M494">
        <v>58576</v>
      </c>
    </row>
    <row r="495" spans="1:13" x14ac:dyDescent="0.35">
      <c r="A495" s="120">
        <v>36220</v>
      </c>
      <c r="B495">
        <v>12583</v>
      </c>
      <c r="C495">
        <v>21051</v>
      </c>
      <c r="D495">
        <v>22128</v>
      </c>
      <c r="E495">
        <v>32426</v>
      </c>
      <c r="F495">
        <v>9933</v>
      </c>
      <c r="G495">
        <v>55192</v>
      </c>
      <c r="H495">
        <v>176954</v>
      </c>
      <c r="I495">
        <v>129497</v>
      </c>
      <c r="J495">
        <v>129753</v>
      </c>
      <c r="K495">
        <v>58220</v>
      </c>
      <c r="L495">
        <v>184689</v>
      </c>
      <c r="M495">
        <v>59657</v>
      </c>
    </row>
    <row r="496" spans="1:13" x14ac:dyDescent="0.35">
      <c r="A496" s="120">
        <v>36251</v>
      </c>
      <c r="B496">
        <v>13124</v>
      </c>
      <c r="C496">
        <v>20705</v>
      </c>
      <c r="D496">
        <v>23167</v>
      </c>
      <c r="E496">
        <v>32525</v>
      </c>
      <c r="F496">
        <v>9891</v>
      </c>
      <c r="G496">
        <v>52525</v>
      </c>
      <c r="H496">
        <v>177226</v>
      </c>
      <c r="I496">
        <v>130468</v>
      </c>
      <c r="J496">
        <v>128317</v>
      </c>
      <c r="K496">
        <v>58317</v>
      </c>
      <c r="L496">
        <v>182993</v>
      </c>
      <c r="M496">
        <v>58929</v>
      </c>
    </row>
    <row r="497" spans="1:13" x14ac:dyDescent="0.35">
      <c r="A497" s="120">
        <v>36281</v>
      </c>
      <c r="B497">
        <v>12940</v>
      </c>
      <c r="C497">
        <v>21339</v>
      </c>
      <c r="D497">
        <v>22669</v>
      </c>
      <c r="E497">
        <v>32899</v>
      </c>
      <c r="F497">
        <v>9846</v>
      </c>
      <c r="G497">
        <v>55336</v>
      </c>
      <c r="H497">
        <v>179129</v>
      </c>
      <c r="I497">
        <v>130627</v>
      </c>
      <c r="J497">
        <v>130315</v>
      </c>
      <c r="K497">
        <v>59499</v>
      </c>
      <c r="L497">
        <v>185963</v>
      </c>
      <c r="M497">
        <v>59814</v>
      </c>
    </row>
    <row r="498" spans="1:13" x14ac:dyDescent="0.35">
      <c r="A498" s="120">
        <v>36312</v>
      </c>
      <c r="B498">
        <v>12890</v>
      </c>
      <c r="C498">
        <v>21289</v>
      </c>
      <c r="D498">
        <v>22813</v>
      </c>
      <c r="E498">
        <v>32866</v>
      </c>
      <c r="F498">
        <v>10116</v>
      </c>
      <c r="G498">
        <v>51948</v>
      </c>
      <c r="H498">
        <v>177042</v>
      </c>
      <c r="I498">
        <v>130642</v>
      </c>
      <c r="J498">
        <v>127679</v>
      </c>
      <c r="K498">
        <v>60282</v>
      </c>
      <c r="L498">
        <v>182590</v>
      </c>
      <c r="M498">
        <v>59045</v>
      </c>
    </row>
    <row r="499" spans="1:13" x14ac:dyDescent="0.35">
      <c r="A499" s="120">
        <v>36342</v>
      </c>
      <c r="B499">
        <v>13477</v>
      </c>
      <c r="C499">
        <v>21342</v>
      </c>
      <c r="D499">
        <v>23036</v>
      </c>
      <c r="E499">
        <v>34503</v>
      </c>
      <c r="F499">
        <v>10472</v>
      </c>
      <c r="G499">
        <v>54877</v>
      </c>
      <c r="H499">
        <v>181571</v>
      </c>
      <c r="I499">
        <v>134206</v>
      </c>
      <c r="J499">
        <v>134617</v>
      </c>
      <c r="K499">
        <v>60631</v>
      </c>
      <c r="L499">
        <v>189083</v>
      </c>
      <c r="M499">
        <v>62074</v>
      </c>
    </row>
    <row r="500" spans="1:13" x14ac:dyDescent="0.35">
      <c r="A500" s="120">
        <v>36373</v>
      </c>
      <c r="B500">
        <v>13284</v>
      </c>
      <c r="C500">
        <v>21576</v>
      </c>
      <c r="D500">
        <v>23146</v>
      </c>
      <c r="E500">
        <v>34023</v>
      </c>
      <c r="F500">
        <v>10850</v>
      </c>
      <c r="G500">
        <v>55353</v>
      </c>
      <c r="H500">
        <v>184078</v>
      </c>
      <c r="I500">
        <v>134061</v>
      </c>
      <c r="J500">
        <v>133941</v>
      </c>
      <c r="K500">
        <v>60227</v>
      </c>
      <c r="L500">
        <v>189414</v>
      </c>
      <c r="M500">
        <v>61732</v>
      </c>
    </row>
    <row r="501" spans="1:13" x14ac:dyDescent="0.35">
      <c r="A501" s="120">
        <v>36404</v>
      </c>
      <c r="B501">
        <v>13006</v>
      </c>
      <c r="C501">
        <v>21736</v>
      </c>
      <c r="D501">
        <v>24588</v>
      </c>
      <c r="E501">
        <v>34873</v>
      </c>
      <c r="F501">
        <v>10210</v>
      </c>
      <c r="G501">
        <v>53278</v>
      </c>
      <c r="H501">
        <v>184169</v>
      </c>
      <c r="I501">
        <v>135632</v>
      </c>
      <c r="J501">
        <v>133870</v>
      </c>
      <c r="K501">
        <v>60381</v>
      </c>
      <c r="L501">
        <v>188910</v>
      </c>
      <c r="M501">
        <v>63231</v>
      </c>
    </row>
    <row r="502" spans="1:13" x14ac:dyDescent="0.35">
      <c r="A502" s="120">
        <v>36434</v>
      </c>
      <c r="B502">
        <v>13396</v>
      </c>
      <c r="C502">
        <v>21459</v>
      </c>
      <c r="D502">
        <v>24170</v>
      </c>
      <c r="E502">
        <v>35455</v>
      </c>
      <c r="F502">
        <v>10085</v>
      </c>
      <c r="G502">
        <v>57376</v>
      </c>
      <c r="H502">
        <v>186205</v>
      </c>
      <c r="I502">
        <v>137171</v>
      </c>
      <c r="J502">
        <v>139509</v>
      </c>
      <c r="K502">
        <v>60862</v>
      </c>
      <c r="L502">
        <v>194547</v>
      </c>
      <c r="M502">
        <v>61451</v>
      </c>
    </row>
    <row r="503" spans="1:13" x14ac:dyDescent="0.35">
      <c r="A503" s="120">
        <v>36465</v>
      </c>
      <c r="B503">
        <v>13490</v>
      </c>
      <c r="C503">
        <v>22074</v>
      </c>
      <c r="D503">
        <v>23676</v>
      </c>
      <c r="E503">
        <v>34822</v>
      </c>
      <c r="F503">
        <v>9810</v>
      </c>
      <c r="G503">
        <v>51939</v>
      </c>
      <c r="H503">
        <v>182096</v>
      </c>
      <c r="I503">
        <v>134658</v>
      </c>
      <c r="J503">
        <v>131897</v>
      </c>
      <c r="K503">
        <v>59624</v>
      </c>
      <c r="L503">
        <v>186597</v>
      </c>
      <c r="M503">
        <v>61849</v>
      </c>
    </row>
    <row r="504" spans="1:13" x14ac:dyDescent="0.35">
      <c r="A504" s="120">
        <v>36495</v>
      </c>
      <c r="B504">
        <v>13404</v>
      </c>
      <c r="C504">
        <v>22969</v>
      </c>
      <c r="D504">
        <v>24118</v>
      </c>
      <c r="E504">
        <v>36855</v>
      </c>
      <c r="F504">
        <v>10223</v>
      </c>
      <c r="G504">
        <v>57266</v>
      </c>
      <c r="H504">
        <v>189055</v>
      </c>
      <c r="I504">
        <v>139078</v>
      </c>
      <c r="J504">
        <v>141778</v>
      </c>
      <c r="K504">
        <v>59869</v>
      </c>
      <c r="L504">
        <v>196344</v>
      </c>
      <c r="M504">
        <v>65451</v>
      </c>
    </row>
    <row r="505" spans="1:13" x14ac:dyDescent="0.35">
      <c r="A505" s="120">
        <v>36526</v>
      </c>
      <c r="B505">
        <v>13799</v>
      </c>
      <c r="C505">
        <v>22789</v>
      </c>
      <c r="D505">
        <v>25307</v>
      </c>
      <c r="E505">
        <v>34317</v>
      </c>
      <c r="F505">
        <v>11050</v>
      </c>
      <c r="G505">
        <v>61747</v>
      </c>
      <c r="H505">
        <v>192052</v>
      </c>
      <c r="I505">
        <v>139613</v>
      </c>
      <c r="J505">
        <v>144856</v>
      </c>
      <c r="K505">
        <v>61639</v>
      </c>
      <c r="L505">
        <v>201360</v>
      </c>
      <c r="M505">
        <v>63975</v>
      </c>
    </row>
    <row r="506" spans="1:13" x14ac:dyDescent="0.35">
      <c r="A506" s="120">
        <v>36557</v>
      </c>
      <c r="B506">
        <v>13331</v>
      </c>
      <c r="C506">
        <v>21512</v>
      </c>
      <c r="D506">
        <v>22649</v>
      </c>
      <c r="E506">
        <v>33171</v>
      </c>
      <c r="F506">
        <v>10175</v>
      </c>
      <c r="G506">
        <v>51486</v>
      </c>
      <c r="H506">
        <v>178520</v>
      </c>
      <c r="I506">
        <v>132425</v>
      </c>
      <c r="J506">
        <v>130377</v>
      </c>
      <c r="K506">
        <v>59400</v>
      </c>
      <c r="L506">
        <v>183911</v>
      </c>
      <c r="M506">
        <v>58497</v>
      </c>
    </row>
    <row r="507" spans="1:13" x14ac:dyDescent="0.35">
      <c r="A507" s="120">
        <v>36586</v>
      </c>
      <c r="B507">
        <v>13412</v>
      </c>
      <c r="C507">
        <v>22730</v>
      </c>
      <c r="D507">
        <v>24874</v>
      </c>
      <c r="E507">
        <v>35912</v>
      </c>
      <c r="F507">
        <v>10286</v>
      </c>
      <c r="G507">
        <v>52289</v>
      </c>
      <c r="H507">
        <v>186944</v>
      </c>
      <c r="I507">
        <v>139841</v>
      </c>
      <c r="J507">
        <v>137161</v>
      </c>
      <c r="K507">
        <v>62492</v>
      </c>
      <c r="L507">
        <v>192130</v>
      </c>
      <c r="M507">
        <v>63642</v>
      </c>
    </row>
    <row r="508" spans="1:13" x14ac:dyDescent="0.35">
      <c r="A508" s="120">
        <v>36617</v>
      </c>
      <c r="B508">
        <v>13303</v>
      </c>
      <c r="C508">
        <v>23277</v>
      </c>
      <c r="D508">
        <v>25145</v>
      </c>
      <c r="E508">
        <v>36415</v>
      </c>
      <c r="F508">
        <v>10504</v>
      </c>
      <c r="G508">
        <v>53706</v>
      </c>
      <c r="H508">
        <v>189901</v>
      </c>
      <c r="I508">
        <v>141338</v>
      </c>
      <c r="J508">
        <v>139928</v>
      </c>
      <c r="K508">
        <v>63722</v>
      </c>
      <c r="L508">
        <v>195044</v>
      </c>
      <c r="M508">
        <v>64414</v>
      </c>
    </row>
    <row r="509" spans="1:13" x14ac:dyDescent="0.35">
      <c r="A509" s="120">
        <v>36647</v>
      </c>
      <c r="B509">
        <v>12240</v>
      </c>
      <c r="C509">
        <v>22256</v>
      </c>
      <c r="D509">
        <v>24512</v>
      </c>
      <c r="E509">
        <v>36124</v>
      </c>
      <c r="F509">
        <v>10455</v>
      </c>
      <c r="G509">
        <v>50716</v>
      </c>
      <c r="H509">
        <v>183199</v>
      </c>
      <c r="I509">
        <v>137890</v>
      </c>
      <c r="J509">
        <v>135833</v>
      </c>
      <c r="K509">
        <v>62759</v>
      </c>
      <c r="L509">
        <v>188606</v>
      </c>
      <c r="M509">
        <v>63753</v>
      </c>
    </row>
    <row r="510" spans="1:13" x14ac:dyDescent="0.35">
      <c r="A510" s="120">
        <v>36678</v>
      </c>
      <c r="B510">
        <v>12627</v>
      </c>
      <c r="C510">
        <v>22608</v>
      </c>
      <c r="D510">
        <v>25604</v>
      </c>
      <c r="E510">
        <v>41154</v>
      </c>
      <c r="F510">
        <v>11006</v>
      </c>
      <c r="G510">
        <v>76249</v>
      </c>
      <c r="H510">
        <v>192711</v>
      </c>
      <c r="I510">
        <v>143496</v>
      </c>
      <c r="J510">
        <v>165607</v>
      </c>
      <c r="K510">
        <v>63186</v>
      </c>
      <c r="L510">
        <v>219745</v>
      </c>
      <c r="M510">
        <v>68292</v>
      </c>
    </row>
    <row r="511" spans="1:13" x14ac:dyDescent="0.35">
      <c r="A511" s="120">
        <v>36708</v>
      </c>
      <c r="B511">
        <v>12733</v>
      </c>
      <c r="C511">
        <v>22243</v>
      </c>
      <c r="D511">
        <v>25085</v>
      </c>
      <c r="E511">
        <v>35704</v>
      </c>
      <c r="F511">
        <v>10337</v>
      </c>
      <c r="G511">
        <v>51297</v>
      </c>
      <c r="H511">
        <v>183526</v>
      </c>
      <c r="I511">
        <v>137968</v>
      </c>
      <c r="J511">
        <v>137103</v>
      </c>
      <c r="K511">
        <v>63118</v>
      </c>
      <c r="L511">
        <v>189265</v>
      </c>
      <c r="M511">
        <v>63581</v>
      </c>
    </row>
    <row r="512" spans="1:13" x14ac:dyDescent="0.35">
      <c r="A512" s="120">
        <v>36739</v>
      </c>
      <c r="B512">
        <v>12101</v>
      </c>
      <c r="C512">
        <v>22542</v>
      </c>
      <c r="D512">
        <v>24960</v>
      </c>
      <c r="E512">
        <v>37713</v>
      </c>
      <c r="F512">
        <v>10211</v>
      </c>
      <c r="G512">
        <v>50097</v>
      </c>
      <c r="H512">
        <v>182241</v>
      </c>
      <c r="I512">
        <v>138633</v>
      </c>
      <c r="J512">
        <v>138771</v>
      </c>
      <c r="K512">
        <v>63336</v>
      </c>
      <c r="L512">
        <v>188730</v>
      </c>
      <c r="M512">
        <v>64759</v>
      </c>
    </row>
    <row r="513" spans="1:13" x14ac:dyDescent="0.35">
      <c r="A513" s="120">
        <v>36770</v>
      </c>
      <c r="B513">
        <v>13000</v>
      </c>
      <c r="C513">
        <v>22509</v>
      </c>
      <c r="D513">
        <v>25709</v>
      </c>
      <c r="E513">
        <v>37504</v>
      </c>
      <c r="F513">
        <v>10470</v>
      </c>
      <c r="G513">
        <v>58484</v>
      </c>
      <c r="H513">
        <v>194299</v>
      </c>
      <c r="I513">
        <v>141463</v>
      </c>
      <c r="J513">
        <v>145618</v>
      </c>
      <c r="K513">
        <v>64978</v>
      </c>
      <c r="L513">
        <v>199947</v>
      </c>
      <c r="M513">
        <v>66733</v>
      </c>
    </row>
    <row r="514" spans="1:13" x14ac:dyDescent="0.35">
      <c r="A514" s="120">
        <v>36800</v>
      </c>
      <c r="B514">
        <v>12329</v>
      </c>
      <c r="C514">
        <v>22433</v>
      </c>
      <c r="D514">
        <v>23556</v>
      </c>
      <c r="E514">
        <v>36320</v>
      </c>
      <c r="F514">
        <v>10236</v>
      </c>
      <c r="G514">
        <v>48894</v>
      </c>
      <c r="H514">
        <v>180302</v>
      </c>
      <c r="I514">
        <v>137264</v>
      </c>
      <c r="J514">
        <v>134557</v>
      </c>
      <c r="K514">
        <v>63700</v>
      </c>
      <c r="L514">
        <v>186158</v>
      </c>
      <c r="M514">
        <v>63580</v>
      </c>
    </row>
    <row r="515" spans="1:13" x14ac:dyDescent="0.35">
      <c r="A515" s="120">
        <v>36831</v>
      </c>
      <c r="B515">
        <v>12173</v>
      </c>
      <c r="C515">
        <v>22081</v>
      </c>
      <c r="D515">
        <v>23150</v>
      </c>
      <c r="E515">
        <v>36567</v>
      </c>
      <c r="F515">
        <v>10749</v>
      </c>
      <c r="G515">
        <v>53347</v>
      </c>
      <c r="H515">
        <v>181736</v>
      </c>
      <c r="I515">
        <v>136045</v>
      </c>
      <c r="J515">
        <v>139206</v>
      </c>
      <c r="K515">
        <v>63471</v>
      </c>
      <c r="L515">
        <v>189392</v>
      </c>
      <c r="M515">
        <v>62569</v>
      </c>
    </row>
    <row r="516" spans="1:13" x14ac:dyDescent="0.35">
      <c r="A516" s="120">
        <v>36861</v>
      </c>
      <c r="B516">
        <v>12254</v>
      </c>
      <c r="C516">
        <v>22772</v>
      </c>
      <c r="D516">
        <v>23986</v>
      </c>
      <c r="E516">
        <v>34449</v>
      </c>
      <c r="F516">
        <v>10729</v>
      </c>
      <c r="G516">
        <v>53336</v>
      </c>
      <c r="H516">
        <v>185300</v>
      </c>
      <c r="I516">
        <v>135323</v>
      </c>
      <c r="J516">
        <v>137810</v>
      </c>
      <c r="K516">
        <v>64383</v>
      </c>
      <c r="L516">
        <v>188659</v>
      </c>
      <c r="M516">
        <v>62554</v>
      </c>
    </row>
    <row r="517" spans="1:13" x14ac:dyDescent="0.35">
      <c r="A517" s="120">
        <v>36892</v>
      </c>
      <c r="B517">
        <v>12095</v>
      </c>
      <c r="C517">
        <v>21713</v>
      </c>
      <c r="D517">
        <v>23462</v>
      </c>
      <c r="E517">
        <v>33966</v>
      </c>
      <c r="F517">
        <v>9930</v>
      </c>
      <c r="G517">
        <v>45410</v>
      </c>
      <c r="H517">
        <v>172069</v>
      </c>
      <c r="I517">
        <v>131646</v>
      </c>
      <c r="J517">
        <v>129101</v>
      </c>
      <c r="K517">
        <v>62204</v>
      </c>
      <c r="L517">
        <v>177056</v>
      </c>
      <c r="M517">
        <v>60808</v>
      </c>
    </row>
    <row r="518" spans="1:13" x14ac:dyDescent="0.35">
      <c r="A518" s="120">
        <v>36923</v>
      </c>
      <c r="B518">
        <v>11824</v>
      </c>
      <c r="C518">
        <v>21320</v>
      </c>
      <c r="D518">
        <v>23363</v>
      </c>
      <c r="E518">
        <v>33420</v>
      </c>
      <c r="F518">
        <v>10338</v>
      </c>
      <c r="G518">
        <v>48941</v>
      </c>
      <c r="H518">
        <v>174230</v>
      </c>
      <c r="I518">
        <v>131335</v>
      </c>
      <c r="J518">
        <v>130032</v>
      </c>
      <c r="K518">
        <v>62060</v>
      </c>
      <c r="L518">
        <v>180276</v>
      </c>
      <c r="M518">
        <v>60697</v>
      </c>
    </row>
    <row r="519" spans="1:13" x14ac:dyDescent="0.35">
      <c r="A519" s="120">
        <v>36951</v>
      </c>
      <c r="B519">
        <v>11794</v>
      </c>
      <c r="C519">
        <v>21372</v>
      </c>
      <c r="D519">
        <v>22227</v>
      </c>
      <c r="E519">
        <v>30957</v>
      </c>
      <c r="F519">
        <v>9878</v>
      </c>
      <c r="G519">
        <v>56641</v>
      </c>
      <c r="H519">
        <v>173019</v>
      </c>
      <c r="I519">
        <v>125568</v>
      </c>
      <c r="J519">
        <v>131606</v>
      </c>
      <c r="K519">
        <v>61328</v>
      </c>
      <c r="L519">
        <v>182209</v>
      </c>
      <c r="M519">
        <v>58146</v>
      </c>
    </row>
    <row r="520" spans="1:13" x14ac:dyDescent="0.35">
      <c r="A520" s="120">
        <v>36982</v>
      </c>
      <c r="B520">
        <v>11518</v>
      </c>
      <c r="C520">
        <v>20805</v>
      </c>
      <c r="D520">
        <v>21451</v>
      </c>
      <c r="E520">
        <v>27554</v>
      </c>
      <c r="F520">
        <v>9454</v>
      </c>
      <c r="G520">
        <v>51050</v>
      </c>
      <c r="H520">
        <v>165193</v>
      </c>
      <c r="I520">
        <v>120800</v>
      </c>
      <c r="J520">
        <v>123025</v>
      </c>
      <c r="K520">
        <v>58061</v>
      </c>
      <c r="L520">
        <v>171850</v>
      </c>
      <c r="M520">
        <v>54841</v>
      </c>
    </row>
    <row r="521" spans="1:13" x14ac:dyDescent="0.35">
      <c r="A521" s="120">
        <v>37012</v>
      </c>
      <c r="B521">
        <v>11831</v>
      </c>
      <c r="C521">
        <v>22847</v>
      </c>
      <c r="D521">
        <v>22483</v>
      </c>
      <c r="E521">
        <v>28736</v>
      </c>
      <c r="F521">
        <v>9546</v>
      </c>
      <c r="G521">
        <v>51591</v>
      </c>
      <c r="H521">
        <v>170387</v>
      </c>
      <c r="I521">
        <v>126158</v>
      </c>
      <c r="J521">
        <v>126796</v>
      </c>
      <c r="K521">
        <v>57809</v>
      </c>
      <c r="L521">
        <v>177749</v>
      </c>
      <c r="M521">
        <v>56599</v>
      </c>
    </row>
    <row r="522" spans="1:13" x14ac:dyDescent="0.35">
      <c r="A522" s="120">
        <v>37043</v>
      </c>
      <c r="B522">
        <v>12245</v>
      </c>
      <c r="C522">
        <v>21156</v>
      </c>
      <c r="D522">
        <v>22334</v>
      </c>
      <c r="E522">
        <v>29088</v>
      </c>
      <c r="F522">
        <v>9525</v>
      </c>
      <c r="G522">
        <v>51212</v>
      </c>
      <c r="H522">
        <v>170143</v>
      </c>
      <c r="I522">
        <v>125138</v>
      </c>
      <c r="J522">
        <v>126051</v>
      </c>
      <c r="K522">
        <v>57270</v>
      </c>
      <c r="L522">
        <v>176350</v>
      </c>
      <c r="M522">
        <v>55428</v>
      </c>
    </row>
    <row r="523" spans="1:13" x14ac:dyDescent="0.35">
      <c r="A523" s="120">
        <v>37073</v>
      </c>
      <c r="B523">
        <v>11544</v>
      </c>
      <c r="C523">
        <v>20946</v>
      </c>
      <c r="D523">
        <v>21166</v>
      </c>
      <c r="E523">
        <v>27625</v>
      </c>
      <c r="F523">
        <v>9199</v>
      </c>
      <c r="G523">
        <v>48368</v>
      </c>
      <c r="H523">
        <v>163190</v>
      </c>
      <c r="I523">
        <v>121761</v>
      </c>
      <c r="J523">
        <v>120027</v>
      </c>
      <c r="K523">
        <v>55370</v>
      </c>
      <c r="L523">
        <v>170129</v>
      </c>
      <c r="M523">
        <v>53436</v>
      </c>
    </row>
    <row r="524" spans="1:13" x14ac:dyDescent="0.35">
      <c r="A524" s="120">
        <v>37104</v>
      </c>
      <c r="B524">
        <v>11302</v>
      </c>
      <c r="C524">
        <v>21005</v>
      </c>
      <c r="D524">
        <v>22182</v>
      </c>
      <c r="E524">
        <v>27598</v>
      </c>
      <c r="F524">
        <v>8990</v>
      </c>
      <c r="G524">
        <v>48423</v>
      </c>
      <c r="H524">
        <v>164593</v>
      </c>
      <c r="I524">
        <v>122061</v>
      </c>
      <c r="J524">
        <v>120481</v>
      </c>
      <c r="K524">
        <v>55259</v>
      </c>
      <c r="L524">
        <v>170484</v>
      </c>
      <c r="M524">
        <v>54169</v>
      </c>
    </row>
    <row r="525" spans="1:13" x14ac:dyDescent="0.35">
      <c r="A525" s="120">
        <v>37135</v>
      </c>
      <c r="B525">
        <v>11255</v>
      </c>
      <c r="C525">
        <v>19635</v>
      </c>
      <c r="D525">
        <v>21984</v>
      </c>
      <c r="E525">
        <v>26632</v>
      </c>
      <c r="F525">
        <v>8495</v>
      </c>
      <c r="G525">
        <v>45716</v>
      </c>
      <c r="H525">
        <v>155425</v>
      </c>
      <c r="I525">
        <v>118407</v>
      </c>
      <c r="J525">
        <v>115746</v>
      </c>
      <c r="K525">
        <v>53660</v>
      </c>
      <c r="L525">
        <v>164123</v>
      </c>
      <c r="M525">
        <v>50735</v>
      </c>
    </row>
    <row r="526" spans="1:13" x14ac:dyDescent="0.35">
      <c r="A526" s="120">
        <v>37165</v>
      </c>
      <c r="B526">
        <v>10513</v>
      </c>
      <c r="C526">
        <v>19638</v>
      </c>
      <c r="D526">
        <v>19904</v>
      </c>
      <c r="E526">
        <v>26377</v>
      </c>
      <c r="F526">
        <v>8322</v>
      </c>
      <c r="G526">
        <v>56405</v>
      </c>
      <c r="H526">
        <v>152471</v>
      </c>
      <c r="I526">
        <v>115125</v>
      </c>
      <c r="J526">
        <v>122937</v>
      </c>
      <c r="K526">
        <v>52775</v>
      </c>
      <c r="L526">
        <v>171530</v>
      </c>
      <c r="M526">
        <v>49736</v>
      </c>
    </row>
    <row r="527" spans="1:13" x14ac:dyDescent="0.35">
      <c r="A527" s="120">
        <v>37196</v>
      </c>
      <c r="B527">
        <v>10980</v>
      </c>
      <c r="C527">
        <v>19578</v>
      </c>
      <c r="D527">
        <v>20582</v>
      </c>
      <c r="E527">
        <v>27061</v>
      </c>
      <c r="F527">
        <v>8591</v>
      </c>
      <c r="G527">
        <v>46647</v>
      </c>
      <c r="H527">
        <v>157390</v>
      </c>
      <c r="I527">
        <v>117164</v>
      </c>
      <c r="J527">
        <v>114240</v>
      </c>
      <c r="K527">
        <v>51410</v>
      </c>
      <c r="L527">
        <v>163811</v>
      </c>
      <c r="M527">
        <v>51335</v>
      </c>
    </row>
    <row r="528" spans="1:13" x14ac:dyDescent="0.35">
      <c r="A528" s="120">
        <v>37226</v>
      </c>
      <c r="B528">
        <v>11091</v>
      </c>
      <c r="C528">
        <v>20477</v>
      </c>
      <c r="D528">
        <v>20559</v>
      </c>
      <c r="E528">
        <v>26986</v>
      </c>
      <c r="F528">
        <v>8841</v>
      </c>
      <c r="G528">
        <v>46917</v>
      </c>
      <c r="H528">
        <v>158149</v>
      </c>
      <c r="I528">
        <v>118387</v>
      </c>
      <c r="J528">
        <v>114782</v>
      </c>
      <c r="K528">
        <v>52221</v>
      </c>
      <c r="L528">
        <v>165304</v>
      </c>
      <c r="M528">
        <v>51290</v>
      </c>
    </row>
    <row r="529" spans="1:13" x14ac:dyDescent="0.35">
      <c r="A529" s="120">
        <v>37257</v>
      </c>
      <c r="B529">
        <v>11089</v>
      </c>
      <c r="C529">
        <v>19916</v>
      </c>
      <c r="D529">
        <v>19237</v>
      </c>
      <c r="E529">
        <v>23957</v>
      </c>
      <c r="F529">
        <v>7913</v>
      </c>
      <c r="G529">
        <v>49693</v>
      </c>
      <c r="H529">
        <v>157413</v>
      </c>
      <c r="I529">
        <v>113631</v>
      </c>
      <c r="J529">
        <v>112406</v>
      </c>
      <c r="K529">
        <v>50214</v>
      </c>
      <c r="L529">
        <v>163324</v>
      </c>
      <c r="M529">
        <v>47643</v>
      </c>
    </row>
    <row r="530" spans="1:13" x14ac:dyDescent="0.35">
      <c r="A530" s="120">
        <v>37288</v>
      </c>
      <c r="B530">
        <v>11088</v>
      </c>
      <c r="C530">
        <v>19926</v>
      </c>
      <c r="D530">
        <v>19390</v>
      </c>
      <c r="E530">
        <v>25330</v>
      </c>
      <c r="F530">
        <v>8670</v>
      </c>
      <c r="G530">
        <v>56674</v>
      </c>
      <c r="H530">
        <v>162338</v>
      </c>
      <c r="I530">
        <v>115732</v>
      </c>
      <c r="J530">
        <v>122233</v>
      </c>
      <c r="K530">
        <v>51412</v>
      </c>
      <c r="L530">
        <v>172406</v>
      </c>
      <c r="M530">
        <v>50422</v>
      </c>
    </row>
    <row r="531" spans="1:13" x14ac:dyDescent="0.35">
      <c r="A531" s="120">
        <v>37316</v>
      </c>
      <c r="B531">
        <v>11416</v>
      </c>
      <c r="C531">
        <v>20098</v>
      </c>
      <c r="D531">
        <v>19389</v>
      </c>
      <c r="E531">
        <v>24249</v>
      </c>
      <c r="F531">
        <v>8385</v>
      </c>
      <c r="G531">
        <v>53201</v>
      </c>
      <c r="H531">
        <v>157855</v>
      </c>
      <c r="I531">
        <v>114652</v>
      </c>
      <c r="J531">
        <v>118940</v>
      </c>
      <c r="K531">
        <v>51264</v>
      </c>
      <c r="L531">
        <v>167853</v>
      </c>
      <c r="M531">
        <v>47371</v>
      </c>
    </row>
    <row r="532" spans="1:13" x14ac:dyDescent="0.35">
      <c r="A532" s="120">
        <v>37347</v>
      </c>
      <c r="B532">
        <v>11802</v>
      </c>
      <c r="C532">
        <v>20494</v>
      </c>
      <c r="D532">
        <v>20288</v>
      </c>
      <c r="E532">
        <v>25393</v>
      </c>
      <c r="F532">
        <v>8941</v>
      </c>
      <c r="G532">
        <v>52970</v>
      </c>
      <c r="H532">
        <v>164479</v>
      </c>
      <c r="I532">
        <v>118882</v>
      </c>
      <c r="J532">
        <v>118664</v>
      </c>
      <c r="K532">
        <v>50763</v>
      </c>
      <c r="L532">
        <v>171852</v>
      </c>
      <c r="M532">
        <v>49964</v>
      </c>
    </row>
    <row r="533" spans="1:13" x14ac:dyDescent="0.35">
      <c r="A533" s="120">
        <v>37377</v>
      </c>
      <c r="B533">
        <v>12152</v>
      </c>
      <c r="C533">
        <v>20891</v>
      </c>
      <c r="D533">
        <v>20921</v>
      </c>
      <c r="E533">
        <v>25011</v>
      </c>
      <c r="F533">
        <v>8802</v>
      </c>
      <c r="G533">
        <v>51910</v>
      </c>
      <c r="H533">
        <v>165886</v>
      </c>
      <c r="I533">
        <v>119944</v>
      </c>
      <c r="J533">
        <v>119235</v>
      </c>
      <c r="K533">
        <v>51857</v>
      </c>
      <c r="L533">
        <v>171854</v>
      </c>
      <c r="M533">
        <v>50680</v>
      </c>
    </row>
    <row r="534" spans="1:13" x14ac:dyDescent="0.35">
      <c r="A534" s="120">
        <v>37408</v>
      </c>
      <c r="B534">
        <v>11907</v>
      </c>
      <c r="C534">
        <v>20378</v>
      </c>
      <c r="D534">
        <v>19998</v>
      </c>
      <c r="E534">
        <v>23810</v>
      </c>
      <c r="F534">
        <v>8973</v>
      </c>
      <c r="G534">
        <v>48877</v>
      </c>
      <c r="H534">
        <v>158878</v>
      </c>
      <c r="I534">
        <v>117193</v>
      </c>
      <c r="J534">
        <v>113950</v>
      </c>
      <c r="K534">
        <v>51723</v>
      </c>
      <c r="L534">
        <v>166070</v>
      </c>
      <c r="M534">
        <v>48847</v>
      </c>
    </row>
    <row r="535" spans="1:13" x14ac:dyDescent="0.35">
      <c r="A535" s="120">
        <v>37438</v>
      </c>
      <c r="B535">
        <v>11561</v>
      </c>
      <c r="C535">
        <v>20661</v>
      </c>
      <c r="D535">
        <v>20935</v>
      </c>
      <c r="E535">
        <v>23565</v>
      </c>
      <c r="F535">
        <v>8088</v>
      </c>
      <c r="G535">
        <v>57289</v>
      </c>
      <c r="H535">
        <v>164086</v>
      </c>
      <c r="I535">
        <v>116993</v>
      </c>
      <c r="J535">
        <v>120438</v>
      </c>
      <c r="K535">
        <v>50606</v>
      </c>
      <c r="L535">
        <v>174282</v>
      </c>
      <c r="M535">
        <v>49531</v>
      </c>
    </row>
    <row r="536" spans="1:13" x14ac:dyDescent="0.35">
      <c r="A536" s="120">
        <v>37469</v>
      </c>
      <c r="B536">
        <v>11915</v>
      </c>
      <c r="C536">
        <v>19979</v>
      </c>
      <c r="D536">
        <v>20838</v>
      </c>
      <c r="E536">
        <v>23643</v>
      </c>
      <c r="F536">
        <v>8381</v>
      </c>
      <c r="G536">
        <v>60083</v>
      </c>
      <c r="H536">
        <v>169023</v>
      </c>
      <c r="I536">
        <v>117043</v>
      </c>
      <c r="J536">
        <v>122932</v>
      </c>
      <c r="K536">
        <v>51767</v>
      </c>
      <c r="L536">
        <v>177126</v>
      </c>
      <c r="M536">
        <v>51112</v>
      </c>
    </row>
    <row r="537" spans="1:13" x14ac:dyDescent="0.35">
      <c r="A537" s="120">
        <v>37500</v>
      </c>
      <c r="B537">
        <v>11828</v>
      </c>
      <c r="C537">
        <v>21007</v>
      </c>
      <c r="D537">
        <v>21476</v>
      </c>
      <c r="E537">
        <v>21537</v>
      </c>
      <c r="F537">
        <v>8516</v>
      </c>
      <c r="G537">
        <v>50377</v>
      </c>
      <c r="H537">
        <v>158513</v>
      </c>
      <c r="I537">
        <v>116461</v>
      </c>
      <c r="J537">
        <v>115066</v>
      </c>
      <c r="K537">
        <v>51041</v>
      </c>
      <c r="L537">
        <v>166838</v>
      </c>
      <c r="M537">
        <v>48089</v>
      </c>
    </row>
    <row r="538" spans="1:13" x14ac:dyDescent="0.35">
      <c r="A538" s="120">
        <v>37530</v>
      </c>
      <c r="B538">
        <v>12133</v>
      </c>
      <c r="C538">
        <v>20837</v>
      </c>
      <c r="D538">
        <v>21100</v>
      </c>
      <c r="E538">
        <v>21460</v>
      </c>
      <c r="F538">
        <v>8464</v>
      </c>
      <c r="G538">
        <v>52510</v>
      </c>
      <c r="H538">
        <v>163571</v>
      </c>
      <c r="I538">
        <v>116624</v>
      </c>
      <c r="J538">
        <v>115754</v>
      </c>
      <c r="K538">
        <v>50189</v>
      </c>
      <c r="L538">
        <v>169134</v>
      </c>
      <c r="M538">
        <v>49106</v>
      </c>
    </row>
    <row r="539" spans="1:13" x14ac:dyDescent="0.35">
      <c r="A539" s="120">
        <v>37561</v>
      </c>
      <c r="B539">
        <v>11273</v>
      </c>
      <c r="C539">
        <v>20532</v>
      </c>
      <c r="D539">
        <v>21052</v>
      </c>
      <c r="E539">
        <v>23049</v>
      </c>
      <c r="F539">
        <v>8469</v>
      </c>
      <c r="G539">
        <v>53076</v>
      </c>
      <c r="H539">
        <v>163175</v>
      </c>
      <c r="I539">
        <v>116947</v>
      </c>
      <c r="J539">
        <v>117084</v>
      </c>
      <c r="K539">
        <v>50845</v>
      </c>
      <c r="L539">
        <v>170023</v>
      </c>
      <c r="M539">
        <v>49620</v>
      </c>
    </row>
    <row r="540" spans="1:13" x14ac:dyDescent="0.35">
      <c r="A540" s="120">
        <v>37591</v>
      </c>
      <c r="B540">
        <v>11201</v>
      </c>
      <c r="C540">
        <v>19732</v>
      </c>
      <c r="D540">
        <v>20998</v>
      </c>
      <c r="E540">
        <v>22776</v>
      </c>
      <c r="F540">
        <v>8645</v>
      </c>
      <c r="G540">
        <v>48195</v>
      </c>
      <c r="H540">
        <v>156085</v>
      </c>
      <c r="I540">
        <v>115767</v>
      </c>
      <c r="J540">
        <v>112831</v>
      </c>
      <c r="K540">
        <v>49514</v>
      </c>
      <c r="L540">
        <v>163962</v>
      </c>
      <c r="M540">
        <v>48744</v>
      </c>
    </row>
    <row r="541" spans="1:13" x14ac:dyDescent="0.35">
      <c r="A541" s="120">
        <v>37622</v>
      </c>
      <c r="B541">
        <v>11809</v>
      </c>
      <c r="C541">
        <v>19617</v>
      </c>
      <c r="D541">
        <v>20885</v>
      </c>
      <c r="E541">
        <v>22955</v>
      </c>
      <c r="F541">
        <v>8100</v>
      </c>
      <c r="G541">
        <v>54385</v>
      </c>
      <c r="H541">
        <v>161973</v>
      </c>
      <c r="I541">
        <v>115609</v>
      </c>
      <c r="J541">
        <v>116048</v>
      </c>
      <c r="K541">
        <v>49171</v>
      </c>
      <c r="L541">
        <v>169994</v>
      </c>
      <c r="M541">
        <v>48896</v>
      </c>
    </row>
    <row r="542" spans="1:13" x14ac:dyDescent="0.35">
      <c r="A542" s="120">
        <v>37653</v>
      </c>
      <c r="B542">
        <v>11588</v>
      </c>
      <c r="C542">
        <v>22329</v>
      </c>
      <c r="D542">
        <v>20695</v>
      </c>
      <c r="E542">
        <v>23152</v>
      </c>
      <c r="F542">
        <v>8095</v>
      </c>
      <c r="G542">
        <v>56015</v>
      </c>
      <c r="H542">
        <v>164139</v>
      </c>
      <c r="I542">
        <v>118098</v>
      </c>
      <c r="J542">
        <v>121274</v>
      </c>
      <c r="K542">
        <v>49130</v>
      </c>
      <c r="L542">
        <v>174113</v>
      </c>
      <c r="M542">
        <v>49128</v>
      </c>
    </row>
    <row r="543" spans="1:13" x14ac:dyDescent="0.35">
      <c r="A543" s="120">
        <v>37681</v>
      </c>
      <c r="B543">
        <v>10745</v>
      </c>
      <c r="C543">
        <v>20539</v>
      </c>
      <c r="D543">
        <v>22278</v>
      </c>
      <c r="E543">
        <v>22826</v>
      </c>
      <c r="F543">
        <v>8599</v>
      </c>
      <c r="G543">
        <v>55319</v>
      </c>
      <c r="H543">
        <v>162941</v>
      </c>
      <c r="I543">
        <v>116926</v>
      </c>
      <c r="J543">
        <v>119034</v>
      </c>
      <c r="K543">
        <v>49992</v>
      </c>
      <c r="L543">
        <v>172245</v>
      </c>
      <c r="M543">
        <v>51757</v>
      </c>
    </row>
    <row r="544" spans="1:13" x14ac:dyDescent="0.35">
      <c r="A544" s="120">
        <v>37712</v>
      </c>
      <c r="B544">
        <v>11364</v>
      </c>
      <c r="C544">
        <v>19592</v>
      </c>
      <c r="D544">
        <v>20629</v>
      </c>
      <c r="E544">
        <v>23420</v>
      </c>
      <c r="F544">
        <v>7983</v>
      </c>
      <c r="G544">
        <v>54324</v>
      </c>
      <c r="H544">
        <v>158517</v>
      </c>
      <c r="I544">
        <v>115023</v>
      </c>
      <c r="J544">
        <v>117051</v>
      </c>
      <c r="K544">
        <v>49116</v>
      </c>
      <c r="L544">
        <v>169347</v>
      </c>
      <c r="M544">
        <v>49199</v>
      </c>
    </row>
    <row r="545" spans="1:13" x14ac:dyDescent="0.35">
      <c r="A545" s="120">
        <v>37742</v>
      </c>
      <c r="B545">
        <v>11113</v>
      </c>
      <c r="C545">
        <v>20214</v>
      </c>
      <c r="D545">
        <v>20967</v>
      </c>
      <c r="E545">
        <v>24063</v>
      </c>
      <c r="F545">
        <v>7949</v>
      </c>
      <c r="G545">
        <v>55239</v>
      </c>
      <c r="H545">
        <v>161370</v>
      </c>
      <c r="I545">
        <v>116303</v>
      </c>
      <c r="J545">
        <v>118306</v>
      </c>
      <c r="K545">
        <v>49790</v>
      </c>
      <c r="L545">
        <v>171542</v>
      </c>
      <c r="M545">
        <v>50849</v>
      </c>
    </row>
    <row r="546" spans="1:13" x14ac:dyDescent="0.35">
      <c r="A546" s="120">
        <v>37773</v>
      </c>
      <c r="B546">
        <v>11545</v>
      </c>
      <c r="C546">
        <v>20561</v>
      </c>
      <c r="D546">
        <v>21493</v>
      </c>
      <c r="E546">
        <v>23387</v>
      </c>
      <c r="F546">
        <v>8365</v>
      </c>
      <c r="G546">
        <v>55788</v>
      </c>
      <c r="H546">
        <v>165123</v>
      </c>
      <c r="I546">
        <v>117719</v>
      </c>
      <c r="J546">
        <v>119931</v>
      </c>
      <c r="K546">
        <v>49999</v>
      </c>
      <c r="L546">
        <v>173507</v>
      </c>
      <c r="M546">
        <v>49941</v>
      </c>
    </row>
    <row r="547" spans="1:13" x14ac:dyDescent="0.35">
      <c r="A547" s="120">
        <v>37803</v>
      </c>
      <c r="B547">
        <v>11617</v>
      </c>
      <c r="C547">
        <v>20770</v>
      </c>
      <c r="D547">
        <v>21034</v>
      </c>
      <c r="E547">
        <v>23871</v>
      </c>
      <c r="F547">
        <v>8051</v>
      </c>
      <c r="G547">
        <v>55105</v>
      </c>
      <c r="H547">
        <v>164584</v>
      </c>
      <c r="I547">
        <v>118215</v>
      </c>
      <c r="J547">
        <v>117404</v>
      </c>
      <c r="K547">
        <v>49927</v>
      </c>
      <c r="L547">
        <v>173320</v>
      </c>
      <c r="M547">
        <v>49408</v>
      </c>
    </row>
    <row r="548" spans="1:13" x14ac:dyDescent="0.35">
      <c r="A548" s="120">
        <v>37834</v>
      </c>
      <c r="B548">
        <v>11673</v>
      </c>
      <c r="C548">
        <v>20307</v>
      </c>
      <c r="D548">
        <v>21883</v>
      </c>
      <c r="E548">
        <v>24607</v>
      </c>
      <c r="F548">
        <v>8236</v>
      </c>
      <c r="G548">
        <v>53113</v>
      </c>
      <c r="H548">
        <v>162258</v>
      </c>
      <c r="I548">
        <v>119931</v>
      </c>
      <c r="J548">
        <v>119296</v>
      </c>
      <c r="K548">
        <v>49441</v>
      </c>
      <c r="L548">
        <v>173044</v>
      </c>
      <c r="M548">
        <v>50447</v>
      </c>
    </row>
    <row r="549" spans="1:13" x14ac:dyDescent="0.35">
      <c r="A549" s="120">
        <v>37865</v>
      </c>
      <c r="B549">
        <v>11323</v>
      </c>
      <c r="C549">
        <v>20865</v>
      </c>
      <c r="D549">
        <v>21904</v>
      </c>
      <c r="E549">
        <v>25217</v>
      </c>
      <c r="F549">
        <v>8420</v>
      </c>
      <c r="G549">
        <v>57358</v>
      </c>
      <c r="H549">
        <v>169820</v>
      </c>
      <c r="I549">
        <v>121332</v>
      </c>
      <c r="J549">
        <v>121830</v>
      </c>
      <c r="K549">
        <v>51050</v>
      </c>
      <c r="L549">
        <v>178690</v>
      </c>
      <c r="M549">
        <v>51971</v>
      </c>
    </row>
    <row r="550" spans="1:13" x14ac:dyDescent="0.35">
      <c r="A550" s="120">
        <v>37895</v>
      </c>
      <c r="B550">
        <v>13410</v>
      </c>
      <c r="C550">
        <v>21506</v>
      </c>
      <c r="D550">
        <v>20960</v>
      </c>
      <c r="E550">
        <v>26376</v>
      </c>
      <c r="F550">
        <v>8590</v>
      </c>
      <c r="G550">
        <v>58509</v>
      </c>
      <c r="H550">
        <v>172776</v>
      </c>
      <c r="I550">
        <v>125195</v>
      </c>
      <c r="J550">
        <v>127269</v>
      </c>
      <c r="K550">
        <v>50712</v>
      </c>
      <c r="L550">
        <v>183704</v>
      </c>
      <c r="M550">
        <v>51088</v>
      </c>
    </row>
    <row r="551" spans="1:13" x14ac:dyDescent="0.35">
      <c r="A551" s="120">
        <v>37926</v>
      </c>
      <c r="B551">
        <v>13068</v>
      </c>
      <c r="C551">
        <v>21712</v>
      </c>
      <c r="D551">
        <v>22707</v>
      </c>
      <c r="E551">
        <v>24876</v>
      </c>
      <c r="F551">
        <v>8516</v>
      </c>
      <c r="G551">
        <v>56537</v>
      </c>
      <c r="H551">
        <v>172903</v>
      </c>
      <c r="I551">
        <v>125148</v>
      </c>
      <c r="J551">
        <v>125879</v>
      </c>
      <c r="K551">
        <v>51028</v>
      </c>
      <c r="L551">
        <v>181685</v>
      </c>
      <c r="M551">
        <v>52318</v>
      </c>
    </row>
    <row r="552" spans="1:13" x14ac:dyDescent="0.35">
      <c r="A552" s="120">
        <v>37956</v>
      </c>
      <c r="B552">
        <v>12605</v>
      </c>
      <c r="C552">
        <v>21426</v>
      </c>
      <c r="D552">
        <v>22836</v>
      </c>
      <c r="E552">
        <v>26323</v>
      </c>
      <c r="F552">
        <v>8519</v>
      </c>
      <c r="G552">
        <v>56710</v>
      </c>
      <c r="H552">
        <v>170591</v>
      </c>
      <c r="I552">
        <v>124803</v>
      </c>
      <c r="J552">
        <v>126251</v>
      </c>
      <c r="K552">
        <v>51259</v>
      </c>
      <c r="L552">
        <v>181513</v>
      </c>
      <c r="M552">
        <v>53325</v>
      </c>
    </row>
    <row r="553" spans="1:13" x14ac:dyDescent="0.35">
      <c r="A553" s="120">
        <v>37987</v>
      </c>
      <c r="B553">
        <v>13389</v>
      </c>
      <c r="C553">
        <v>22072</v>
      </c>
      <c r="D553">
        <v>21702</v>
      </c>
      <c r="E553">
        <v>24374</v>
      </c>
      <c r="F553">
        <v>8416</v>
      </c>
      <c r="G553">
        <v>55468</v>
      </c>
      <c r="H553">
        <v>168214</v>
      </c>
      <c r="I553">
        <v>123228</v>
      </c>
      <c r="J553">
        <v>124471</v>
      </c>
      <c r="K553">
        <v>50315</v>
      </c>
      <c r="L553">
        <v>178696</v>
      </c>
      <c r="M553">
        <v>50190</v>
      </c>
    </row>
    <row r="554" spans="1:13" x14ac:dyDescent="0.35">
      <c r="A554" s="120">
        <v>38018</v>
      </c>
      <c r="B554">
        <v>14161</v>
      </c>
      <c r="C554">
        <v>21462</v>
      </c>
      <c r="D554">
        <v>22280</v>
      </c>
      <c r="E554">
        <v>24571</v>
      </c>
      <c r="F554">
        <v>8579</v>
      </c>
      <c r="G554">
        <v>57852</v>
      </c>
      <c r="H554">
        <v>171570</v>
      </c>
      <c r="I554">
        <v>123810</v>
      </c>
      <c r="J554">
        <v>126174</v>
      </c>
      <c r="K554">
        <v>49633</v>
      </c>
      <c r="L554">
        <v>181662</v>
      </c>
      <c r="M554">
        <v>51210</v>
      </c>
    </row>
    <row r="555" spans="1:13" x14ac:dyDescent="0.35">
      <c r="A555" s="120">
        <v>38047</v>
      </c>
      <c r="B555">
        <v>15493</v>
      </c>
      <c r="C555">
        <v>22733</v>
      </c>
      <c r="D555">
        <v>24203</v>
      </c>
      <c r="E555">
        <v>25899</v>
      </c>
      <c r="F555">
        <v>9038</v>
      </c>
      <c r="G555">
        <v>59224</v>
      </c>
      <c r="H555">
        <v>181448</v>
      </c>
      <c r="I555">
        <v>131645</v>
      </c>
      <c r="J555">
        <v>132836</v>
      </c>
      <c r="K555">
        <v>51809</v>
      </c>
      <c r="L555">
        <v>190869</v>
      </c>
      <c r="M555">
        <v>54995</v>
      </c>
    </row>
    <row r="556" spans="1:13" x14ac:dyDescent="0.35">
      <c r="A556" s="120">
        <v>38078</v>
      </c>
      <c r="B556">
        <v>14454</v>
      </c>
      <c r="C556">
        <v>22757</v>
      </c>
      <c r="D556">
        <v>22639</v>
      </c>
      <c r="E556">
        <v>24683</v>
      </c>
      <c r="F556">
        <v>9064</v>
      </c>
      <c r="G556">
        <v>56412</v>
      </c>
      <c r="H556">
        <v>173902</v>
      </c>
      <c r="I556">
        <v>127956</v>
      </c>
      <c r="J556">
        <v>127885</v>
      </c>
      <c r="K556">
        <v>51432</v>
      </c>
      <c r="L556">
        <v>184368</v>
      </c>
      <c r="M556">
        <v>52065</v>
      </c>
    </row>
    <row r="557" spans="1:13" x14ac:dyDescent="0.35">
      <c r="A557" s="120">
        <v>38108</v>
      </c>
      <c r="B557">
        <v>15374</v>
      </c>
      <c r="C557">
        <v>21582</v>
      </c>
      <c r="D557">
        <v>22984</v>
      </c>
      <c r="E557">
        <v>25327</v>
      </c>
      <c r="F557">
        <v>8808</v>
      </c>
      <c r="G557">
        <v>54677</v>
      </c>
      <c r="H557">
        <v>175303</v>
      </c>
      <c r="I557">
        <v>128782</v>
      </c>
      <c r="J557">
        <v>128297</v>
      </c>
      <c r="K557">
        <v>51070</v>
      </c>
      <c r="L557">
        <v>183459</v>
      </c>
      <c r="M557">
        <v>52405</v>
      </c>
    </row>
    <row r="558" spans="1:13" x14ac:dyDescent="0.35">
      <c r="A558" s="120">
        <v>38139</v>
      </c>
      <c r="B558">
        <v>15585</v>
      </c>
      <c r="C558">
        <v>21993</v>
      </c>
      <c r="D558">
        <v>23409</v>
      </c>
      <c r="E558">
        <v>24662</v>
      </c>
      <c r="F558">
        <v>8295</v>
      </c>
      <c r="G558">
        <v>57082</v>
      </c>
      <c r="H558">
        <v>175494</v>
      </c>
      <c r="I558">
        <v>128558</v>
      </c>
      <c r="J558">
        <v>129908</v>
      </c>
      <c r="K558">
        <v>52459</v>
      </c>
      <c r="L558">
        <v>185640</v>
      </c>
      <c r="M558">
        <v>53213</v>
      </c>
    </row>
    <row r="559" spans="1:13" x14ac:dyDescent="0.35">
      <c r="A559" s="120">
        <v>38169</v>
      </c>
      <c r="B559">
        <v>16498</v>
      </c>
      <c r="C559">
        <v>21640</v>
      </c>
      <c r="D559">
        <v>22842</v>
      </c>
      <c r="E559">
        <v>23513</v>
      </c>
      <c r="F559">
        <v>9045</v>
      </c>
      <c r="G559">
        <v>58985</v>
      </c>
      <c r="H559">
        <v>177293</v>
      </c>
      <c r="I559">
        <v>127850</v>
      </c>
      <c r="J559">
        <v>134104</v>
      </c>
      <c r="K559">
        <v>52558</v>
      </c>
      <c r="L559">
        <v>186835</v>
      </c>
      <c r="M559">
        <v>53699</v>
      </c>
    </row>
    <row r="560" spans="1:13" x14ac:dyDescent="0.35">
      <c r="A560" s="120">
        <v>38200</v>
      </c>
      <c r="B560">
        <v>16523</v>
      </c>
      <c r="C560">
        <v>22852</v>
      </c>
      <c r="D560">
        <v>22901</v>
      </c>
      <c r="E560">
        <v>23646</v>
      </c>
      <c r="F560">
        <v>9029</v>
      </c>
      <c r="G560">
        <v>53281</v>
      </c>
      <c r="H560">
        <v>176538</v>
      </c>
      <c r="I560">
        <v>130447</v>
      </c>
      <c r="J560">
        <v>127182</v>
      </c>
      <c r="K560">
        <v>52596</v>
      </c>
      <c r="L560">
        <v>183728</v>
      </c>
      <c r="M560">
        <v>51950</v>
      </c>
    </row>
    <row r="561" spans="1:13" x14ac:dyDescent="0.35">
      <c r="A561" s="120">
        <v>38231</v>
      </c>
      <c r="B561">
        <v>16170</v>
      </c>
      <c r="C561">
        <v>21577</v>
      </c>
      <c r="D561">
        <v>24828</v>
      </c>
      <c r="E561">
        <v>25956</v>
      </c>
      <c r="F561">
        <v>8984</v>
      </c>
      <c r="G561">
        <v>55989</v>
      </c>
      <c r="H561">
        <v>178667</v>
      </c>
      <c r="I561">
        <v>132455</v>
      </c>
      <c r="J561">
        <v>132132</v>
      </c>
      <c r="K561">
        <v>53221</v>
      </c>
      <c r="L561">
        <v>188444</v>
      </c>
      <c r="M561">
        <v>56227</v>
      </c>
    </row>
    <row r="562" spans="1:13" x14ac:dyDescent="0.35">
      <c r="A562" s="120">
        <v>38261</v>
      </c>
      <c r="B562">
        <v>15374</v>
      </c>
      <c r="C562">
        <v>23551</v>
      </c>
      <c r="D562">
        <v>24451</v>
      </c>
      <c r="E562">
        <v>25080</v>
      </c>
      <c r="F562">
        <v>8719</v>
      </c>
      <c r="G562">
        <v>53009</v>
      </c>
      <c r="H562">
        <v>175497</v>
      </c>
      <c r="I562">
        <v>132178</v>
      </c>
      <c r="J562">
        <v>129177</v>
      </c>
      <c r="K562">
        <v>54145</v>
      </c>
      <c r="L562">
        <v>185187</v>
      </c>
      <c r="M562">
        <v>53948</v>
      </c>
    </row>
    <row r="563" spans="1:13" x14ac:dyDescent="0.35">
      <c r="A563" s="120">
        <v>38292</v>
      </c>
      <c r="B563">
        <v>16541</v>
      </c>
      <c r="C563">
        <v>23405</v>
      </c>
      <c r="D563">
        <v>24024</v>
      </c>
      <c r="E563">
        <v>24707</v>
      </c>
      <c r="F563">
        <v>9397</v>
      </c>
      <c r="G563">
        <v>58423</v>
      </c>
      <c r="H563">
        <v>183784</v>
      </c>
      <c r="I563">
        <v>134122</v>
      </c>
      <c r="J563">
        <v>135582</v>
      </c>
      <c r="K563">
        <v>52976</v>
      </c>
      <c r="L563">
        <v>192545</v>
      </c>
      <c r="M563">
        <v>55318</v>
      </c>
    </row>
    <row r="564" spans="1:13" x14ac:dyDescent="0.35">
      <c r="A564" s="120">
        <v>38322</v>
      </c>
      <c r="B564">
        <v>17269</v>
      </c>
      <c r="C564">
        <v>23348</v>
      </c>
      <c r="D564">
        <v>25685</v>
      </c>
      <c r="E564">
        <v>25105</v>
      </c>
      <c r="F564">
        <v>8744</v>
      </c>
      <c r="G564">
        <v>56597</v>
      </c>
      <c r="H564">
        <v>186095</v>
      </c>
      <c r="I564">
        <v>136981</v>
      </c>
      <c r="J564">
        <v>135216</v>
      </c>
      <c r="K564">
        <v>54709</v>
      </c>
      <c r="L564">
        <v>193578</v>
      </c>
      <c r="M564">
        <v>56631</v>
      </c>
    </row>
    <row r="565" spans="1:13" x14ac:dyDescent="0.35">
      <c r="A565" s="120">
        <v>38353</v>
      </c>
      <c r="B565">
        <v>16813</v>
      </c>
      <c r="C565">
        <v>23898</v>
      </c>
      <c r="D565">
        <v>25472</v>
      </c>
      <c r="E565">
        <v>25188</v>
      </c>
      <c r="F565">
        <v>9556</v>
      </c>
      <c r="G565">
        <v>57544</v>
      </c>
      <c r="H565">
        <v>186957</v>
      </c>
      <c r="I565">
        <v>137331</v>
      </c>
      <c r="J565">
        <v>137025</v>
      </c>
      <c r="K565">
        <v>56596</v>
      </c>
      <c r="L565">
        <v>194875</v>
      </c>
      <c r="M565">
        <v>57884</v>
      </c>
    </row>
    <row r="566" spans="1:13" x14ac:dyDescent="0.35">
      <c r="A566" s="120">
        <v>38384</v>
      </c>
      <c r="B566">
        <v>17475</v>
      </c>
      <c r="C566">
        <v>24212</v>
      </c>
      <c r="D566">
        <v>25853</v>
      </c>
      <c r="E566">
        <v>25326</v>
      </c>
      <c r="F566">
        <v>9293</v>
      </c>
      <c r="G566">
        <v>57337</v>
      </c>
      <c r="H566">
        <v>188702</v>
      </c>
      <c r="I566">
        <v>139138</v>
      </c>
      <c r="J566">
        <v>138279</v>
      </c>
      <c r="K566">
        <v>55897</v>
      </c>
      <c r="L566">
        <v>196475</v>
      </c>
      <c r="M566">
        <v>57580</v>
      </c>
    </row>
    <row r="567" spans="1:13" x14ac:dyDescent="0.35">
      <c r="A567" s="120">
        <v>38412</v>
      </c>
      <c r="B567">
        <v>17074</v>
      </c>
      <c r="C567">
        <v>23457</v>
      </c>
      <c r="D567">
        <v>24669</v>
      </c>
      <c r="E567">
        <v>25735</v>
      </c>
      <c r="F567">
        <v>8848</v>
      </c>
      <c r="G567">
        <v>49798</v>
      </c>
      <c r="H567">
        <v>180157</v>
      </c>
      <c r="I567">
        <v>136810</v>
      </c>
      <c r="J567">
        <v>130044</v>
      </c>
      <c r="K567">
        <v>55613</v>
      </c>
      <c r="L567">
        <v>186608</v>
      </c>
      <c r="M567">
        <v>56576</v>
      </c>
    </row>
    <row r="568" spans="1:13" x14ac:dyDescent="0.35">
      <c r="A568" s="120">
        <v>38443</v>
      </c>
      <c r="B568">
        <v>16057</v>
      </c>
      <c r="C568">
        <v>24485</v>
      </c>
      <c r="D568">
        <v>25870</v>
      </c>
      <c r="E568">
        <v>24351</v>
      </c>
      <c r="F568">
        <v>9205</v>
      </c>
      <c r="G568">
        <v>57583</v>
      </c>
      <c r="H568">
        <v>186553</v>
      </c>
      <c r="I568">
        <v>137264</v>
      </c>
      <c r="J568">
        <v>135587</v>
      </c>
      <c r="K568">
        <v>56432</v>
      </c>
      <c r="L568">
        <v>194847</v>
      </c>
      <c r="M568">
        <v>58138</v>
      </c>
    </row>
    <row r="569" spans="1:13" x14ac:dyDescent="0.35">
      <c r="A569" s="120">
        <v>38473</v>
      </c>
      <c r="B569">
        <v>15993</v>
      </c>
      <c r="C569">
        <v>24736</v>
      </c>
      <c r="D569">
        <v>25263</v>
      </c>
      <c r="E569">
        <v>24635</v>
      </c>
      <c r="F569">
        <v>9327</v>
      </c>
      <c r="G569">
        <v>69265</v>
      </c>
      <c r="H569">
        <v>197735</v>
      </c>
      <c r="I569">
        <v>137358</v>
      </c>
      <c r="J569">
        <v>148200</v>
      </c>
      <c r="K569">
        <v>56674</v>
      </c>
      <c r="L569">
        <v>206623</v>
      </c>
      <c r="M569">
        <v>57105</v>
      </c>
    </row>
    <row r="570" spans="1:13" x14ac:dyDescent="0.35">
      <c r="A570" s="120">
        <v>38504</v>
      </c>
      <c r="B570">
        <v>15904</v>
      </c>
      <c r="C570">
        <v>25443</v>
      </c>
      <c r="D570">
        <v>26630</v>
      </c>
      <c r="E570">
        <v>26798</v>
      </c>
      <c r="F570">
        <v>9254</v>
      </c>
      <c r="G570">
        <v>68779</v>
      </c>
      <c r="H570">
        <v>199935</v>
      </c>
      <c r="I570">
        <v>141241</v>
      </c>
      <c r="J570">
        <v>151407</v>
      </c>
      <c r="K570">
        <v>57036</v>
      </c>
      <c r="L570">
        <v>210020</v>
      </c>
      <c r="M570">
        <v>58903</v>
      </c>
    </row>
    <row r="571" spans="1:13" x14ac:dyDescent="0.35">
      <c r="A571" s="120">
        <v>38534</v>
      </c>
      <c r="B571">
        <v>16039</v>
      </c>
      <c r="C571">
        <v>24118</v>
      </c>
      <c r="D571">
        <v>25352</v>
      </c>
      <c r="E571">
        <v>23857</v>
      </c>
      <c r="F571">
        <v>9300</v>
      </c>
      <c r="G571">
        <v>58501</v>
      </c>
      <c r="H571">
        <v>186870</v>
      </c>
      <c r="I571">
        <v>135974</v>
      </c>
      <c r="J571">
        <v>136292</v>
      </c>
      <c r="K571">
        <v>56515</v>
      </c>
      <c r="L571">
        <v>194475</v>
      </c>
      <c r="M571">
        <v>57606</v>
      </c>
    </row>
    <row r="572" spans="1:13" x14ac:dyDescent="0.35">
      <c r="A572" s="120">
        <v>38565</v>
      </c>
      <c r="B572">
        <v>17391</v>
      </c>
      <c r="C572">
        <v>25141</v>
      </c>
      <c r="D572">
        <v>26171</v>
      </c>
      <c r="E572">
        <v>26049</v>
      </c>
      <c r="F572">
        <v>10175</v>
      </c>
      <c r="G572">
        <v>61766</v>
      </c>
      <c r="H572">
        <v>197525</v>
      </c>
      <c r="I572">
        <v>143073</v>
      </c>
      <c r="J572">
        <v>145606</v>
      </c>
      <c r="K572">
        <v>57405</v>
      </c>
      <c r="L572">
        <v>204839</v>
      </c>
      <c r="M572">
        <v>60352</v>
      </c>
    </row>
    <row r="573" spans="1:13" x14ac:dyDescent="0.35">
      <c r="A573" s="120">
        <v>38596</v>
      </c>
      <c r="B573">
        <v>19168</v>
      </c>
      <c r="C573">
        <v>25640</v>
      </c>
      <c r="D573">
        <v>26137</v>
      </c>
      <c r="E573">
        <v>24689</v>
      </c>
      <c r="F573">
        <v>10030</v>
      </c>
      <c r="G573">
        <v>60156</v>
      </c>
      <c r="H573">
        <v>195857</v>
      </c>
      <c r="I573">
        <v>143841</v>
      </c>
      <c r="J573">
        <v>142335</v>
      </c>
      <c r="K573">
        <v>57567</v>
      </c>
      <c r="L573">
        <v>203997</v>
      </c>
      <c r="M573">
        <v>58344</v>
      </c>
    </row>
    <row r="574" spans="1:13" x14ac:dyDescent="0.35">
      <c r="A574" s="120">
        <v>38626</v>
      </c>
      <c r="B574">
        <v>19361</v>
      </c>
      <c r="C574">
        <v>25995</v>
      </c>
      <c r="D574">
        <v>26756</v>
      </c>
      <c r="E574">
        <v>24296</v>
      </c>
      <c r="F574">
        <v>10136</v>
      </c>
      <c r="G574">
        <v>64178</v>
      </c>
      <c r="H574">
        <v>200608</v>
      </c>
      <c r="I574">
        <v>145723</v>
      </c>
      <c r="J574">
        <v>148450</v>
      </c>
      <c r="K574">
        <v>58323</v>
      </c>
      <c r="L574">
        <v>209901</v>
      </c>
      <c r="M574">
        <v>59751</v>
      </c>
    </row>
    <row r="575" spans="1:13" x14ac:dyDescent="0.35">
      <c r="A575" s="120">
        <v>38657</v>
      </c>
      <c r="B575">
        <v>19928</v>
      </c>
      <c r="C575">
        <v>25935</v>
      </c>
      <c r="D575">
        <v>27824</v>
      </c>
      <c r="E575">
        <v>25067</v>
      </c>
      <c r="F575">
        <v>9844</v>
      </c>
      <c r="G575">
        <v>72690</v>
      </c>
      <c r="H575">
        <v>213196</v>
      </c>
      <c r="I575">
        <v>148043</v>
      </c>
      <c r="J575">
        <v>160126</v>
      </c>
      <c r="K575">
        <v>58847</v>
      </c>
      <c r="L575">
        <v>220733</v>
      </c>
      <c r="M575">
        <v>60459</v>
      </c>
    </row>
    <row r="576" spans="1:13" x14ac:dyDescent="0.35">
      <c r="A576" s="120">
        <v>38687</v>
      </c>
      <c r="B576">
        <v>18583</v>
      </c>
      <c r="C576">
        <v>26292</v>
      </c>
      <c r="D576">
        <v>28141</v>
      </c>
      <c r="E576">
        <v>25292</v>
      </c>
      <c r="F576">
        <v>10164</v>
      </c>
      <c r="G576">
        <v>73647</v>
      </c>
      <c r="H576">
        <v>211350</v>
      </c>
      <c r="I576">
        <v>147852</v>
      </c>
      <c r="J576">
        <v>159419</v>
      </c>
      <c r="K576">
        <v>60067</v>
      </c>
      <c r="L576">
        <v>221499</v>
      </c>
      <c r="M576">
        <v>61271</v>
      </c>
    </row>
    <row r="577" spans="1:13" x14ac:dyDescent="0.35">
      <c r="A577" s="120">
        <v>38718</v>
      </c>
      <c r="B577">
        <v>19209</v>
      </c>
      <c r="C577">
        <v>26650</v>
      </c>
      <c r="D577">
        <v>28600</v>
      </c>
      <c r="E577">
        <v>25290</v>
      </c>
      <c r="F577">
        <v>10440</v>
      </c>
      <c r="G577">
        <v>58587</v>
      </c>
      <c r="H577">
        <v>204019</v>
      </c>
      <c r="I577">
        <v>150953</v>
      </c>
      <c r="J577">
        <v>146814</v>
      </c>
      <c r="K577">
        <v>59987</v>
      </c>
      <c r="L577">
        <v>209540</v>
      </c>
      <c r="M577">
        <v>62469</v>
      </c>
    </row>
    <row r="578" spans="1:13" x14ac:dyDescent="0.35">
      <c r="A578" s="120">
        <v>38749</v>
      </c>
      <c r="B578">
        <v>18647</v>
      </c>
      <c r="C578">
        <v>26958</v>
      </c>
      <c r="D578">
        <v>27412</v>
      </c>
      <c r="E578">
        <v>26526</v>
      </c>
      <c r="F578">
        <v>10069</v>
      </c>
      <c r="G578">
        <v>68920</v>
      </c>
      <c r="H578">
        <v>207134</v>
      </c>
      <c r="I578">
        <v>150818</v>
      </c>
      <c r="J578">
        <v>156798</v>
      </c>
      <c r="K578">
        <v>60789</v>
      </c>
      <c r="L578">
        <v>219738</v>
      </c>
      <c r="M578">
        <v>62592</v>
      </c>
    </row>
    <row r="579" spans="1:13" x14ac:dyDescent="0.35">
      <c r="A579" s="120">
        <v>38777</v>
      </c>
      <c r="B579">
        <v>18956</v>
      </c>
      <c r="C579">
        <v>26917</v>
      </c>
      <c r="D579">
        <v>28408</v>
      </c>
      <c r="E579">
        <v>28871</v>
      </c>
      <c r="F579">
        <v>9915</v>
      </c>
      <c r="G579">
        <v>73971</v>
      </c>
      <c r="H579">
        <v>217005</v>
      </c>
      <c r="I579">
        <v>153217</v>
      </c>
      <c r="J579">
        <v>163893</v>
      </c>
      <c r="K579">
        <v>61911</v>
      </c>
      <c r="L579">
        <v>227188</v>
      </c>
      <c r="M579">
        <v>65096</v>
      </c>
    </row>
    <row r="580" spans="1:13" x14ac:dyDescent="0.35">
      <c r="A580" s="120">
        <v>38808</v>
      </c>
      <c r="B580">
        <v>19047</v>
      </c>
      <c r="C580">
        <v>27070</v>
      </c>
      <c r="D580">
        <v>27795</v>
      </c>
      <c r="E580">
        <v>28248</v>
      </c>
      <c r="F580">
        <v>10377</v>
      </c>
      <c r="G580">
        <v>62673</v>
      </c>
      <c r="H580">
        <v>205466</v>
      </c>
      <c r="I580">
        <v>151952</v>
      </c>
      <c r="J580">
        <v>154052</v>
      </c>
      <c r="K580">
        <v>61781</v>
      </c>
      <c r="L580">
        <v>214625</v>
      </c>
      <c r="M580">
        <v>63272</v>
      </c>
    </row>
    <row r="581" spans="1:13" x14ac:dyDescent="0.35">
      <c r="A581" s="120">
        <v>38838</v>
      </c>
      <c r="B581">
        <v>20559</v>
      </c>
      <c r="C581">
        <v>27188</v>
      </c>
      <c r="D581">
        <v>29140</v>
      </c>
      <c r="E581">
        <v>26587</v>
      </c>
      <c r="F581">
        <v>10757</v>
      </c>
      <c r="G581">
        <v>62085</v>
      </c>
      <c r="H581">
        <v>207554</v>
      </c>
      <c r="I581">
        <v>153734</v>
      </c>
      <c r="J581">
        <v>153173</v>
      </c>
      <c r="K581">
        <v>62107</v>
      </c>
      <c r="L581">
        <v>215819</v>
      </c>
      <c r="M581">
        <v>64145</v>
      </c>
    </row>
    <row r="582" spans="1:13" x14ac:dyDescent="0.35">
      <c r="A582" s="120">
        <v>38869</v>
      </c>
      <c r="B582">
        <v>20692</v>
      </c>
      <c r="C582">
        <v>28158</v>
      </c>
      <c r="D582">
        <v>28395</v>
      </c>
      <c r="E582">
        <v>27806</v>
      </c>
      <c r="F582">
        <v>10405</v>
      </c>
      <c r="G582">
        <v>66332</v>
      </c>
      <c r="H582">
        <v>208711</v>
      </c>
      <c r="I582">
        <v>154888</v>
      </c>
      <c r="J582">
        <v>158892</v>
      </c>
      <c r="K582">
        <v>61977</v>
      </c>
      <c r="L582">
        <v>221220</v>
      </c>
      <c r="M582">
        <v>63601</v>
      </c>
    </row>
    <row r="583" spans="1:13" x14ac:dyDescent="0.35">
      <c r="A583" s="120">
        <v>38899</v>
      </c>
      <c r="B583">
        <v>20301</v>
      </c>
      <c r="C583">
        <v>26765</v>
      </c>
      <c r="D583">
        <v>28275</v>
      </c>
      <c r="E583">
        <v>27889</v>
      </c>
      <c r="F583">
        <v>10697</v>
      </c>
      <c r="G583">
        <v>56430</v>
      </c>
      <c r="H583">
        <v>200707</v>
      </c>
      <c r="I583">
        <v>153064</v>
      </c>
      <c r="J583">
        <v>152012</v>
      </c>
      <c r="K583">
        <v>61854</v>
      </c>
      <c r="L583">
        <v>209494</v>
      </c>
      <c r="M583">
        <v>63922</v>
      </c>
    </row>
    <row r="584" spans="1:13" x14ac:dyDescent="0.35">
      <c r="A584" s="120">
        <v>38930</v>
      </c>
      <c r="B584">
        <v>19980</v>
      </c>
      <c r="C584">
        <v>26893</v>
      </c>
      <c r="D584">
        <v>27686</v>
      </c>
      <c r="E584">
        <v>27522</v>
      </c>
      <c r="F584">
        <v>9528</v>
      </c>
      <c r="G584">
        <v>59898</v>
      </c>
      <c r="H584">
        <v>200148</v>
      </c>
      <c r="I584">
        <v>150575</v>
      </c>
      <c r="J584">
        <v>150763</v>
      </c>
      <c r="K584">
        <v>62928</v>
      </c>
      <c r="L584">
        <v>210473</v>
      </c>
      <c r="M584">
        <v>64379</v>
      </c>
    </row>
    <row r="585" spans="1:13" x14ac:dyDescent="0.35">
      <c r="A585" s="120">
        <v>38961</v>
      </c>
      <c r="B585">
        <v>19898</v>
      </c>
      <c r="C585">
        <v>27296</v>
      </c>
      <c r="D585">
        <v>28789</v>
      </c>
      <c r="E585">
        <v>28459</v>
      </c>
      <c r="F585">
        <v>10331</v>
      </c>
      <c r="G585">
        <v>80778</v>
      </c>
      <c r="H585">
        <v>219853</v>
      </c>
      <c r="I585">
        <v>153923</v>
      </c>
      <c r="J585">
        <v>176642</v>
      </c>
      <c r="K585">
        <v>62382</v>
      </c>
      <c r="L585">
        <v>234701</v>
      </c>
      <c r="M585">
        <v>66981</v>
      </c>
    </row>
    <row r="586" spans="1:13" x14ac:dyDescent="0.35">
      <c r="A586" s="120">
        <v>38991</v>
      </c>
      <c r="B586">
        <v>20226</v>
      </c>
      <c r="C586">
        <v>26339</v>
      </c>
      <c r="D586">
        <v>30762</v>
      </c>
      <c r="E586">
        <v>26844</v>
      </c>
      <c r="F586">
        <v>10542</v>
      </c>
      <c r="G586">
        <v>63415</v>
      </c>
      <c r="H586">
        <v>208239</v>
      </c>
      <c r="I586">
        <v>153537</v>
      </c>
      <c r="J586">
        <v>158286</v>
      </c>
      <c r="K586">
        <v>62048</v>
      </c>
      <c r="L586">
        <v>216952</v>
      </c>
      <c r="M586">
        <v>66492</v>
      </c>
    </row>
    <row r="587" spans="1:13" x14ac:dyDescent="0.35">
      <c r="A587" s="120">
        <v>39022</v>
      </c>
      <c r="B587">
        <v>19864</v>
      </c>
      <c r="C587">
        <v>26718</v>
      </c>
      <c r="D587">
        <v>28551</v>
      </c>
      <c r="E587">
        <v>29456</v>
      </c>
      <c r="F587">
        <v>10361</v>
      </c>
      <c r="G587">
        <v>71307</v>
      </c>
      <c r="H587">
        <v>210917</v>
      </c>
      <c r="I587">
        <v>153502</v>
      </c>
      <c r="J587">
        <v>165969</v>
      </c>
      <c r="K587">
        <v>63034</v>
      </c>
      <c r="L587">
        <v>224809</v>
      </c>
      <c r="M587">
        <v>66484</v>
      </c>
    </row>
    <row r="588" spans="1:13" x14ac:dyDescent="0.35">
      <c r="A588" s="120">
        <v>39052</v>
      </c>
      <c r="B588">
        <v>20594</v>
      </c>
      <c r="C588">
        <v>28236</v>
      </c>
      <c r="D588">
        <v>30928</v>
      </c>
      <c r="E588">
        <v>28059</v>
      </c>
      <c r="F588">
        <v>10453</v>
      </c>
      <c r="G588">
        <v>70744</v>
      </c>
      <c r="H588">
        <v>217834</v>
      </c>
      <c r="I588">
        <v>158499</v>
      </c>
      <c r="J588">
        <v>166342</v>
      </c>
      <c r="K588">
        <v>63554</v>
      </c>
      <c r="L588">
        <v>229243</v>
      </c>
      <c r="M588">
        <v>65935</v>
      </c>
    </row>
    <row r="589" spans="1:13" x14ac:dyDescent="0.35">
      <c r="A589" s="120">
        <v>39083</v>
      </c>
      <c r="B589">
        <v>20765</v>
      </c>
      <c r="C589">
        <v>28777</v>
      </c>
      <c r="D589">
        <v>27673</v>
      </c>
      <c r="E589">
        <v>26084</v>
      </c>
      <c r="F589">
        <v>11063</v>
      </c>
      <c r="G589">
        <v>69567</v>
      </c>
      <c r="H589">
        <v>210186</v>
      </c>
      <c r="I589">
        <v>153402</v>
      </c>
      <c r="J589">
        <v>163751</v>
      </c>
      <c r="K589">
        <v>61212</v>
      </c>
      <c r="L589">
        <v>222969</v>
      </c>
      <c r="M589">
        <v>64155</v>
      </c>
    </row>
    <row r="590" spans="1:13" x14ac:dyDescent="0.35">
      <c r="A590" s="120">
        <v>39114</v>
      </c>
      <c r="B590">
        <v>20468</v>
      </c>
      <c r="C590">
        <v>28441</v>
      </c>
      <c r="D590">
        <v>28352</v>
      </c>
      <c r="E590">
        <v>28525</v>
      </c>
      <c r="F590">
        <v>10881</v>
      </c>
      <c r="G590">
        <v>65811</v>
      </c>
      <c r="H590">
        <v>211415</v>
      </c>
      <c r="I590">
        <v>155151</v>
      </c>
      <c r="J590">
        <v>161671</v>
      </c>
      <c r="K590">
        <v>62911</v>
      </c>
      <c r="L590">
        <v>220962</v>
      </c>
      <c r="M590">
        <v>63735</v>
      </c>
    </row>
    <row r="591" spans="1:13" x14ac:dyDescent="0.35">
      <c r="A591" s="120">
        <v>39142</v>
      </c>
      <c r="B591">
        <v>21519</v>
      </c>
      <c r="C591">
        <v>28215</v>
      </c>
      <c r="D591">
        <v>31639</v>
      </c>
      <c r="E591">
        <v>24998</v>
      </c>
      <c r="F591">
        <v>11135</v>
      </c>
      <c r="G591">
        <v>73170</v>
      </c>
      <c r="H591">
        <v>222472</v>
      </c>
      <c r="I591">
        <v>156356</v>
      </c>
      <c r="J591">
        <v>169322</v>
      </c>
      <c r="K591">
        <v>63835</v>
      </c>
      <c r="L591">
        <v>229526</v>
      </c>
      <c r="M591">
        <v>66936</v>
      </c>
    </row>
    <row r="592" spans="1:13" x14ac:dyDescent="0.35">
      <c r="A592" s="120">
        <v>39173</v>
      </c>
      <c r="B592">
        <v>22929</v>
      </c>
      <c r="C592">
        <v>29030</v>
      </c>
      <c r="D592">
        <v>30183</v>
      </c>
      <c r="E592">
        <v>26997</v>
      </c>
      <c r="F592">
        <v>11348</v>
      </c>
      <c r="G592">
        <v>74260</v>
      </c>
      <c r="H592">
        <v>223837</v>
      </c>
      <c r="I592">
        <v>159160</v>
      </c>
      <c r="J592">
        <v>173518</v>
      </c>
      <c r="K592">
        <v>64069</v>
      </c>
      <c r="L592">
        <v>233420</v>
      </c>
      <c r="M592">
        <v>66118</v>
      </c>
    </row>
    <row r="593" spans="1:13" x14ac:dyDescent="0.35">
      <c r="A593" s="120">
        <v>39203</v>
      </c>
      <c r="B593">
        <v>22093</v>
      </c>
      <c r="C593">
        <v>29147</v>
      </c>
      <c r="D593">
        <v>29128</v>
      </c>
      <c r="E593">
        <v>28272</v>
      </c>
      <c r="F593">
        <v>10776</v>
      </c>
      <c r="G593">
        <v>70300</v>
      </c>
      <c r="H593">
        <v>218415</v>
      </c>
      <c r="I593">
        <v>158536</v>
      </c>
      <c r="J593">
        <v>168025</v>
      </c>
      <c r="K593">
        <v>64007</v>
      </c>
      <c r="L593">
        <v>228836</v>
      </c>
      <c r="M593">
        <v>64975</v>
      </c>
    </row>
    <row r="594" spans="1:13" x14ac:dyDescent="0.35">
      <c r="A594" s="120">
        <v>39234</v>
      </c>
      <c r="B594">
        <v>19676</v>
      </c>
      <c r="C594">
        <v>29553</v>
      </c>
      <c r="D594">
        <v>29693</v>
      </c>
      <c r="E594">
        <v>26272</v>
      </c>
      <c r="F594">
        <v>10584</v>
      </c>
      <c r="G594">
        <v>74299</v>
      </c>
      <c r="H594">
        <v>221064</v>
      </c>
      <c r="I594">
        <v>154569</v>
      </c>
      <c r="J594">
        <v>168611</v>
      </c>
      <c r="K594">
        <v>64457</v>
      </c>
      <c r="L594">
        <v>228868</v>
      </c>
      <c r="M594">
        <v>64874</v>
      </c>
    </row>
    <row r="595" spans="1:13" x14ac:dyDescent="0.35">
      <c r="A595" s="120">
        <v>39264</v>
      </c>
      <c r="B595">
        <v>20204</v>
      </c>
      <c r="C595">
        <v>29163</v>
      </c>
      <c r="D595">
        <v>31550</v>
      </c>
      <c r="E595">
        <v>26859</v>
      </c>
      <c r="F595">
        <v>10494</v>
      </c>
      <c r="G595">
        <v>76409</v>
      </c>
      <c r="H595">
        <v>221982</v>
      </c>
      <c r="I595">
        <v>156767</v>
      </c>
      <c r="J595">
        <v>172388</v>
      </c>
      <c r="K595">
        <v>62473</v>
      </c>
      <c r="L595">
        <v>233176</v>
      </c>
      <c r="M595">
        <v>64902</v>
      </c>
    </row>
    <row r="596" spans="1:13" x14ac:dyDescent="0.35">
      <c r="A596" s="120">
        <v>39295</v>
      </c>
      <c r="B596">
        <v>20679</v>
      </c>
      <c r="C596">
        <v>29552</v>
      </c>
      <c r="D596">
        <v>30825</v>
      </c>
      <c r="E596">
        <v>28016</v>
      </c>
      <c r="F596">
        <v>10581</v>
      </c>
      <c r="G596">
        <v>77628</v>
      </c>
      <c r="H596">
        <v>219485</v>
      </c>
      <c r="I596">
        <v>158130</v>
      </c>
      <c r="J596">
        <v>174874</v>
      </c>
      <c r="K596">
        <v>64516</v>
      </c>
      <c r="L596">
        <v>235758</v>
      </c>
      <c r="M596">
        <v>66265</v>
      </c>
    </row>
    <row r="597" spans="1:13" x14ac:dyDescent="0.35">
      <c r="A597" s="120">
        <v>39326</v>
      </c>
      <c r="B597">
        <v>21745</v>
      </c>
      <c r="C597">
        <v>28710</v>
      </c>
      <c r="D597">
        <v>30400</v>
      </c>
      <c r="E597">
        <v>27589</v>
      </c>
      <c r="F597">
        <v>10557</v>
      </c>
      <c r="G597">
        <v>68827</v>
      </c>
      <c r="H597">
        <v>217157</v>
      </c>
      <c r="I597">
        <v>157646</v>
      </c>
      <c r="J597">
        <v>167739</v>
      </c>
      <c r="K597">
        <v>65890</v>
      </c>
      <c r="L597">
        <v>226473</v>
      </c>
      <c r="M597">
        <v>65393</v>
      </c>
    </row>
    <row r="598" spans="1:13" x14ac:dyDescent="0.35">
      <c r="A598" s="120">
        <v>39356</v>
      </c>
      <c r="B598">
        <v>22939</v>
      </c>
      <c r="C598">
        <v>29748</v>
      </c>
      <c r="D598">
        <v>30291</v>
      </c>
      <c r="E598">
        <v>27360</v>
      </c>
      <c r="F598">
        <v>10632</v>
      </c>
      <c r="G598">
        <v>70868</v>
      </c>
      <c r="H598">
        <v>217527</v>
      </c>
      <c r="I598">
        <v>159832</v>
      </c>
      <c r="J598">
        <v>171492</v>
      </c>
      <c r="K598">
        <v>64461</v>
      </c>
      <c r="L598">
        <v>230700</v>
      </c>
      <c r="M598">
        <v>64974</v>
      </c>
    </row>
    <row r="599" spans="1:13" x14ac:dyDescent="0.35">
      <c r="A599" s="120">
        <v>39387</v>
      </c>
      <c r="B599">
        <v>23789</v>
      </c>
      <c r="C599">
        <v>29709</v>
      </c>
      <c r="D599">
        <v>30210</v>
      </c>
      <c r="E599">
        <v>26942</v>
      </c>
      <c r="F599">
        <v>10914</v>
      </c>
      <c r="G599">
        <v>66931</v>
      </c>
      <c r="H599">
        <v>219719</v>
      </c>
      <c r="I599">
        <v>160074</v>
      </c>
      <c r="J599">
        <v>168015</v>
      </c>
      <c r="K599">
        <v>64372</v>
      </c>
      <c r="L599">
        <v>227005</v>
      </c>
      <c r="M599">
        <v>65466</v>
      </c>
    </row>
    <row r="600" spans="1:13" x14ac:dyDescent="0.35">
      <c r="A600" s="120">
        <v>39417</v>
      </c>
      <c r="B600">
        <v>23632</v>
      </c>
      <c r="C600">
        <v>30547</v>
      </c>
      <c r="D600">
        <v>32705</v>
      </c>
      <c r="E600">
        <v>27226</v>
      </c>
      <c r="F600">
        <v>11188</v>
      </c>
      <c r="G600">
        <v>81143</v>
      </c>
      <c r="H600">
        <v>229953</v>
      </c>
      <c r="I600">
        <v>163300</v>
      </c>
      <c r="J600">
        <v>186161</v>
      </c>
      <c r="K600">
        <v>65587</v>
      </c>
      <c r="L600">
        <v>244443</v>
      </c>
      <c r="M600">
        <v>68096</v>
      </c>
    </row>
    <row r="601" spans="1:13" x14ac:dyDescent="0.35">
      <c r="A601" s="120">
        <v>39448</v>
      </c>
      <c r="B601">
        <v>24326</v>
      </c>
      <c r="C601">
        <v>30827</v>
      </c>
      <c r="D601">
        <v>32472</v>
      </c>
      <c r="E601">
        <v>27824</v>
      </c>
      <c r="F601">
        <v>11333</v>
      </c>
      <c r="G601">
        <v>74774</v>
      </c>
      <c r="H601">
        <v>226573</v>
      </c>
      <c r="I601">
        <v>164615</v>
      </c>
      <c r="J601">
        <v>180937</v>
      </c>
      <c r="K601">
        <v>65807</v>
      </c>
      <c r="L601">
        <v>239389</v>
      </c>
      <c r="M601">
        <v>68408</v>
      </c>
    </row>
    <row r="602" spans="1:13" x14ac:dyDescent="0.35">
      <c r="A602" s="120">
        <v>39479</v>
      </c>
      <c r="B602">
        <v>24974</v>
      </c>
      <c r="C602">
        <v>30063</v>
      </c>
      <c r="D602">
        <v>29328</v>
      </c>
      <c r="E602">
        <v>27257</v>
      </c>
      <c r="F602">
        <v>12050</v>
      </c>
      <c r="G602">
        <v>74052</v>
      </c>
      <c r="H602">
        <v>221341</v>
      </c>
      <c r="I602">
        <v>160985</v>
      </c>
      <c r="J602">
        <v>177311</v>
      </c>
      <c r="K602">
        <v>64582</v>
      </c>
      <c r="L602">
        <v>235037</v>
      </c>
      <c r="M602">
        <v>66568</v>
      </c>
    </row>
    <row r="603" spans="1:13" x14ac:dyDescent="0.35">
      <c r="A603" s="120">
        <v>39508</v>
      </c>
      <c r="B603">
        <v>25772</v>
      </c>
      <c r="C603">
        <v>31419</v>
      </c>
      <c r="D603">
        <v>32974</v>
      </c>
      <c r="E603">
        <v>26952</v>
      </c>
      <c r="F603">
        <v>9827</v>
      </c>
      <c r="G603">
        <v>70915</v>
      </c>
      <c r="H603">
        <v>221367</v>
      </c>
      <c r="I603">
        <v>163953</v>
      </c>
      <c r="J603">
        <v>179954</v>
      </c>
      <c r="K603">
        <v>65100</v>
      </c>
      <c r="L603">
        <v>234868</v>
      </c>
      <c r="M603">
        <v>66526</v>
      </c>
    </row>
    <row r="604" spans="1:13" x14ac:dyDescent="0.35">
      <c r="A604" s="120">
        <v>39539</v>
      </c>
      <c r="B604">
        <v>26430</v>
      </c>
      <c r="C604">
        <v>31306</v>
      </c>
      <c r="D604">
        <v>33586</v>
      </c>
      <c r="E604">
        <v>27245</v>
      </c>
      <c r="F604">
        <v>11237</v>
      </c>
      <c r="G604">
        <v>63785</v>
      </c>
      <c r="H604">
        <v>218861</v>
      </c>
      <c r="I604">
        <v>167301</v>
      </c>
      <c r="J604">
        <v>175116</v>
      </c>
      <c r="K604">
        <v>66376</v>
      </c>
      <c r="L604">
        <v>231086</v>
      </c>
      <c r="M604">
        <v>69373</v>
      </c>
    </row>
    <row r="605" spans="1:13" x14ac:dyDescent="0.35">
      <c r="A605" s="120">
        <v>39569</v>
      </c>
      <c r="B605">
        <v>25471</v>
      </c>
      <c r="C605">
        <v>31195</v>
      </c>
      <c r="D605">
        <v>31466</v>
      </c>
      <c r="E605">
        <v>27941</v>
      </c>
      <c r="F605">
        <v>11551</v>
      </c>
      <c r="G605">
        <v>62809</v>
      </c>
      <c r="H605">
        <v>214179</v>
      </c>
      <c r="I605">
        <v>164561</v>
      </c>
      <c r="J605">
        <v>172674</v>
      </c>
      <c r="K605">
        <v>65844</v>
      </c>
      <c r="L605">
        <v>227370</v>
      </c>
      <c r="M605">
        <v>68443</v>
      </c>
    </row>
    <row r="606" spans="1:13" x14ac:dyDescent="0.35">
      <c r="A606" s="120">
        <v>39600</v>
      </c>
      <c r="B606">
        <v>26934</v>
      </c>
      <c r="C606">
        <v>31511</v>
      </c>
      <c r="D606">
        <v>30963</v>
      </c>
      <c r="E606">
        <v>27929</v>
      </c>
      <c r="F606">
        <v>11607</v>
      </c>
      <c r="G606">
        <v>62640</v>
      </c>
      <c r="H606">
        <v>215671</v>
      </c>
      <c r="I606">
        <v>166622</v>
      </c>
      <c r="J606">
        <v>174406</v>
      </c>
      <c r="K606">
        <v>65903</v>
      </c>
      <c r="L606">
        <v>229262</v>
      </c>
      <c r="M606">
        <v>67754</v>
      </c>
    </row>
    <row r="607" spans="1:13" x14ac:dyDescent="0.35">
      <c r="A607" s="120">
        <v>39630</v>
      </c>
      <c r="B607">
        <v>25875</v>
      </c>
      <c r="C607">
        <v>30437</v>
      </c>
      <c r="D607">
        <v>32448</v>
      </c>
      <c r="E607">
        <v>25458</v>
      </c>
      <c r="F607">
        <v>11107</v>
      </c>
      <c r="G607">
        <v>58116</v>
      </c>
      <c r="H607">
        <v>208607</v>
      </c>
      <c r="I607">
        <v>162295</v>
      </c>
      <c r="J607">
        <v>167115</v>
      </c>
      <c r="K607">
        <v>64947</v>
      </c>
      <c r="L607">
        <v>220411</v>
      </c>
      <c r="M607">
        <v>67856</v>
      </c>
    </row>
    <row r="608" spans="1:13" x14ac:dyDescent="0.35">
      <c r="A608" s="120">
        <v>39661</v>
      </c>
      <c r="B608">
        <v>22927</v>
      </c>
      <c r="C608">
        <v>30170</v>
      </c>
      <c r="D608">
        <v>30317</v>
      </c>
      <c r="E608">
        <v>26089</v>
      </c>
      <c r="F608">
        <v>10904</v>
      </c>
      <c r="G608">
        <v>57241</v>
      </c>
      <c r="H608">
        <v>201813</v>
      </c>
      <c r="I608">
        <v>156865</v>
      </c>
      <c r="J608">
        <v>161832</v>
      </c>
      <c r="K608">
        <v>64063</v>
      </c>
      <c r="L608">
        <v>214106</v>
      </c>
      <c r="M608">
        <v>66142</v>
      </c>
    </row>
    <row r="609" spans="1:13" x14ac:dyDescent="0.35">
      <c r="A609" s="120">
        <v>39692</v>
      </c>
      <c r="B609">
        <v>21397</v>
      </c>
      <c r="C609">
        <v>28674</v>
      </c>
      <c r="D609">
        <v>30885</v>
      </c>
      <c r="E609">
        <v>26400</v>
      </c>
      <c r="F609">
        <v>10419</v>
      </c>
      <c r="G609">
        <v>61853</v>
      </c>
      <c r="H609">
        <v>196922</v>
      </c>
      <c r="I609">
        <v>153392</v>
      </c>
      <c r="J609">
        <v>162265</v>
      </c>
      <c r="K609">
        <v>65383</v>
      </c>
      <c r="L609">
        <v>215245</v>
      </c>
      <c r="M609">
        <v>63854</v>
      </c>
    </row>
    <row r="610" spans="1:13" x14ac:dyDescent="0.35">
      <c r="A610" s="120">
        <v>39722</v>
      </c>
      <c r="B610">
        <v>17188</v>
      </c>
      <c r="C610">
        <v>28317</v>
      </c>
      <c r="D610">
        <v>27577</v>
      </c>
      <c r="E610">
        <v>23958</v>
      </c>
      <c r="F610">
        <v>9336</v>
      </c>
      <c r="G610">
        <v>50888</v>
      </c>
      <c r="H610">
        <v>179810</v>
      </c>
      <c r="I610">
        <v>141024</v>
      </c>
      <c r="J610">
        <v>141208</v>
      </c>
      <c r="K610">
        <v>62212</v>
      </c>
      <c r="L610">
        <v>191912</v>
      </c>
      <c r="M610">
        <v>59330</v>
      </c>
    </row>
    <row r="611" spans="1:13" x14ac:dyDescent="0.35">
      <c r="A611" s="120">
        <v>39753</v>
      </c>
      <c r="B611">
        <v>16168</v>
      </c>
      <c r="C611">
        <v>26774</v>
      </c>
      <c r="D611">
        <v>27493</v>
      </c>
      <c r="E611">
        <v>25442</v>
      </c>
      <c r="F611">
        <v>9298</v>
      </c>
      <c r="G611">
        <v>43080</v>
      </c>
      <c r="H611">
        <v>171297</v>
      </c>
      <c r="I611">
        <v>138472</v>
      </c>
      <c r="J611">
        <v>132791</v>
      </c>
      <c r="K611">
        <v>61766</v>
      </c>
      <c r="L611">
        <v>181552</v>
      </c>
      <c r="M611">
        <v>60759</v>
      </c>
    </row>
    <row r="612" spans="1:13" x14ac:dyDescent="0.35">
      <c r="A612" s="120">
        <v>39783</v>
      </c>
      <c r="B612">
        <v>13351</v>
      </c>
      <c r="C612">
        <v>25609</v>
      </c>
      <c r="D612">
        <v>24149</v>
      </c>
      <c r="E612">
        <v>24007</v>
      </c>
      <c r="F612">
        <v>9311</v>
      </c>
      <c r="G612">
        <v>45887</v>
      </c>
      <c r="H612">
        <v>154844</v>
      </c>
      <c r="I612">
        <v>127962</v>
      </c>
      <c r="J612">
        <v>127770</v>
      </c>
      <c r="K612">
        <v>61419</v>
      </c>
      <c r="L612">
        <v>173849</v>
      </c>
      <c r="M612">
        <v>55512</v>
      </c>
    </row>
    <row r="613" spans="1:13" x14ac:dyDescent="0.35">
      <c r="A613" s="120">
        <v>39814</v>
      </c>
      <c r="B613">
        <v>12303</v>
      </c>
      <c r="C613">
        <v>22077</v>
      </c>
      <c r="D613">
        <v>20343</v>
      </c>
      <c r="E613">
        <v>21324</v>
      </c>
      <c r="F613">
        <v>8528</v>
      </c>
      <c r="G613">
        <v>36137</v>
      </c>
      <c r="H613">
        <v>144441</v>
      </c>
      <c r="I613">
        <v>114948</v>
      </c>
      <c r="J613">
        <v>108060</v>
      </c>
      <c r="K613">
        <v>56454</v>
      </c>
      <c r="L613">
        <v>151085</v>
      </c>
      <c r="M613">
        <v>49530</v>
      </c>
    </row>
    <row r="614" spans="1:13" x14ac:dyDescent="0.35">
      <c r="A614" s="120">
        <v>39845</v>
      </c>
      <c r="B614">
        <v>12269</v>
      </c>
      <c r="C614">
        <v>21879</v>
      </c>
      <c r="D614">
        <v>20697</v>
      </c>
      <c r="E614">
        <v>22732</v>
      </c>
      <c r="F614">
        <v>8468</v>
      </c>
      <c r="G614">
        <v>32239</v>
      </c>
      <c r="H614">
        <v>139166</v>
      </c>
      <c r="I614">
        <v>116595</v>
      </c>
      <c r="J614">
        <v>105786</v>
      </c>
      <c r="K614">
        <v>56185</v>
      </c>
      <c r="L614">
        <v>148834</v>
      </c>
      <c r="M614">
        <v>50163</v>
      </c>
    </row>
    <row r="615" spans="1:13" x14ac:dyDescent="0.35">
      <c r="A615" s="120">
        <v>39873</v>
      </c>
      <c r="B615">
        <v>11050</v>
      </c>
      <c r="C615">
        <v>21479</v>
      </c>
      <c r="D615">
        <v>19798</v>
      </c>
      <c r="E615">
        <v>23032</v>
      </c>
      <c r="F615">
        <v>8164</v>
      </c>
      <c r="G615">
        <v>33011</v>
      </c>
      <c r="H615">
        <v>135287</v>
      </c>
      <c r="I615">
        <v>113312</v>
      </c>
      <c r="J615">
        <v>103874</v>
      </c>
      <c r="K615">
        <v>54618</v>
      </c>
      <c r="L615">
        <v>146323</v>
      </c>
      <c r="M615">
        <v>49254</v>
      </c>
    </row>
    <row r="616" spans="1:13" x14ac:dyDescent="0.35">
      <c r="A616" s="120">
        <v>39904</v>
      </c>
      <c r="B616">
        <v>11111</v>
      </c>
      <c r="C616">
        <v>21498</v>
      </c>
      <c r="D616">
        <v>19419</v>
      </c>
      <c r="E616">
        <v>21268</v>
      </c>
      <c r="F616">
        <v>8180</v>
      </c>
      <c r="G616">
        <v>36866</v>
      </c>
      <c r="H616">
        <v>133533</v>
      </c>
      <c r="I616">
        <v>110601</v>
      </c>
      <c r="J616">
        <v>105714</v>
      </c>
      <c r="K616">
        <v>52500</v>
      </c>
      <c r="L616">
        <v>147467</v>
      </c>
      <c r="M616">
        <v>47096</v>
      </c>
    </row>
    <row r="617" spans="1:13" x14ac:dyDescent="0.35">
      <c r="A617" s="120">
        <v>39934</v>
      </c>
      <c r="B617">
        <v>11951</v>
      </c>
      <c r="C617">
        <v>21580</v>
      </c>
      <c r="D617">
        <v>20673</v>
      </c>
      <c r="E617">
        <v>21614</v>
      </c>
      <c r="F617">
        <v>8113</v>
      </c>
      <c r="G617">
        <v>36175</v>
      </c>
      <c r="H617">
        <v>136506</v>
      </c>
      <c r="I617">
        <v>113080</v>
      </c>
      <c r="J617">
        <v>108460</v>
      </c>
      <c r="K617">
        <v>52123</v>
      </c>
      <c r="L617">
        <v>149255</v>
      </c>
      <c r="M617">
        <v>48652</v>
      </c>
    </row>
    <row r="618" spans="1:13" x14ac:dyDescent="0.35">
      <c r="A618" s="120">
        <v>39965</v>
      </c>
      <c r="B618">
        <v>13772</v>
      </c>
      <c r="C618">
        <v>20521</v>
      </c>
      <c r="D618">
        <v>21809</v>
      </c>
      <c r="E618">
        <v>22222</v>
      </c>
      <c r="F618">
        <v>7983</v>
      </c>
      <c r="G618">
        <v>31548</v>
      </c>
      <c r="H618">
        <v>137316</v>
      </c>
      <c r="I618">
        <v>115485</v>
      </c>
      <c r="J618">
        <v>107285</v>
      </c>
      <c r="K618">
        <v>52810</v>
      </c>
      <c r="L618">
        <v>147033</v>
      </c>
      <c r="M618">
        <v>50533</v>
      </c>
    </row>
    <row r="619" spans="1:13" x14ac:dyDescent="0.35">
      <c r="A619" s="120">
        <v>39995</v>
      </c>
      <c r="B619">
        <v>13804</v>
      </c>
      <c r="C619">
        <v>21937</v>
      </c>
      <c r="D619">
        <v>21507</v>
      </c>
      <c r="E619">
        <v>22050</v>
      </c>
      <c r="F619">
        <v>8627</v>
      </c>
      <c r="G619">
        <v>35986</v>
      </c>
      <c r="H619">
        <v>142708</v>
      </c>
      <c r="I619">
        <v>117705</v>
      </c>
      <c r="J619">
        <v>111891</v>
      </c>
      <c r="K619">
        <v>52915</v>
      </c>
      <c r="L619">
        <v>153691</v>
      </c>
      <c r="M619">
        <v>50984</v>
      </c>
    </row>
    <row r="620" spans="1:13" x14ac:dyDescent="0.35">
      <c r="A620" s="120">
        <v>40026</v>
      </c>
      <c r="B620">
        <v>14489</v>
      </c>
      <c r="C620">
        <v>22009</v>
      </c>
      <c r="D620">
        <v>21197</v>
      </c>
      <c r="E620">
        <v>21340</v>
      </c>
      <c r="F620">
        <v>8441</v>
      </c>
      <c r="G620">
        <v>40347</v>
      </c>
      <c r="H620">
        <v>147236</v>
      </c>
      <c r="I620">
        <v>117142</v>
      </c>
      <c r="J620">
        <v>114790</v>
      </c>
      <c r="K620">
        <v>52006</v>
      </c>
      <c r="L620">
        <v>157489</v>
      </c>
      <c r="M620">
        <v>49900</v>
      </c>
    </row>
    <row r="621" spans="1:13" x14ac:dyDescent="0.35">
      <c r="A621" s="120">
        <v>40057</v>
      </c>
      <c r="B621">
        <v>14787</v>
      </c>
      <c r="C621">
        <v>23168</v>
      </c>
      <c r="D621">
        <v>23728</v>
      </c>
      <c r="E621">
        <v>22631</v>
      </c>
      <c r="F621">
        <v>8242</v>
      </c>
      <c r="G621">
        <v>35999</v>
      </c>
      <c r="H621">
        <v>147422</v>
      </c>
      <c r="I621">
        <v>122042</v>
      </c>
      <c r="J621">
        <v>114607</v>
      </c>
      <c r="K621">
        <v>52759</v>
      </c>
      <c r="L621">
        <v>158041</v>
      </c>
      <c r="M621">
        <v>53034</v>
      </c>
    </row>
    <row r="622" spans="1:13" x14ac:dyDescent="0.35">
      <c r="A622" s="120">
        <v>40087</v>
      </c>
      <c r="B622">
        <v>15692</v>
      </c>
      <c r="C622">
        <v>23955</v>
      </c>
      <c r="D622">
        <v>22448</v>
      </c>
      <c r="E622">
        <v>21899</v>
      </c>
      <c r="F622">
        <v>8902</v>
      </c>
      <c r="G622">
        <v>38853</v>
      </c>
      <c r="H622">
        <v>150367</v>
      </c>
      <c r="I622">
        <v>122244</v>
      </c>
      <c r="J622">
        <v>117510</v>
      </c>
      <c r="K622">
        <v>52915</v>
      </c>
      <c r="L622">
        <v>161097</v>
      </c>
      <c r="M622">
        <v>51978</v>
      </c>
    </row>
    <row r="623" spans="1:13" x14ac:dyDescent="0.35">
      <c r="A623" s="120">
        <v>40118</v>
      </c>
      <c r="B623">
        <v>15670</v>
      </c>
      <c r="C623">
        <v>23389</v>
      </c>
      <c r="D623">
        <v>23043</v>
      </c>
      <c r="E623">
        <v>22262</v>
      </c>
      <c r="F623">
        <v>8744</v>
      </c>
      <c r="G623">
        <v>37887</v>
      </c>
      <c r="H623">
        <v>151373</v>
      </c>
      <c r="I623">
        <v>122532</v>
      </c>
      <c r="J623">
        <v>115535</v>
      </c>
      <c r="K623">
        <v>53410</v>
      </c>
      <c r="L623">
        <v>160419</v>
      </c>
      <c r="M623">
        <v>52771</v>
      </c>
    </row>
    <row r="624" spans="1:13" x14ac:dyDescent="0.35">
      <c r="A624" s="120">
        <v>40148</v>
      </c>
      <c r="B624">
        <v>16177</v>
      </c>
      <c r="C624">
        <v>23198</v>
      </c>
      <c r="D624">
        <v>24802</v>
      </c>
      <c r="E624">
        <v>22004</v>
      </c>
      <c r="F624">
        <v>8619</v>
      </c>
      <c r="G624">
        <v>36095</v>
      </c>
      <c r="H624">
        <v>150419</v>
      </c>
      <c r="I624">
        <v>124425</v>
      </c>
      <c r="J624">
        <v>115220</v>
      </c>
      <c r="K624">
        <v>54404</v>
      </c>
      <c r="L624">
        <v>160520</v>
      </c>
      <c r="M624">
        <v>54616</v>
      </c>
    </row>
    <row r="625" spans="1:13" x14ac:dyDescent="0.35">
      <c r="A625" s="120">
        <v>40179</v>
      </c>
      <c r="B625">
        <v>18835</v>
      </c>
      <c r="C625">
        <v>23783</v>
      </c>
      <c r="D625">
        <v>23345</v>
      </c>
      <c r="E625">
        <v>22392</v>
      </c>
      <c r="F625">
        <v>8996</v>
      </c>
      <c r="G625">
        <v>53959</v>
      </c>
      <c r="H625">
        <v>163907</v>
      </c>
      <c r="I625">
        <v>127057</v>
      </c>
      <c r="J625">
        <v>134068</v>
      </c>
      <c r="K625">
        <v>54128</v>
      </c>
      <c r="L625">
        <v>181016</v>
      </c>
      <c r="M625">
        <v>52331</v>
      </c>
    </row>
    <row r="626" spans="1:13" x14ac:dyDescent="0.35">
      <c r="A626" s="120">
        <v>40210</v>
      </c>
      <c r="B626">
        <v>19066</v>
      </c>
      <c r="C626">
        <v>24533</v>
      </c>
      <c r="D626">
        <v>24743</v>
      </c>
      <c r="E626">
        <v>21631</v>
      </c>
      <c r="F626">
        <v>8703</v>
      </c>
      <c r="G626">
        <v>51640</v>
      </c>
      <c r="H626">
        <v>165895</v>
      </c>
      <c r="I626">
        <v>128810</v>
      </c>
      <c r="J626">
        <v>135156</v>
      </c>
      <c r="K626">
        <v>54345</v>
      </c>
      <c r="L626">
        <v>180450</v>
      </c>
      <c r="M626">
        <v>53488</v>
      </c>
    </row>
    <row r="627" spans="1:13" x14ac:dyDescent="0.35">
      <c r="A627" s="120">
        <v>40238</v>
      </c>
      <c r="B627">
        <v>20286</v>
      </c>
      <c r="C627">
        <v>25084</v>
      </c>
      <c r="D627">
        <v>27302</v>
      </c>
      <c r="E627">
        <v>22797</v>
      </c>
      <c r="F627">
        <v>9213</v>
      </c>
      <c r="G627">
        <v>47313</v>
      </c>
      <c r="H627">
        <v>167256</v>
      </c>
      <c r="I627">
        <v>134835</v>
      </c>
      <c r="J627">
        <v>135916</v>
      </c>
      <c r="K627">
        <v>55474</v>
      </c>
      <c r="L627">
        <v>182148</v>
      </c>
      <c r="M627">
        <v>56487</v>
      </c>
    </row>
    <row r="628" spans="1:13" x14ac:dyDescent="0.35">
      <c r="A628" s="120">
        <v>40269</v>
      </c>
      <c r="B628">
        <v>19979</v>
      </c>
      <c r="C628">
        <v>25292</v>
      </c>
      <c r="D628">
        <v>23394</v>
      </c>
      <c r="E628">
        <v>22672</v>
      </c>
      <c r="F628">
        <v>9068</v>
      </c>
      <c r="G628">
        <v>51752</v>
      </c>
      <c r="H628">
        <v>169689</v>
      </c>
      <c r="I628">
        <v>131196</v>
      </c>
      <c r="J628">
        <v>135504</v>
      </c>
      <c r="K628">
        <v>55320</v>
      </c>
      <c r="L628">
        <v>182948</v>
      </c>
      <c r="M628">
        <v>52283</v>
      </c>
    </row>
    <row r="629" spans="1:13" x14ac:dyDescent="0.35">
      <c r="A629" s="120">
        <v>40299</v>
      </c>
      <c r="B629">
        <v>20568</v>
      </c>
      <c r="C629">
        <v>24995</v>
      </c>
      <c r="D629">
        <v>29255</v>
      </c>
      <c r="E629">
        <v>22218</v>
      </c>
      <c r="F629">
        <v>8844</v>
      </c>
      <c r="G629">
        <v>53051</v>
      </c>
      <c r="H629">
        <v>176036</v>
      </c>
      <c r="I629">
        <v>136881</v>
      </c>
      <c r="J629">
        <v>141747</v>
      </c>
      <c r="K629">
        <v>55853</v>
      </c>
      <c r="L629">
        <v>189932</v>
      </c>
      <c r="M629">
        <v>57262</v>
      </c>
    </row>
    <row r="630" spans="1:13" x14ac:dyDescent="0.35">
      <c r="A630" s="120">
        <v>40330</v>
      </c>
      <c r="B630">
        <v>19547</v>
      </c>
      <c r="C630">
        <v>25309</v>
      </c>
      <c r="D630">
        <v>30528</v>
      </c>
      <c r="E630">
        <v>21992</v>
      </c>
      <c r="F630">
        <v>9259</v>
      </c>
      <c r="G630">
        <v>48441</v>
      </c>
      <c r="H630">
        <v>174280</v>
      </c>
      <c r="I630">
        <v>137226</v>
      </c>
      <c r="J630">
        <v>137251</v>
      </c>
      <c r="K630">
        <v>56221</v>
      </c>
      <c r="L630">
        <v>185667</v>
      </c>
      <c r="M630">
        <v>59605</v>
      </c>
    </row>
    <row r="631" spans="1:13" x14ac:dyDescent="0.35">
      <c r="A631" s="120">
        <v>40360</v>
      </c>
      <c r="B631">
        <v>20606</v>
      </c>
      <c r="C631">
        <v>25333</v>
      </c>
      <c r="D631">
        <v>27142</v>
      </c>
      <c r="E631">
        <v>22231</v>
      </c>
      <c r="F631">
        <v>9161</v>
      </c>
      <c r="G631">
        <v>52850</v>
      </c>
      <c r="H631">
        <v>173972</v>
      </c>
      <c r="I631">
        <v>134656</v>
      </c>
      <c r="J631">
        <v>137391</v>
      </c>
      <c r="K631">
        <v>56101</v>
      </c>
      <c r="L631">
        <v>187506</v>
      </c>
      <c r="M631">
        <v>56474</v>
      </c>
    </row>
    <row r="632" spans="1:13" x14ac:dyDescent="0.35">
      <c r="A632" s="120">
        <v>40391</v>
      </c>
      <c r="B632">
        <v>20306</v>
      </c>
      <c r="C632">
        <v>25976</v>
      </c>
      <c r="D632">
        <v>28354</v>
      </c>
      <c r="E632">
        <v>22976</v>
      </c>
      <c r="F632">
        <v>9086</v>
      </c>
      <c r="G632">
        <v>54652</v>
      </c>
      <c r="H632">
        <v>179013</v>
      </c>
      <c r="I632">
        <v>137093</v>
      </c>
      <c r="J632">
        <v>141407</v>
      </c>
      <c r="K632">
        <v>56400</v>
      </c>
      <c r="L632">
        <v>191745</v>
      </c>
      <c r="M632">
        <v>58224</v>
      </c>
    </row>
    <row r="633" spans="1:13" x14ac:dyDescent="0.35">
      <c r="A633" s="120">
        <v>40422</v>
      </c>
      <c r="B633">
        <v>20731</v>
      </c>
      <c r="C633">
        <v>25593</v>
      </c>
      <c r="D633">
        <v>29896</v>
      </c>
      <c r="E633">
        <v>23547</v>
      </c>
      <c r="F633">
        <v>9369</v>
      </c>
      <c r="G633">
        <v>62684</v>
      </c>
      <c r="H633">
        <v>186703</v>
      </c>
      <c r="I633">
        <v>139248</v>
      </c>
      <c r="J633">
        <v>151095</v>
      </c>
      <c r="K633">
        <v>57430</v>
      </c>
      <c r="L633">
        <v>201932</v>
      </c>
      <c r="M633">
        <v>60134</v>
      </c>
    </row>
    <row r="634" spans="1:13" x14ac:dyDescent="0.35">
      <c r="A634" s="120">
        <v>40452</v>
      </c>
      <c r="B634">
        <v>20058</v>
      </c>
      <c r="C634">
        <v>25119</v>
      </c>
      <c r="D634">
        <v>28437</v>
      </c>
      <c r="E634">
        <v>21199</v>
      </c>
      <c r="F634">
        <v>9189</v>
      </c>
      <c r="G634">
        <v>58548</v>
      </c>
      <c r="H634">
        <v>181818</v>
      </c>
      <c r="I634">
        <v>134518</v>
      </c>
      <c r="J634">
        <v>142783</v>
      </c>
      <c r="K634">
        <v>57026</v>
      </c>
      <c r="L634">
        <v>193066</v>
      </c>
      <c r="M634">
        <v>57479</v>
      </c>
    </row>
    <row r="635" spans="1:13" x14ac:dyDescent="0.35">
      <c r="A635" s="120">
        <v>40483</v>
      </c>
      <c r="B635">
        <v>22776</v>
      </c>
      <c r="C635">
        <v>26577</v>
      </c>
      <c r="D635">
        <v>29238</v>
      </c>
      <c r="E635">
        <v>23319</v>
      </c>
      <c r="F635">
        <v>9841</v>
      </c>
      <c r="G635">
        <v>54752</v>
      </c>
      <c r="H635">
        <v>182184</v>
      </c>
      <c r="I635">
        <v>142450</v>
      </c>
      <c r="J635">
        <v>147906</v>
      </c>
      <c r="K635">
        <v>57721</v>
      </c>
      <c r="L635">
        <v>197202</v>
      </c>
      <c r="M635">
        <v>60405</v>
      </c>
    </row>
    <row r="636" spans="1:13" x14ac:dyDescent="0.35">
      <c r="A636" s="120">
        <v>40513</v>
      </c>
      <c r="B636">
        <v>21436</v>
      </c>
      <c r="C636">
        <v>26674</v>
      </c>
      <c r="D636">
        <v>32533</v>
      </c>
      <c r="E636">
        <v>23852</v>
      </c>
      <c r="F636">
        <v>9625</v>
      </c>
      <c r="G636">
        <v>49236</v>
      </c>
      <c r="H636">
        <v>179976</v>
      </c>
      <c r="I636">
        <v>144216</v>
      </c>
      <c r="J636">
        <v>143125</v>
      </c>
      <c r="K636">
        <v>58923</v>
      </c>
      <c r="L636">
        <v>193452</v>
      </c>
      <c r="M636">
        <v>61939</v>
      </c>
    </row>
    <row r="637" spans="1:13" x14ac:dyDescent="0.35">
      <c r="A637" s="120">
        <v>40544</v>
      </c>
      <c r="B637">
        <v>23291</v>
      </c>
      <c r="C637">
        <v>25422</v>
      </c>
      <c r="D637">
        <v>29851</v>
      </c>
      <c r="E637">
        <v>23892</v>
      </c>
      <c r="F637">
        <v>9631</v>
      </c>
      <c r="G637">
        <v>60523</v>
      </c>
      <c r="H637">
        <v>187397</v>
      </c>
      <c r="I637">
        <v>143113</v>
      </c>
      <c r="J637">
        <v>152922</v>
      </c>
      <c r="K637">
        <v>59305</v>
      </c>
      <c r="L637">
        <v>203636</v>
      </c>
      <c r="M637">
        <v>60963</v>
      </c>
    </row>
    <row r="638" spans="1:13" x14ac:dyDescent="0.35">
      <c r="A638" s="120">
        <v>40575</v>
      </c>
      <c r="B638">
        <v>21452</v>
      </c>
      <c r="C638">
        <v>27299</v>
      </c>
      <c r="D638">
        <v>28160</v>
      </c>
      <c r="E638">
        <v>23634</v>
      </c>
      <c r="F638">
        <v>9930</v>
      </c>
      <c r="G638">
        <v>55332</v>
      </c>
      <c r="H638">
        <v>183093</v>
      </c>
      <c r="I638">
        <v>141061</v>
      </c>
      <c r="J638">
        <v>146046</v>
      </c>
      <c r="K638">
        <v>57810</v>
      </c>
      <c r="L638">
        <v>196393</v>
      </c>
      <c r="M638">
        <v>59078</v>
      </c>
    </row>
    <row r="639" spans="1:13" x14ac:dyDescent="0.35">
      <c r="A639" s="120">
        <v>40603</v>
      </c>
      <c r="B639">
        <v>23173</v>
      </c>
      <c r="C639">
        <v>27507</v>
      </c>
      <c r="D639">
        <v>31078</v>
      </c>
      <c r="E639">
        <v>22813</v>
      </c>
      <c r="F639">
        <v>10043</v>
      </c>
      <c r="G639">
        <v>66841</v>
      </c>
      <c r="H639">
        <v>197694</v>
      </c>
      <c r="I639">
        <v>145907</v>
      </c>
      <c r="J639">
        <v>160009</v>
      </c>
      <c r="K639">
        <v>60078</v>
      </c>
      <c r="L639">
        <v>212748</v>
      </c>
      <c r="M639">
        <v>62497</v>
      </c>
    </row>
    <row r="640" spans="1:13" x14ac:dyDescent="0.35">
      <c r="A640" s="120">
        <v>40634</v>
      </c>
      <c r="B640">
        <v>22263</v>
      </c>
      <c r="C640">
        <v>26745</v>
      </c>
      <c r="D640">
        <v>30709</v>
      </c>
      <c r="E640">
        <v>23190</v>
      </c>
      <c r="F640">
        <v>9483</v>
      </c>
      <c r="G640">
        <v>57343</v>
      </c>
      <c r="H640">
        <v>185170</v>
      </c>
      <c r="I640">
        <v>143390</v>
      </c>
      <c r="J640">
        <v>150734</v>
      </c>
      <c r="K640">
        <v>60132</v>
      </c>
      <c r="L640">
        <v>200733</v>
      </c>
      <c r="M640">
        <v>61562</v>
      </c>
    </row>
    <row r="641" spans="1:13" x14ac:dyDescent="0.35">
      <c r="A641" s="120">
        <v>40664</v>
      </c>
      <c r="B641">
        <v>23281</v>
      </c>
      <c r="C641">
        <v>26860</v>
      </c>
      <c r="D641">
        <v>32496</v>
      </c>
      <c r="E641">
        <v>23217</v>
      </c>
      <c r="F641">
        <v>9767</v>
      </c>
      <c r="G641">
        <v>60716</v>
      </c>
      <c r="H641">
        <v>191707</v>
      </c>
      <c r="I641">
        <v>146454</v>
      </c>
      <c r="J641">
        <v>157155</v>
      </c>
      <c r="K641">
        <v>60499</v>
      </c>
      <c r="L641">
        <v>207170</v>
      </c>
      <c r="M641">
        <v>63711</v>
      </c>
    </row>
    <row r="642" spans="1:13" x14ac:dyDescent="0.35">
      <c r="A642" s="120">
        <v>40695</v>
      </c>
      <c r="B642">
        <v>22515</v>
      </c>
      <c r="C642">
        <v>27642</v>
      </c>
      <c r="D642">
        <v>32015</v>
      </c>
      <c r="E642">
        <v>23336</v>
      </c>
      <c r="F642">
        <v>9834</v>
      </c>
      <c r="G642">
        <v>55382</v>
      </c>
      <c r="H642">
        <v>188604</v>
      </c>
      <c r="I642">
        <v>146197</v>
      </c>
      <c r="J642">
        <v>150694</v>
      </c>
      <c r="K642">
        <v>61342</v>
      </c>
      <c r="L642">
        <v>201579</v>
      </c>
      <c r="M642">
        <v>63751</v>
      </c>
    </row>
    <row r="643" spans="1:13" x14ac:dyDescent="0.35">
      <c r="A643" s="120">
        <v>40725</v>
      </c>
      <c r="B643">
        <v>23436</v>
      </c>
      <c r="C643">
        <v>27687</v>
      </c>
      <c r="D643">
        <v>33029</v>
      </c>
      <c r="E643">
        <v>22682</v>
      </c>
      <c r="F643">
        <v>9926</v>
      </c>
      <c r="G643">
        <v>58561</v>
      </c>
      <c r="H643">
        <v>194162</v>
      </c>
      <c r="I643">
        <v>147897</v>
      </c>
      <c r="J643">
        <v>153291</v>
      </c>
      <c r="K643">
        <v>61751</v>
      </c>
      <c r="L643">
        <v>206458</v>
      </c>
      <c r="M643">
        <v>64756</v>
      </c>
    </row>
    <row r="644" spans="1:13" x14ac:dyDescent="0.35">
      <c r="A644" s="120">
        <v>40756</v>
      </c>
      <c r="B644">
        <v>23740</v>
      </c>
      <c r="C644">
        <v>27147</v>
      </c>
      <c r="D644">
        <v>31708</v>
      </c>
      <c r="E644">
        <v>23767</v>
      </c>
      <c r="F644">
        <v>10353</v>
      </c>
      <c r="G644">
        <v>69209</v>
      </c>
      <c r="H644">
        <v>201795</v>
      </c>
      <c r="I644">
        <v>147496</v>
      </c>
      <c r="J644">
        <v>164357</v>
      </c>
      <c r="K644">
        <v>64278</v>
      </c>
      <c r="L644">
        <v>216705</v>
      </c>
      <c r="M644">
        <v>64464</v>
      </c>
    </row>
    <row r="645" spans="1:13" x14ac:dyDescent="0.35">
      <c r="A645" s="120">
        <v>40787</v>
      </c>
      <c r="B645">
        <v>23677</v>
      </c>
      <c r="C645">
        <v>28199</v>
      </c>
      <c r="D645">
        <v>31862</v>
      </c>
      <c r="E645">
        <v>23688</v>
      </c>
      <c r="F645">
        <v>10431</v>
      </c>
      <c r="G645">
        <v>56081</v>
      </c>
      <c r="H645">
        <v>192112</v>
      </c>
      <c r="I645">
        <v>148657</v>
      </c>
      <c r="J645">
        <v>153647</v>
      </c>
      <c r="K645">
        <v>63686</v>
      </c>
      <c r="L645">
        <v>204738</v>
      </c>
      <c r="M645">
        <v>65581</v>
      </c>
    </row>
    <row r="646" spans="1:13" x14ac:dyDescent="0.35">
      <c r="A646" s="120">
        <v>40817</v>
      </c>
      <c r="B646">
        <v>23688</v>
      </c>
      <c r="C646">
        <v>28260</v>
      </c>
      <c r="D646">
        <v>34010</v>
      </c>
      <c r="E646">
        <v>23904</v>
      </c>
      <c r="F646">
        <v>10188</v>
      </c>
      <c r="G646">
        <v>59170</v>
      </c>
      <c r="H646">
        <v>199429</v>
      </c>
      <c r="I646">
        <v>151629</v>
      </c>
      <c r="J646">
        <v>157127</v>
      </c>
      <c r="K646">
        <v>63570</v>
      </c>
      <c r="L646">
        <v>210799</v>
      </c>
      <c r="M646">
        <v>67427</v>
      </c>
    </row>
    <row r="647" spans="1:13" x14ac:dyDescent="0.35">
      <c r="A647" s="120">
        <v>40848</v>
      </c>
      <c r="B647">
        <v>24544</v>
      </c>
      <c r="C647">
        <v>28914</v>
      </c>
      <c r="D647">
        <v>31837</v>
      </c>
      <c r="E647">
        <v>23401</v>
      </c>
      <c r="F647">
        <v>10045</v>
      </c>
      <c r="G647">
        <v>65088</v>
      </c>
      <c r="H647">
        <v>203549</v>
      </c>
      <c r="I647">
        <v>150443</v>
      </c>
      <c r="J647">
        <v>162380</v>
      </c>
      <c r="K647">
        <v>63758</v>
      </c>
      <c r="L647">
        <v>215531</v>
      </c>
      <c r="M647">
        <v>64660</v>
      </c>
    </row>
    <row r="648" spans="1:13" x14ac:dyDescent="0.35">
      <c r="A648" s="120">
        <v>40878</v>
      </c>
      <c r="B648">
        <v>24927</v>
      </c>
      <c r="C648">
        <v>28750</v>
      </c>
      <c r="D648">
        <v>35470</v>
      </c>
      <c r="E648">
        <v>23424</v>
      </c>
      <c r="F648">
        <v>10350</v>
      </c>
      <c r="G648">
        <v>69034</v>
      </c>
      <c r="H648">
        <v>214193</v>
      </c>
      <c r="I648">
        <v>154801</v>
      </c>
      <c r="J648">
        <v>170486</v>
      </c>
      <c r="K648">
        <v>65920</v>
      </c>
      <c r="L648">
        <v>223835</v>
      </c>
      <c r="M648">
        <v>68881</v>
      </c>
    </row>
    <row r="649" spans="1:13" x14ac:dyDescent="0.35">
      <c r="A649" s="120">
        <v>40909</v>
      </c>
      <c r="B649">
        <v>24176</v>
      </c>
      <c r="C649">
        <v>29123</v>
      </c>
      <c r="D649">
        <v>32837</v>
      </c>
      <c r="E649">
        <v>23017</v>
      </c>
      <c r="F649">
        <v>10625</v>
      </c>
      <c r="G649">
        <v>73187</v>
      </c>
      <c r="H649">
        <v>213798</v>
      </c>
      <c r="I649">
        <v>151995</v>
      </c>
      <c r="J649">
        <v>170545</v>
      </c>
      <c r="K649">
        <v>64937</v>
      </c>
      <c r="L649">
        <v>225182</v>
      </c>
      <c r="M649">
        <v>67658</v>
      </c>
    </row>
    <row r="650" spans="1:13" x14ac:dyDescent="0.35">
      <c r="A650" s="120">
        <v>40940</v>
      </c>
      <c r="B650">
        <v>23289</v>
      </c>
      <c r="C650">
        <v>29473</v>
      </c>
      <c r="D650">
        <v>34704</v>
      </c>
      <c r="E650">
        <v>23903</v>
      </c>
      <c r="F650">
        <v>10467</v>
      </c>
      <c r="G650">
        <v>73756</v>
      </c>
      <c r="H650">
        <v>215027</v>
      </c>
      <c r="I650">
        <v>153841</v>
      </c>
      <c r="J650">
        <v>172690</v>
      </c>
      <c r="K650">
        <v>66132</v>
      </c>
      <c r="L650">
        <v>227597</v>
      </c>
      <c r="M650">
        <v>69902</v>
      </c>
    </row>
    <row r="651" spans="1:13" x14ac:dyDescent="0.35">
      <c r="A651" s="120">
        <v>40969</v>
      </c>
      <c r="B651">
        <v>22901</v>
      </c>
      <c r="C651">
        <v>30000</v>
      </c>
      <c r="D651">
        <v>34893</v>
      </c>
      <c r="E651">
        <v>22737</v>
      </c>
      <c r="F651">
        <v>10589</v>
      </c>
      <c r="G651">
        <v>66552</v>
      </c>
      <c r="H651">
        <v>207437</v>
      </c>
      <c r="I651">
        <v>153408</v>
      </c>
      <c r="J651">
        <v>164744</v>
      </c>
      <c r="K651">
        <v>67944</v>
      </c>
      <c r="L651">
        <v>219960</v>
      </c>
      <c r="M651">
        <v>69522</v>
      </c>
    </row>
    <row r="652" spans="1:13" x14ac:dyDescent="0.35">
      <c r="A652" s="120">
        <v>41000</v>
      </c>
      <c r="B652">
        <v>23215</v>
      </c>
      <c r="C652">
        <v>29052</v>
      </c>
      <c r="D652">
        <v>33076</v>
      </c>
      <c r="E652">
        <v>23232</v>
      </c>
      <c r="F652">
        <v>10468</v>
      </c>
      <c r="G652">
        <v>67031</v>
      </c>
      <c r="H652">
        <v>208556</v>
      </c>
      <c r="I652">
        <v>151383</v>
      </c>
      <c r="J652">
        <v>161383</v>
      </c>
      <c r="K652">
        <v>66849</v>
      </c>
      <c r="L652">
        <v>218414</v>
      </c>
      <c r="M652">
        <v>67518</v>
      </c>
    </row>
    <row r="653" spans="1:13" x14ac:dyDescent="0.35">
      <c r="A653" s="120">
        <v>41030</v>
      </c>
      <c r="B653">
        <v>21368</v>
      </c>
      <c r="C653">
        <v>28379</v>
      </c>
      <c r="D653">
        <v>34189</v>
      </c>
      <c r="E653">
        <v>23445</v>
      </c>
      <c r="F653">
        <v>10789</v>
      </c>
      <c r="G653">
        <v>68256</v>
      </c>
      <c r="H653">
        <v>209652</v>
      </c>
      <c r="I653">
        <v>150820</v>
      </c>
      <c r="J653">
        <v>162004</v>
      </c>
      <c r="K653">
        <v>67240</v>
      </c>
      <c r="L653">
        <v>219076</v>
      </c>
      <c r="M653">
        <v>69183</v>
      </c>
    </row>
    <row r="654" spans="1:13" x14ac:dyDescent="0.35">
      <c r="A654" s="120">
        <v>41061</v>
      </c>
      <c r="B654">
        <v>20823</v>
      </c>
      <c r="C654">
        <v>28480</v>
      </c>
      <c r="D654">
        <v>33738</v>
      </c>
      <c r="E654">
        <v>21345</v>
      </c>
      <c r="F654">
        <v>10147</v>
      </c>
      <c r="G654">
        <v>71743</v>
      </c>
      <c r="H654">
        <v>201871</v>
      </c>
      <c r="I654">
        <v>147012</v>
      </c>
      <c r="J654">
        <v>162286</v>
      </c>
      <c r="K654">
        <v>67691</v>
      </c>
      <c r="L654">
        <v>218755</v>
      </c>
      <c r="M654">
        <v>67129</v>
      </c>
    </row>
    <row r="655" spans="1:13" x14ac:dyDescent="0.35">
      <c r="A655" s="120">
        <v>41091</v>
      </c>
      <c r="B655">
        <v>20921</v>
      </c>
      <c r="C655">
        <v>28529</v>
      </c>
      <c r="D655">
        <v>32536</v>
      </c>
      <c r="E655">
        <v>21585</v>
      </c>
      <c r="F655">
        <v>10258</v>
      </c>
      <c r="G655">
        <v>78853</v>
      </c>
      <c r="H655">
        <v>210138</v>
      </c>
      <c r="I655">
        <v>146370</v>
      </c>
      <c r="J655">
        <v>168204</v>
      </c>
      <c r="K655">
        <v>66900</v>
      </c>
      <c r="L655">
        <v>225223</v>
      </c>
      <c r="M655">
        <v>65294</v>
      </c>
    </row>
    <row r="656" spans="1:13" x14ac:dyDescent="0.35">
      <c r="A656" s="120">
        <v>41122</v>
      </c>
      <c r="B656">
        <v>20565</v>
      </c>
      <c r="C656">
        <v>28324</v>
      </c>
      <c r="D656">
        <v>29903</v>
      </c>
      <c r="E656">
        <v>21016</v>
      </c>
      <c r="F656">
        <v>10312</v>
      </c>
      <c r="G656">
        <v>57614</v>
      </c>
      <c r="H656">
        <v>192404</v>
      </c>
      <c r="I656">
        <v>142809</v>
      </c>
      <c r="J656">
        <v>144973</v>
      </c>
      <c r="K656">
        <v>65497</v>
      </c>
      <c r="L656">
        <v>200423</v>
      </c>
      <c r="M656">
        <v>63721</v>
      </c>
    </row>
    <row r="657" spans="1:13" x14ac:dyDescent="0.35">
      <c r="A657" s="120">
        <v>41153</v>
      </c>
      <c r="B657">
        <v>20959</v>
      </c>
      <c r="C657">
        <v>28211</v>
      </c>
      <c r="D657">
        <v>31354</v>
      </c>
      <c r="E657">
        <v>20898</v>
      </c>
      <c r="F657">
        <v>9944</v>
      </c>
      <c r="G657">
        <v>72843</v>
      </c>
      <c r="H657">
        <v>205808</v>
      </c>
      <c r="I657">
        <v>144398</v>
      </c>
      <c r="J657">
        <v>161598</v>
      </c>
      <c r="K657">
        <v>65411</v>
      </c>
      <c r="L657">
        <v>217241</v>
      </c>
      <c r="M657">
        <v>63976</v>
      </c>
    </row>
    <row r="658" spans="1:13" x14ac:dyDescent="0.35">
      <c r="A658" s="120">
        <v>41183</v>
      </c>
      <c r="B658">
        <v>21510</v>
      </c>
      <c r="C658">
        <v>28260</v>
      </c>
      <c r="D658">
        <v>32889</v>
      </c>
      <c r="E658">
        <v>21154</v>
      </c>
      <c r="F658">
        <v>10451</v>
      </c>
      <c r="G658">
        <v>71461</v>
      </c>
      <c r="H658">
        <v>206576</v>
      </c>
      <c r="I658">
        <v>147556</v>
      </c>
      <c r="J658">
        <v>163841</v>
      </c>
      <c r="K658">
        <v>65637</v>
      </c>
      <c r="L658">
        <v>219017</v>
      </c>
      <c r="M658">
        <v>65937</v>
      </c>
    </row>
    <row r="659" spans="1:13" x14ac:dyDescent="0.35">
      <c r="A659" s="120">
        <v>41214</v>
      </c>
      <c r="B659">
        <v>21301</v>
      </c>
      <c r="C659">
        <v>28582</v>
      </c>
      <c r="D659">
        <v>32635</v>
      </c>
      <c r="E659">
        <v>21097</v>
      </c>
      <c r="F659">
        <v>10795</v>
      </c>
      <c r="G659">
        <v>67114</v>
      </c>
      <c r="H659">
        <v>203305</v>
      </c>
      <c r="I659">
        <v>147575</v>
      </c>
      <c r="J659">
        <v>157882</v>
      </c>
      <c r="K659">
        <v>67449</v>
      </c>
      <c r="L659">
        <v>214689</v>
      </c>
      <c r="M659">
        <v>66473</v>
      </c>
    </row>
    <row r="660" spans="1:13" x14ac:dyDescent="0.35">
      <c r="A660" s="120">
        <v>41244</v>
      </c>
      <c r="B660">
        <v>21865</v>
      </c>
      <c r="C660">
        <v>26972</v>
      </c>
      <c r="D660">
        <v>31683</v>
      </c>
      <c r="E660">
        <v>21992</v>
      </c>
      <c r="F660">
        <v>10058</v>
      </c>
      <c r="G660">
        <v>84903</v>
      </c>
      <c r="H660">
        <v>211264</v>
      </c>
      <c r="I660">
        <v>146089</v>
      </c>
      <c r="J660">
        <v>173564</v>
      </c>
      <c r="K660">
        <v>67154</v>
      </c>
      <c r="L660">
        <v>230992</v>
      </c>
      <c r="M660">
        <v>66630</v>
      </c>
    </row>
    <row r="661" spans="1:13" x14ac:dyDescent="0.35">
      <c r="A661" s="120">
        <v>41275</v>
      </c>
      <c r="B661">
        <v>22119</v>
      </c>
      <c r="C661">
        <v>30191</v>
      </c>
      <c r="D661">
        <v>34079</v>
      </c>
      <c r="E661">
        <v>21143</v>
      </c>
      <c r="F661">
        <v>10028</v>
      </c>
      <c r="G661">
        <v>71038</v>
      </c>
      <c r="H661">
        <v>213298</v>
      </c>
      <c r="I661">
        <v>151759</v>
      </c>
      <c r="J661">
        <v>164003</v>
      </c>
      <c r="K661">
        <v>66841</v>
      </c>
      <c r="L661">
        <v>222797</v>
      </c>
      <c r="M661">
        <v>69758</v>
      </c>
    </row>
    <row r="662" spans="1:13" x14ac:dyDescent="0.35">
      <c r="A662" s="120">
        <v>41306</v>
      </c>
      <c r="B662">
        <v>22358</v>
      </c>
      <c r="C662">
        <v>29128</v>
      </c>
      <c r="D662">
        <v>32520</v>
      </c>
      <c r="E662">
        <v>20277</v>
      </c>
      <c r="F662">
        <v>10363</v>
      </c>
      <c r="G662">
        <v>86577</v>
      </c>
      <c r="H662">
        <v>220700</v>
      </c>
      <c r="I662">
        <v>149375</v>
      </c>
      <c r="J662">
        <v>175371</v>
      </c>
      <c r="K662">
        <v>67781</v>
      </c>
      <c r="L662">
        <v>235952</v>
      </c>
      <c r="M662">
        <v>66190</v>
      </c>
    </row>
    <row r="663" spans="1:13" x14ac:dyDescent="0.35">
      <c r="A663" s="120">
        <v>41334</v>
      </c>
      <c r="B663">
        <v>21083</v>
      </c>
      <c r="C663">
        <v>29704</v>
      </c>
      <c r="D663">
        <v>31260</v>
      </c>
      <c r="E663">
        <v>19532</v>
      </c>
      <c r="F663">
        <v>10084</v>
      </c>
      <c r="G663">
        <v>69240</v>
      </c>
      <c r="H663">
        <v>210080</v>
      </c>
      <c r="I663">
        <v>145948</v>
      </c>
      <c r="J663">
        <v>155905</v>
      </c>
      <c r="K663">
        <v>67952</v>
      </c>
      <c r="L663">
        <v>215188</v>
      </c>
      <c r="M663">
        <v>66275</v>
      </c>
    </row>
    <row r="664" spans="1:13" x14ac:dyDescent="0.35">
      <c r="A664" s="120">
        <v>41365</v>
      </c>
      <c r="B664">
        <v>22030</v>
      </c>
      <c r="C664">
        <v>29325</v>
      </c>
      <c r="D664">
        <v>31928</v>
      </c>
      <c r="E664">
        <v>21385</v>
      </c>
      <c r="F664">
        <v>10130</v>
      </c>
      <c r="G664">
        <v>76992</v>
      </c>
      <c r="H664">
        <v>216982</v>
      </c>
      <c r="I664">
        <v>149549</v>
      </c>
      <c r="J664">
        <v>166628</v>
      </c>
      <c r="K664">
        <v>66418</v>
      </c>
      <c r="L664">
        <v>226541</v>
      </c>
      <c r="M664">
        <v>67553</v>
      </c>
    </row>
    <row r="665" spans="1:13" x14ac:dyDescent="0.35">
      <c r="A665" s="120">
        <v>41395</v>
      </c>
      <c r="B665">
        <v>21548</v>
      </c>
      <c r="C665">
        <v>28923</v>
      </c>
      <c r="D665">
        <v>32205</v>
      </c>
      <c r="E665">
        <v>21808</v>
      </c>
      <c r="F665">
        <v>10804</v>
      </c>
      <c r="G665">
        <v>84921</v>
      </c>
      <c r="H665">
        <v>224465</v>
      </c>
      <c r="I665">
        <v>150337</v>
      </c>
      <c r="J665">
        <v>175118</v>
      </c>
      <c r="K665">
        <v>67597</v>
      </c>
      <c r="L665">
        <v>235258</v>
      </c>
      <c r="M665">
        <v>69186</v>
      </c>
    </row>
    <row r="666" spans="1:13" x14ac:dyDescent="0.35">
      <c r="A666" s="120">
        <v>41426</v>
      </c>
      <c r="B666">
        <v>22140</v>
      </c>
      <c r="C666">
        <v>28953</v>
      </c>
      <c r="D666">
        <v>32202</v>
      </c>
      <c r="E666">
        <v>21642</v>
      </c>
      <c r="F666">
        <v>10349</v>
      </c>
      <c r="G666">
        <v>97375</v>
      </c>
      <c r="H666">
        <v>235211</v>
      </c>
      <c r="I666">
        <v>150635</v>
      </c>
      <c r="J666">
        <v>187849</v>
      </c>
      <c r="K666">
        <v>66735</v>
      </c>
      <c r="L666">
        <v>248010</v>
      </c>
      <c r="M666">
        <v>69443</v>
      </c>
    </row>
    <row r="667" spans="1:13" x14ac:dyDescent="0.35">
      <c r="A667" s="120">
        <v>41456</v>
      </c>
      <c r="B667">
        <v>21401</v>
      </c>
      <c r="C667">
        <v>28800</v>
      </c>
      <c r="D667">
        <v>32495</v>
      </c>
      <c r="E667">
        <v>21054</v>
      </c>
      <c r="F667">
        <v>9957</v>
      </c>
      <c r="G667">
        <v>75015</v>
      </c>
      <c r="H667">
        <v>209913</v>
      </c>
      <c r="I667">
        <v>148765</v>
      </c>
      <c r="J667">
        <v>164784</v>
      </c>
      <c r="K667">
        <v>65819</v>
      </c>
      <c r="L667">
        <v>223780</v>
      </c>
      <c r="M667">
        <v>66557</v>
      </c>
    </row>
    <row r="668" spans="1:13" x14ac:dyDescent="0.35">
      <c r="A668" s="120">
        <v>41487</v>
      </c>
      <c r="B668">
        <v>21572</v>
      </c>
      <c r="C668">
        <v>29075</v>
      </c>
      <c r="D668">
        <v>30890</v>
      </c>
      <c r="E668">
        <v>20137</v>
      </c>
      <c r="F668">
        <v>10077</v>
      </c>
      <c r="G668">
        <v>77447</v>
      </c>
      <c r="H668">
        <v>211847</v>
      </c>
      <c r="I668">
        <v>147563</v>
      </c>
      <c r="J668">
        <v>164894</v>
      </c>
      <c r="K668">
        <v>66036</v>
      </c>
      <c r="L668">
        <v>225010</v>
      </c>
      <c r="M668">
        <v>65935</v>
      </c>
    </row>
    <row r="669" spans="1:13" x14ac:dyDescent="0.35">
      <c r="A669" s="120">
        <v>41518</v>
      </c>
      <c r="B669">
        <v>21690</v>
      </c>
      <c r="C669">
        <v>28873</v>
      </c>
      <c r="D669">
        <v>31453</v>
      </c>
      <c r="E669">
        <v>20975</v>
      </c>
      <c r="F669">
        <v>10228</v>
      </c>
      <c r="G669">
        <v>90219</v>
      </c>
      <c r="H669">
        <v>225775</v>
      </c>
      <c r="I669">
        <v>148413</v>
      </c>
      <c r="J669">
        <v>178351</v>
      </c>
      <c r="K669">
        <v>65417</v>
      </c>
      <c r="L669">
        <v>238632</v>
      </c>
      <c r="M669">
        <v>66636</v>
      </c>
    </row>
    <row r="670" spans="1:13" x14ac:dyDescent="0.35">
      <c r="A670" s="120">
        <v>41548</v>
      </c>
      <c r="B670">
        <v>22296</v>
      </c>
      <c r="C670">
        <v>28460</v>
      </c>
      <c r="D670">
        <v>31358</v>
      </c>
      <c r="E670">
        <v>21461</v>
      </c>
      <c r="F670">
        <v>10332</v>
      </c>
      <c r="G670">
        <v>82965</v>
      </c>
      <c r="H670">
        <v>223139</v>
      </c>
      <c r="I670">
        <v>148997</v>
      </c>
      <c r="J670">
        <v>171007</v>
      </c>
      <c r="K670">
        <v>65186</v>
      </c>
      <c r="L670">
        <v>231962</v>
      </c>
      <c r="M670">
        <v>64799</v>
      </c>
    </row>
    <row r="671" spans="1:13" x14ac:dyDescent="0.35">
      <c r="A671" s="120">
        <v>41579</v>
      </c>
      <c r="B671">
        <v>21935</v>
      </c>
      <c r="C671">
        <v>28851</v>
      </c>
      <c r="D671">
        <v>33588</v>
      </c>
      <c r="E671">
        <v>21633</v>
      </c>
      <c r="F671">
        <v>9447</v>
      </c>
      <c r="G671">
        <v>90138</v>
      </c>
      <c r="H671">
        <v>232225</v>
      </c>
      <c r="I671">
        <v>151251</v>
      </c>
      <c r="J671">
        <v>176395</v>
      </c>
      <c r="K671">
        <v>68009</v>
      </c>
      <c r="L671">
        <v>241389</v>
      </c>
      <c r="M671">
        <v>68592</v>
      </c>
    </row>
    <row r="672" spans="1:13" x14ac:dyDescent="0.35">
      <c r="A672" s="120">
        <v>41609</v>
      </c>
      <c r="B672">
        <v>21042</v>
      </c>
      <c r="C672">
        <v>26863</v>
      </c>
      <c r="D672">
        <v>34380</v>
      </c>
      <c r="E672">
        <v>20173</v>
      </c>
      <c r="F672">
        <v>10126</v>
      </c>
      <c r="G672">
        <v>90482</v>
      </c>
      <c r="H672">
        <v>227537</v>
      </c>
      <c r="I672">
        <v>147895</v>
      </c>
      <c r="J672">
        <v>176574</v>
      </c>
      <c r="K672">
        <v>67503</v>
      </c>
      <c r="L672">
        <v>238377</v>
      </c>
      <c r="M672">
        <v>67496</v>
      </c>
    </row>
    <row r="673" spans="1:13" x14ac:dyDescent="0.35">
      <c r="A673" s="120">
        <v>41640</v>
      </c>
      <c r="B673">
        <v>21464</v>
      </c>
      <c r="C673">
        <v>29145</v>
      </c>
      <c r="D673">
        <v>33899</v>
      </c>
      <c r="E673">
        <v>21527</v>
      </c>
      <c r="F673">
        <v>10451</v>
      </c>
      <c r="G673">
        <v>72176</v>
      </c>
      <c r="H673">
        <v>216655</v>
      </c>
      <c r="I673">
        <v>150968</v>
      </c>
      <c r="J673">
        <v>163285</v>
      </c>
      <c r="K673">
        <v>66205</v>
      </c>
      <c r="L673">
        <v>223144</v>
      </c>
      <c r="M673">
        <v>68106</v>
      </c>
    </row>
    <row r="674" spans="1:13" x14ac:dyDescent="0.35">
      <c r="A674" s="120">
        <v>41671</v>
      </c>
      <c r="B674">
        <v>21626</v>
      </c>
      <c r="C674">
        <v>29156</v>
      </c>
      <c r="D674">
        <v>34151</v>
      </c>
      <c r="E674">
        <v>21232</v>
      </c>
      <c r="F674">
        <v>10257</v>
      </c>
      <c r="G674">
        <v>81622</v>
      </c>
      <c r="H674">
        <v>219545</v>
      </c>
      <c r="I674">
        <v>151089</v>
      </c>
      <c r="J674">
        <v>171097</v>
      </c>
      <c r="K674">
        <v>67120</v>
      </c>
      <c r="L674">
        <v>232711</v>
      </c>
      <c r="M674">
        <v>67227</v>
      </c>
    </row>
    <row r="675" spans="1:13" x14ac:dyDescent="0.35">
      <c r="A675" s="120">
        <v>41699</v>
      </c>
      <c r="B675">
        <v>22190</v>
      </c>
      <c r="C675">
        <v>29456</v>
      </c>
      <c r="D675">
        <v>34226</v>
      </c>
      <c r="E675">
        <v>21491</v>
      </c>
      <c r="F675">
        <v>10665</v>
      </c>
      <c r="G675">
        <v>79821</v>
      </c>
      <c r="H675">
        <v>223009</v>
      </c>
      <c r="I675">
        <v>153332</v>
      </c>
      <c r="J675">
        <v>170947</v>
      </c>
      <c r="K675">
        <v>68135</v>
      </c>
      <c r="L675">
        <v>233153</v>
      </c>
      <c r="M675">
        <v>68502</v>
      </c>
    </row>
    <row r="676" spans="1:13" x14ac:dyDescent="0.35">
      <c r="A676" s="120">
        <v>41730</v>
      </c>
      <c r="B676">
        <v>21864</v>
      </c>
      <c r="C676">
        <v>29180</v>
      </c>
      <c r="D676">
        <v>32905</v>
      </c>
      <c r="E676">
        <v>21631</v>
      </c>
      <c r="F676">
        <v>10676</v>
      </c>
      <c r="G676">
        <v>85413</v>
      </c>
      <c r="H676">
        <v>216304</v>
      </c>
      <c r="I676">
        <v>151959</v>
      </c>
      <c r="J676">
        <v>175956</v>
      </c>
      <c r="K676">
        <v>66704</v>
      </c>
      <c r="L676">
        <v>237372</v>
      </c>
      <c r="M676">
        <v>66341</v>
      </c>
    </row>
    <row r="677" spans="1:13" x14ac:dyDescent="0.35">
      <c r="A677" s="120">
        <v>41760</v>
      </c>
      <c r="B677">
        <v>22063</v>
      </c>
      <c r="C677">
        <v>30175</v>
      </c>
      <c r="D677">
        <v>32699</v>
      </c>
      <c r="E677">
        <v>20753</v>
      </c>
      <c r="F677">
        <v>10467</v>
      </c>
      <c r="G677">
        <v>80832</v>
      </c>
      <c r="H677">
        <v>217466</v>
      </c>
      <c r="I677">
        <v>152127</v>
      </c>
      <c r="J677">
        <v>169649</v>
      </c>
      <c r="K677">
        <v>67233</v>
      </c>
      <c r="L677">
        <v>232959</v>
      </c>
      <c r="M677">
        <v>65817</v>
      </c>
    </row>
    <row r="678" spans="1:13" x14ac:dyDescent="0.35">
      <c r="A678" s="120">
        <v>41791</v>
      </c>
      <c r="B678">
        <v>22511</v>
      </c>
      <c r="C678">
        <v>29874</v>
      </c>
      <c r="D678">
        <v>35026</v>
      </c>
      <c r="E678">
        <v>21947</v>
      </c>
      <c r="F678">
        <v>10944</v>
      </c>
      <c r="G678">
        <v>83596</v>
      </c>
      <c r="H678">
        <v>226627</v>
      </c>
      <c r="I678">
        <v>156585</v>
      </c>
      <c r="J678">
        <v>177769</v>
      </c>
      <c r="K678">
        <v>67210</v>
      </c>
      <c r="L678">
        <v>240181</v>
      </c>
      <c r="M678">
        <v>69872</v>
      </c>
    </row>
    <row r="679" spans="1:13" x14ac:dyDescent="0.35">
      <c r="A679" s="120">
        <v>41821</v>
      </c>
      <c r="B679">
        <v>22759</v>
      </c>
      <c r="C679">
        <v>29982</v>
      </c>
      <c r="D679">
        <v>32975</v>
      </c>
      <c r="E679">
        <v>21247</v>
      </c>
      <c r="F679">
        <v>10701</v>
      </c>
      <c r="G679">
        <v>149460</v>
      </c>
      <c r="H679">
        <v>293790</v>
      </c>
      <c r="I679">
        <v>153702</v>
      </c>
      <c r="J679">
        <v>238245</v>
      </c>
      <c r="K679">
        <v>67196</v>
      </c>
      <c r="L679">
        <v>303162</v>
      </c>
      <c r="M679">
        <v>67931</v>
      </c>
    </row>
    <row r="680" spans="1:13" x14ac:dyDescent="0.35">
      <c r="A680" s="120">
        <v>41852</v>
      </c>
      <c r="B680">
        <v>22044</v>
      </c>
      <c r="C680">
        <v>30248</v>
      </c>
      <c r="D680">
        <v>34336</v>
      </c>
      <c r="E680">
        <v>21650</v>
      </c>
      <c r="F680">
        <v>10721</v>
      </c>
      <c r="G680">
        <v>81455</v>
      </c>
      <c r="H680">
        <v>224569</v>
      </c>
      <c r="I680">
        <v>155211</v>
      </c>
      <c r="J680">
        <v>172226</v>
      </c>
      <c r="K680">
        <v>69173</v>
      </c>
      <c r="L680">
        <v>236666</v>
      </c>
      <c r="M680">
        <v>68554</v>
      </c>
    </row>
    <row r="681" spans="1:13" x14ac:dyDescent="0.35">
      <c r="A681" s="120">
        <v>41883</v>
      </c>
      <c r="B681">
        <v>22866</v>
      </c>
      <c r="C681">
        <v>30230</v>
      </c>
      <c r="D681">
        <v>34716</v>
      </c>
      <c r="E681">
        <v>21281</v>
      </c>
      <c r="F681">
        <v>11088</v>
      </c>
      <c r="G681">
        <v>80552</v>
      </c>
      <c r="H681">
        <v>229338</v>
      </c>
      <c r="I681">
        <v>156982</v>
      </c>
      <c r="J681">
        <v>172718</v>
      </c>
      <c r="K681">
        <v>69236</v>
      </c>
      <c r="L681">
        <v>237534</v>
      </c>
      <c r="M681">
        <v>69426</v>
      </c>
    </row>
    <row r="682" spans="1:13" x14ac:dyDescent="0.35">
      <c r="A682" s="120">
        <v>41913</v>
      </c>
      <c r="B682">
        <v>21973</v>
      </c>
      <c r="C682">
        <v>30380</v>
      </c>
      <c r="D682">
        <v>32346</v>
      </c>
      <c r="E682">
        <v>20681</v>
      </c>
      <c r="F682">
        <v>10888</v>
      </c>
      <c r="G682">
        <v>79328</v>
      </c>
      <c r="H682">
        <v>219533</v>
      </c>
      <c r="I682">
        <v>152761</v>
      </c>
      <c r="J682">
        <v>167104</v>
      </c>
      <c r="K682">
        <v>66959</v>
      </c>
      <c r="L682">
        <v>232089</v>
      </c>
      <c r="M682">
        <v>65645</v>
      </c>
    </row>
    <row r="683" spans="1:13" x14ac:dyDescent="0.35">
      <c r="A683" s="120">
        <v>41944</v>
      </c>
      <c r="B683">
        <v>21289</v>
      </c>
      <c r="C683">
        <v>29980</v>
      </c>
      <c r="D683">
        <v>31136</v>
      </c>
      <c r="E683">
        <v>19745</v>
      </c>
      <c r="F683">
        <v>10773</v>
      </c>
      <c r="G683">
        <v>76884</v>
      </c>
      <c r="H683">
        <v>221162</v>
      </c>
      <c r="I683">
        <v>149271</v>
      </c>
      <c r="J683">
        <v>162866</v>
      </c>
      <c r="K683">
        <v>65797</v>
      </c>
      <c r="L683">
        <v>226155</v>
      </c>
      <c r="M683">
        <v>63854</v>
      </c>
    </row>
    <row r="684" spans="1:13" x14ac:dyDescent="0.35">
      <c r="A684" s="120">
        <v>41974</v>
      </c>
      <c r="B684">
        <v>21320</v>
      </c>
      <c r="C684">
        <v>30051</v>
      </c>
      <c r="D684">
        <v>30990</v>
      </c>
      <c r="E684">
        <v>19890</v>
      </c>
      <c r="F684">
        <v>11055</v>
      </c>
      <c r="G684">
        <v>75614</v>
      </c>
      <c r="H684">
        <v>213860</v>
      </c>
      <c r="I684">
        <v>150221</v>
      </c>
      <c r="J684">
        <v>160616</v>
      </c>
      <c r="K684">
        <v>67092</v>
      </c>
      <c r="L684">
        <v>225835</v>
      </c>
      <c r="M684">
        <v>65875</v>
      </c>
    </row>
    <row r="685" spans="1:13" x14ac:dyDescent="0.35">
      <c r="A685" s="120">
        <v>42005</v>
      </c>
      <c r="B685">
        <v>20643</v>
      </c>
      <c r="C685">
        <v>28236</v>
      </c>
      <c r="D685">
        <v>31714</v>
      </c>
      <c r="E685">
        <v>19611</v>
      </c>
      <c r="F685">
        <v>10496</v>
      </c>
      <c r="G685">
        <v>76525</v>
      </c>
      <c r="H685">
        <v>211466</v>
      </c>
      <c r="I685">
        <v>147536</v>
      </c>
      <c r="J685">
        <v>161061</v>
      </c>
      <c r="K685">
        <v>65491</v>
      </c>
      <c r="L685">
        <v>224061</v>
      </c>
      <c r="M685">
        <v>64666</v>
      </c>
    </row>
    <row r="686" spans="1:13" x14ac:dyDescent="0.35">
      <c r="A686" s="120">
        <v>42036</v>
      </c>
      <c r="B686">
        <v>20216</v>
      </c>
      <c r="C686">
        <v>28254</v>
      </c>
      <c r="D686">
        <v>31395</v>
      </c>
      <c r="E686">
        <v>19500</v>
      </c>
      <c r="F686">
        <v>10690</v>
      </c>
      <c r="G686">
        <v>72526</v>
      </c>
      <c r="H686">
        <v>209406</v>
      </c>
      <c r="I686">
        <v>146440</v>
      </c>
      <c r="J686">
        <v>155869</v>
      </c>
      <c r="K686">
        <v>65735</v>
      </c>
      <c r="L686">
        <v>218966</v>
      </c>
      <c r="M686">
        <v>64257</v>
      </c>
    </row>
    <row r="687" spans="1:13" x14ac:dyDescent="0.35">
      <c r="A687" s="120">
        <v>42064</v>
      </c>
      <c r="B687">
        <v>19079</v>
      </c>
      <c r="C687">
        <v>28358</v>
      </c>
      <c r="D687">
        <v>31197</v>
      </c>
      <c r="E687">
        <v>21158</v>
      </c>
      <c r="F687">
        <v>10856</v>
      </c>
      <c r="G687">
        <v>80461</v>
      </c>
      <c r="H687">
        <v>217526</v>
      </c>
      <c r="I687">
        <v>147112</v>
      </c>
      <c r="J687">
        <v>161664</v>
      </c>
      <c r="K687">
        <v>66307</v>
      </c>
      <c r="L687">
        <v>227573</v>
      </c>
      <c r="M687">
        <v>64721</v>
      </c>
    </row>
    <row r="688" spans="1:13" x14ac:dyDescent="0.35">
      <c r="A688" s="120">
        <v>42095</v>
      </c>
      <c r="B688">
        <v>19341</v>
      </c>
      <c r="C688">
        <v>28043</v>
      </c>
      <c r="D688">
        <v>31040</v>
      </c>
      <c r="E688">
        <v>20550</v>
      </c>
      <c r="F688">
        <v>10775</v>
      </c>
      <c r="G688">
        <v>77746</v>
      </c>
      <c r="H688">
        <v>215883</v>
      </c>
      <c r="I688">
        <v>146593</v>
      </c>
      <c r="J688">
        <v>159682</v>
      </c>
      <c r="K688">
        <v>65722</v>
      </c>
      <c r="L688">
        <v>224339</v>
      </c>
      <c r="M688">
        <v>64152</v>
      </c>
    </row>
    <row r="689" spans="1:13" x14ac:dyDescent="0.35">
      <c r="A689" s="120">
        <v>42125</v>
      </c>
      <c r="B689">
        <v>19271</v>
      </c>
      <c r="C689">
        <v>28082</v>
      </c>
      <c r="D689">
        <v>30714</v>
      </c>
      <c r="E689">
        <v>20094</v>
      </c>
      <c r="F689">
        <v>10299</v>
      </c>
      <c r="G689">
        <v>72558</v>
      </c>
      <c r="H689">
        <v>204127</v>
      </c>
      <c r="I689">
        <v>144774</v>
      </c>
      <c r="J689">
        <v>152625</v>
      </c>
      <c r="K689">
        <v>64884</v>
      </c>
      <c r="L689">
        <v>217332</v>
      </c>
      <c r="M689">
        <v>62533</v>
      </c>
    </row>
    <row r="690" spans="1:13" x14ac:dyDescent="0.35">
      <c r="A690" s="120">
        <v>42156</v>
      </c>
      <c r="B690">
        <v>19256</v>
      </c>
      <c r="C690">
        <v>28774</v>
      </c>
      <c r="D690">
        <v>31321</v>
      </c>
      <c r="E690">
        <v>20834</v>
      </c>
      <c r="F690">
        <v>10653</v>
      </c>
      <c r="G690">
        <v>84951</v>
      </c>
      <c r="H690">
        <v>222452</v>
      </c>
      <c r="I690">
        <v>147815</v>
      </c>
      <c r="J690">
        <v>166657</v>
      </c>
      <c r="K690">
        <v>65496</v>
      </c>
      <c r="L690">
        <v>232766</v>
      </c>
      <c r="M690">
        <v>63930</v>
      </c>
    </row>
    <row r="691" spans="1:13" x14ac:dyDescent="0.35">
      <c r="A691" s="120">
        <v>42186</v>
      </c>
      <c r="B691">
        <v>17847</v>
      </c>
      <c r="C691">
        <v>28632</v>
      </c>
      <c r="D691">
        <v>30953</v>
      </c>
      <c r="E691">
        <v>20857</v>
      </c>
      <c r="F691">
        <v>10615</v>
      </c>
      <c r="G691">
        <v>84093</v>
      </c>
      <c r="H691">
        <v>216416</v>
      </c>
      <c r="I691">
        <v>146096</v>
      </c>
      <c r="J691">
        <v>163038</v>
      </c>
      <c r="K691">
        <v>64938</v>
      </c>
      <c r="L691">
        <v>230189</v>
      </c>
      <c r="M691">
        <v>63774</v>
      </c>
    </row>
    <row r="692" spans="1:13" x14ac:dyDescent="0.35">
      <c r="A692" s="120">
        <v>42217</v>
      </c>
      <c r="B692">
        <v>18300</v>
      </c>
      <c r="C692">
        <v>27775</v>
      </c>
      <c r="D692">
        <v>31791</v>
      </c>
      <c r="E692">
        <v>20550</v>
      </c>
      <c r="F692">
        <v>10552</v>
      </c>
      <c r="G692">
        <v>76454</v>
      </c>
      <c r="H692">
        <v>215447</v>
      </c>
      <c r="I692">
        <v>146193</v>
      </c>
      <c r="J692">
        <v>156470</v>
      </c>
      <c r="K692">
        <v>64879</v>
      </c>
      <c r="L692">
        <v>222647</v>
      </c>
      <c r="M692">
        <v>63370</v>
      </c>
    </row>
    <row r="693" spans="1:13" x14ac:dyDescent="0.35">
      <c r="A693" s="120">
        <v>42248</v>
      </c>
      <c r="B693">
        <v>18084</v>
      </c>
      <c r="C693">
        <v>28353</v>
      </c>
      <c r="D693">
        <v>31251</v>
      </c>
      <c r="E693">
        <v>20457</v>
      </c>
      <c r="F693">
        <v>10459</v>
      </c>
      <c r="G693">
        <v>72809</v>
      </c>
      <c r="H693">
        <v>209174</v>
      </c>
      <c r="I693">
        <v>145929</v>
      </c>
      <c r="J693">
        <v>151752</v>
      </c>
      <c r="K693">
        <v>64821</v>
      </c>
      <c r="L693">
        <v>218738</v>
      </c>
      <c r="M693">
        <v>63318</v>
      </c>
    </row>
    <row r="694" spans="1:13" x14ac:dyDescent="0.35">
      <c r="A694" s="120">
        <v>42278</v>
      </c>
      <c r="B694">
        <v>17862</v>
      </c>
      <c r="C694">
        <v>27557</v>
      </c>
      <c r="D694">
        <v>31235</v>
      </c>
      <c r="E694">
        <v>20227</v>
      </c>
      <c r="F694">
        <v>10206</v>
      </c>
      <c r="G694">
        <v>81614</v>
      </c>
      <c r="H694">
        <v>210661</v>
      </c>
      <c r="I694">
        <v>144418</v>
      </c>
      <c r="J694">
        <v>160554</v>
      </c>
      <c r="K694">
        <v>64110</v>
      </c>
      <c r="L694">
        <v>226032</v>
      </c>
      <c r="M694">
        <v>63051</v>
      </c>
    </row>
    <row r="695" spans="1:13" x14ac:dyDescent="0.35">
      <c r="A695" s="120">
        <v>42309</v>
      </c>
      <c r="B695">
        <v>17588</v>
      </c>
      <c r="C695">
        <v>27724</v>
      </c>
      <c r="D695">
        <v>30575</v>
      </c>
      <c r="E695">
        <v>20043</v>
      </c>
      <c r="F695">
        <v>10378</v>
      </c>
      <c r="G695">
        <v>79457</v>
      </c>
      <c r="H695">
        <v>212466</v>
      </c>
      <c r="I695">
        <v>143766</v>
      </c>
      <c r="J695">
        <v>156779</v>
      </c>
      <c r="K695">
        <v>63224</v>
      </c>
      <c r="L695">
        <v>223223</v>
      </c>
      <c r="M695">
        <v>62049</v>
      </c>
    </row>
    <row r="696" spans="1:13" x14ac:dyDescent="0.35">
      <c r="A696" s="120">
        <v>42339</v>
      </c>
      <c r="B696">
        <v>17240</v>
      </c>
      <c r="C696">
        <v>27858</v>
      </c>
      <c r="D696">
        <v>28354</v>
      </c>
      <c r="E696">
        <v>20481</v>
      </c>
      <c r="F696">
        <v>10539</v>
      </c>
      <c r="G696">
        <v>75599</v>
      </c>
      <c r="H696">
        <v>209769</v>
      </c>
      <c r="I696">
        <v>141875</v>
      </c>
      <c r="J696">
        <v>151640</v>
      </c>
      <c r="K696">
        <v>63244</v>
      </c>
      <c r="L696">
        <v>217474</v>
      </c>
      <c r="M696">
        <v>60165</v>
      </c>
    </row>
    <row r="697" spans="1:13" x14ac:dyDescent="0.35">
      <c r="A697" s="120">
        <v>42370</v>
      </c>
      <c r="B697">
        <v>17011</v>
      </c>
      <c r="C697">
        <v>28435</v>
      </c>
      <c r="D697">
        <v>29997</v>
      </c>
      <c r="E697">
        <v>20923</v>
      </c>
      <c r="F697">
        <v>10606</v>
      </c>
      <c r="G697">
        <v>82719</v>
      </c>
      <c r="H697">
        <v>212421</v>
      </c>
      <c r="I697">
        <v>144186</v>
      </c>
      <c r="J697">
        <v>160531</v>
      </c>
      <c r="K697">
        <v>62116</v>
      </c>
      <c r="L697">
        <v>226905</v>
      </c>
      <c r="M697">
        <v>61709</v>
      </c>
    </row>
    <row r="698" spans="1:13" x14ac:dyDescent="0.35">
      <c r="A698" s="120">
        <v>42401</v>
      </c>
      <c r="B698">
        <v>16639</v>
      </c>
      <c r="C698">
        <v>28134</v>
      </c>
      <c r="D698">
        <v>29290</v>
      </c>
      <c r="E698">
        <v>21269</v>
      </c>
      <c r="F698">
        <v>10196</v>
      </c>
      <c r="G698">
        <v>74774</v>
      </c>
      <c r="H698">
        <v>208470</v>
      </c>
      <c r="I698">
        <v>142597</v>
      </c>
      <c r="J698">
        <v>150402</v>
      </c>
      <c r="K698">
        <v>61521</v>
      </c>
      <c r="L698">
        <v>217371</v>
      </c>
      <c r="M698">
        <v>61077</v>
      </c>
    </row>
    <row r="699" spans="1:13" x14ac:dyDescent="0.35">
      <c r="A699" s="120">
        <v>42430</v>
      </c>
      <c r="B699">
        <v>16511</v>
      </c>
      <c r="C699">
        <v>27255</v>
      </c>
      <c r="D699">
        <v>28934</v>
      </c>
      <c r="E699">
        <v>21052</v>
      </c>
      <c r="F699">
        <v>9828</v>
      </c>
      <c r="G699">
        <v>75647</v>
      </c>
      <c r="H699">
        <v>201996</v>
      </c>
      <c r="I699">
        <v>141252</v>
      </c>
      <c r="J699">
        <v>151329</v>
      </c>
      <c r="K699">
        <v>61133</v>
      </c>
      <c r="L699">
        <v>216899</v>
      </c>
      <c r="M699">
        <v>60564</v>
      </c>
    </row>
    <row r="700" spans="1:13" x14ac:dyDescent="0.35">
      <c r="A700" s="120">
        <v>42461</v>
      </c>
      <c r="B700">
        <v>16638</v>
      </c>
      <c r="C700">
        <v>28268</v>
      </c>
      <c r="D700">
        <v>28675</v>
      </c>
      <c r="E700">
        <v>21719</v>
      </c>
      <c r="F700">
        <v>9959</v>
      </c>
      <c r="G700">
        <v>86087</v>
      </c>
      <c r="H700">
        <v>211258</v>
      </c>
      <c r="I700">
        <v>142498</v>
      </c>
      <c r="J700">
        <v>162910</v>
      </c>
      <c r="K700">
        <v>61671</v>
      </c>
      <c r="L700">
        <v>228585</v>
      </c>
      <c r="M700">
        <v>60970</v>
      </c>
    </row>
    <row r="701" spans="1:13" x14ac:dyDescent="0.35">
      <c r="A701" s="120">
        <v>42491</v>
      </c>
      <c r="B701">
        <v>16645</v>
      </c>
      <c r="C701">
        <v>28052</v>
      </c>
      <c r="D701">
        <v>28160</v>
      </c>
      <c r="E701">
        <v>21631</v>
      </c>
      <c r="F701">
        <v>9890</v>
      </c>
      <c r="G701">
        <v>80406</v>
      </c>
      <c r="H701">
        <v>211188</v>
      </c>
      <c r="I701">
        <v>141585</v>
      </c>
      <c r="J701">
        <v>157751</v>
      </c>
      <c r="K701">
        <v>61126</v>
      </c>
      <c r="L701">
        <v>221991</v>
      </c>
      <c r="M701">
        <v>59565</v>
      </c>
    </row>
    <row r="702" spans="1:13" x14ac:dyDescent="0.35">
      <c r="A702" s="120">
        <v>42522</v>
      </c>
      <c r="B702">
        <v>16323</v>
      </c>
      <c r="C702">
        <v>27601</v>
      </c>
      <c r="D702">
        <v>28238</v>
      </c>
      <c r="E702">
        <v>21515</v>
      </c>
      <c r="F702">
        <v>9890</v>
      </c>
      <c r="G702">
        <v>68834</v>
      </c>
      <c r="H702">
        <v>202807</v>
      </c>
      <c r="I702">
        <v>140522</v>
      </c>
      <c r="J702">
        <v>144277</v>
      </c>
      <c r="K702">
        <v>60609</v>
      </c>
      <c r="L702">
        <v>209356</v>
      </c>
      <c r="M702">
        <v>59505</v>
      </c>
    </row>
    <row r="703" spans="1:13" x14ac:dyDescent="0.35">
      <c r="A703" s="120">
        <v>42552</v>
      </c>
      <c r="B703">
        <v>16746</v>
      </c>
      <c r="C703">
        <v>27758</v>
      </c>
      <c r="D703">
        <v>28904</v>
      </c>
      <c r="E703">
        <v>21556</v>
      </c>
      <c r="F703">
        <v>10246</v>
      </c>
      <c r="G703">
        <v>76197</v>
      </c>
      <c r="H703">
        <v>204914</v>
      </c>
      <c r="I703">
        <v>141800</v>
      </c>
      <c r="J703">
        <v>153759</v>
      </c>
      <c r="K703">
        <v>59441</v>
      </c>
      <c r="L703">
        <v>217997</v>
      </c>
      <c r="M703">
        <v>59899</v>
      </c>
    </row>
    <row r="704" spans="1:13" x14ac:dyDescent="0.35">
      <c r="A704" s="120">
        <v>42583</v>
      </c>
      <c r="B704">
        <v>16654</v>
      </c>
      <c r="C704">
        <v>27540</v>
      </c>
      <c r="D704">
        <v>29462</v>
      </c>
      <c r="E704">
        <v>21449</v>
      </c>
      <c r="F704">
        <v>10082</v>
      </c>
      <c r="G704">
        <v>77102</v>
      </c>
      <c r="H704">
        <v>209179</v>
      </c>
      <c r="I704">
        <v>142038</v>
      </c>
      <c r="J704">
        <v>154680</v>
      </c>
      <c r="K704">
        <v>59905</v>
      </c>
      <c r="L704">
        <v>219140</v>
      </c>
      <c r="M704">
        <v>61743</v>
      </c>
    </row>
    <row r="705" spans="1:13" x14ac:dyDescent="0.35">
      <c r="A705" s="120">
        <v>42614</v>
      </c>
      <c r="B705">
        <v>16647</v>
      </c>
      <c r="C705">
        <v>27262</v>
      </c>
      <c r="D705">
        <v>28943</v>
      </c>
      <c r="E705">
        <v>21152</v>
      </c>
      <c r="F705">
        <v>10144</v>
      </c>
      <c r="G705">
        <v>75136</v>
      </c>
      <c r="H705">
        <v>201229</v>
      </c>
      <c r="I705">
        <v>140922</v>
      </c>
      <c r="J705">
        <v>151551</v>
      </c>
      <c r="K705">
        <v>59991</v>
      </c>
      <c r="L705">
        <v>216058</v>
      </c>
      <c r="M705">
        <v>59290</v>
      </c>
    </row>
    <row r="706" spans="1:13" x14ac:dyDescent="0.35">
      <c r="A706" s="120">
        <v>42644</v>
      </c>
      <c r="B706">
        <v>16783</v>
      </c>
      <c r="C706">
        <v>28280</v>
      </c>
      <c r="D706">
        <v>28991</v>
      </c>
      <c r="E706">
        <v>20980</v>
      </c>
      <c r="F706">
        <v>10113</v>
      </c>
      <c r="G706">
        <v>92159</v>
      </c>
      <c r="H706">
        <v>225358</v>
      </c>
      <c r="I706">
        <v>142058</v>
      </c>
      <c r="J706">
        <v>170179</v>
      </c>
      <c r="K706">
        <v>59411</v>
      </c>
      <c r="L706">
        <v>234217</v>
      </c>
      <c r="M706">
        <v>59413</v>
      </c>
    </row>
    <row r="707" spans="1:13" x14ac:dyDescent="0.35">
      <c r="A707" s="120">
        <v>42675</v>
      </c>
      <c r="B707">
        <v>17302</v>
      </c>
      <c r="C707">
        <v>28236</v>
      </c>
      <c r="D707">
        <v>28877</v>
      </c>
      <c r="E707">
        <v>20797</v>
      </c>
      <c r="F707">
        <v>10277</v>
      </c>
      <c r="G707">
        <v>74289</v>
      </c>
      <c r="H707">
        <v>202565</v>
      </c>
      <c r="I707">
        <v>142414</v>
      </c>
      <c r="J707">
        <v>153082</v>
      </c>
      <c r="K707">
        <v>59487</v>
      </c>
      <c r="L707">
        <v>216703</v>
      </c>
      <c r="M707">
        <v>59262</v>
      </c>
    </row>
    <row r="708" spans="1:13" x14ac:dyDescent="0.35">
      <c r="A708" s="120">
        <v>42705</v>
      </c>
      <c r="B708">
        <v>17445</v>
      </c>
      <c r="C708">
        <v>27438</v>
      </c>
      <c r="D708">
        <v>28893</v>
      </c>
      <c r="E708">
        <v>21338</v>
      </c>
      <c r="F708">
        <v>10577</v>
      </c>
      <c r="G708">
        <v>75917</v>
      </c>
      <c r="H708">
        <v>201103</v>
      </c>
      <c r="I708">
        <v>142533</v>
      </c>
      <c r="J708">
        <v>153879</v>
      </c>
      <c r="K708">
        <v>60013</v>
      </c>
      <c r="L708">
        <v>218450</v>
      </c>
      <c r="M708">
        <v>59355</v>
      </c>
    </row>
    <row r="709" spans="1:13" x14ac:dyDescent="0.35">
      <c r="A709" s="120">
        <v>42736</v>
      </c>
      <c r="B709">
        <v>17785</v>
      </c>
      <c r="C709">
        <v>28057</v>
      </c>
      <c r="D709">
        <v>29753</v>
      </c>
      <c r="E709">
        <v>21297</v>
      </c>
      <c r="F709">
        <v>10584</v>
      </c>
      <c r="G709">
        <v>72833</v>
      </c>
      <c r="H709">
        <v>206243</v>
      </c>
      <c r="I709">
        <v>145178</v>
      </c>
      <c r="J709">
        <v>153356</v>
      </c>
      <c r="K709">
        <v>59778</v>
      </c>
      <c r="L709">
        <v>218011</v>
      </c>
      <c r="M709">
        <v>60689</v>
      </c>
    </row>
    <row r="710" spans="1:13" x14ac:dyDescent="0.35">
      <c r="A710" s="120">
        <v>42767</v>
      </c>
      <c r="B710">
        <v>18209</v>
      </c>
      <c r="C710">
        <v>27454</v>
      </c>
      <c r="D710">
        <v>29511</v>
      </c>
      <c r="E710">
        <v>21660</v>
      </c>
      <c r="F710">
        <v>10550</v>
      </c>
      <c r="G710">
        <v>76601</v>
      </c>
      <c r="H710">
        <v>210003</v>
      </c>
      <c r="I710">
        <v>145214</v>
      </c>
      <c r="J710">
        <v>157903</v>
      </c>
      <c r="K710">
        <v>59987</v>
      </c>
      <c r="L710">
        <v>221815</v>
      </c>
      <c r="M710">
        <v>60752</v>
      </c>
    </row>
    <row r="711" spans="1:13" x14ac:dyDescent="0.35">
      <c r="A711" s="120">
        <v>42795</v>
      </c>
      <c r="B711">
        <v>18314</v>
      </c>
      <c r="C711">
        <v>29044</v>
      </c>
      <c r="D711">
        <v>30307</v>
      </c>
      <c r="E711">
        <v>21015</v>
      </c>
      <c r="F711">
        <v>10590</v>
      </c>
      <c r="G711">
        <v>75141</v>
      </c>
      <c r="H711">
        <v>210478</v>
      </c>
      <c r="I711">
        <v>146824</v>
      </c>
      <c r="J711">
        <v>158150</v>
      </c>
      <c r="K711">
        <v>60681</v>
      </c>
      <c r="L711">
        <v>221965</v>
      </c>
      <c r="M711">
        <v>61176</v>
      </c>
    </row>
    <row r="712" spans="1:13" x14ac:dyDescent="0.35">
      <c r="A712" s="120">
        <v>42826</v>
      </c>
      <c r="B712">
        <v>18370</v>
      </c>
      <c r="C712">
        <v>28180</v>
      </c>
      <c r="D712">
        <v>30463</v>
      </c>
      <c r="E712">
        <v>21311</v>
      </c>
      <c r="F712">
        <v>10322</v>
      </c>
      <c r="G712">
        <v>75845</v>
      </c>
      <c r="H712">
        <v>211179</v>
      </c>
      <c r="I712">
        <v>146180</v>
      </c>
      <c r="J712">
        <v>159159</v>
      </c>
      <c r="K712">
        <v>60445</v>
      </c>
      <c r="L712">
        <v>222025</v>
      </c>
      <c r="M712">
        <v>61339</v>
      </c>
    </row>
    <row r="713" spans="1:13" x14ac:dyDescent="0.35">
      <c r="A713" s="120">
        <v>42856</v>
      </c>
      <c r="B713">
        <v>18455</v>
      </c>
      <c r="C713">
        <v>28710</v>
      </c>
      <c r="D713">
        <v>30809</v>
      </c>
      <c r="E713">
        <v>21260</v>
      </c>
      <c r="F713">
        <v>10524</v>
      </c>
      <c r="G713">
        <v>75022</v>
      </c>
      <c r="H713">
        <v>209836</v>
      </c>
      <c r="I713">
        <v>147376</v>
      </c>
      <c r="J713">
        <v>157793</v>
      </c>
      <c r="K713">
        <v>61109</v>
      </c>
      <c r="L713">
        <v>222398</v>
      </c>
      <c r="M713">
        <v>61398</v>
      </c>
    </row>
    <row r="714" spans="1:13" x14ac:dyDescent="0.35">
      <c r="A714" s="120">
        <v>42887</v>
      </c>
      <c r="B714">
        <v>18416</v>
      </c>
      <c r="C714">
        <v>28506</v>
      </c>
      <c r="D714">
        <v>30402</v>
      </c>
      <c r="E714">
        <v>20951</v>
      </c>
      <c r="F714">
        <v>10039</v>
      </c>
      <c r="G714">
        <v>92514</v>
      </c>
      <c r="H714">
        <v>226112</v>
      </c>
      <c r="I714">
        <v>145833</v>
      </c>
      <c r="J714">
        <v>174423</v>
      </c>
      <c r="K714">
        <v>60720</v>
      </c>
      <c r="L714">
        <v>238347</v>
      </c>
      <c r="M714">
        <v>60227</v>
      </c>
    </row>
    <row r="715" spans="1:13" x14ac:dyDescent="0.35">
      <c r="A715" s="120">
        <v>42917</v>
      </c>
      <c r="B715">
        <v>18833</v>
      </c>
      <c r="C715">
        <v>28800</v>
      </c>
      <c r="D715">
        <v>30500</v>
      </c>
      <c r="E715">
        <v>21871</v>
      </c>
      <c r="F715">
        <v>10014</v>
      </c>
      <c r="G715">
        <v>71135</v>
      </c>
      <c r="H715">
        <v>208934</v>
      </c>
      <c r="I715">
        <v>147843</v>
      </c>
      <c r="J715">
        <v>156286</v>
      </c>
      <c r="K715">
        <v>60854</v>
      </c>
      <c r="L715">
        <v>218978</v>
      </c>
      <c r="M715">
        <v>61403</v>
      </c>
    </row>
    <row r="716" spans="1:13" x14ac:dyDescent="0.35">
      <c r="A716" s="120">
        <v>42948</v>
      </c>
      <c r="B716">
        <v>19416</v>
      </c>
      <c r="C716">
        <v>29060</v>
      </c>
      <c r="D716">
        <v>30449</v>
      </c>
      <c r="E716">
        <v>21755</v>
      </c>
      <c r="F716">
        <v>10290</v>
      </c>
      <c r="G716">
        <v>74748</v>
      </c>
      <c r="H716">
        <v>211561</v>
      </c>
      <c r="I716">
        <v>148854</v>
      </c>
      <c r="J716">
        <v>159269</v>
      </c>
      <c r="K716">
        <v>61707</v>
      </c>
      <c r="L716">
        <v>223602</v>
      </c>
      <c r="M716">
        <v>61643</v>
      </c>
    </row>
    <row r="717" spans="1:13" x14ac:dyDescent="0.35">
      <c r="A717" s="120">
        <v>42979</v>
      </c>
      <c r="B717">
        <v>18611</v>
      </c>
      <c r="C717">
        <v>29718</v>
      </c>
      <c r="D717">
        <v>30739</v>
      </c>
      <c r="E717">
        <v>22538</v>
      </c>
      <c r="F717">
        <v>10615</v>
      </c>
      <c r="G717">
        <v>77827</v>
      </c>
      <c r="H717">
        <v>214530</v>
      </c>
      <c r="I717">
        <v>150371</v>
      </c>
      <c r="J717">
        <v>164280</v>
      </c>
      <c r="K717">
        <v>62405</v>
      </c>
      <c r="L717">
        <v>228198</v>
      </c>
      <c r="M717">
        <v>63497</v>
      </c>
    </row>
    <row r="718" spans="1:13" x14ac:dyDescent="0.35">
      <c r="A718" s="120">
        <v>43009</v>
      </c>
      <c r="B718">
        <v>19797</v>
      </c>
      <c r="C718">
        <v>29627</v>
      </c>
      <c r="D718">
        <v>32125</v>
      </c>
      <c r="E718">
        <v>22284</v>
      </c>
      <c r="F718">
        <v>10630</v>
      </c>
      <c r="G718">
        <v>76611</v>
      </c>
      <c r="H718">
        <v>218187</v>
      </c>
      <c r="I718">
        <v>153146</v>
      </c>
      <c r="J718">
        <v>164181</v>
      </c>
      <c r="K718">
        <v>62741</v>
      </c>
      <c r="L718">
        <v>229757</v>
      </c>
      <c r="M718">
        <v>63980</v>
      </c>
    </row>
    <row r="719" spans="1:13" x14ac:dyDescent="0.35">
      <c r="A719" s="120">
        <v>43040</v>
      </c>
      <c r="B719">
        <v>19666</v>
      </c>
      <c r="C719">
        <v>30050</v>
      </c>
      <c r="D719">
        <v>30879</v>
      </c>
      <c r="E719">
        <v>22679</v>
      </c>
      <c r="F719">
        <v>10708</v>
      </c>
      <c r="G719">
        <v>76348</v>
      </c>
      <c r="H719">
        <v>223365</v>
      </c>
      <c r="I719">
        <v>153298</v>
      </c>
      <c r="J719">
        <v>163221</v>
      </c>
      <c r="K719">
        <v>63498</v>
      </c>
      <c r="L719">
        <v>229646</v>
      </c>
      <c r="M719">
        <v>63558</v>
      </c>
    </row>
    <row r="720" spans="1:13" x14ac:dyDescent="0.35">
      <c r="A720" s="120">
        <v>43070</v>
      </c>
      <c r="B720">
        <v>19760</v>
      </c>
      <c r="C720">
        <v>30336</v>
      </c>
      <c r="D720">
        <v>31951</v>
      </c>
      <c r="E720">
        <v>21932</v>
      </c>
      <c r="F720">
        <v>10759</v>
      </c>
      <c r="G720">
        <v>85563</v>
      </c>
      <c r="H720">
        <v>226348</v>
      </c>
      <c r="I720">
        <v>154340</v>
      </c>
      <c r="J720">
        <v>174213</v>
      </c>
      <c r="K720">
        <v>63977</v>
      </c>
      <c r="L720">
        <v>239903</v>
      </c>
      <c r="M720">
        <v>63745</v>
      </c>
    </row>
    <row r="721" spans="1:13" x14ac:dyDescent="0.35">
      <c r="A721" s="120">
        <v>43101</v>
      </c>
      <c r="B721">
        <v>19773</v>
      </c>
      <c r="C721">
        <v>31125</v>
      </c>
      <c r="D721">
        <v>32097</v>
      </c>
      <c r="E721">
        <v>21754</v>
      </c>
      <c r="F721">
        <v>10527</v>
      </c>
      <c r="G721">
        <v>71371</v>
      </c>
      <c r="H721">
        <v>215201</v>
      </c>
      <c r="I721">
        <v>154535</v>
      </c>
      <c r="J721">
        <v>159357</v>
      </c>
      <c r="K721">
        <v>63556</v>
      </c>
      <c r="L721">
        <v>225906</v>
      </c>
      <c r="M721">
        <v>63816</v>
      </c>
    </row>
    <row r="722" spans="1:13" x14ac:dyDescent="0.35">
      <c r="A722" s="120">
        <v>43132</v>
      </c>
      <c r="B722">
        <v>20456</v>
      </c>
      <c r="C722">
        <v>31427</v>
      </c>
      <c r="D722">
        <v>32983</v>
      </c>
      <c r="E722">
        <v>21881</v>
      </c>
      <c r="F722">
        <v>10779</v>
      </c>
      <c r="G722">
        <v>77056</v>
      </c>
      <c r="H722">
        <v>216508</v>
      </c>
      <c r="I722">
        <v>157084</v>
      </c>
      <c r="J722">
        <v>166790</v>
      </c>
      <c r="K722">
        <v>64012</v>
      </c>
      <c r="L722">
        <v>234140</v>
      </c>
      <c r="M722">
        <v>65257</v>
      </c>
    </row>
    <row r="723" spans="1:13" x14ac:dyDescent="0.35">
      <c r="A723" s="120">
        <v>43160</v>
      </c>
      <c r="B723">
        <v>20883</v>
      </c>
      <c r="C723">
        <v>32302</v>
      </c>
      <c r="D723">
        <v>32138</v>
      </c>
      <c r="E723">
        <v>21657</v>
      </c>
      <c r="F723">
        <v>10820</v>
      </c>
      <c r="G723">
        <v>85175</v>
      </c>
      <c r="H723">
        <v>228341</v>
      </c>
      <c r="I723">
        <v>157483</v>
      </c>
      <c r="J723">
        <v>175504</v>
      </c>
      <c r="K723">
        <v>63867</v>
      </c>
      <c r="L723">
        <v>242658</v>
      </c>
      <c r="M723">
        <v>64073</v>
      </c>
    </row>
    <row r="724" spans="1:13" x14ac:dyDescent="0.35">
      <c r="A724" s="120">
        <v>43191</v>
      </c>
      <c r="B724">
        <v>21693</v>
      </c>
      <c r="C724">
        <v>32525</v>
      </c>
      <c r="D724">
        <v>32717</v>
      </c>
      <c r="E724">
        <v>22149</v>
      </c>
      <c r="F724">
        <v>10909</v>
      </c>
      <c r="G724">
        <v>79501</v>
      </c>
      <c r="H724">
        <v>228749</v>
      </c>
      <c r="I724">
        <v>159991</v>
      </c>
      <c r="J724">
        <v>170410</v>
      </c>
      <c r="K724">
        <v>65011</v>
      </c>
      <c r="L724">
        <v>239492</v>
      </c>
      <c r="M724">
        <v>65444</v>
      </c>
    </row>
    <row r="725" spans="1:13" x14ac:dyDescent="0.35">
      <c r="A725" s="120">
        <v>43221</v>
      </c>
      <c r="B725">
        <v>21731</v>
      </c>
      <c r="C725">
        <v>32636</v>
      </c>
      <c r="D725">
        <v>33745</v>
      </c>
      <c r="E725">
        <v>22405</v>
      </c>
      <c r="F725">
        <v>10979</v>
      </c>
      <c r="G725">
        <v>79001</v>
      </c>
      <c r="H725">
        <v>226554</v>
      </c>
      <c r="I725">
        <v>161607</v>
      </c>
      <c r="J725">
        <v>174641</v>
      </c>
      <c r="K725">
        <v>65092</v>
      </c>
      <c r="L725">
        <v>240608</v>
      </c>
      <c r="M725">
        <v>66748</v>
      </c>
    </row>
    <row r="726" spans="1:13" x14ac:dyDescent="0.35">
      <c r="A726" s="120">
        <v>43252</v>
      </c>
      <c r="B726">
        <v>21585</v>
      </c>
      <c r="C726">
        <v>32698</v>
      </c>
      <c r="D726">
        <v>34015</v>
      </c>
      <c r="E726">
        <v>22443</v>
      </c>
      <c r="F726">
        <v>11076</v>
      </c>
      <c r="G726">
        <v>81343</v>
      </c>
      <c r="H726">
        <v>226427</v>
      </c>
      <c r="I726">
        <v>161931</v>
      </c>
      <c r="J726">
        <v>175588</v>
      </c>
      <c r="K726">
        <v>65980</v>
      </c>
      <c r="L726">
        <v>243274</v>
      </c>
      <c r="M726">
        <v>67678</v>
      </c>
    </row>
    <row r="727" spans="1:13" x14ac:dyDescent="0.35">
      <c r="A727" s="120">
        <v>43282</v>
      </c>
      <c r="B727">
        <v>21843</v>
      </c>
      <c r="C727">
        <v>32643</v>
      </c>
      <c r="D727">
        <v>34593</v>
      </c>
      <c r="E727">
        <v>22670</v>
      </c>
      <c r="F727">
        <v>11078</v>
      </c>
      <c r="G727">
        <v>71692</v>
      </c>
      <c r="H727">
        <v>222741</v>
      </c>
      <c r="I727">
        <v>162893</v>
      </c>
      <c r="J727">
        <v>165654</v>
      </c>
      <c r="K727">
        <v>66517</v>
      </c>
      <c r="L727">
        <v>234585</v>
      </c>
      <c r="M727">
        <v>68406</v>
      </c>
    </row>
    <row r="728" spans="1:13" x14ac:dyDescent="0.35">
      <c r="A728" s="120">
        <v>43313</v>
      </c>
      <c r="B728">
        <v>21486</v>
      </c>
      <c r="C728">
        <v>32294</v>
      </c>
      <c r="D728">
        <v>33695</v>
      </c>
      <c r="E728">
        <v>22403</v>
      </c>
      <c r="F728">
        <v>11178</v>
      </c>
      <c r="G728">
        <v>83286</v>
      </c>
      <c r="H728">
        <v>230514</v>
      </c>
      <c r="I728">
        <v>160822</v>
      </c>
      <c r="J728">
        <v>175671</v>
      </c>
      <c r="K728">
        <v>66126</v>
      </c>
      <c r="L728">
        <v>244108</v>
      </c>
      <c r="M728">
        <v>67270</v>
      </c>
    </row>
    <row r="729" spans="1:13" x14ac:dyDescent="0.35">
      <c r="A729" s="120">
        <v>43344</v>
      </c>
      <c r="B729">
        <v>21522</v>
      </c>
      <c r="C729">
        <v>31651</v>
      </c>
      <c r="D729">
        <v>34056</v>
      </c>
      <c r="E729">
        <v>22058</v>
      </c>
      <c r="F729">
        <v>10971</v>
      </c>
      <c r="G729">
        <v>84714</v>
      </c>
      <c r="H729">
        <v>225632</v>
      </c>
      <c r="I729">
        <v>160120</v>
      </c>
      <c r="J729">
        <v>176060</v>
      </c>
      <c r="K729">
        <v>65978</v>
      </c>
      <c r="L729">
        <v>244834</v>
      </c>
      <c r="M729">
        <v>67127</v>
      </c>
    </row>
    <row r="730" spans="1:13" x14ac:dyDescent="0.35">
      <c r="A730" s="120">
        <v>43374</v>
      </c>
      <c r="B730">
        <v>21524</v>
      </c>
      <c r="C730">
        <v>32024</v>
      </c>
      <c r="D730">
        <v>34780</v>
      </c>
      <c r="E730">
        <v>22841</v>
      </c>
      <c r="F730">
        <v>11184</v>
      </c>
      <c r="G730">
        <v>77729</v>
      </c>
      <c r="H730">
        <v>224668</v>
      </c>
      <c r="I730">
        <v>161994</v>
      </c>
      <c r="J730">
        <v>170432</v>
      </c>
      <c r="K730">
        <v>66450</v>
      </c>
      <c r="L730">
        <v>239723</v>
      </c>
      <c r="M730">
        <v>67931</v>
      </c>
    </row>
    <row r="731" spans="1:13" x14ac:dyDescent="0.35">
      <c r="A731" s="120">
        <v>43405</v>
      </c>
      <c r="B731">
        <v>21029</v>
      </c>
      <c r="C731">
        <v>32563</v>
      </c>
      <c r="D731">
        <v>31989</v>
      </c>
      <c r="E731">
        <v>22799</v>
      </c>
      <c r="F731">
        <v>10882</v>
      </c>
      <c r="G731">
        <v>73276</v>
      </c>
      <c r="H731">
        <v>214673</v>
      </c>
      <c r="I731">
        <v>158377</v>
      </c>
      <c r="J731">
        <v>163293</v>
      </c>
      <c r="K731">
        <v>65739</v>
      </c>
      <c r="L731">
        <v>231653</v>
      </c>
      <c r="M731">
        <v>65255</v>
      </c>
    </row>
    <row r="732" spans="1:13" x14ac:dyDescent="0.35">
      <c r="A732" s="120">
        <v>43435</v>
      </c>
      <c r="B732">
        <v>21491</v>
      </c>
      <c r="C732">
        <v>32491</v>
      </c>
      <c r="D732">
        <v>32879</v>
      </c>
      <c r="E732">
        <v>22696</v>
      </c>
      <c r="F732">
        <v>10761</v>
      </c>
      <c r="G732">
        <v>78859</v>
      </c>
      <c r="H732">
        <v>230978</v>
      </c>
      <c r="I732">
        <v>159589</v>
      </c>
      <c r="J732">
        <v>169731</v>
      </c>
      <c r="K732">
        <v>66066</v>
      </c>
      <c r="L732">
        <v>238448</v>
      </c>
      <c r="M732">
        <v>65773</v>
      </c>
    </row>
    <row r="733" spans="1:13" x14ac:dyDescent="0.35">
      <c r="A733" s="120">
        <v>43466</v>
      </c>
      <c r="B733">
        <v>19959</v>
      </c>
      <c r="C733">
        <v>32335</v>
      </c>
      <c r="D733">
        <v>34032</v>
      </c>
      <c r="E733">
        <v>22888</v>
      </c>
      <c r="F733">
        <v>11039</v>
      </c>
      <c r="G733">
        <v>69650</v>
      </c>
      <c r="H733">
        <v>239654</v>
      </c>
      <c r="I733">
        <v>159378</v>
      </c>
      <c r="J733">
        <v>160516</v>
      </c>
      <c r="K733">
        <v>65825</v>
      </c>
      <c r="L733">
        <v>229028</v>
      </c>
      <c r="M733">
        <v>67110</v>
      </c>
    </row>
    <row r="734" spans="1:13" x14ac:dyDescent="0.35">
      <c r="A734" s="120">
        <v>43497</v>
      </c>
      <c r="B734">
        <v>20725</v>
      </c>
      <c r="C734">
        <v>32420</v>
      </c>
      <c r="D734">
        <v>33242</v>
      </c>
      <c r="E734">
        <v>22732</v>
      </c>
      <c r="F734">
        <v>11011</v>
      </c>
      <c r="G734">
        <v>64136</v>
      </c>
      <c r="H734">
        <v>230943</v>
      </c>
      <c r="I734">
        <v>159319</v>
      </c>
      <c r="J734">
        <v>154698</v>
      </c>
      <c r="K734">
        <v>65952</v>
      </c>
      <c r="L734">
        <v>223455</v>
      </c>
      <c r="M734">
        <v>66772</v>
      </c>
    </row>
    <row r="735" spans="1:13" x14ac:dyDescent="0.35">
      <c r="A735" s="120">
        <v>43525</v>
      </c>
      <c r="B735">
        <v>20269</v>
      </c>
      <c r="C735">
        <v>31790</v>
      </c>
      <c r="D735">
        <v>33165</v>
      </c>
      <c r="E735">
        <v>23076</v>
      </c>
      <c r="F735">
        <v>11244</v>
      </c>
      <c r="G735">
        <v>74257</v>
      </c>
      <c r="H735">
        <v>239381</v>
      </c>
      <c r="I735">
        <v>158787</v>
      </c>
      <c r="J735">
        <v>164517</v>
      </c>
      <c r="K735">
        <v>65892</v>
      </c>
      <c r="L735">
        <v>233044</v>
      </c>
      <c r="M735">
        <v>67615</v>
      </c>
    </row>
    <row r="736" spans="1:13" x14ac:dyDescent="0.35">
      <c r="A736" s="120">
        <v>43556</v>
      </c>
      <c r="B736">
        <v>20308</v>
      </c>
      <c r="C736">
        <v>32339</v>
      </c>
      <c r="D736">
        <v>33273</v>
      </c>
      <c r="E736">
        <v>23425</v>
      </c>
      <c r="F736">
        <v>11249</v>
      </c>
      <c r="G736">
        <v>64243</v>
      </c>
      <c r="H736">
        <v>237159</v>
      </c>
      <c r="I736">
        <v>159686</v>
      </c>
      <c r="J736">
        <v>157216</v>
      </c>
      <c r="K736">
        <v>66315</v>
      </c>
      <c r="L736">
        <v>223929</v>
      </c>
      <c r="M736">
        <v>67038</v>
      </c>
    </row>
    <row r="737" spans="1:13" x14ac:dyDescent="0.35">
      <c r="A737" s="120">
        <v>43586</v>
      </c>
      <c r="B737">
        <v>19556</v>
      </c>
      <c r="C737">
        <v>32218</v>
      </c>
      <c r="D737">
        <v>33097</v>
      </c>
      <c r="E737">
        <v>23172</v>
      </c>
      <c r="F737">
        <v>11327</v>
      </c>
      <c r="G737">
        <v>58733</v>
      </c>
      <c r="H737">
        <v>225087</v>
      </c>
      <c r="I737">
        <v>158746</v>
      </c>
      <c r="J737">
        <v>149783</v>
      </c>
      <c r="K737">
        <v>66597</v>
      </c>
      <c r="L737">
        <v>217479</v>
      </c>
      <c r="M737">
        <v>66680</v>
      </c>
    </row>
    <row r="738" spans="1:13" x14ac:dyDescent="0.35">
      <c r="A738" s="120">
        <v>43617</v>
      </c>
      <c r="B738">
        <v>20157</v>
      </c>
      <c r="C738">
        <v>32670</v>
      </c>
      <c r="D738">
        <v>33181</v>
      </c>
      <c r="E738">
        <v>22952</v>
      </c>
      <c r="F738">
        <v>11444</v>
      </c>
      <c r="G738">
        <v>59741</v>
      </c>
      <c r="H738">
        <v>236096</v>
      </c>
      <c r="I738">
        <v>159812</v>
      </c>
      <c r="J738">
        <v>150374</v>
      </c>
      <c r="K738">
        <v>66297</v>
      </c>
      <c r="L738">
        <v>219553</v>
      </c>
      <c r="M738">
        <v>66243</v>
      </c>
    </row>
    <row r="739" spans="1:13" x14ac:dyDescent="0.35">
      <c r="A739" s="120">
        <v>43647</v>
      </c>
      <c r="B739">
        <v>19434</v>
      </c>
      <c r="C739">
        <v>32458</v>
      </c>
      <c r="D739">
        <v>32324</v>
      </c>
      <c r="E739">
        <v>22899</v>
      </c>
      <c r="F739">
        <v>11583</v>
      </c>
      <c r="G739">
        <v>67410</v>
      </c>
      <c r="H739">
        <v>236007</v>
      </c>
      <c r="I739">
        <v>157829</v>
      </c>
      <c r="J739">
        <v>157455</v>
      </c>
      <c r="K739">
        <v>65881</v>
      </c>
      <c r="L739">
        <v>225239</v>
      </c>
      <c r="M739">
        <v>65872</v>
      </c>
    </row>
    <row r="740" spans="1:13" x14ac:dyDescent="0.35">
      <c r="A740" s="120">
        <v>43678</v>
      </c>
      <c r="B740">
        <v>19402</v>
      </c>
      <c r="C740">
        <v>32597</v>
      </c>
      <c r="D740">
        <v>32661</v>
      </c>
      <c r="E740">
        <v>22607</v>
      </c>
      <c r="F740">
        <v>11297</v>
      </c>
      <c r="G740">
        <v>66936</v>
      </c>
      <c r="H740">
        <v>230663</v>
      </c>
      <c r="I740">
        <v>157610</v>
      </c>
      <c r="J740">
        <v>156670</v>
      </c>
      <c r="K740">
        <v>65847</v>
      </c>
      <c r="L740">
        <v>224546</v>
      </c>
      <c r="M740">
        <v>65829</v>
      </c>
    </row>
    <row r="741" spans="1:13" x14ac:dyDescent="0.35">
      <c r="A741" s="120">
        <v>43709</v>
      </c>
      <c r="B741">
        <v>19000</v>
      </c>
      <c r="C741">
        <v>31528</v>
      </c>
      <c r="D741">
        <v>32881</v>
      </c>
      <c r="E741">
        <v>22561</v>
      </c>
      <c r="F741">
        <v>11306</v>
      </c>
      <c r="G741">
        <v>65765</v>
      </c>
      <c r="H741">
        <v>228583</v>
      </c>
      <c r="I741">
        <v>156184</v>
      </c>
      <c r="J741">
        <v>154428</v>
      </c>
      <c r="K741">
        <v>65250</v>
      </c>
      <c r="L741">
        <v>221949</v>
      </c>
      <c r="M741">
        <v>65203</v>
      </c>
    </row>
    <row r="742" spans="1:13" x14ac:dyDescent="0.35">
      <c r="A742" s="120">
        <v>43739</v>
      </c>
      <c r="B742">
        <v>18609</v>
      </c>
      <c r="C742">
        <v>31956</v>
      </c>
      <c r="D742">
        <v>33049</v>
      </c>
      <c r="E742">
        <v>22249</v>
      </c>
      <c r="F742">
        <v>11091</v>
      </c>
      <c r="G742">
        <v>67217</v>
      </c>
      <c r="H742">
        <v>231646</v>
      </c>
      <c r="I742">
        <v>155758</v>
      </c>
      <c r="J742">
        <v>156626</v>
      </c>
      <c r="K742">
        <v>65403</v>
      </c>
      <c r="L742">
        <v>222975</v>
      </c>
      <c r="M742">
        <v>65207</v>
      </c>
    </row>
    <row r="743" spans="1:13" x14ac:dyDescent="0.35">
      <c r="A743" s="120">
        <v>43770</v>
      </c>
      <c r="B743">
        <v>18878</v>
      </c>
      <c r="C743">
        <v>32043</v>
      </c>
      <c r="D743">
        <v>32028</v>
      </c>
      <c r="E743">
        <v>21985</v>
      </c>
      <c r="F743">
        <v>11350</v>
      </c>
      <c r="G743">
        <v>58027</v>
      </c>
      <c r="H743">
        <v>223422</v>
      </c>
      <c r="I743">
        <v>154752</v>
      </c>
      <c r="J743">
        <v>147226</v>
      </c>
      <c r="K743">
        <v>65034</v>
      </c>
      <c r="L743">
        <v>212779</v>
      </c>
      <c r="M743">
        <v>63805</v>
      </c>
    </row>
    <row r="744" spans="1:13" x14ac:dyDescent="0.35">
      <c r="A744" s="120">
        <v>43800</v>
      </c>
      <c r="B744">
        <v>18382</v>
      </c>
      <c r="C744">
        <v>31281</v>
      </c>
      <c r="D744">
        <v>31161</v>
      </c>
      <c r="E744">
        <v>22114</v>
      </c>
      <c r="F744">
        <v>11331</v>
      </c>
      <c r="G744">
        <v>62816</v>
      </c>
      <c r="H744">
        <v>220138</v>
      </c>
      <c r="I744">
        <v>152508</v>
      </c>
      <c r="J744">
        <v>150665</v>
      </c>
      <c r="K744">
        <v>65223</v>
      </c>
      <c r="L744">
        <v>215324</v>
      </c>
      <c r="M744">
        <v>62950</v>
      </c>
    </row>
    <row r="745" spans="1:13" x14ac:dyDescent="0.35">
      <c r="A745" s="120">
        <v>43831</v>
      </c>
      <c r="B745">
        <v>17802</v>
      </c>
      <c r="C745">
        <v>30656</v>
      </c>
      <c r="D745">
        <v>31324</v>
      </c>
      <c r="E745">
        <v>21947</v>
      </c>
      <c r="F745">
        <v>11151</v>
      </c>
      <c r="G745">
        <v>74563</v>
      </c>
      <c r="H745">
        <v>216266</v>
      </c>
      <c r="I745">
        <v>150988</v>
      </c>
      <c r="J745">
        <v>161215</v>
      </c>
      <c r="K745">
        <v>65297</v>
      </c>
      <c r="L745">
        <v>225551</v>
      </c>
      <c r="M745">
        <v>62298</v>
      </c>
    </row>
    <row r="746" spans="1:13" x14ac:dyDescent="0.35">
      <c r="A746" s="120">
        <v>43862</v>
      </c>
      <c r="B746">
        <v>18239</v>
      </c>
      <c r="C746">
        <v>30209</v>
      </c>
      <c r="D746">
        <v>30624</v>
      </c>
      <c r="E746">
        <v>21817</v>
      </c>
      <c r="F746">
        <v>11238</v>
      </c>
      <c r="G746">
        <v>81387</v>
      </c>
      <c r="H746">
        <v>214429</v>
      </c>
      <c r="I746">
        <v>150101</v>
      </c>
      <c r="J746">
        <v>165264</v>
      </c>
      <c r="K746">
        <v>64967</v>
      </c>
      <c r="L746">
        <v>231488</v>
      </c>
      <c r="M746">
        <v>61245</v>
      </c>
    </row>
    <row r="747" spans="1:13" x14ac:dyDescent="0.35">
      <c r="A747" s="120">
        <v>43891</v>
      </c>
      <c r="B747">
        <v>16278</v>
      </c>
      <c r="C747">
        <v>28432</v>
      </c>
      <c r="D747">
        <v>30522</v>
      </c>
      <c r="E747">
        <v>21641</v>
      </c>
      <c r="F747">
        <v>11463</v>
      </c>
      <c r="G747">
        <v>54120</v>
      </c>
      <c r="H747">
        <v>166862</v>
      </c>
      <c r="I747">
        <v>145999</v>
      </c>
      <c r="J747">
        <v>143089</v>
      </c>
      <c r="K747">
        <v>64064</v>
      </c>
      <c r="L747">
        <v>200119</v>
      </c>
      <c r="M747">
        <v>60715</v>
      </c>
    </row>
    <row r="748" spans="1:13" x14ac:dyDescent="0.35">
      <c r="A748" s="120">
        <v>43922</v>
      </c>
      <c r="B748">
        <v>13624</v>
      </c>
      <c r="C748">
        <v>24370</v>
      </c>
      <c r="D748">
        <v>27186</v>
      </c>
      <c r="E748">
        <v>21522</v>
      </c>
      <c r="F748">
        <v>10051</v>
      </c>
      <c r="G748">
        <v>27326</v>
      </c>
      <c r="H748">
        <v>149372</v>
      </c>
      <c r="I748">
        <v>131804</v>
      </c>
      <c r="J748">
        <v>120811</v>
      </c>
      <c r="K748">
        <v>59402</v>
      </c>
      <c r="L748">
        <v>159130</v>
      </c>
      <c r="M748">
        <v>55545</v>
      </c>
    </row>
    <row r="749" spans="1:13" x14ac:dyDescent="0.35">
      <c r="A749" s="120">
        <v>43952</v>
      </c>
      <c r="B749">
        <v>14523</v>
      </c>
      <c r="C749">
        <v>25987</v>
      </c>
      <c r="D749">
        <v>28015</v>
      </c>
      <c r="E749">
        <v>21374</v>
      </c>
      <c r="F749">
        <v>10303</v>
      </c>
      <c r="G749">
        <v>42928</v>
      </c>
      <c r="H749">
        <v>166186</v>
      </c>
      <c r="I749">
        <v>136456</v>
      </c>
      <c r="J749">
        <v>136257</v>
      </c>
      <c r="K749">
        <v>60874</v>
      </c>
      <c r="L749">
        <v>179384</v>
      </c>
      <c r="M749">
        <v>56463</v>
      </c>
    </row>
    <row r="750" spans="1:13" x14ac:dyDescent="0.35">
      <c r="A750" s="120">
        <v>43983</v>
      </c>
      <c r="B750">
        <v>15668</v>
      </c>
      <c r="C750">
        <v>28472</v>
      </c>
      <c r="D750">
        <v>29131</v>
      </c>
      <c r="E750">
        <v>21599</v>
      </c>
      <c r="F750">
        <v>10430</v>
      </c>
      <c r="G750">
        <v>55267</v>
      </c>
      <c r="H750">
        <v>187472</v>
      </c>
      <c r="I750">
        <v>143507</v>
      </c>
      <c r="J750">
        <v>135460</v>
      </c>
      <c r="K750">
        <v>63672</v>
      </c>
      <c r="L750">
        <v>198774</v>
      </c>
      <c r="M750">
        <v>58548</v>
      </c>
    </row>
    <row r="751" spans="1:13" x14ac:dyDescent="0.35">
      <c r="A751" s="120">
        <v>44013</v>
      </c>
      <c r="B751">
        <v>15569</v>
      </c>
      <c r="C751">
        <v>29659</v>
      </c>
      <c r="D751">
        <v>29808</v>
      </c>
      <c r="E751">
        <v>21918</v>
      </c>
      <c r="F751">
        <v>11210</v>
      </c>
      <c r="G751">
        <v>70460</v>
      </c>
      <c r="H751">
        <v>205339</v>
      </c>
      <c r="I751">
        <v>147581</v>
      </c>
      <c r="J751">
        <v>145739</v>
      </c>
      <c r="K751">
        <v>65681</v>
      </c>
      <c r="L751">
        <v>218041</v>
      </c>
      <c r="M751">
        <v>60095</v>
      </c>
    </row>
    <row r="752" spans="1:13" x14ac:dyDescent="0.35">
      <c r="A752" s="120">
        <v>44044</v>
      </c>
      <c r="B752">
        <v>16712</v>
      </c>
      <c r="C752">
        <v>29300</v>
      </c>
      <c r="D752">
        <v>30191</v>
      </c>
      <c r="E752">
        <v>22021</v>
      </c>
      <c r="F752">
        <v>11046</v>
      </c>
      <c r="G752">
        <v>71916</v>
      </c>
      <c r="H752">
        <v>210181</v>
      </c>
      <c r="I752">
        <v>149170</v>
      </c>
      <c r="J752">
        <v>149382</v>
      </c>
      <c r="K752">
        <v>67055</v>
      </c>
      <c r="L752">
        <v>221086</v>
      </c>
      <c r="M752">
        <v>60687</v>
      </c>
    </row>
    <row r="753" spans="1:13" x14ac:dyDescent="0.35">
      <c r="A753" s="120">
        <v>44075</v>
      </c>
      <c r="B753">
        <v>17164</v>
      </c>
      <c r="C753">
        <v>31043</v>
      </c>
      <c r="D753">
        <v>30863</v>
      </c>
      <c r="E753">
        <v>22111</v>
      </c>
      <c r="F753">
        <v>11284</v>
      </c>
      <c r="G753">
        <v>72869</v>
      </c>
      <c r="H753">
        <v>215572</v>
      </c>
      <c r="I753">
        <v>152724</v>
      </c>
      <c r="J753">
        <v>152915</v>
      </c>
      <c r="K753">
        <v>67319</v>
      </c>
      <c r="L753">
        <v>225593</v>
      </c>
      <c r="M753">
        <v>62159</v>
      </c>
    </row>
    <row r="754" spans="1:13" x14ac:dyDescent="0.35">
      <c r="A754" s="120">
        <v>44105</v>
      </c>
      <c r="B754">
        <v>17354</v>
      </c>
      <c r="C754">
        <v>30927</v>
      </c>
      <c r="D754">
        <v>31082</v>
      </c>
      <c r="E754">
        <v>22950</v>
      </c>
      <c r="F754">
        <v>11227</v>
      </c>
      <c r="G754">
        <v>75535</v>
      </c>
      <c r="H754">
        <v>215790</v>
      </c>
      <c r="I754">
        <v>154200</v>
      </c>
      <c r="J754">
        <v>157980</v>
      </c>
      <c r="K754">
        <v>68790</v>
      </c>
      <c r="L754">
        <v>229735</v>
      </c>
      <c r="M754">
        <v>62801</v>
      </c>
    </row>
    <row r="755" spans="1:13" x14ac:dyDescent="0.35">
      <c r="A755" s="120">
        <v>44136</v>
      </c>
      <c r="B755">
        <v>17897</v>
      </c>
      <c r="C755">
        <v>30962</v>
      </c>
      <c r="D755">
        <v>31006</v>
      </c>
      <c r="E755">
        <v>22765</v>
      </c>
      <c r="F755">
        <v>11507</v>
      </c>
      <c r="G755">
        <v>73303</v>
      </c>
      <c r="H755">
        <v>220355</v>
      </c>
      <c r="I755">
        <v>155167</v>
      </c>
      <c r="J755">
        <v>155771</v>
      </c>
      <c r="K755">
        <v>69601</v>
      </c>
      <c r="L755">
        <v>228470</v>
      </c>
      <c r="M755">
        <v>62967</v>
      </c>
    </row>
    <row r="756" spans="1:13" x14ac:dyDescent="0.35">
      <c r="A756" s="120">
        <v>44166</v>
      </c>
      <c r="B756">
        <v>18544</v>
      </c>
      <c r="C756">
        <v>31867</v>
      </c>
      <c r="D756">
        <v>32511</v>
      </c>
      <c r="E756">
        <v>22660</v>
      </c>
      <c r="F756">
        <v>12026</v>
      </c>
      <c r="G756">
        <v>72368</v>
      </c>
      <c r="H756">
        <v>226260</v>
      </c>
      <c r="I756">
        <v>159092</v>
      </c>
      <c r="J756">
        <v>158387</v>
      </c>
      <c r="K756">
        <v>70042</v>
      </c>
      <c r="L756">
        <v>231460</v>
      </c>
      <c r="M756">
        <v>63944</v>
      </c>
    </row>
    <row r="757" spans="1:13" x14ac:dyDescent="0.35">
      <c r="A757" s="120">
        <v>44197</v>
      </c>
      <c r="B757">
        <v>18908</v>
      </c>
      <c r="C757">
        <v>33041</v>
      </c>
      <c r="D757">
        <v>31999</v>
      </c>
      <c r="E757">
        <v>22652</v>
      </c>
      <c r="F757">
        <v>12121</v>
      </c>
      <c r="G757">
        <v>76361</v>
      </c>
      <c r="H757">
        <v>227501</v>
      </c>
      <c r="I757">
        <v>160923</v>
      </c>
      <c r="J757">
        <v>163476</v>
      </c>
      <c r="K757">
        <v>71414</v>
      </c>
      <c r="L757">
        <v>237284</v>
      </c>
      <c r="M757">
        <v>64750</v>
      </c>
    </row>
    <row r="758" spans="1:13" x14ac:dyDescent="0.35">
      <c r="A758" s="120">
        <v>44228</v>
      </c>
      <c r="B758">
        <v>19094</v>
      </c>
      <c r="C758">
        <v>33479</v>
      </c>
      <c r="D758">
        <v>32339</v>
      </c>
      <c r="E758">
        <v>22483</v>
      </c>
      <c r="F758">
        <v>12367</v>
      </c>
      <c r="G758">
        <v>76440</v>
      </c>
      <c r="H758">
        <v>230452</v>
      </c>
      <c r="I758">
        <v>161039</v>
      </c>
      <c r="J758">
        <v>167920</v>
      </c>
      <c r="K758">
        <v>70785</v>
      </c>
      <c r="L758">
        <v>237479</v>
      </c>
      <c r="M758">
        <v>64562</v>
      </c>
    </row>
    <row r="759" spans="1:13" x14ac:dyDescent="0.35">
      <c r="A759" s="120">
        <v>44256</v>
      </c>
      <c r="B759">
        <v>17215</v>
      </c>
      <c r="C759">
        <v>35343</v>
      </c>
      <c r="D759">
        <v>33661</v>
      </c>
      <c r="E759">
        <v>22558</v>
      </c>
      <c r="F759">
        <v>11992</v>
      </c>
      <c r="G759">
        <v>78011</v>
      </c>
      <c r="H759">
        <v>235711</v>
      </c>
      <c r="I759">
        <v>163381</v>
      </c>
      <c r="J759">
        <v>170436</v>
      </c>
      <c r="K759">
        <v>71883</v>
      </c>
      <c r="L759">
        <v>241392</v>
      </c>
      <c r="M759">
        <v>65886</v>
      </c>
    </row>
    <row r="760" spans="1:13" x14ac:dyDescent="0.35">
      <c r="A760" s="120">
        <v>44287</v>
      </c>
      <c r="B760">
        <v>17812</v>
      </c>
      <c r="C760">
        <v>35926</v>
      </c>
      <c r="D760">
        <v>34346</v>
      </c>
      <c r="E760">
        <v>22775</v>
      </c>
      <c r="F760">
        <v>12153</v>
      </c>
      <c r="G760">
        <v>70523</v>
      </c>
      <c r="H760">
        <v>236886</v>
      </c>
      <c r="I760">
        <v>166043</v>
      </c>
      <c r="J760">
        <v>169097</v>
      </c>
      <c r="K760">
        <v>72559</v>
      </c>
      <c r="L760">
        <v>236566</v>
      </c>
      <c r="M760">
        <v>67955</v>
      </c>
    </row>
    <row r="761" spans="1:13" x14ac:dyDescent="0.35">
      <c r="A761" s="120">
        <v>44317</v>
      </c>
      <c r="B761">
        <v>19048</v>
      </c>
      <c r="C761">
        <v>34072</v>
      </c>
      <c r="D761">
        <v>34548</v>
      </c>
      <c r="E761">
        <v>22546</v>
      </c>
      <c r="F761">
        <v>12532</v>
      </c>
      <c r="G761">
        <v>75335</v>
      </c>
      <c r="H761">
        <v>243568</v>
      </c>
      <c r="I761">
        <v>166210</v>
      </c>
      <c r="J761">
        <v>171996</v>
      </c>
      <c r="K761">
        <v>73260</v>
      </c>
      <c r="L761">
        <v>241545</v>
      </c>
      <c r="M761">
        <v>66882</v>
      </c>
    </row>
    <row r="762" spans="1:13" x14ac:dyDescent="0.35">
      <c r="A762" s="120">
        <v>44348</v>
      </c>
      <c r="B762">
        <v>19083</v>
      </c>
      <c r="C762">
        <v>34768</v>
      </c>
      <c r="D762">
        <v>34954</v>
      </c>
      <c r="E762">
        <v>22791</v>
      </c>
      <c r="F762">
        <v>12751</v>
      </c>
      <c r="G762">
        <v>77990</v>
      </c>
      <c r="H762">
        <v>245971</v>
      </c>
      <c r="I762">
        <v>167836</v>
      </c>
      <c r="J762">
        <v>176392</v>
      </c>
      <c r="K762">
        <v>73732</v>
      </c>
      <c r="L762">
        <v>245826</v>
      </c>
      <c r="M762">
        <v>68158</v>
      </c>
    </row>
    <row r="763" spans="1:13" x14ac:dyDescent="0.35">
      <c r="A763" s="120">
        <v>44378</v>
      </c>
      <c r="B763">
        <v>19778</v>
      </c>
      <c r="C763">
        <v>34185</v>
      </c>
      <c r="D763">
        <v>36029</v>
      </c>
      <c r="E763">
        <v>22720</v>
      </c>
      <c r="F763">
        <v>12493</v>
      </c>
      <c r="G763">
        <v>78213</v>
      </c>
      <c r="H763">
        <v>244787</v>
      </c>
      <c r="I763">
        <v>168528</v>
      </c>
      <c r="J763">
        <v>174579</v>
      </c>
      <c r="K763">
        <v>74393</v>
      </c>
      <c r="L763">
        <v>246741</v>
      </c>
      <c r="M763">
        <v>68660</v>
      </c>
    </row>
    <row r="764" spans="1:13" x14ac:dyDescent="0.35">
      <c r="A764" s="120">
        <v>44409</v>
      </c>
      <c r="B764">
        <v>19502</v>
      </c>
      <c r="C764">
        <v>35620</v>
      </c>
      <c r="D764">
        <v>36105</v>
      </c>
      <c r="E764">
        <v>23271</v>
      </c>
      <c r="F764">
        <v>12732</v>
      </c>
      <c r="G764">
        <v>80220</v>
      </c>
      <c r="H764">
        <v>250697</v>
      </c>
      <c r="I764">
        <v>170357</v>
      </c>
      <c r="J764">
        <v>179913</v>
      </c>
      <c r="K764">
        <v>74956</v>
      </c>
      <c r="L764">
        <v>250577</v>
      </c>
      <c r="M764">
        <v>69530</v>
      </c>
    </row>
    <row r="765" spans="1:13" x14ac:dyDescent="0.35">
      <c r="A765" s="120">
        <v>44440</v>
      </c>
      <c r="B765">
        <v>19441</v>
      </c>
      <c r="C765">
        <v>35821</v>
      </c>
      <c r="D765">
        <v>36108</v>
      </c>
      <c r="E765">
        <v>22970</v>
      </c>
      <c r="F765">
        <v>12871</v>
      </c>
      <c r="G765">
        <v>76223</v>
      </c>
      <c r="I765">
        <v>170626</v>
      </c>
      <c r="J765">
        <v>177267</v>
      </c>
      <c r="L765">
        <v>246849</v>
      </c>
      <c r="M765">
        <v>69298</v>
      </c>
    </row>
    <row r="766" spans="1:13" x14ac:dyDescent="0.35">
      <c r="A766" s="120">
        <v>44470</v>
      </c>
      <c r="B766">
        <v>19823</v>
      </c>
      <c r="C766">
        <v>35491</v>
      </c>
      <c r="D766">
        <v>36711</v>
      </c>
      <c r="E766">
        <v>22931</v>
      </c>
      <c r="F766">
        <v>12931</v>
      </c>
      <c r="G766">
        <v>79361</v>
      </c>
      <c r="I766">
        <v>171142</v>
      </c>
      <c r="J766">
        <v>178531</v>
      </c>
      <c r="L766">
        <v>250503</v>
      </c>
      <c r="M766">
        <v>70632</v>
      </c>
    </row>
    <row r="767" spans="1:13" x14ac:dyDescent="0.35">
      <c r="A767" s="120">
        <v>44501</v>
      </c>
      <c r="B767">
        <v>19634</v>
      </c>
      <c r="C767">
        <v>35429</v>
      </c>
      <c r="D767">
        <v>37145</v>
      </c>
      <c r="E767">
        <v>23936</v>
      </c>
      <c r="F767">
        <v>13120</v>
      </c>
      <c r="G767">
        <v>80645</v>
      </c>
      <c r="I767">
        <v>173429</v>
      </c>
      <c r="J767">
        <v>180712</v>
      </c>
      <c r="L767">
        <v>254074</v>
      </c>
      <c r="M767">
        <v>71135</v>
      </c>
    </row>
    <row r="768" spans="1:13" x14ac:dyDescent="0.35">
      <c r="A768" s="120">
        <v>44531</v>
      </c>
      <c r="B768">
        <v>20083</v>
      </c>
      <c r="C768">
        <v>36782</v>
      </c>
      <c r="D768">
        <v>36707</v>
      </c>
      <c r="E768">
        <v>23611</v>
      </c>
      <c r="F768">
        <v>13251</v>
      </c>
      <c r="G768">
        <v>81378</v>
      </c>
      <c r="I768">
        <v>175086</v>
      </c>
      <c r="J768">
        <v>181268</v>
      </c>
      <c r="L768">
        <v>256464</v>
      </c>
      <c r="M768">
        <v>71199</v>
      </c>
    </row>
    <row r="769" spans="1:13" x14ac:dyDescent="0.35">
      <c r="A769" s="120">
        <v>44562</v>
      </c>
      <c r="B769">
        <v>20519</v>
      </c>
      <c r="C769">
        <v>36442</v>
      </c>
      <c r="D769">
        <v>37908</v>
      </c>
      <c r="E769">
        <v>23746</v>
      </c>
      <c r="F769">
        <v>12855</v>
      </c>
      <c r="G769">
        <v>87764</v>
      </c>
      <c r="I769">
        <v>176592</v>
      </c>
      <c r="J769">
        <v>189468</v>
      </c>
      <c r="L769">
        <v>264356</v>
      </c>
      <c r="M769">
        <v>72217</v>
      </c>
    </row>
    <row r="770" spans="1:13" x14ac:dyDescent="0.35">
      <c r="A770" s="120">
        <v>44593</v>
      </c>
      <c r="B770">
        <v>20120</v>
      </c>
      <c r="C770">
        <v>36534</v>
      </c>
      <c r="D770">
        <v>37155</v>
      </c>
      <c r="E770">
        <v>23325</v>
      </c>
      <c r="F770">
        <v>13250</v>
      </c>
      <c r="G770">
        <v>86479</v>
      </c>
      <c r="I770">
        <v>176015</v>
      </c>
      <c r="J770">
        <v>187611</v>
      </c>
      <c r="L770">
        <v>262494</v>
      </c>
      <c r="M770">
        <v>72038</v>
      </c>
    </row>
    <row r="771" spans="1:13" x14ac:dyDescent="0.35">
      <c r="A771" s="120">
        <v>44621</v>
      </c>
      <c r="B771">
        <v>20783</v>
      </c>
      <c r="C771">
        <v>36986</v>
      </c>
      <c r="D771">
        <v>37379</v>
      </c>
      <c r="E771">
        <v>23742</v>
      </c>
      <c r="F771">
        <v>13593</v>
      </c>
      <c r="G771">
        <v>86220</v>
      </c>
      <c r="I771">
        <v>178038</v>
      </c>
      <c r="J771">
        <v>186907</v>
      </c>
      <c r="L771">
        <v>264258</v>
      </c>
      <c r="M771">
        <v>72857</v>
      </c>
    </row>
    <row r="772" spans="1:13" x14ac:dyDescent="0.35">
      <c r="A772" s="120">
        <v>44652</v>
      </c>
      <c r="B772">
        <v>20962</v>
      </c>
      <c r="C772">
        <v>36891</v>
      </c>
      <c r="D772">
        <v>37763</v>
      </c>
      <c r="E772">
        <v>23741</v>
      </c>
      <c r="F772">
        <v>13464</v>
      </c>
      <c r="G772">
        <v>86909</v>
      </c>
      <c r="I772">
        <v>178467</v>
      </c>
      <c r="J772">
        <v>188269</v>
      </c>
      <c r="L772">
        <v>265376</v>
      </c>
      <c r="M772">
        <v>73115</v>
      </c>
    </row>
    <row r="773" spans="1:13" x14ac:dyDescent="0.35">
      <c r="A773" s="120">
        <v>44682</v>
      </c>
      <c r="B773">
        <v>21350</v>
      </c>
      <c r="C773">
        <v>36810</v>
      </c>
      <c r="D773">
        <v>38242</v>
      </c>
      <c r="E773">
        <v>23787</v>
      </c>
      <c r="F773">
        <v>13353</v>
      </c>
      <c r="G773">
        <v>88275</v>
      </c>
      <c r="I773">
        <v>179258</v>
      </c>
      <c r="J773">
        <v>189296</v>
      </c>
      <c r="L773">
        <v>267533</v>
      </c>
      <c r="M773">
        <v>73477</v>
      </c>
    </row>
    <row r="774" spans="1:13" x14ac:dyDescent="0.35">
      <c r="A774" s="120">
        <v>44713</v>
      </c>
      <c r="B774">
        <v>21050</v>
      </c>
      <c r="C774">
        <v>36922</v>
      </c>
      <c r="D774">
        <v>38434</v>
      </c>
      <c r="E774">
        <v>24211</v>
      </c>
      <c r="F774">
        <v>13717</v>
      </c>
      <c r="G774">
        <v>93626</v>
      </c>
      <c r="I774">
        <v>179945</v>
      </c>
      <c r="J774">
        <v>194488</v>
      </c>
      <c r="L774">
        <v>273571</v>
      </c>
      <c r="M774">
        <v>74190</v>
      </c>
    </row>
    <row r="775" spans="1:13" x14ac:dyDescent="0.35">
      <c r="A775" s="120">
        <v>44743</v>
      </c>
      <c r="B775">
        <v>20649</v>
      </c>
      <c r="C775">
        <v>37195</v>
      </c>
      <c r="D775">
        <v>38622</v>
      </c>
      <c r="E775">
        <v>24547</v>
      </c>
      <c r="F775">
        <v>13661</v>
      </c>
      <c r="G775">
        <v>92987</v>
      </c>
      <c r="I775">
        <v>180216</v>
      </c>
      <c r="J775">
        <v>194332</v>
      </c>
      <c r="L775">
        <v>273203</v>
      </c>
      <c r="M775">
        <v>74709</v>
      </c>
    </row>
    <row r="776" spans="1:13" x14ac:dyDescent="0.35">
      <c r="A776" s="120">
        <v>44774</v>
      </c>
      <c r="B776">
        <v>20738</v>
      </c>
      <c r="C776">
        <v>36860</v>
      </c>
      <c r="D776">
        <v>38888</v>
      </c>
      <c r="E776">
        <v>24519</v>
      </c>
      <c r="F776">
        <v>13851</v>
      </c>
      <c r="G776">
        <v>93483</v>
      </c>
      <c r="I776">
        <v>180358</v>
      </c>
      <c r="J776">
        <v>194542</v>
      </c>
      <c r="L776">
        <v>273841</v>
      </c>
      <c r="M776">
        <v>75379</v>
      </c>
    </row>
    <row r="777" spans="1:13" x14ac:dyDescent="0.35">
      <c r="A777" s="120">
        <v>44805</v>
      </c>
      <c r="B777">
        <v>20241</v>
      </c>
      <c r="C777">
        <v>36444</v>
      </c>
      <c r="D777">
        <v>38633</v>
      </c>
      <c r="E777">
        <v>24239</v>
      </c>
      <c r="F777">
        <v>13701</v>
      </c>
      <c r="G777">
        <v>95676</v>
      </c>
      <c r="I777">
        <v>178723</v>
      </c>
      <c r="J777">
        <v>193704</v>
      </c>
      <c r="L777">
        <v>274399</v>
      </c>
      <c r="M777">
        <v>74819</v>
      </c>
    </row>
    <row r="778" spans="1:13" x14ac:dyDescent="0.35">
      <c r="A778" s="120">
        <v>44835</v>
      </c>
      <c r="B778">
        <v>20125</v>
      </c>
      <c r="C778">
        <v>36382</v>
      </c>
      <c r="D778">
        <v>39199</v>
      </c>
      <c r="E778">
        <v>24188</v>
      </c>
      <c r="F778">
        <v>13678</v>
      </c>
      <c r="G778">
        <v>97452</v>
      </c>
      <c r="I778">
        <v>178914</v>
      </c>
      <c r="J778">
        <v>195690</v>
      </c>
      <c r="L778">
        <v>276366</v>
      </c>
      <c r="M778">
        <v>75055</v>
      </c>
    </row>
    <row r="779" spans="1:13" x14ac:dyDescent="0.35">
      <c r="A779" s="120">
        <v>44866</v>
      </c>
      <c r="B779">
        <v>20004</v>
      </c>
      <c r="C779">
        <v>36426</v>
      </c>
      <c r="D779">
        <v>39248</v>
      </c>
      <c r="E779">
        <v>24338</v>
      </c>
      <c r="F779">
        <v>13695</v>
      </c>
      <c r="G779">
        <v>91325</v>
      </c>
      <c r="I779">
        <v>179148</v>
      </c>
      <c r="J779">
        <v>189826</v>
      </c>
      <c r="L779">
        <v>270473</v>
      </c>
      <c r="M779">
        <v>75124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3:V89"/>
  <sheetViews>
    <sheetView zoomScale="120" zoomScaleNormal="120" workbookViewId="0">
      <pane xSplit="2" ySplit="6" topLeftCell="C68" activePane="bottomRight" state="frozen"/>
      <selection activeCell="Q21" sqref="Q21"/>
      <selection pane="topRight" activeCell="Q21" sqref="Q21"/>
      <selection pane="bottomLeft" activeCell="Q21" sqref="Q21"/>
      <selection pane="bottomRight" activeCell="AB85" sqref="AB85"/>
    </sheetView>
  </sheetViews>
  <sheetFormatPr defaultColWidth="9.1796875" defaultRowHeight="14.5" x14ac:dyDescent="0.35"/>
  <cols>
    <col min="1" max="1" width="9.1796875" style="117" customWidth="1"/>
    <col min="2" max="2" width="10.6328125" style="117" bestFit="1" customWidth="1"/>
    <col min="3" max="14" width="9.1796875" style="117" customWidth="1"/>
    <col min="15" max="16384" width="9.1796875" style="117"/>
  </cols>
  <sheetData>
    <row r="3" spans="2:22" ht="16" customHeight="1" thickBot="1" x14ac:dyDescent="0.4"/>
    <row r="4" spans="2:22" ht="19" customHeight="1" x14ac:dyDescent="0.45">
      <c r="C4" s="143" t="s">
        <v>98</v>
      </c>
      <c r="D4" s="144"/>
      <c r="E4" s="143" t="s">
        <v>13</v>
      </c>
      <c r="F4" s="144"/>
      <c r="G4" s="145" t="s">
        <v>99</v>
      </c>
      <c r="H4" s="144"/>
      <c r="I4" s="143" t="s">
        <v>100</v>
      </c>
      <c r="J4" s="144"/>
      <c r="K4" s="143" t="s">
        <v>101</v>
      </c>
      <c r="L4" s="144"/>
      <c r="M4" s="143" t="s">
        <v>102</v>
      </c>
      <c r="N4" s="144"/>
      <c r="O4" s="143" t="s">
        <v>103</v>
      </c>
      <c r="P4" s="144"/>
      <c r="Q4" s="143" t="s">
        <v>104</v>
      </c>
      <c r="R4" s="144"/>
      <c r="S4" s="143" t="s">
        <v>105</v>
      </c>
      <c r="T4" s="144"/>
      <c r="U4" s="143" t="s">
        <v>106</v>
      </c>
      <c r="V4" s="144"/>
    </row>
    <row r="5" spans="2:22" ht="15.75" customHeight="1" thickBot="1" x14ac:dyDescent="0.4">
      <c r="C5" s="90" t="s">
        <v>14</v>
      </c>
      <c r="D5" s="91" t="s">
        <v>107</v>
      </c>
      <c r="E5" s="90" t="s">
        <v>17</v>
      </c>
      <c r="F5" s="91" t="s">
        <v>107</v>
      </c>
      <c r="G5" s="92" t="s">
        <v>21</v>
      </c>
      <c r="H5" s="91" t="s">
        <v>107</v>
      </c>
      <c r="I5" s="90" t="s">
        <v>24</v>
      </c>
      <c r="J5" s="91" t="s">
        <v>107</v>
      </c>
      <c r="K5" s="92" t="s">
        <v>27</v>
      </c>
      <c r="L5" s="91" t="s">
        <v>107</v>
      </c>
      <c r="M5" s="92" t="s">
        <v>30</v>
      </c>
      <c r="N5" s="91" t="s">
        <v>107</v>
      </c>
      <c r="O5" s="92" t="s">
        <v>33</v>
      </c>
      <c r="P5" s="91" t="s">
        <v>107</v>
      </c>
      <c r="Q5" s="92" t="s">
        <v>36</v>
      </c>
      <c r="R5" s="91" t="s">
        <v>107</v>
      </c>
      <c r="S5" s="92" t="s">
        <v>39</v>
      </c>
      <c r="T5" s="91" t="s">
        <v>107</v>
      </c>
      <c r="U5" s="92" t="s">
        <v>40</v>
      </c>
      <c r="V5" s="91" t="s">
        <v>107</v>
      </c>
    </row>
    <row r="7" spans="2:22" x14ac:dyDescent="0.35">
      <c r="B7" s="93">
        <v>42370</v>
      </c>
      <c r="C7" s="94">
        <f>VLOOKUP(B7,Database!$A:$M,MATCH(Recap!$C$5,Database!$A$1:$M$1,),)</f>
        <v>226905</v>
      </c>
      <c r="D7" s="95"/>
      <c r="E7" s="94">
        <f>VLOOKUP(B7,Database!$A:$M,MATCH(Recap!$E$5,Database!$A$1:$M$1,),)</f>
        <v>144186</v>
      </c>
      <c r="F7" s="95"/>
      <c r="G7" s="94">
        <f>VLOOKUP(B7,Database!$A:$M,MATCH(Recap!$G$5,Database!$A$1:$M$1,),)</f>
        <v>61709</v>
      </c>
      <c r="H7" s="95"/>
      <c r="I7" s="94">
        <f>VLOOKUP(B7,Database!$A:$M,MATCH(Recap!$I$5,Database!$A$1:$M$1,),)</f>
        <v>160531</v>
      </c>
      <c r="J7" s="95"/>
      <c r="K7" s="94">
        <f>VLOOKUP(B7,Database!$A:$M,MATCH(Recap!$K$5,Database!$A$1:$M$1,),)</f>
        <v>82719</v>
      </c>
      <c r="L7" s="95"/>
      <c r="M7" s="94">
        <f>VLOOKUP(B7,Database!$A:$M,MATCH(Recap!$M$5,Database!$A$1:$M$1,),)</f>
        <v>28435</v>
      </c>
      <c r="N7" s="95"/>
      <c r="O7" s="94">
        <f>VLOOKUP(B7,Database!$A:$M,MATCH(Recap!$O$5,Database!$A$1:$M$1,),)</f>
        <v>29997</v>
      </c>
      <c r="P7" s="95"/>
      <c r="Q7" s="94">
        <f>VLOOKUP(B7,Database!$A:$M,MATCH(Recap!$Q$5,Database!$A$1:$M$1,),)</f>
        <v>20923</v>
      </c>
      <c r="R7" s="95"/>
      <c r="S7" s="94">
        <f>VLOOKUP(B7,Database!$A:$M,MATCH(Recap!$S$5,Database!$A$1:$M$1,),)</f>
        <v>17011</v>
      </c>
      <c r="T7" s="95"/>
      <c r="U7" s="94">
        <f>VLOOKUP(B7,Database!$A:$M,MATCH(Recap!$U$5,Database!$A$1:$M$1,),)</f>
        <v>10606</v>
      </c>
      <c r="V7" s="95"/>
    </row>
    <row r="8" spans="2:22" x14ac:dyDescent="0.35">
      <c r="B8" s="93">
        <v>42401</v>
      </c>
      <c r="C8" s="94">
        <f>VLOOKUP(B8,Database!$A:$M,MATCH(Recap!$C$5,Database!$A$1:$M$1,),)</f>
        <v>217371</v>
      </c>
      <c r="D8" s="96">
        <f t="shared" ref="D8:D39" si="0">(C8-C7)/C7</f>
        <v>-4.2017584451642755E-2</v>
      </c>
      <c r="E8" s="94">
        <f>VLOOKUP(B8,Database!$A:$M,MATCH(Recap!$E$5,Database!$A$1:$M$1,),)</f>
        <v>142597</v>
      </c>
      <c r="F8" s="96">
        <f t="shared" ref="F8:F39" si="1">(E8-E7)/E7</f>
        <v>-1.1020487425963685E-2</v>
      </c>
      <c r="G8" s="94">
        <f>VLOOKUP(B8,Database!$A:$M,MATCH(Recap!$G$5,Database!$A$1:$M$1,),)</f>
        <v>61077</v>
      </c>
      <c r="H8" s="96">
        <f t="shared" ref="H8:H39" si="2">(G8-G7)/G7</f>
        <v>-1.0241617916349317E-2</v>
      </c>
      <c r="I8" s="94">
        <f>VLOOKUP(B8,Database!$A:$M,MATCH(Recap!$I$5,Database!$A$1:$M$1,),)</f>
        <v>150402</v>
      </c>
      <c r="J8" s="96">
        <f t="shared" ref="J8:J39" si="3">(I8-I7)/I7</f>
        <v>-6.3096847337897347E-2</v>
      </c>
      <c r="K8" s="94">
        <f>VLOOKUP(B8,Database!$A:$M,MATCH(Recap!$K$5,Database!$A$1:$M$1,),)</f>
        <v>74774</v>
      </c>
      <c r="L8" s="96">
        <f t="shared" ref="L8:L39" si="4">(K8-K7)/K7</f>
        <v>-9.604806634509605E-2</v>
      </c>
      <c r="M8" s="94">
        <f>VLOOKUP(B8,Database!$A:$M,MATCH(Recap!$M$5,Database!$A$1:$M$1,),)</f>
        <v>28134</v>
      </c>
      <c r="N8" s="96">
        <f t="shared" ref="N8:N39" si="5">(M8-M7)/M7</f>
        <v>-1.0585545982064357E-2</v>
      </c>
      <c r="O8" s="94">
        <f>VLOOKUP(B8,Database!$A:$M,MATCH(Recap!$O$5,Database!$A$1:$M$1,),)</f>
        <v>29290</v>
      </c>
      <c r="P8" s="96">
        <f t="shared" ref="P8:P39" si="6">(O8-O7)/O7</f>
        <v>-2.3569023569023569E-2</v>
      </c>
      <c r="Q8" s="94">
        <f>VLOOKUP(B8,Database!$A:$M,MATCH(Recap!$Q$5,Database!$A$1:$M$1,),)</f>
        <v>21269</v>
      </c>
      <c r="R8" s="96">
        <f t="shared" ref="R8:R39" si="7">(Q8-Q7)/Q7</f>
        <v>1.6536825503034938E-2</v>
      </c>
      <c r="S8" s="94">
        <f>VLOOKUP(B8,Database!$A:$M,MATCH(Recap!$S$5,Database!$A$1:$M$1,),)</f>
        <v>16639</v>
      </c>
      <c r="T8" s="96">
        <f t="shared" ref="T8:T39" si="8">(S8-S7)/S7</f>
        <v>-2.186820292751749E-2</v>
      </c>
      <c r="U8" s="94">
        <f>VLOOKUP(B8,Database!$A:$M,MATCH(Recap!$U$5,Database!$A$1:$M$1,),)</f>
        <v>10196</v>
      </c>
      <c r="V8" s="96">
        <f t="shared" ref="V8:V39" si="9">(U8-U7)/U7</f>
        <v>-3.8657363756364325E-2</v>
      </c>
    </row>
    <row r="9" spans="2:22" x14ac:dyDescent="0.35">
      <c r="B9" s="93">
        <v>42430</v>
      </c>
      <c r="C9" s="94">
        <f>VLOOKUP(B9,Database!$A:$M,MATCH(Recap!$C$5,Database!$A$1:$M$1,),)</f>
        <v>216899</v>
      </c>
      <c r="D9" s="96">
        <f t="shared" si="0"/>
        <v>-2.1714028090223628E-3</v>
      </c>
      <c r="E9" s="94">
        <f>VLOOKUP(B9,Database!$A:$M,MATCH(Recap!$E$5,Database!$A$1:$M$1,),)</f>
        <v>141252</v>
      </c>
      <c r="F9" s="96">
        <f t="shared" si="1"/>
        <v>-9.4321759924823109E-3</v>
      </c>
      <c r="G9" s="94">
        <f>VLOOKUP(B9,Database!$A:$M,MATCH(Recap!$G$5,Database!$A$1:$M$1,),)</f>
        <v>60564</v>
      </c>
      <c r="H9" s="96">
        <f t="shared" si="2"/>
        <v>-8.3992337541136594E-3</v>
      </c>
      <c r="I9" s="94">
        <f>VLOOKUP(B9,Database!$A:$M,MATCH(Recap!$I$5,Database!$A$1:$M$1,),)</f>
        <v>151329</v>
      </c>
      <c r="J9" s="96">
        <f t="shared" si="3"/>
        <v>6.1634818685921732E-3</v>
      </c>
      <c r="K9" s="94">
        <f>VLOOKUP(B9,Database!$A:$M,MATCH(Recap!$K$5,Database!$A$1:$M$1,),)</f>
        <v>75647</v>
      </c>
      <c r="L9" s="96">
        <f t="shared" si="4"/>
        <v>1.1675181212720999E-2</v>
      </c>
      <c r="M9" s="94">
        <f>VLOOKUP(B9,Database!$A:$M,MATCH(Recap!$M$5,Database!$A$1:$M$1,),)</f>
        <v>27255</v>
      </c>
      <c r="N9" s="96">
        <f t="shared" si="5"/>
        <v>-3.1243335465984217E-2</v>
      </c>
      <c r="O9" s="94">
        <f>VLOOKUP(B9,Database!$A:$M,MATCH(Recap!$O$5,Database!$A$1:$M$1,),)</f>
        <v>28934</v>
      </c>
      <c r="P9" s="96">
        <f t="shared" si="6"/>
        <v>-1.2154318880163878E-2</v>
      </c>
      <c r="Q9" s="94">
        <f>VLOOKUP(B9,Database!$A:$M,MATCH(Recap!$Q$5,Database!$A$1:$M$1,),)</f>
        <v>21052</v>
      </c>
      <c r="R9" s="96">
        <f t="shared" si="7"/>
        <v>-1.0202642343316564E-2</v>
      </c>
      <c r="S9" s="94">
        <f>VLOOKUP(B9,Database!$A:$M,MATCH(Recap!$S$5,Database!$A$1:$M$1,),)</f>
        <v>16511</v>
      </c>
      <c r="T9" s="96">
        <f t="shared" si="8"/>
        <v>-7.6927699981970072E-3</v>
      </c>
      <c r="U9" s="94">
        <f>VLOOKUP(B9,Database!$A:$M,MATCH(Recap!$U$5,Database!$A$1:$M$1,),)</f>
        <v>9828</v>
      </c>
      <c r="V9" s="96">
        <f t="shared" si="9"/>
        <v>-3.6092585327579446E-2</v>
      </c>
    </row>
    <row r="10" spans="2:22" x14ac:dyDescent="0.35">
      <c r="B10" s="93">
        <v>42461</v>
      </c>
      <c r="C10" s="94">
        <f>VLOOKUP(B10,Database!$A:$M,MATCH(Recap!$C$5,Database!$A$1:$M$1,),)</f>
        <v>228585</v>
      </c>
      <c r="D10" s="96">
        <f t="shared" si="0"/>
        <v>5.3877611238410505E-2</v>
      </c>
      <c r="E10" s="94">
        <f>VLOOKUP(B10,Database!$A:$M,MATCH(Recap!$E$5,Database!$A$1:$M$1,),)</f>
        <v>142498</v>
      </c>
      <c r="F10" s="96">
        <f t="shared" si="1"/>
        <v>8.8211140373233646E-3</v>
      </c>
      <c r="G10" s="94">
        <f>VLOOKUP(B10,Database!$A:$M,MATCH(Recap!$G$5,Database!$A$1:$M$1,),)</f>
        <v>60970</v>
      </c>
      <c r="H10" s="96">
        <f t="shared" si="2"/>
        <v>6.7036523347202958E-3</v>
      </c>
      <c r="I10" s="94">
        <f>VLOOKUP(B10,Database!$A:$M,MATCH(Recap!$I$5,Database!$A$1:$M$1,),)</f>
        <v>162910</v>
      </c>
      <c r="J10" s="96">
        <f t="shared" si="3"/>
        <v>7.6528623066299262E-2</v>
      </c>
      <c r="K10" s="94">
        <f>VLOOKUP(B10,Database!$A:$M,MATCH(Recap!$K$5,Database!$A$1:$M$1,),)</f>
        <v>86087</v>
      </c>
      <c r="L10" s="96">
        <f t="shared" si="4"/>
        <v>0.13800943857654632</v>
      </c>
      <c r="M10" s="94">
        <f>VLOOKUP(B10,Database!$A:$M,MATCH(Recap!$M$5,Database!$A$1:$M$1,),)</f>
        <v>28268</v>
      </c>
      <c r="N10" s="96">
        <f t="shared" si="5"/>
        <v>3.7167492203265456E-2</v>
      </c>
      <c r="O10" s="94">
        <f>VLOOKUP(B10,Database!$A:$M,MATCH(Recap!$O$5,Database!$A$1:$M$1,),)</f>
        <v>28675</v>
      </c>
      <c r="P10" s="96">
        <f t="shared" si="6"/>
        <v>-8.9514066496163679E-3</v>
      </c>
      <c r="Q10" s="94">
        <f>VLOOKUP(B10,Database!$A:$M,MATCH(Recap!$Q$5,Database!$A$1:$M$1,),)</f>
        <v>21719</v>
      </c>
      <c r="R10" s="96">
        <f t="shared" si="7"/>
        <v>3.1683450503515106E-2</v>
      </c>
      <c r="S10" s="94">
        <f>VLOOKUP(B10,Database!$A:$M,MATCH(Recap!$S$5,Database!$A$1:$M$1,),)</f>
        <v>16638</v>
      </c>
      <c r="T10" s="96">
        <f t="shared" si="8"/>
        <v>7.6918418024347407E-3</v>
      </c>
      <c r="U10" s="94">
        <f>VLOOKUP(B10,Database!$A:$M,MATCH(Recap!$U$5,Database!$A$1:$M$1,),)</f>
        <v>9959</v>
      </c>
      <c r="V10" s="96">
        <f t="shared" si="9"/>
        <v>1.3329263329263329E-2</v>
      </c>
    </row>
    <row r="11" spans="2:22" x14ac:dyDescent="0.35">
      <c r="B11" s="93">
        <v>42491</v>
      </c>
      <c r="C11" s="94">
        <f>VLOOKUP(B11,Database!$A:$M,MATCH(Recap!$C$5,Database!$A$1:$M$1,),)</f>
        <v>221991</v>
      </c>
      <c r="D11" s="96">
        <f t="shared" si="0"/>
        <v>-2.8847037207165825E-2</v>
      </c>
      <c r="E11" s="94">
        <f>VLOOKUP(B11,Database!$A:$M,MATCH(Recap!$E$5,Database!$A$1:$M$1,),)</f>
        <v>141585</v>
      </c>
      <c r="F11" s="96">
        <f t="shared" si="1"/>
        <v>-6.4071074681749923E-3</v>
      </c>
      <c r="G11" s="94">
        <f>VLOOKUP(B11,Database!$A:$M,MATCH(Recap!$G$5,Database!$A$1:$M$1,),)</f>
        <v>59565</v>
      </c>
      <c r="H11" s="96">
        <f t="shared" si="2"/>
        <v>-2.3044120059045433E-2</v>
      </c>
      <c r="I11" s="94">
        <f>VLOOKUP(B11,Database!$A:$M,MATCH(Recap!$I$5,Database!$A$1:$M$1,),)</f>
        <v>157751</v>
      </c>
      <c r="J11" s="96">
        <f t="shared" si="3"/>
        <v>-3.1667792032410533E-2</v>
      </c>
      <c r="K11" s="94">
        <f>VLOOKUP(B11,Database!$A:$M,MATCH(Recap!$K$5,Database!$A$1:$M$1,),)</f>
        <v>80406</v>
      </c>
      <c r="L11" s="96">
        <f t="shared" si="4"/>
        <v>-6.5991380812433928E-2</v>
      </c>
      <c r="M11" s="94">
        <f>VLOOKUP(B11,Database!$A:$M,MATCH(Recap!$M$5,Database!$A$1:$M$1,),)</f>
        <v>28052</v>
      </c>
      <c r="N11" s="96">
        <f t="shared" si="5"/>
        <v>-7.641149002405547E-3</v>
      </c>
      <c r="O11" s="94">
        <f>VLOOKUP(B11,Database!$A:$M,MATCH(Recap!$O$5,Database!$A$1:$M$1,),)</f>
        <v>28160</v>
      </c>
      <c r="P11" s="96">
        <f t="shared" si="6"/>
        <v>-1.7959895379250218E-2</v>
      </c>
      <c r="Q11" s="94">
        <f>VLOOKUP(B11,Database!$A:$M,MATCH(Recap!$Q$5,Database!$A$1:$M$1,),)</f>
        <v>21631</v>
      </c>
      <c r="R11" s="96">
        <f t="shared" si="7"/>
        <v>-4.0517519222800311E-3</v>
      </c>
      <c r="S11" s="94">
        <f>VLOOKUP(B11,Database!$A:$M,MATCH(Recap!$S$5,Database!$A$1:$M$1,),)</f>
        <v>16645</v>
      </c>
      <c r="T11" s="96">
        <f t="shared" si="8"/>
        <v>4.2072364466883038E-4</v>
      </c>
      <c r="U11" s="94">
        <f>VLOOKUP(B11,Database!$A:$M,MATCH(Recap!$U$5,Database!$A$1:$M$1,),)</f>
        <v>9890</v>
      </c>
      <c r="V11" s="96">
        <f t="shared" si="9"/>
        <v>-6.9284064665127024E-3</v>
      </c>
    </row>
    <row r="12" spans="2:22" x14ac:dyDescent="0.35">
      <c r="B12" s="93">
        <v>42522</v>
      </c>
      <c r="C12" s="94">
        <f>VLOOKUP(B12,Database!$A:$M,MATCH(Recap!$C$5,Database!$A$1:$M$1,),)</f>
        <v>209356</v>
      </c>
      <c r="D12" s="96">
        <f t="shared" si="0"/>
        <v>-5.6916721849083973E-2</v>
      </c>
      <c r="E12" s="94">
        <f>VLOOKUP(B12,Database!$A:$M,MATCH(Recap!$E$5,Database!$A$1:$M$1,),)</f>
        <v>140522</v>
      </c>
      <c r="F12" s="96">
        <f t="shared" si="1"/>
        <v>-7.5078574707772719E-3</v>
      </c>
      <c r="G12" s="94">
        <f>VLOOKUP(B12,Database!$A:$M,MATCH(Recap!$G$5,Database!$A$1:$M$1,),)</f>
        <v>59505</v>
      </c>
      <c r="H12" s="96">
        <f t="shared" si="2"/>
        <v>-1.007302946361118E-3</v>
      </c>
      <c r="I12" s="94">
        <f>VLOOKUP(B12,Database!$A:$M,MATCH(Recap!$I$5,Database!$A$1:$M$1,),)</f>
        <v>144277</v>
      </c>
      <c r="J12" s="96">
        <f t="shared" si="3"/>
        <v>-8.5413087714182476E-2</v>
      </c>
      <c r="K12" s="94">
        <f>VLOOKUP(B12,Database!$A:$M,MATCH(Recap!$K$5,Database!$A$1:$M$1,),)</f>
        <v>68834</v>
      </c>
      <c r="L12" s="96">
        <f t="shared" si="4"/>
        <v>-0.14391960798945352</v>
      </c>
      <c r="M12" s="94">
        <f>VLOOKUP(B12,Database!$A:$M,MATCH(Recap!$M$5,Database!$A$1:$M$1,),)</f>
        <v>27601</v>
      </c>
      <c r="N12" s="96">
        <f t="shared" si="5"/>
        <v>-1.6077285042064737E-2</v>
      </c>
      <c r="O12" s="94">
        <f>VLOOKUP(B12,Database!$A:$M,MATCH(Recap!$O$5,Database!$A$1:$M$1,),)</f>
        <v>28238</v>
      </c>
      <c r="P12" s="96">
        <f t="shared" si="6"/>
        <v>2.7698863636363637E-3</v>
      </c>
      <c r="Q12" s="94">
        <f>VLOOKUP(B12,Database!$A:$M,MATCH(Recap!$Q$5,Database!$A$1:$M$1,),)</f>
        <v>21515</v>
      </c>
      <c r="R12" s="96">
        <f t="shared" si="7"/>
        <v>-5.3626739401784473E-3</v>
      </c>
      <c r="S12" s="94">
        <f>VLOOKUP(B12,Database!$A:$M,MATCH(Recap!$S$5,Database!$A$1:$M$1,),)</f>
        <v>16323</v>
      </c>
      <c r="T12" s="96">
        <f t="shared" si="8"/>
        <v>-1.9345148693301291E-2</v>
      </c>
      <c r="U12" s="94">
        <f>VLOOKUP(B12,Database!$A:$M,MATCH(Recap!$U$5,Database!$A$1:$M$1,),)</f>
        <v>9890</v>
      </c>
      <c r="V12" s="96">
        <f t="shared" si="9"/>
        <v>0</v>
      </c>
    </row>
    <row r="13" spans="2:22" x14ac:dyDescent="0.35">
      <c r="B13" s="93">
        <v>42552</v>
      </c>
      <c r="C13" s="94">
        <f>VLOOKUP(B13,Database!$A:$M,MATCH(Recap!$C$5,Database!$A$1:$M$1,),)</f>
        <v>217997</v>
      </c>
      <c r="D13" s="96">
        <f t="shared" si="0"/>
        <v>4.1274193240222398E-2</v>
      </c>
      <c r="E13" s="94">
        <f>VLOOKUP(B13,Database!$A:$M,MATCH(Recap!$E$5,Database!$A$1:$M$1,),)</f>
        <v>141800</v>
      </c>
      <c r="F13" s="96">
        <f t="shared" si="1"/>
        <v>9.094661334168315E-3</v>
      </c>
      <c r="G13" s="94">
        <f>VLOOKUP(B13,Database!$A:$M,MATCH(Recap!$G$5,Database!$A$1:$M$1,),)</f>
        <v>59899</v>
      </c>
      <c r="H13" s="96">
        <f t="shared" si="2"/>
        <v>6.6212923283757667E-3</v>
      </c>
      <c r="I13" s="94">
        <f>VLOOKUP(B13,Database!$A:$M,MATCH(Recap!$I$5,Database!$A$1:$M$1,),)</f>
        <v>153759</v>
      </c>
      <c r="J13" s="96">
        <f t="shared" si="3"/>
        <v>6.5720800959265857E-2</v>
      </c>
      <c r="K13" s="94">
        <f>VLOOKUP(B13,Database!$A:$M,MATCH(Recap!$K$5,Database!$A$1:$M$1,),)</f>
        <v>76197</v>
      </c>
      <c r="L13" s="96">
        <f t="shared" si="4"/>
        <v>0.10696748699770463</v>
      </c>
      <c r="M13" s="94">
        <f>VLOOKUP(B13,Database!$A:$M,MATCH(Recap!$M$5,Database!$A$1:$M$1,),)</f>
        <v>27758</v>
      </c>
      <c r="N13" s="96">
        <f t="shared" si="5"/>
        <v>5.6881997029093146E-3</v>
      </c>
      <c r="O13" s="94">
        <f>VLOOKUP(B13,Database!$A:$M,MATCH(Recap!$O$5,Database!$A$1:$M$1,),)</f>
        <v>28904</v>
      </c>
      <c r="P13" s="96">
        <f t="shared" si="6"/>
        <v>2.3585239747857496E-2</v>
      </c>
      <c r="Q13" s="94">
        <f>VLOOKUP(B13,Database!$A:$M,MATCH(Recap!$Q$5,Database!$A$1:$M$1,),)</f>
        <v>21556</v>
      </c>
      <c r="R13" s="96">
        <f t="shared" si="7"/>
        <v>1.9056472228677667E-3</v>
      </c>
      <c r="S13" s="94">
        <f>VLOOKUP(B13,Database!$A:$M,MATCH(Recap!$S$5,Database!$A$1:$M$1,),)</f>
        <v>16746</v>
      </c>
      <c r="T13" s="96">
        <f t="shared" si="8"/>
        <v>2.5914353979047969E-2</v>
      </c>
      <c r="U13" s="94">
        <f>VLOOKUP(B13,Database!$A:$M,MATCH(Recap!$U$5,Database!$A$1:$M$1,),)</f>
        <v>10246</v>
      </c>
      <c r="V13" s="96">
        <f t="shared" si="9"/>
        <v>3.5995955510616788E-2</v>
      </c>
    </row>
    <row r="14" spans="2:22" x14ac:dyDescent="0.35">
      <c r="B14" s="93">
        <v>42583</v>
      </c>
      <c r="C14" s="94">
        <f>VLOOKUP(B14,Database!$A:$M,MATCH(Recap!$C$5,Database!$A$1:$M$1,),)</f>
        <v>219140</v>
      </c>
      <c r="D14" s="96">
        <f t="shared" si="0"/>
        <v>5.2431914200654134E-3</v>
      </c>
      <c r="E14" s="94">
        <f>VLOOKUP(B14,Database!$A:$M,MATCH(Recap!$E$5,Database!$A$1:$M$1,),)</f>
        <v>142038</v>
      </c>
      <c r="F14" s="96">
        <f t="shared" si="1"/>
        <v>1.6784203102961919E-3</v>
      </c>
      <c r="G14" s="94">
        <f>VLOOKUP(B14,Database!$A:$M,MATCH(Recap!$G$5,Database!$A$1:$M$1,),)</f>
        <v>61743</v>
      </c>
      <c r="H14" s="96">
        <f t="shared" si="2"/>
        <v>3.0785155010935074E-2</v>
      </c>
      <c r="I14" s="94">
        <f>VLOOKUP(B14,Database!$A:$M,MATCH(Recap!$I$5,Database!$A$1:$M$1,),)</f>
        <v>154680</v>
      </c>
      <c r="J14" s="96">
        <f t="shared" si="3"/>
        <v>5.9898932745400266E-3</v>
      </c>
      <c r="K14" s="94">
        <f>VLOOKUP(B14,Database!$A:$M,MATCH(Recap!$K$5,Database!$A$1:$M$1,),)</f>
        <v>77102</v>
      </c>
      <c r="L14" s="96">
        <f t="shared" si="4"/>
        <v>1.1877108022625562E-2</v>
      </c>
      <c r="M14" s="94">
        <f>VLOOKUP(B14,Database!$A:$M,MATCH(Recap!$M$5,Database!$A$1:$M$1,),)</f>
        <v>27540</v>
      </c>
      <c r="N14" s="96">
        <f t="shared" si="5"/>
        <v>-7.8535917573312203E-3</v>
      </c>
      <c r="O14" s="94">
        <f>VLOOKUP(B14,Database!$A:$M,MATCH(Recap!$O$5,Database!$A$1:$M$1,),)</f>
        <v>29462</v>
      </c>
      <c r="P14" s="96">
        <f t="shared" si="6"/>
        <v>1.93052864655411E-2</v>
      </c>
      <c r="Q14" s="94">
        <f>VLOOKUP(B14,Database!$A:$M,MATCH(Recap!$Q$5,Database!$A$1:$M$1,),)</f>
        <v>21449</v>
      </c>
      <c r="R14" s="96">
        <f t="shared" si="7"/>
        <v>-4.9638151790684726E-3</v>
      </c>
      <c r="S14" s="94">
        <f>VLOOKUP(B14,Database!$A:$M,MATCH(Recap!$S$5,Database!$A$1:$M$1,),)</f>
        <v>16654</v>
      </c>
      <c r="T14" s="96">
        <f t="shared" si="8"/>
        <v>-5.4938492774393886E-3</v>
      </c>
      <c r="U14" s="94">
        <f>VLOOKUP(B14,Database!$A:$M,MATCH(Recap!$U$5,Database!$A$1:$M$1,),)</f>
        <v>10082</v>
      </c>
      <c r="V14" s="96">
        <f t="shared" si="9"/>
        <v>-1.6006246340035137E-2</v>
      </c>
    </row>
    <row r="15" spans="2:22" x14ac:dyDescent="0.35">
      <c r="B15" s="93">
        <v>42614</v>
      </c>
      <c r="C15" s="94">
        <f>VLOOKUP(B15,Database!$A:$M,MATCH(Recap!$C$5,Database!$A$1:$M$1,),)</f>
        <v>216058</v>
      </c>
      <c r="D15" s="96">
        <f t="shared" si="0"/>
        <v>-1.4064068631924796E-2</v>
      </c>
      <c r="E15" s="94">
        <f>VLOOKUP(B15,Database!$A:$M,MATCH(Recap!$E$5,Database!$A$1:$M$1,),)</f>
        <v>140922</v>
      </c>
      <c r="F15" s="96">
        <f t="shared" si="1"/>
        <v>-7.8570523381067039E-3</v>
      </c>
      <c r="G15" s="94">
        <f>VLOOKUP(B15,Database!$A:$M,MATCH(Recap!$G$5,Database!$A$1:$M$1,),)</f>
        <v>59290</v>
      </c>
      <c r="H15" s="96">
        <f t="shared" si="2"/>
        <v>-3.972920007126314E-2</v>
      </c>
      <c r="I15" s="94">
        <f>VLOOKUP(B15,Database!$A:$M,MATCH(Recap!$I$5,Database!$A$1:$M$1,),)</f>
        <v>151551</v>
      </c>
      <c r="J15" s="96">
        <f t="shared" si="3"/>
        <v>-2.0228859581070596E-2</v>
      </c>
      <c r="K15" s="94">
        <f>VLOOKUP(B15,Database!$A:$M,MATCH(Recap!$K$5,Database!$A$1:$M$1,),)</f>
        <v>75136</v>
      </c>
      <c r="L15" s="96">
        <f t="shared" si="4"/>
        <v>-2.5498690046950791E-2</v>
      </c>
      <c r="M15" s="94">
        <f>VLOOKUP(B15,Database!$A:$M,MATCH(Recap!$M$5,Database!$A$1:$M$1,),)</f>
        <v>27262</v>
      </c>
      <c r="N15" s="96">
        <f t="shared" si="5"/>
        <v>-1.009440813362382E-2</v>
      </c>
      <c r="O15" s="94">
        <f>VLOOKUP(B15,Database!$A:$M,MATCH(Recap!$O$5,Database!$A$1:$M$1,),)</f>
        <v>28943</v>
      </c>
      <c r="P15" s="96">
        <f t="shared" si="6"/>
        <v>-1.7615912022265971E-2</v>
      </c>
      <c r="Q15" s="94">
        <f>VLOOKUP(B15,Database!$A:$M,MATCH(Recap!$Q$5,Database!$A$1:$M$1,),)</f>
        <v>21152</v>
      </c>
      <c r="R15" s="96">
        <f t="shared" si="7"/>
        <v>-1.3846799384586694E-2</v>
      </c>
      <c r="S15" s="94">
        <f>VLOOKUP(B15,Database!$A:$M,MATCH(Recap!$S$5,Database!$A$1:$M$1,),)</f>
        <v>16647</v>
      </c>
      <c r="T15" s="96">
        <f t="shared" si="8"/>
        <v>-4.2031944277651017E-4</v>
      </c>
      <c r="U15" s="94">
        <f>VLOOKUP(B15,Database!$A:$M,MATCH(Recap!$U$5,Database!$A$1:$M$1,),)</f>
        <v>10144</v>
      </c>
      <c r="V15" s="96">
        <f t="shared" si="9"/>
        <v>6.1495734973219598E-3</v>
      </c>
    </row>
    <row r="16" spans="2:22" x14ac:dyDescent="0.35">
      <c r="B16" s="93">
        <v>42644</v>
      </c>
      <c r="C16" s="94">
        <f>VLOOKUP(B16,Database!$A:$M,MATCH(Recap!$C$5,Database!$A$1:$M$1,),)</f>
        <v>234217</v>
      </c>
      <c r="D16" s="96">
        <f t="shared" si="0"/>
        <v>8.4046876301733797E-2</v>
      </c>
      <c r="E16" s="94">
        <f>VLOOKUP(B16,Database!$A:$M,MATCH(Recap!$E$5,Database!$A$1:$M$1,),)</f>
        <v>142058</v>
      </c>
      <c r="F16" s="96">
        <f t="shared" si="1"/>
        <v>8.0611969742126859E-3</v>
      </c>
      <c r="G16" s="94">
        <f>VLOOKUP(B16,Database!$A:$M,MATCH(Recap!$G$5,Database!$A$1:$M$1,),)</f>
        <v>59413</v>
      </c>
      <c r="H16" s="96">
        <f t="shared" si="2"/>
        <v>2.0745488277955811E-3</v>
      </c>
      <c r="I16" s="94">
        <f>VLOOKUP(B16,Database!$A:$M,MATCH(Recap!$I$5,Database!$A$1:$M$1,),)</f>
        <v>170179</v>
      </c>
      <c r="J16" s="96">
        <f t="shared" si="3"/>
        <v>0.12291571814108782</v>
      </c>
      <c r="K16" s="94">
        <f>VLOOKUP(B16,Database!$A:$M,MATCH(Recap!$K$5,Database!$A$1:$M$1,),)</f>
        <v>92159</v>
      </c>
      <c r="L16" s="96">
        <f t="shared" si="4"/>
        <v>0.2265625</v>
      </c>
      <c r="M16" s="94">
        <f>VLOOKUP(B16,Database!$A:$M,MATCH(Recap!$M$5,Database!$A$1:$M$1,),)</f>
        <v>28280</v>
      </c>
      <c r="N16" s="96">
        <f t="shared" si="5"/>
        <v>3.7341354266011297E-2</v>
      </c>
      <c r="O16" s="94">
        <f>VLOOKUP(B16,Database!$A:$M,MATCH(Recap!$O$5,Database!$A$1:$M$1,),)</f>
        <v>28991</v>
      </c>
      <c r="P16" s="96">
        <f t="shared" si="6"/>
        <v>1.6584320906609543E-3</v>
      </c>
      <c r="Q16" s="94">
        <f>VLOOKUP(B16,Database!$A:$M,MATCH(Recap!$Q$5,Database!$A$1:$M$1,),)</f>
        <v>20980</v>
      </c>
      <c r="R16" s="96">
        <f t="shared" si="7"/>
        <v>-8.1316187594553703E-3</v>
      </c>
      <c r="S16" s="94">
        <f>VLOOKUP(B16,Database!$A:$M,MATCH(Recap!$S$5,Database!$A$1:$M$1,),)</f>
        <v>16783</v>
      </c>
      <c r="T16" s="96">
        <f t="shared" si="8"/>
        <v>8.1696401754069795E-3</v>
      </c>
      <c r="U16" s="94">
        <f>VLOOKUP(B16,Database!$A:$M,MATCH(Recap!$U$5,Database!$A$1:$M$1,),)</f>
        <v>10113</v>
      </c>
      <c r="V16" s="96">
        <f t="shared" si="9"/>
        <v>-3.0559936908517351E-3</v>
      </c>
    </row>
    <row r="17" spans="2:22" x14ac:dyDescent="0.35">
      <c r="B17" s="93">
        <v>42675</v>
      </c>
      <c r="C17" s="94">
        <f>VLOOKUP(B17,Database!$A:$M,MATCH(Recap!$C$5,Database!$A$1:$M$1,),)</f>
        <v>216703</v>
      </c>
      <c r="D17" s="96">
        <f t="shared" si="0"/>
        <v>-7.4776809539871147E-2</v>
      </c>
      <c r="E17" s="94">
        <f>VLOOKUP(B17,Database!$A:$M,MATCH(Recap!$E$5,Database!$A$1:$M$1,),)</f>
        <v>142414</v>
      </c>
      <c r="F17" s="96">
        <f t="shared" si="1"/>
        <v>2.5060186684312041E-3</v>
      </c>
      <c r="G17" s="94">
        <f>VLOOKUP(B17,Database!$A:$M,MATCH(Recap!$G$5,Database!$A$1:$M$1,),)</f>
        <v>59262</v>
      </c>
      <c r="H17" s="96">
        <f t="shared" si="2"/>
        <v>-2.5415313146954369E-3</v>
      </c>
      <c r="I17" s="94">
        <f>VLOOKUP(B17,Database!$A:$M,MATCH(Recap!$I$5,Database!$A$1:$M$1,),)</f>
        <v>153082</v>
      </c>
      <c r="J17" s="96">
        <f t="shared" si="3"/>
        <v>-0.10046480470563349</v>
      </c>
      <c r="K17" s="94">
        <f>VLOOKUP(B17,Database!$A:$M,MATCH(Recap!$K$5,Database!$A$1:$M$1,),)</f>
        <v>74289</v>
      </c>
      <c r="L17" s="96">
        <f t="shared" si="4"/>
        <v>-0.19390401371542659</v>
      </c>
      <c r="M17" s="94">
        <f>VLOOKUP(B17,Database!$A:$M,MATCH(Recap!$M$5,Database!$A$1:$M$1,),)</f>
        <v>28236</v>
      </c>
      <c r="N17" s="96">
        <f t="shared" si="5"/>
        <v>-1.5558698727015559E-3</v>
      </c>
      <c r="O17" s="94">
        <f>VLOOKUP(B17,Database!$A:$M,MATCH(Recap!$O$5,Database!$A$1:$M$1,),)</f>
        <v>28877</v>
      </c>
      <c r="P17" s="96">
        <f t="shared" si="6"/>
        <v>-3.9322548377082539E-3</v>
      </c>
      <c r="Q17" s="94">
        <f>VLOOKUP(B17,Database!$A:$M,MATCH(Recap!$Q$5,Database!$A$1:$M$1,),)</f>
        <v>20797</v>
      </c>
      <c r="R17" s="96">
        <f t="shared" si="7"/>
        <v>-8.7225929456625356E-3</v>
      </c>
      <c r="S17" s="94">
        <f>VLOOKUP(B17,Database!$A:$M,MATCH(Recap!$S$5,Database!$A$1:$M$1,),)</f>
        <v>17302</v>
      </c>
      <c r="T17" s="96">
        <f t="shared" si="8"/>
        <v>3.0924149436930226E-2</v>
      </c>
      <c r="U17" s="94">
        <f>VLOOKUP(B17,Database!$A:$M,MATCH(Recap!$U$5,Database!$A$1:$M$1,),)</f>
        <v>10277</v>
      </c>
      <c r="V17" s="96">
        <f t="shared" si="9"/>
        <v>1.6216750716899042E-2</v>
      </c>
    </row>
    <row r="18" spans="2:22" x14ac:dyDescent="0.35">
      <c r="B18" s="93">
        <v>42705</v>
      </c>
      <c r="C18" s="94">
        <f>VLOOKUP(B18,Database!$A:$M,MATCH(Recap!$C$5,Database!$A$1:$M$1,),)</f>
        <v>218450</v>
      </c>
      <c r="D18" s="96">
        <f t="shared" si="0"/>
        <v>8.0617250338020242E-3</v>
      </c>
      <c r="E18" s="94">
        <f>VLOOKUP(B18,Database!$A:$M,MATCH(Recap!$E$5,Database!$A$1:$M$1,),)</f>
        <v>142533</v>
      </c>
      <c r="F18" s="96">
        <f t="shared" si="1"/>
        <v>8.3559200640386476E-4</v>
      </c>
      <c r="G18" s="94">
        <f>VLOOKUP(B18,Database!$A:$M,MATCH(Recap!$G$5,Database!$A$1:$M$1,),)</f>
        <v>59355</v>
      </c>
      <c r="H18" s="96">
        <f t="shared" si="2"/>
        <v>1.5693024197630859E-3</v>
      </c>
      <c r="I18" s="94">
        <f>VLOOKUP(B18,Database!$A:$M,MATCH(Recap!$I$5,Database!$A$1:$M$1,),)</f>
        <v>153879</v>
      </c>
      <c r="J18" s="96">
        <f t="shared" si="3"/>
        <v>5.2063599900706815E-3</v>
      </c>
      <c r="K18" s="94">
        <f>VLOOKUP(B18,Database!$A:$M,MATCH(Recap!$K$5,Database!$A$1:$M$1,),)</f>
        <v>75917</v>
      </c>
      <c r="L18" s="96">
        <f t="shared" si="4"/>
        <v>2.1914415323937595E-2</v>
      </c>
      <c r="M18" s="94">
        <f>VLOOKUP(B18,Database!$A:$M,MATCH(Recap!$M$5,Database!$A$1:$M$1,),)</f>
        <v>27438</v>
      </c>
      <c r="N18" s="96">
        <f t="shared" si="5"/>
        <v>-2.8261793455163622E-2</v>
      </c>
      <c r="O18" s="94">
        <f>VLOOKUP(B18,Database!$A:$M,MATCH(Recap!$O$5,Database!$A$1:$M$1,),)</f>
        <v>28893</v>
      </c>
      <c r="P18" s="96">
        <f t="shared" si="6"/>
        <v>5.5407417668040305E-4</v>
      </c>
      <c r="Q18" s="94">
        <f>VLOOKUP(B18,Database!$A:$M,MATCH(Recap!$Q$5,Database!$A$1:$M$1,),)</f>
        <v>21338</v>
      </c>
      <c r="R18" s="96">
        <f t="shared" si="7"/>
        <v>2.6013367312593162E-2</v>
      </c>
      <c r="S18" s="94">
        <f>VLOOKUP(B18,Database!$A:$M,MATCH(Recap!$S$5,Database!$A$1:$M$1,),)</f>
        <v>17445</v>
      </c>
      <c r="T18" s="96">
        <f t="shared" si="8"/>
        <v>8.264940469309907E-3</v>
      </c>
      <c r="U18" s="94">
        <f>VLOOKUP(B18,Database!$A:$M,MATCH(Recap!$U$5,Database!$A$1:$M$1,),)</f>
        <v>10577</v>
      </c>
      <c r="V18" s="96">
        <f t="shared" si="9"/>
        <v>2.9191398267977037E-2</v>
      </c>
    </row>
    <row r="19" spans="2:22" x14ac:dyDescent="0.35">
      <c r="B19" s="93">
        <v>42736</v>
      </c>
      <c r="C19" s="94">
        <f>VLOOKUP(B19,Database!$A:$M,MATCH(Recap!$C$5,Database!$A$1:$M$1,),)</f>
        <v>218011</v>
      </c>
      <c r="D19" s="96">
        <f t="shared" si="0"/>
        <v>-2.0096131837949189E-3</v>
      </c>
      <c r="E19" s="94">
        <f>VLOOKUP(B19,Database!$A:$M,MATCH(Recap!$E$5,Database!$A$1:$M$1,),)</f>
        <v>145178</v>
      </c>
      <c r="F19" s="96">
        <f t="shared" si="1"/>
        <v>1.8557106073681183E-2</v>
      </c>
      <c r="G19" s="94">
        <f>VLOOKUP(B19,Database!$A:$M,MATCH(Recap!$G$5,Database!$A$1:$M$1,),)</f>
        <v>60689</v>
      </c>
      <c r="H19" s="96">
        <f t="shared" si="2"/>
        <v>2.2474938926796393E-2</v>
      </c>
      <c r="I19" s="94">
        <f>VLOOKUP(B19,Database!$A:$M,MATCH(Recap!$I$5,Database!$A$1:$M$1,),)</f>
        <v>153356</v>
      </c>
      <c r="J19" s="96">
        <f t="shared" si="3"/>
        <v>-3.3987743616737827E-3</v>
      </c>
      <c r="K19" s="94">
        <f>VLOOKUP(B19,Database!$A:$M,MATCH(Recap!$K$5,Database!$A$1:$M$1,),)</f>
        <v>72833</v>
      </c>
      <c r="L19" s="96">
        <f t="shared" si="4"/>
        <v>-4.062331230159253E-2</v>
      </c>
      <c r="M19" s="94">
        <f>VLOOKUP(B19,Database!$A:$M,MATCH(Recap!$M$5,Database!$A$1:$M$1,),)</f>
        <v>28057</v>
      </c>
      <c r="N19" s="96">
        <f t="shared" si="5"/>
        <v>2.2559953349369489E-2</v>
      </c>
      <c r="O19" s="94">
        <f>VLOOKUP(B19,Database!$A:$M,MATCH(Recap!$O$5,Database!$A$1:$M$1,),)</f>
        <v>29753</v>
      </c>
      <c r="P19" s="96">
        <f t="shared" si="6"/>
        <v>2.9764994981483404E-2</v>
      </c>
      <c r="Q19" s="94">
        <f>VLOOKUP(B19,Database!$A:$M,MATCH(Recap!$Q$5,Database!$A$1:$M$1,),)</f>
        <v>21297</v>
      </c>
      <c r="R19" s="96">
        <f t="shared" si="7"/>
        <v>-1.9214546817883588E-3</v>
      </c>
      <c r="S19" s="94">
        <f>VLOOKUP(B19,Database!$A:$M,MATCH(Recap!$S$5,Database!$A$1:$M$1,),)</f>
        <v>17785</v>
      </c>
      <c r="T19" s="96">
        <f t="shared" si="8"/>
        <v>1.948982516480367E-2</v>
      </c>
      <c r="U19" s="94">
        <f>VLOOKUP(B19,Database!$A:$M,MATCH(Recap!$U$5,Database!$A$1:$M$1,),)</f>
        <v>10584</v>
      </c>
      <c r="V19" s="96">
        <f t="shared" si="9"/>
        <v>6.6181336863004633E-4</v>
      </c>
    </row>
    <row r="20" spans="2:22" x14ac:dyDescent="0.35">
      <c r="B20" s="93">
        <v>42767</v>
      </c>
      <c r="C20" s="94">
        <f>VLOOKUP(B20,Database!$A:$M,MATCH(Recap!$C$5,Database!$A$1:$M$1,),)</f>
        <v>221815</v>
      </c>
      <c r="D20" s="96">
        <f t="shared" si="0"/>
        <v>1.7448660847388435E-2</v>
      </c>
      <c r="E20" s="94">
        <f>VLOOKUP(B20,Database!$A:$M,MATCH(Recap!$E$5,Database!$A$1:$M$1,),)</f>
        <v>145214</v>
      </c>
      <c r="F20" s="96">
        <f t="shared" si="1"/>
        <v>2.4797145573020703E-4</v>
      </c>
      <c r="G20" s="94">
        <f>VLOOKUP(B20,Database!$A:$M,MATCH(Recap!$G$5,Database!$A$1:$M$1,),)</f>
        <v>60752</v>
      </c>
      <c r="H20" s="96">
        <f t="shared" si="2"/>
        <v>1.0380793883570333E-3</v>
      </c>
      <c r="I20" s="94">
        <f>VLOOKUP(B20,Database!$A:$M,MATCH(Recap!$I$5,Database!$A$1:$M$1,),)</f>
        <v>157903</v>
      </c>
      <c r="J20" s="96">
        <f t="shared" si="3"/>
        <v>2.9649964787813975E-2</v>
      </c>
      <c r="K20" s="94">
        <f>VLOOKUP(B20,Database!$A:$M,MATCH(Recap!$K$5,Database!$A$1:$M$1,),)</f>
        <v>76601</v>
      </c>
      <c r="L20" s="96">
        <f t="shared" si="4"/>
        <v>5.1734790548240497E-2</v>
      </c>
      <c r="M20" s="94">
        <f>VLOOKUP(B20,Database!$A:$M,MATCH(Recap!$M$5,Database!$A$1:$M$1,),)</f>
        <v>27454</v>
      </c>
      <c r="N20" s="96">
        <f t="shared" si="5"/>
        <v>-2.1491962790034572E-2</v>
      </c>
      <c r="O20" s="94">
        <f>VLOOKUP(B20,Database!$A:$M,MATCH(Recap!$O$5,Database!$A$1:$M$1,),)</f>
        <v>29511</v>
      </c>
      <c r="P20" s="96">
        <f t="shared" si="6"/>
        <v>-8.1336335831680845E-3</v>
      </c>
      <c r="Q20" s="94">
        <f>VLOOKUP(B20,Database!$A:$M,MATCH(Recap!$Q$5,Database!$A$1:$M$1,),)</f>
        <v>21660</v>
      </c>
      <c r="R20" s="96">
        <f t="shared" si="7"/>
        <v>1.7044654176644598E-2</v>
      </c>
      <c r="S20" s="94">
        <f>VLOOKUP(B20,Database!$A:$M,MATCH(Recap!$S$5,Database!$A$1:$M$1,),)</f>
        <v>18209</v>
      </c>
      <c r="T20" s="96">
        <f t="shared" si="8"/>
        <v>2.3840314872083216E-2</v>
      </c>
      <c r="U20" s="94">
        <f>VLOOKUP(B20,Database!$A:$M,MATCH(Recap!$U$5,Database!$A$1:$M$1,),)</f>
        <v>10550</v>
      </c>
      <c r="V20" s="96">
        <f t="shared" si="9"/>
        <v>-3.2123960695389269E-3</v>
      </c>
    </row>
    <row r="21" spans="2:22" x14ac:dyDescent="0.35">
      <c r="B21" s="93">
        <v>42795</v>
      </c>
      <c r="C21" s="94">
        <f>VLOOKUP(B21,Database!$A:$M,MATCH(Recap!$C$5,Database!$A$1:$M$1,),)</f>
        <v>221965</v>
      </c>
      <c r="D21" s="96">
        <f t="shared" si="0"/>
        <v>6.7623920834930008E-4</v>
      </c>
      <c r="E21" s="94">
        <f>VLOOKUP(B21,Database!$A:$M,MATCH(Recap!$E$5,Database!$A$1:$M$1,),)</f>
        <v>146824</v>
      </c>
      <c r="F21" s="96">
        <f t="shared" si="1"/>
        <v>1.1087085267260733E-2</v>
      </c>
      <c r="G21" s="94">
        <f>VLOOKUP(B21,Database!$A:$M,MATCH(Recap!$G$5,Database!$A$1:$M$1,),)</f>
        <v>61176</v>
      </c>
      <c r="H21" s="96">
        <f t="shared" si="2"/>
        <v>6.9791941006057409E-3</v>
      </c>
      <c r="I21" s="94">
        <f>VLOOKUP(B21,Database!$A:$M,MATCH(Recap!$I$5,Database!$A$1:$M$1,),)</f>
        <v>158150</v>
      </c>
      <c r="J21" s="96">
        <f t="shared" si="3"/>
        <v>1.5642514708396928E-3</v>
      </c>
      <c r="K21" s="94">
        <f>VLOOKUP(B21,Database!$A:$M,MATCH(Recap!$K$5,Database!$A$1:$M$1,),)</f>
        <v>75141</v>
      </c>
      <c r="L21" s="96">
        <f t="shared" si="4"/>
        <v>-1.9059803396822495E-2</v>
      </c>
      <c r="M21" s="94">
        <f>VLOOKUP(B21,Database!$A:$M,MATCH(Recap!$M$5,Database!$A$1:$M$1,),)</f>
        <v>29044</v>
      </c>
      <c r="N21" s="96">
        <f t="shared" si="5"/>
        <v>5.7915057915057917E-2</v>
      </c>
      <c r="O21" s="94">
        <f>VLOOKUP(B21,Database!$A:$M,MATCH(Recap!$O$5,Database!$A$1:$M$1,),)</f>
        <v>30307</v>
      </c>
      <c r="P21" s="96">
        <f t="shared" si="6"/>
        <v>2.697299312120904E-2</v>
      </c>
      <c r="Q21" s="94">
        <f>VLOOKUP(B21,Database!$A:$M,MATCH(Recap!$Q$5,Database!$A$1:$M$1,),)</f>
        <v>21015</v>
      </c>
      <c r="R21" s="96">
        <f t="shared" si="7"/>
        <v>-2.9778393351800554E-2</v>
      </c>
      <c r="S21" s="94">
        <f>VLOOKUP(B21,Database!$A:$M,MATCH(Recap!$S$5,Database!$A$1:$M$1,),)</f>
        <v>18314</v>
      </c>
      <c r="T21" s="96">
        <f t="shared" si="8"/>
        <v>5.7663792630018125E-3</v>
      </c>
      <c r="U21" s="94">
        <f>VLOOKUP(B21,Database!$A:$M,MATCH(Recap!$U$5,Database!$A$1:$M$1,),)</f>
        <v>10590</v>
      </c>
      <c r="V21" s="96">
        <f t="shared" si="9"/>
        <v>3.7914691943127963E-3</v>
      </c>
    </row>
    <row r="22" spans="2:22" x14ac:dyDescent="0.35">
      <c r="B22" s="93">
        <v>42826</v>
      </c>
      <c r="C22" s="94">
        <f>VLOOKUP(B22,Database!$A:$M,MATCH(Recap!$C$5,Database!$A$1:$M$1,),)</f>
        <v>222025</v>
      </c>
      <c r="D22" s="96">
        <f t="shared" si="0"/>
        <v>2.703128871668957E-4</v>
      </c>
      <c r="E22" s="94">
        <f>VLOOKUP(B22,Database!$A:$M,MATCH(Recap!$E$5,Database!$A$1:$M$1,),)</f>
        <v>146180</v>
      </c>
      <c r="F22" s="96">
        <f t="shared" si="1"/>
        <v>-4.3862038903721466E-3</v>
      </c>
      <c r="G22" s="94">
        <f>VLOOKUP(B22,Database!$A:$M,MATCH(Recap!$G$5,Database!$A$1:$M$1,),)</f>
        <v>61339</v>
      </c>
      <c r="H22" s="96">
        <f t="shared" si="2"/>
        <v>2.6644435726428666E-3</v>
      </c>
      <c r="I22" s="94">
        <f>VLOOKUP(B22,Database!$A:$M,MATCH(Recap!$I$5,Database!$A$1:$M$1,),)</f>
        <v>159159</v>
      </c>
      <c r="J22" s="96">
        <f t="shared" si="3"/>
        <v>6.380018969332912E-3</v>
      </c>
      <c r="K22" s="94">
        <f>VLOOKUP(B22,Database!$A:$M,MATCH(Recap!$K$5,Database!$A$1:$M$1,),)</f>
        <v>75845</v>
      </c>
      <c r="L22" s="96">
        <f t="shared" si="4"/>
        <v>9.3690528473137167E-3</v>
      </c>
      <c r="M22" s="94">
        <f>VLOOKUP(B22,Database!$A:$M,MATCH(Recap!$M$5,Database!$A$1:$M$1,),)</f>
        <v>28180</v>
      </c>
      <c r="N22" s="96">
        <f t="shared" si="5"/>
        <v>-2.974796859936648E-2</v>
      </c>
      <c r="O22" s="94">
        <f>VLOOKUP(B22,Database!$A:$M,MATCH(Recap!$O$5,Database!$A$1:$M$1,),)</f>
        <v>30463</v>
      </c>
      <c r="P22" s="96">
        <f t="shared" si="6"/>
        <v>5.1473257003332561E-3</v>
      </c>
      <c r="Q22" s="94">
        <f>VLOOKUP(B22,Database!$A:$M,MATCH(Recap!$Q$5,Database!$A$1:$M$1,),)</f>
        <v>21311</v>
      </c>
      <c r="R22" s="96">
        <f t="shared" si="7"/>
        <v>1.4085177254342137E-2</v>
      </c>
      <c r="S22" s="94">
        <f>VLOOKUP(B22,Database!$A:$M,MATCH(Recap!$S$5,Database!$A$1:$M$1,),)</f>
        <v>18370</v>
      </c>
      <c r="T22" s="96">
        <f t="shared" si="8"/>
        <v>3.0577700120126678E-3</v>
      </c>
      <c r="U22" s="94">
        <f>VLOOKUP(B22,Database!$A:$M,MATCH(Recap!$U$5,Database!$A$1:$M$1,),)</f>
        <v>10322</v>
      </c>
      <c r="V22" s="96">
        <f t="shared" si="9"/>
        <v>-2.530689329556185E-2</v>
      </c>
    </row>
    <row r="23" spans="2:22" x14ac:dyDescent="0.35">
      <c r="B23" s="93">
        <v>42856</v>
      </c>
      <c r="C23" s="94">
        <f>VLOOKUP(B23,Database!$A:$M,MATCH(Recap!$C$5,Database!$A$1:$M$1,),)</f>
        <v>222398</v>
      </c>
      <c r="D23" s="96">
        <f t="shared" si="0"/>
        <v>1.6799909920054048E-3</v>
      </c>
      <c r="E23" s="94">
        <f>VLOOKUP(B23,Database!$A:$M,MATCH(Recap!$E$5,Database!$A$1:$M$1,),)</f>
        <v>147376</v>
      </c>
      <c r="F23" s="96">
        <f t="shared" si="1"/>
        <v>8.1816938021617193E-3</v>
      </c>
      <c r="G23" s="94">
        <f>VLOOKUP(B23,Database!$A:$M,MATCH(Recap!$G$5,Database!$A$1:$M$1,),)</f>
        <v>61398</v>
      </c>
      <c r="H23" s="96">
        <f t="shared" si="2"/>
        <v>9.6186765353201067E-4</v>
      </c>
      <c r="I23" s="94">
        <f>VLOOKUP(B23,Database!$A:$M,MATCH(Recap!$I$5,Database!$A$1:$M$1,),)</f>
        <v>157793</v>
      </c>
      <c r="J23" s="96">
        <f t="shared" si="3"/>
        <v>-8.5826123561972625E-3</v>
      </c>
      <c r="K23" s="94">
        <f>VLOOKUP(B23,Database!$A:$M,MATCH(Recap!$K$5,Database!$A$1:$M$1,),)</f>
        <v>75022</v>
      </c>
      <c r="L23" s="96">
        <f t="shared" si="4"/>
        <v>-1.0851077856153999E-2</v>
      </c>
      <c r="M23" s="94">
        <f>VLOOKUP(B23,Database!$A:$M,MATCH(Recap!$M$5,Database!$A$1:$M$1,),)</f>
        <v>28710</v>
      </c>
      <c r="N23" s="96">
        <f t="shared" si="5"/>
        <v>1.8807665010645847E-2</v>
      </c>
      <c r="O23" s="94">
        <f>VLOOKUP(B23,Database!$A:$M,MATCH(Recap!$O$5,Database!$A$1:$M$1,),)</f>
        <v>30809</v>
      </c>
      <c r="P23" s="96">
        <f t="shared" si="6"/>
        <v>1.1358040902077931E-2</v>
      </c>
      <c r="Q23" s="94">
        <f>VLOOKUP(B23,Database!$A:$M,MATCH(Recap!$Q$5,Database!$A$1:$M$1,),)</f>
        <v>21260</v>
      </c>
      <c r="R23" s="96">
        <f t="shared" si="7"/>
        <v>-2.3931303082914929E-3</v>
      </c>
      <c r="S23" s="94">
        <f>VLOOKUP(B23,Database!$A:$M,MATCH(Recap!$S$5,Database!$A$1:$M$1,),)</f>
        <v>18455</v>
      </c>
      <c r="T23" s="96">
        <f t="shared" si="8"/>
        <v>4.6271094175285793E-3</v>
      </c>
      <c r="U23" s="94">
        <f>VLOOKUP(B23,Database!$A:$M,MATCH(Recap!$U$5,Database!$A$1:$M$1,),)</f>
        <v>10524</v>
      </c>
      <c r="V23" s="96">
        <f t="shared" si="9"/>
        <v>1.9569850804107732E-2</v>
      </c>
    </row>
    <row r="24" spans="2:22" x14ac:dyDescent="0.35">
      <c r="B24" s="93">
        <v>42887</v>
      </c>
      <c r="C24" s="94">
        <f>VLOOKUP(B24,Database!$A:$M,MATCH(Recap!$C$5,Database!$A$1:$M$1,),)</f>
        <v>238347</v>
      </c>
      <c r="D24" s="96">
        <f t="shared" si="0"/>
        <v>7.1713774404446082E-2</v>
      </c>
      <c r="E24" s="94">
        <f>VLOOKUP(B24,Database!$A:$M,MATCH(Recap!$E$5,Database!$A$1:$M$1,),)</f>
        <v>145833</v>
      </c>
      <c r="F24" s="96">
        <f t="shared" si="1"/>
        <v>-1.0469818695038541E-2</v>
      </c>
      <c r="G24" s="94">
        <f>VLOOKUP(B24,Database!$A:$M,MATCH(Recap!$G$5,Database!$A$1:$M$1,),)</f>
        <v>60227</v>
      </c>
      <c r="H24" s="96">
        <f t="shared" si="2"/>
        <v>-1.907228248477149E-2</v>
      </c>
      <c r="I24" s="94">
        <f>VLOOKUP(B24,Database!$A:$M,MATCH(Recap!$I$5,Database!$A$1:$M$1,),)</f>
        <v>174423</v>
      </c>
      <c r="J24" s="96">
        <f t="shared" si="3"/>
        <v>0.10539124042257896</v>
      </c>
      <c r="K24" s="94">
        <f>VLOOKUP(B24,Database!$A:$M,MATCH(Recap!$K$5,Database!$A$1:$M$1,),)</f>
        <v>92514</v>
      </c>
      <c r="L24" s="96">
        <f t="shared" si="4"/>
        <v>0.23315827357308522</v>
      </c>
      <c r="M24" s="94">
        <f>VLOOKUP(B24,Database!$A:$M,MATCH(Recap!$M$5,Database!$A$1:$M$1,),)</f>
        <v>28506</v>
      </c>
      <c r="N24" s="96">
        <f t="shared" si="5"/>
        <v>-7.1055381400208983E-3</v>
      </c>
      <c r="O24" s="94">
        <f>VLOOKUP(B24,Database!$A:$M,MATCH(Recap!$O$5,Database!$A$1:$M$1,),)</f>
        <v>30402</v>
      </c>
      <c r="P24" s="96">
        <f t="shared" si="6"/>
        <v>-1.3210425525008927E-2</v>
      </c>
      <c r="Q24" s="94">
        <f>VLOOKUP(B24,Database!$A:$M,MATCH(Recap!$Q$5,Database!$A$1:$M$1,),)</f>
        <v>20951</v>
      </c>
      <c r="R24" s="96">
        <f t="shared" si="7"/>
        <v>-1.4534336782690499E-2</v>
      </c>
      <c r="S24" s="94">
        <f>VLOOKUP(B24,Database!$A:$M,MATCH(Recap!$S$5,Database!$A$1:$M$1,),)</f>
        <v>18416</v>
      </c>
      <c r="T24" s="96">
        <f t="shared" si="8"/>
        <v>-2.1132484421565972E-3</v>
      </c>
      <c r="U24" s="94">
        <f>VLOOKUP(B24,Database!$A:$M,MATCH(Recap!$U$5,Database!$A$1:$M$1,),)</f>
        <v>10039</v>
      </c>
      <c r="V24" s="96">
        <f t="shared" si="9"/>
        <v>-4.6085138730520718E-2</v>
      </c>
    </row>
    <row r="25" spans="2:22" x14ac:dyDescent="0.35">
      <c r="B25" s="93">
        <v>42917</v>
      </c>
      <c r="C25" s="94">
        <f>VLOOKUP(B25,Database!$A:$M,MATCH(Recap!$C$5,Database!$A$1:$M$1,),)</f>
        <v>218978</v>
      </c>
      <c r="D25" s="96">
        <f t="shared" si="0"/>
        <v>-8.1263871582188993E-2</v>
      </c>
      <c r="E25" s="94">
        <f>VLOOKUP(B25,Database!$A:$M,MATCH(Recap!$E$5,Database!$A$1:$M$1,),)</f>
        <v>147843</v>
      </c>
      <c r="F25" s="96">
        <f t="shared" si="1"/>
        <v>1.378288864660262E-2</v>
      </c>
      <c r="G25" s="94">
        <f>VLOOKUP(B25,Database!$A:$M,MATCH(Recap!$G$5,Database!$A$1:$M$1,),)</f>
        <v>61403</v>
      </c>
      <c r="H25" s="96">
        <f t="shared" si="2"/>
        <v>1.9526126156042971E-2</v>
      </c>
      <c r="I25" s="94">
        <f>VLOOKUP(B25,Database!$A:$M,MATCH(Recap!$I$5,Database!$A$1:$M$1,),)</f>
        <v>156286</v>
      </c>
      <c r="J25" s="96">
        <f t="shared" si="3"/>
        <v>-0.10398284629893993</v>
      </c>
      <c r="K25" s="94">
        <f>VLOOKUP(B25,Database!$A:$M,MATCH(Recap!$K$5,Database!$A$1:$M$1,),)</f>
        <v>71135</v>
      </c>
      <c r="L25" s="96">
        <f t="shared" si="4"/>
        <v>-0.23108934863912489</v>
      </c>
      <c r="M25" s="94">
        <f>VLOOKUP(B25,Database!$A:$M,MATCH(Recap!$M$5,Database!$A$1:$M$1,),)</f>
        <v>28800</v>
      </c>
      <c r="N25" s="96">
        <f t="shared" si="5"/>
        <v>1.0313618185645128E-2</v>
      </c>
      <c r="O25" s="94">
        <f>VLOOKUP(B25,Database!$A:$M,MATCH(Recap!$O$5,Database!$A$1:$M$1,),)</f>
        <v>30500</v>
      </c>
      <c r="P25" s="96">
        <f t="shared" si="6"/>
        <v>3.22347213999079E-3</v>
      </c>
      <c r="Q25" s="94">
        <f>VLOOKUP(B25,Database!$A:$M,MATCH(Recap!$Q$5,Database!$A$1:$M$1,),)</f>
        <v>21871</v>
      </c>
      <c r="R25" s="96">
        <f t="shared" si="7"/>
        <v>4.3911985108109397E-2</v>
      </c>
      <c r="S25" s="94">
        <f>VLOOKUP(B25,Database!$A:$M,MATCH(Recap!$S$5,Database!$A$1:$M$1,),)</f>
        <v>18833</v>
      </c>
      <c r="T25" s="96">
        <f t="shared" si="8"/>
        <v>2.2643353605560381E-2</v>
      </c>
      <c r="U25" s="94">
        <f>VLOOKUP(B25,Database!$A:$M,MATCH(Recap!$U$5,Database!$A$1:$M$1,),)</f>
        <v>10014</v>
      </c>
      <c r="V25" s="96">
        <f t="shared" si="9"/>
        <v>-2.4902878772786134E-3</v>
      </c>
    </row>
    <row r="26" spans="2:22" x14ac:dyDescent="0.35">
      <c r="B26" s="93">
        <v>42948</v>
      </c>
      <c r="C26" s="94">
        <f>VLOOKUP(B26,Database!$A:$M,MATCH(Recap!$C$5,Database!$A$1:$M$1,),)</f>
        <v>223602</v>
      </c>
      <c r="D26" s="96">
        <f t="shared" si="0"/>
        <v>2.1116276520929043E-2</v>
      </c>
      <c r="E26" s="94">
        <f>VLOOKUP(B26,Database!$A:$M,MATCH(Recap!$E$5,Database!$A$1:$M$1,),)</f>
        <v>148854</v>
      </c>
      <c r="F26" s="96">
        <f t="shared" si="1"/>
        <v>6.8383352610539563E-3</v>
      </c>
      <c r="G26" s="94">
        <f>VLOOKUP(B26,Database!$A:$M,MATCH(Recap!$G$5,Database!$A$1:$M$1,),)</f>
        <v>61643</v>
      </c>
      <c r="H26" s="96">
        <f t="shared" si="2"/>
        <v>3.9086038141458888E-3</v>
      </c>
      <c r="I26" s="94">
        <f>VLOOKUP(B26,Database!$A:$M,MATCH(Recap!$I$5,Database!$A$1:$M$1,),)</f>
        <v>159269</v>
      </c>
      <c r="J26" s="96">
        <f t="shared" si="3"/>
        <v>1.9086802400726872E-2</v>
      </c>
      <c r="K26" s="94">
        <f>VLOOKUP(B26,Database!$A:$M,MATCH(Recap!$K$5,Database!$A$1:$M$1,),)</f>
        <v>74748</v>
      </c>
      <c r="L26" s="96">
        <f t="shared" si="4"/>
        <v>5.0790749982427781E-2</v>
      </c>
      <c r="M26" s="94">
        <f>VLOOKUP(B26,Database!$A:$M,MATCH(Recap!$M$5,Database!$A$1:$M$1,),)</f>
        <v>29060</v>
      </c>
      <c r="N26" s="96">
        <f t="shared" si="5"/>
        <v>9.0277777777777769E-3</v>
      </c>
      <c r="O26" s="94">
        <f>VLOOKUP(B26,Database!$A:$M,MATCH(Recap!$O$5,Database!$A$1:$M$1,),)</f>
        <v>30449</v>
      </c>
      <c r="P26" s="96">
        <f t="shared" si="6"/>
        <v>-1.6721311475409836E-3</v>
      </c>
      <c r="Q26" s="94">
        <f>VLOOKUP(B26,Database!$A:$M,MATCH(Recap!$Q$5,Database!$A$1:$M$1,),)</f>
        <v>21755</v>
      </c>
      <c r="R26" s="96">
        <f t="shared" si="7"/>
        <v>-5.303826985505921E-3</v>
      </c>
      <c r="S26" s="94">
        <f>VLOOKUP(B26,Database!$A:$M,MATCH(Recap!$S$5,Database!$A$1:$M$1,),)</f>
        <v>19416</v>
      </c>
      <c r="T26" s="96">
        <f t="shared" si="8"/>
        <v>3.0956300111506397E-2</v>
      </c>
      <c r="U26" s="94">
        <f>VLOOKUP(B26,Database!$A:$M,MATCH(Recap!$U$5,Database!$A$1:$M$1,),)</f>
        <v>10290</v>
      </c>
      <c r="V26" s="96">
        <f t="shared" si="9"/>
        <v>2.7561414020371482E-2</v>
      </c>
    </row>
    <row r="27" spans="2:22" x14ac:dyDescent="0.35">
      <c r="B27" s="93">
        <v>42979</v>
      </c>
      <c r="C27" s="94">
        <f>VLOOKUP(B27,Database!$A:$M,MATCH(Recap!$C$5,Database!$A$1:$M$1,),)</f>
        <v>228198</v>
      </c>
      <c r="D27" s="96">
        <f t="shared" si="0"/>
        <v>2.0554377867818715E-2</v>
      </c>
      <c r="E27" s="94">
        <f>VLOOKUP(B27,Database!$A:$M,MATCH(Recap!$E$5,Database!$A$1:$M$1,),)</f>
        <v>150371</v>
      </c>
      <c r="F27" s="96">
        <f t="shared" si="1"/>
        <v>1.0191194055920566E-2</v>
      </c>
      <c r="G27" s="94">
        <f>VLOOKUP(B27,Database!$A:$M,MATCH(Recap!$G$5,Database!$A$1:$M$1,),)</f>
        <v>63497</v>
      </c>
      <c r="H27" s="96">
        <f t="shared" si="2"/>
        <v>3.0076407702415521E-2</v>
      </c>
      <c r="I27" s="94">
        <f>VLOOKUP(B27,Database!$A:$M,MATCH(Recap!$I$5,Database!$A$1:$M$1,),)</f>
        <v>164280</v>
      </c>
      <c r="J27" s="96">
        <f t="shared" si="3"/>
        <v>3.1462494270699255E-2</v>
      </c>
      <c r="K27" s="94">
        <f>VLOOKUP(B27,Database!$A:$M,MATCH(Recap!$K$5,Database!$A$1:$M$1,),)</f>
        <v>77827</v>
      </c>
      <c r="L27" s="96">
        <f t="shared" si="4"/>
        <v>4.1191737571573822E-2</v>
      </c>
      <c r="M27" s="94">
        <f>VLOOKUP(B27,Database!$A:$M,MATCH(Recap!$M$5,Database!$A$1:$M$1,),)</f>
        <v>29718</v>
      </c>
      <c r="N27" s="96">
        <f t="shared" si="5"/>
        <v>2.2642807983482449E-2</v>
      </c>
      <c r="O27" s="94">
        <f>VLOOKUP(B27,Database!$A:$M,MATCH(Recap!$O$5,Database!$A$1:$M$1,),)</f>
        <v>30739</v>
      </c>
      <c r="P27" s="96">
        <f t="shared" si="6"/>
        <v>9.5241223028670885E-3</v>
      </c>
      <c r="Q27" s="94">
        <f>VLOOKUP(B27,Database!$A:$M,MATCH(Recap!$Q$5,Database!$A$1:$M$1,),)</f>
        <v>22538</v>
      </c>
      <c r="R27" s="96">
        <f t="shared" si="7"/>
        <v>3.5991726039990804E-2</v>
      </c>
      <c r="S27" s="94">
        <f>VLOOKUP(B27,Database!$A:$M,MATCH(Recap!$S$5,Database!$A$1:$M$1,),)</f>
        <v>18611</v>
      </c>
      <c r="T27" s="96">
        <f t="shared" si="8"/>
        <v>-4.1460651009476719E-2</v>
      </c>
      <c r="U27" s="94">
        <f>VLOOKUP(B27,Database!$A:$M,MATCH(Recap!$U$5,Database!$A$1:$M$1,),)</f>
        <v>10615</v>
      </c>
      <c r="V27" s="96">
        <f t="shared" si="9"/>
        <v>3.1584062196307092E-2</v>
      </c>
    </row>
    <row r="28" spans="2:22" x14ac:dyDescent="0.35">
      <c r="B28" s="93">
        <v>43009</v>
      </c>
      <c r="C28" s="94">
        <f>VLOOKUP(B28,Database!$A:$M,MATCH(Recap!$C$5,Database!$A$1:$M$1,),)</f>
        <v>229757</v>
      </c>
      <c r="D28" s="96">
        <f t="shared" si="0"/>
        <v>6.8317864310817799E-3</v>
      </c>
      <c r="E28" s="94">
        <f>VLOOKUP(B28,Database!$A:$M,MATCH(Recap!$E$5,Database!$A$1:$M$1,),)</f>
        <v>153146</v>
      </c>
      <c r="F28" s="96">
        <f t="shared" si="1"/>
        <v>1.8454356225602011E-2</v>
      </c>
      <c r="G28" s="94">
        <f>VLOOKUP(B28,Database!$A:$M,MATCH(Recap!$G$5,Database!$A$1:$M$1,),)</f>
        <v>63980</v>
      </c>
      <c r="H28" s="96">
        <f t="shared" si="2"/>
        <v>7.6066585822952264E-3</v>
      </c>
      <c r="I28" s="94">
        <f>VLOOKUP(B28,Database!$A:$M,MATCH(Recap!$I$5,Database!$A$1:$M$1,),)</f>
        <v>164181</v>
      </c>
      <c r="J28" s="96">
        <f t="shared" si="3"/>
        <v>-6.026296566837107E-4</v>
      </c>
      <c r="K28" s="94">
        <f>VLOOKUP(B28,Database!$A:$M,MATCH(Recap!$K$5,Database!$A$1:$M$1,),)</f>
        <v>76611</v>
      </c>
      <c r="L28" s="96">
        <f t="shared" si="4"/>
        <v>-1.5624397702596785E-2</v>
      </c>
      <c r="M28" s="94">
        <f>VLOOKUP(B28,Database!$A:$M,MATCH(Recap!$M$5,Database!$A$1:$M$1,),)</f>
        <v>29627</v>
      </c>
      <c r="N28" s="96">
        <f t="shared" si="5"/>
        <v>-3.0621172353455816E-3</v>
      </c>
      <c r="O28" s="94">
        <f>VLOOKUP(B28,Database!$A:$M,MATCH(Recap!$O$5,Database!$A$1:$M$1,),)</f>
        <v>32125</v>
      </c>
      <c r="P28" s="96">
        <f t="shared" si="6"/>
        <v>4.508930023748333E-2</v>
      </c>
      <c r="Q28" s="94">
        <f>VLOOKUP(B28,Database!$A:$M,MATCH(Recap!$Q$5,Database!$A$1:$M$1,),)</f>
        <v>22284</v>
      </c>
      <c r="R28" s="96">
        <f t="shared" si="7"/>
        <v>-1.1269855355399769E-2</v>
      </c>
      <c r="S28" s="94">
        <f>VLOOKUP(B28,Database!$A:$M,MATCH(Recap!$S$5,Database!$A$1:$M$1,),)</f>
        <v>19797</v>
      </c>
      <c r="T28" s="96">
        <f t="shared" si="8"/>
        <v>6.3725753586588579E-2</v>
      </c>
      <c r="U28" s="94">
        <f>VLOOKUP(B28,Database!$A:$M,MATCH(Recap!$U$5,Database!$A$1:$M$1,),)</f>
        <v>10630</v>
      </c>
      <c r="V28" s="96">
        <f t="shared" si="9"/>
        <v>1.4130946773433821E-3</v>
      </c>
    </row>
    <row r="29" spans="2:22" x14ac:dyDescent="0.35">
      <c r="B29" s="93">
        <v>43040</v>
      </c>
      <c r="C29" s="94">
        <f>VLOOKUP(B29,Database!$A:$M,MATCH(Recap!$C$5,Database!$A$1:$M$1,),)</f>
        <v>229646</v>
      </c>
      <c r="D29" s="96">
        <f t="shared" si="0"/>
        <v>-4.8311912150663527E-4</v>
      </c>
      <c r="E29" s="94">
        <f>VLOOKUP(B29,Database!$A:$M,MATCH(Recap!$E$5,Database!$A$1:$M$1,),)</f>
        <v>153298</v>
      </c>
      <c r="F29" s="96">
        <f t="shared" si="1"/>
        <v>9.9251694461494262E-4</v>
      </c>
      <c r="G29" s="94">
        <f>VLOOKUP(B29,Database!$A:$M,MATCH(Recap!$G$5,Database!$A$1:$M$1,),)</f>
        <v>63558</v>
      </c>
      <c r="H29" s="96">
        <f t="shared" si="2"/>
        <v>-6.5958111909971869E-3</v>
      </c>
      <c r="I29" s="94">
        <f>VLOOKUP(B29,Database!$A:$M,MATCH(Recap!$I$5,Database!$A$1:$M$1,),)</f>
        <v>163221</v>
      </c>
      <c r="J29" s="96">
        <f t="shared" si="3"/>
        <v>-5.8472052186306573E-3</v>
      </c>
      <c r="K29" s="94">
        <f>VLOOKUP(B29,Database!$A:$M,MATCH(Recap!$K$5,Database!$A$1:$M$1,),)</f>
        <v>76348</v>
      </c>
      <c r="L29" s="96">
        <f t="shared" si="4"/>
        <v>-3.4329273864066516E-3</v>
      </c>
      <c r="M29" s="94">
        <f>VLOOKUP(B29,Database!$A:$M,MATCH(Recap!$M$5,Database!$A$1:$M$1,),)</f>
        <v>30050</v>
      </c>
      <c r="N29" s="96">
        <f t="shared" si="5"/>
        <v>1.4277517129645256E-2</v>
      </c>
      <c r="O29" s="94">
        <f>VLOOKUP(B29,Database!$A:$M,MATCH(Recap!$O$5,Database!$A$1:$M$1,),)</f>
        <v>30879</v>
      </c>
      <c r="P29" s="96">
        <f t="shared" si="6"/>
        <v>-3.8785992217898829E-2</v>
      </c>
      <c r="Q29" s="94">
        <f>VLOOKUP(B29,Database!$A:$M,MATCH(Recap!$Q$5,Database!$A$1:$M$1,),)</f>
        <v>22679</v>
      </c>
      <c r="R29" s="96">
        <f t="shared" si="7"/>
        <v>1.7725722491473705E-2</v>
      </c>
      <c r="S29" s="94">
        <f>VLOOKUP(B29,Database!$A:$M,MATCH(Recap!$S$5,Database!$A$1:$M$1,),)</f>
        <v>19666</v>
      </c>
      <c r="T29" s="96">
        <f t="shared" si="8"/>
        <v>-6.6171642168005255E-3</v>
      </c>
      <c r="U29" s="94">
        <f>VLOOKUP(B29,Database!$A:$M,MATCH(Recap!$U$5,Database!$A$1:$M$1,),)</f>
        <v>10708</v>
      </c>
      <c r="V29" s="96">
        <f t="shared" si="9"/>
        <v>7.3377234242709317E-3</v>
      </c>
    </row>
    <row r="30" spans="2:22" x14ac:dyDescent="0.35">
      <c r="B30" s="93">
        <v>43070</v>
      </c>
      <c r="C30" s="94">
        <f>VLOOKUP(B30,Database!$A:$M,MATCH(Recap!$C$5,Database!$A$1:$M$1,),)</f>
        <v>239903</v>
      </c>
      <c r="D30" s="96">
        <f t="shared" si="0"/>
        <v>4.4664396505926511E-2</v>
      </c>
      <c r="E30" s="94">
        <f>VLOOKUP(B30,Database!$A:$M,MATCH(Recap!$E$5,Database!$A$1:$M$1,),)</f>
        <v>154340</v>
      </c>
      <c r="F30" s="96">
        <f t="shared" si="1"/>
        <v>6.79721848947801E-3</v>
      </c>
      <c r="G30" s="94">
        <f>VLOOKUP(B30,Database!$A:$M,MATCH(Recap!$G$5,Database!$A$1:$M$1,),)</f>
        <v>63745</v>
      </c>
      <c r="H30" s="96">
        <f t="shared" si="2"/>
        <v>2.9421945309795776E-3</v>
      </c>
      <c r="I30" s="94">
        <f>VLOOKUP(B30,Database!$A:$M,MATCH(Recap!$I$5,Database!$A$1:$M$1,),)</f>
        <v>174213</v>
      </c>
      <c r="J30" s="96">
        <f t="shared" si="3"/>
        <v>6.7344275552778138E-2</v>
      </c>
      <c r="K30" s="94">
        <f>VLOOKUP(B30,Database!$A:$M,MATCH(Recap!$K$5,Database!$A$1:$M$1,),)</f>
        <v>85563</v>
      </c>
      <c r="L30" s="96">
        <f t="shared" si="4"/>
        <v>0.12069733326347776</v>
      </c>
      <c r="M30" s="94">
        <f>VLOOKUP(B30,Database!$A:$M,MATCH(Recap!$M$5,Database!$A$1:$M$1,),)</f>
        <v>30336</v>
      </c>
      <c r="N30" s="96">
        <f t="shared" si="5"/>
        <v>9.5174708818635614E-3</v>
      </c>
      <c r="O30" s="94">
        <f>VLOOKUP(B30,Database!$A:$M,MATCH(Recap!$O$5,Database!$A$1:$M$1,),)</f>
        <v>31951</v>
      </c>
      <c r="P30" s="96">
        <f t="shared" si="6"/>
        <v>3.4716150134395544E-2</v>
      </c>
      <c r="Q30" s="94">
        <f>VLOOKUP(B30,Database!$A:$M,MATCH(Recap!$Q$5,Database!$A$1:$M$1,),)</f>
        <v>21932</v>
      </c>
      <c r="R30" s="96">
        <f t="shared" si="7"/>
        <v>-3.2937960227523259E-2</v>
      </c>
      <c r="S30" s="94">
        <f>VLOOKUP(B30,Database!$A:$M,MATCH(Recap!$S$5,Database!$A$1:$M$1,),)</f>
        <v>19760</v>
      </c>
      <c r="T30" s="96">
        <f t="shared" si="8"/>
        <v>4.7798230448489777E-3</v>
      </c>
      <c r="U30" s="94">
        <f>VLOOKUP(B30,Database!$A:$M,MATCH(Recap!$U$5,Database!$A$1:$M$1,),)</f>
        <v>10759</v>
      </c>
      <c r="V30" s="96">
        <f t="shared" si="9"/>
        <v>4.7627941725812478E-3</v>
      </c>
    </row>
    <row r="31" spans="2:22" x14ac:dyDescent="0.35">
      <c r="B31" s="93">
        <v>43101</v>
      </c>
      <c r="C31" s="94">
        <f>VLOOKUP(B31,Database!$A:$M,MATCH(Recap!$C$5,Database!$A$1:$M$1,),)</f>
        <v>225906</v>
      </c>
      <c r="D31" s="96">
        <f t="shared" si="0"/>
        <v>-5.8344414200739464E-2</v>
      </c>
      <c r="E31" s="94">
        <f>VLOOKUP(B31,Database!$A:$M,MATCH(Recap!$E$5,Database!$A$1:$M$1,),)</f>
        <v>154535</v>
      </c>
      <c r="F31" s="96">
        <f t="shared" si="1"/>
        <v>1.2634443436568615E-3</v>
      </c>
      <c r="G31" s="94">
        <f>VLOOKUP(B31,Database!$A:$M,MATCH(Recap!$G$5,Database!$A$1:$M$1,),)</f>
        <v>63816</v>
      </c>
      <c r="H31" s="96">
        <f t="shared" si="2"/>
        <v>1.1138128480665151E-3</v>
      </c>
      <c r="I31" s="94">
        <f>VLOOKUP(B31,Database!$A:$M,MATCH(Recap!$I$5,Database!$A$1:$M$1,),)</f>
        <v>159357</v>
      </c>
      <c r="J31" s="96">
        <f t="shared" si="3"/>
        <v>-8.5274922078145715E-2</v>
      </c>
      <c r="K31" s="94">
        <f>VLOOKUP(B31,Database!$A:$M,MATCH(Recap!$K$5,Database!$A$1:$M$1,),)</f>
        <v>71371</v>
      </c>
      <c r="L31" s="96">
        <f t="shared" si="4"/>
        <v>-0.16586608697684746</v>
      </c>
      <c r="M31" s="94">
        <f>VLOOKUP(B31,Database!$A:$M,MATCH(Recap!$M$5,Database!$A$1:$M$1,),)</f>
        <v>31125</v>
      </c>
      <c r="N31" s="96">
        <f t="shared" si="5"/>
        <v>2.6008702531645569E-2</v>
      </c>
      <c r="O31" s="94">
        <f>VLOOKUP(B31,Database!$A:$M,MATCH(Recap!$O$5,Database!$A$1:$M$1,),)</f>
        <v>32097</v>
      </c>
      <c r="P31" s="96">
        <f t="shared" si="6"/>
        <v>4.5694970423460924E-3</v>
      </c>
      <c r="Q31" s="94">
        <f>VLOOKUP(B31,Database!$A:$M,MATCH(Recap!$Q$5,Database!$A$1:$M$1,),)</f>
        <v>21754</v>
      </c>
      <c r="R31" s="96">
        <f t="shared" si="7"/>
        <v>-8.1159948933065846E-3</v>
      </c>
      <c r="S31" s="94">
        <f>VLOOKUP(B31,Database!$A:$M,MATCH(Recap!$S$5,Database!$A$1:$M$1,),)</f>
        <v>19773</v>
      </c>
      <c r="T31" s="96">
        <f t="shared" si="8"/>
        <v>6.5789473684210525E-4</v>
      </c>
      <c r="U31" s="94">
        <f>VLOOKUP(B31,Database!$A:$M,MATCH(Recap!$U$5,Database!$A$1:$M$1,),)</f>
        <v>10527</v>
      </c>
      <c r="V31" s="96">
        <f t="shared" si="9"/>
        <v>-2.15633423180593E-2</v>
      </c>
    </row>
    <row r="32" spans="2:22" x14ac:dyDescent="0.35">
      <c r="B32" s="93">
        <v>43132</v>
      </c>
      <c r="C32" s="94">
        <f>VLOOKUP(B32,Database!$A:$M,MATCH(Recap!$C$5,Database!$A$1:$M$1,),)</f>
        <v>234140</v>
      </c>
      <c r="D32" s="96">
        <f t="shared" si="0"/>
        <v>3.6448788434127466E-2</v>
      </c>
      <c r="E32" s="94">
        <f>VLOOKUP(B32,Database!$A:$M,MATCH(Recap!$E$5,Database!$A$1:$M$1,),)</f>
        <v>157084</v>
      </c>
      <c r="F32" s="96">
        <f t="shared" si="1"/>
        <v>1.6494645226000582E-2</v>
      </c>
      <c r="G32" s="94">
        <f>VLOOKUP(B32,Database!$A:$M,MATCH(Recap!$G$5,Database!$A$1:$M$1,),)</f>
        <v>65257</v>
      </c>
      <c r="H32" s="96">
        <f t="shared" si="2"/>
        <v>2.258054406418453E-2</v>
      </c>
      <c r="I32" s="94">
        <f>VLOOKUP(B32,Database!$A:$M,MATCH(Recap!$I$5,Database!$A$1:$M$1,),)</f>
        <v>166790</v>
      </c>
      <c r="J32" s="96">
        <f t="shared" si="3"/>
        <v>4.6643699366830452E-2</v>
      </c>
      <c r="K32" s="94">
        <f>VLOOKUP(B32,Database!$A:$M,MATCH(Recap!$K$5,Database!$A$1:$M$1,),)</f>
        <v>77056</v>
      </c>
      <c r="L32" s="96">
        <f t="shared" si="4"/>
        <v>7.9654201286236709E-2</v>
      </c>
      <c r="M32" s="94">
        <f>VLOOKUP(B32,Database!$A:$M,MATCH(Recap!$M$5,Database!$A$1:$M$1,),)</f>
        <v>31427</v>
      </c>
      <c r="N32" s="96">
        <f t="shared" si="5"/>
        <v>9.7028112449799205E-3</v>
      </c>
      <c r="O32" s="94">
        <f>VLOOKUP(B32,Database!$A:$M,MATCH(Recap!$O$5,Database!$A$1:$M$1,),)</f>
        <v>32983</v>
      </c>
      <c r="P32" s="96">
        <f t="shared" si="6"/>
        <v>2.7603825902732342E-2</v>
      </c>
      <c r="Q32" s="94">
        <f>VLOOKUP(B32,Database!$A:$M,MATCH(Recap!$Q$5,Database!$A$1:$M$1,),)</f>
        <v>21881</v>
      </c>
      <c r="R32" s="96">
        <f t="shared" si="7"/>
        <v>5.8380068033465106E-3</v>
      </c>
      <c r="S32" s="94">
        <f>VLOOKUP(B32,Database!$A:$M,MATCH(Recap!$S$5,Database!$A$1:$M$1,),)</f>
        <v>20456</v>
      </c>
      <c r="T32" s="96">
        <f t="shared" si="8"/>
        <v>3.4542052293531585E-2</v>
      </c>
      <c r="U32" s="94">
        <f>VLOOKUP(B32,Database!$A:$M,MATCH(Recap!$U$5,Database!$A$1:$M$1,),)</f>
        <v>10779</v>
      </c>
      <c r="V32" s="96">
        <f t="shared" si="9"/>
        <v>2.3938444001139925E-2</v>
      </c>
    </row>
    <row r="33" spans="2:22" x14ac:dyDescent="0.35">
      <c r="B33" s="93">
        <v>43160</v>
      </c>
      <c r="C33" s="94">
        <f>VLOOKUP(B33,Database!$A:$M,MATCH(Recap!$C$5,Database!$A$1:$M$1,),)</f>
        <v>242658</v>
      </c>
      <c r="D33" s="96">
        <f t="shared" si="0"/>
        <v>3.6379943623473139E-2</v>
      </c>
      <c r="E33" s="94">
        <f>VLOOKUP(B33,Database!$A:$M,MATCH(Recap!$E$5,Database!$A$1:$M$1,),)</f>
        <v>157483</v>
      </c>
      <c r="F33" s="96">
        <f t="shared" si="1"/>
        <v>2.5400422703776323E-3</v>
      </c>
      <c r="G33" s="94">
        <f>VLOOKUP(B33,Database!$A:$M,MATCH(Recap!$G$5,Database!$A$1:$M$1,),)</f>
        <v>64073</v>
      </c>
      <c r="H33" s="96">
        <f t="shared" si="2"/>
        <v>-1.8143647424797339E-2</v>
      </c>
      <c r="I33" s="94">
        <f>VLOOKUP(B33,Database!$A:$M,MATCH(Recap!$I$5,Database!$A$1:$M$1,),)</f>
        <v>175504</v>
      </c>
      <c r="J33" s="96">
        <f t="shared" si="3"/>
        <v>5.2245338449547332E-2</v>
      </c>
      <c r="K33" s="94">
        <f>VLOOKUP(B33,Database!$A:$M,MATCH(Recap!$K$5,Database!$A$1:$M$1,),)</f>
        <v>85175</v>
      </c>
      <c r="L33" s="96">
        <f t="shared" si="4"/>
        <v>0.10536492940199335</v>
      </c>
      <c r="M33" s="94">
        <f>VLOOKUP(B33,Database!$A:$M,MATCH(Recap!$M$5,Database!$A$1:$M$1,),)</f>
        <v>32302</v>
      </c>
      <c r="N33" s="96">
        <f t="shared" si="5"/>
        <v>2.7842301205969391E-2</v>
      </c>
      <c r="O33" s="94">
        <f>VLOOKUP(B33,Database!$A:$M,MATCH(Recap!$O$5,Database!$A$1:$M$1,),)</f>
        <v>32138</v>
      </c>
      <c r="P33" s="96">
        <f t="shared" si="6"/>
        <v>-2.5619258405845436E-2</v>
      </c>
      <c r="Q33" s="94">
        <f>VLOOKUP(B33,Database!$A:$M,MATCH(Recap!$Q$5,Database!$A$1:$M$1,),)</f>
        <v>21657</v>
      </c>
      <c r="R33" s="96">
        <f t="shared" si="7"/>
        <v>-1.0237192084456835E-2</v>
      </c>
      <c r="S33" s="94">
        <f>VLOOKUP(B33,Database!$A:$M,MATCH(Recap!$S$5,Database!$A$1:$M$1,),)</f>
        <v>20883</v>
      </c>
      <c r="T33" s="96">
        <f t="shared" si="8"/>
        <v>2.0874071177160735E-2</v>
      </c>
      <c r="U33" s="94">
        <f>VLOOKUP(B33,Database!$A:$M,MATCH(Recap!$U$5,Database!$A$1:$M$1,),)</f>
        <v>10820</v>
      </c>
      <c r="V33" s="96">
        <f t="shared" si="9"/>
        <v>3.803692364783375E-3</v>
      </c>
    </row>
    <row r="34" spans="2:22" x14ac:dyDescent="0.35">
      <c r="B34" s="93">
        <v>43191</v>
      </c>
      <c r="C34" s="94">
        <f>VLOOKUP(B34,Database!$A:$M,MATCH(Recap!$C$5,Database!$A$1:$M$1,),)</f>
        <v>239492</v>
      </c>
      <c r="D34" s="96">
        <f t="shared" si="0"/>
        <v>-1.3047169267034262E-2</v>
      </c>
      <c r="E34" s="94">
        <f>VLOOKUP(B34,Database!$A:$M,MATCH(Recap!$E$5,Database!$A$1:$M$1,),)</f>
        <v>159991</v>
      </c>
      <c r="F34" s="96">
        <f t="shared" si="1"/>
        <v>1.5925528469739592E-2</v>
      </c>
      <c r="G34" s="94">
        <f>VLOOKUP(B34,Database!$A:$M,MATCH(Recap!$G$5,Database!$A$1:$M$1,),)</f>
        <v>65444</v>
      </c>
      <c r="H34" s="96">
        <f t="shared" si="2"/>
        <v>2.1397468512477955E-2</v>
      </c>
      <c r="I34" s="94">
        <f>VLOOKUP(B34,Database!$A:$M,MATCH(Recap!$I$5,Database!$A$1:$M$1,),)</f>
        <v>170410</v>
      </c>
      <c r="J34" s="96">
        <f t="shared" si="3"/>
        <v>-2.9024979487647005E-2</v>
      </c>
      <c r="K34" s="94">
        <f>VLOOKUP(B34,Database!$A:$M,MATCH(Recap!$K$5,Database!$A$1:$M$1,),)</f>
        <v>79501</v>
      </c>
      <c r="L34" s="96">
        <f t="shared" si="4"/>
        <v>-6.6615791018491341E-2</v>
      </c>
      <c r="M34" s="94">
        <f>VLOOKUP(B34,Database!$A:$M,MATCH(Recap!$M$5,Database!$A$1:$M$1,),)</f>
        <v>32525</v>
      </c>
      <c r="N34" s="96">
        <f t="shared" si="5"/>
        <v>6.9035973004767503E-3</v>
      </c>
      <c r="O34" s="94">
        <f>VLOOKUP(B34,Database!$A:$M,MATCH(Recap!$O$5,Database!$A$1:$M$1,),)</f>
        <v>32717</v>
      </c>
      <c r="P34" s="96">
        <f t="shared" si="6"/>
        <v>1.8016055759536995E-2</v>
      </c>
      <c r="Q34" s="94">
        <f>VLOOKUP(B34,Database!$A:$M,MATCH(Recap!$Q$5,Database!$A$1:$M$1,),)</f>
        <v>22149</v>
      </c>
      <c r="R34" s="96">
        <f t="shared" si="7"/>
        <v>2.2717827954010252E-2</v>
      </c>
      <c r="S34" s="94">
        <f>VLOOKUP(B34,Database!$A:$M,MATCH(Recap!$S$5,Database!$A$1:$M$1,),)</f>
        <v>21693</v>
      </c>
      <c r="T34" s="96">
        <f t="shared" si="8"/>
        <v>3.8787530527223099E-2</v>
      </c>
      <c r="U34" s="94">
        <f>VLOOKUP(B34,Database!$A:$M,MATCH(Recap!$U$5,Database!$A$1:$M$1,),)</f>
        <v>10909</v>
      </c>
      <c r="V34" s="96">
        <f t="shared" si="9"/>
        <v>8.2255083179297601E-3</v>
      </c>
    </row>
    <row r="35" spans="2:22" x14ac:dyDescent="0.35">
      <c r="B35" s="93">
        <v>43221</v>
      </c>
      <c r="C35" s="94">
        <f>VLOOKUP(B35,Database!$A:$M,MATCH(Recap!$C$5,Database!$A$1:$M$1,),)</f>
        <v>240608</v>
      </c>
      <c r="D35" s="96">
        <f t="shared" si="0"/>
        <v>4.6598633774823373E-3</v>
      </c>
      <c r="E35" s="94">
        <f>VLOOKUP(B35,Database!$A:$M,MATCH(Recap!$E$5,Database!$A$1:$M$1,),)</f>
        <v>161607</v>
      </c>
      <c r="F35" s="96">
        <f t="shared" si="1"/>
        <v>1.0100568156958829E-2</v>
      </c>
      <c r="G35" s="94">
        <f>VLOOKUP(B35,Database!$A:$M,MATCH(Recap!$G$5,Database!$A$1:$M$1,),)</f>
        <v>66748</v>
      </c>
      <c r="H35" s="96">
        <f t="shared" si="2"/>
        <v>1.9925432430780515E-2</v>
      </c>
      <c r="I35" s="94">
        <f>VLOOKUP(B35,Database!$A:$M,MATCH(Recap!$I$5,Database!$A$1:$M$1,),)</f>
        <v>174641</v>
      </c>
      <c r="J35" s="96">
        <f t="shared" si="3"/>
        <v>2.4828355143477497E-2</v>
      </c>
      <c r="K35" s="94">
        <f>VLOOKUP(B35,Database!$A:$M,MATCH(Recap!$K$5,Database!$A$1:$M$1,),)</f>
        <v>79001</v>
      </c>
      <c r="L35" s="96">
        <f t="shared" si="4"/>
        <v>-6.2892290663010527E-3</v>
      </c>
      <c r="M35" s="94">
        <f>VLOOKUP(B35,Database!$A:$M,MATCH(Recap!$M$5,Database!$A$1:$M$1,),)</f>
        <v>32636</v>
      </c>
      <c r="N35" s="96">
        <f t="shared" si="5"/>
        <v>3.412759415833974E-3</v>
      </c>
      <c r="O35" s="94">
        <f>VLOOKUP(B35,Database!$A:$M,MATCH(Recap!$O$5,Database!$A$1:$M$1,),)</f>
        <v>33745</v>
      </c>
      <c r="P35" s="96">
        <f t="shared" si="6"/>
        <v>3.1420973805666781E-2</v>
      </c>
      <c r="Q35" s="94">
        <f>VLOOKUP(B35,Database!$A:$M,MATCH(Recap!$Q$5,Database!$A$1:$M$1,),)</f>
        <v>22405</v>
      </c>
      <c r="R35" s="96">
        <f t="shared" si="7"/>
        <v>1.1558083886405706E-2</v>
      </c>
      <c r="S35" s="94">
        <f>VLOOKUP(B35,Database!$A:$M,MATCH(Recap!$S$5,Database!$A$1:$M$1,),)</f>
        <v>21731</v>
      </c>
      <c r="T35" s="96">
        <f t="shared" si="8"/>
        <v>1.7517171437790992E-3</v>
      </c>
      <c r="U35" s="94">
        <f>VLOOKUP(B35,Database!$A:$M,MATCH(Recap!$U$5,Database!$A$1:$M$1,),)</f>
        <v>10979</v>
      </c>
      <c r="V35" s="96">
        <f t="shared" si="9"/>
        <v>6.4167201393344944E-3</v>
      </c>
    </row>
    <row r="36" spans="2:22" x14ac:dyDescent="0.35">
      <c r="B36" s="93">
        <v>43252</v>
      </c>
      <c r="C36" s="94">
        <f>VLOOKUP(B36,Database!$A:$M,MATCH(Recap!$C$5,Database!$A$1:$M$1,),)</f>
        <v>243274</v>
      </c>
      <c r="D36" s="96">
        <f t="shared" si="0"/>
        <v>1.1080263332890012E-2</v>
      </c>
      <c r="E36" s="94">
        <f>VLOOKUP(B36,Database!$A:$M,MATCH(Recap!$E$5,Database!$A$1:$M$1,),)</f>
        <v>161931</v>
      </c>
      <c r="F36" s="96">
        <f t="shared" si="1"/>
        <v>2.0048636507081995E-3</v>
      </c>
      <c r="G36" s="94">
        <f>VLOOKUP(B36,Database!$A:$M,MATCH(Recap!$G$5,Database!$A$1:$M$1,),)</f>
        <v>67678</v>
      </c>
      <c r="H36" s="96">
        <f t="shared" si="2"/>
        <v>1.3933001737879787E-2</v>
      </c>
      <c r="I36" s="94">
        <f>VLOOKUP(B36,Database!$A:$M,MATCH(Recap!$I$5,Database!$A$1:$M$1,),)</f>
        <v>175588</v>
      </c>
      <c r="J36" s="96">
        <f t="shared" si="3"/>
        <v>5.4225525506610703E-3</v>
      </c>
      <c r="K36" s="94">
        <f>VLOOKUP(B36,Database!$A:$M,MATCH(Recap!$K$5,Database!$A$1:$M$1,),)</f>
        <v>81343</v>
      </c>
      <c r="L36" s="96">
        <f t="shared" si="4"/>
        <v>2.9645194364628296E-2</v>
      </c>
      <c r="M36" s="94">
        <f>VLOOKUP(B36,Database!$A:$M,MATCH(Recap!$M$5,Database!$A$1:$M$1,),)</f>
        <v>32698</v>
      </c>
      <c r="N36" s="96">
        <f t="shared" si="5"/>
        <v>1.8997426155166074E-3</v>
      </c>
      <c r="O36" s="94">
        <f>VLOOKUP(B36,Database!$A:$M,MATCH(Recap!$O$5,Database!$A$1:$M$1,),)</f>
        <v>34015</v>
      </c>
      <c r="P36" s="96">
        <f t="shared" si="6"/>
        <v>8.0011853607941923E-3</v>
      </c>
      <c r="Q36" s="94">
        <f>VLOOKUP(B36,Database!$A:$M,MATCH(Recap!$Q$5,Database!$A$1:$M$1,),)</f>
        <v>22443</v>
      </c>
      <c r="R36" s="96">
        <f t="shared" si="7"/>
        <v>1.6960499888417763E-3</v>
      </c>
      <c r="S36" s="94">
        <f>VLOOKUP(B36,Database!$A:$M,MATCH(Recap!$S$5,Database!$A$1:$M$1,),)</f>
        <v>21585</v>
      </c>
      <c r="T36" s="96">
        <f t="shared" si="8"/>
        <v>-6.7185127237586861E-3</v>
      </c>
      <c r="U36" s="94">
        <f>VLOOKUP(B36,Database!$A:$M,MATCH(Recap!$U$5,Database!$A$1:$M$1,),)</f>
        <v>11076</v>
      </c>
      <c r="V36" s="96">
        <f t="shared" si="9"/>
        <v>8.8350487293924768E-3</v>
      </c>
    </row>
    <row r="37" spans="2:22" x14ac:dyDescent="0.35">
      <c r="B37" s="93">
        <v>43282</v>
      </c>
      <c r="C37" s="94">
        <f>VLOOKUP(B37,Database!$A:$M,MATCH(Recap!$C$5,Database!$A$1:$M$1,),)</f>
        <v>234585</v>
      </c>
      <c r="D37" s="96">
        <f t="shared" si="0"/>
        <v>-3.5716928237296219E-2</v>
      </c>
      <c r="E37" s="94">
        <f>VLOOKUP(B37,Database!$A:$M,MATCH(Recap!$E$5,Database!$A$1:$M$1,),)</f>
        <v>162893</v>
      </c>
      <c r="F37" s="96">
        <f t="shared" si="1"/>
        <v>5.940801946508081E-3</v>
      </c>
      <c r="G37" s="94">
        <f>VLOOKUP(B37,Database!$A:$M,MATCH(Recap!$G$5,Database!$A$1:$M$1,),)</f>
        <v>68406</v>
      </c>
      <c r="H37" s="96">
        <f t="shared" si="2"/>
        <v>1.0756819054936612E-2</v>
      </c>
      <c r="I37" s="94">
        <f>VLOOKUP(B37,Database!$A:$M,MATCH(Recap!$I$5,Database!$A$1:$M$1,),)</f>
        <v>165654</v>
      </c>
      <c r="J37" s="96">
        <f t="shared" si="3"/>
        <v>-5.6575620201836117E-2</v>
      </c>
      <c r="K37" s="94">
        <f>VLOOKUP(B37,Database!$A:$M,MATCH(Recap!$K$5,Database!$A$1:$M$1,),)</f>
        <v>71692</v>
      </c>
      <c r="L37" s="96">
        <f t="shared" si="4"/>
        <v>-0.11864573472824951</v>
      </c>
      <c r="M37" s="94">
        <f>VLOOKUP(B37,Database!$A:$M,MATCH(Recap!$M$5,Database!$A$1:$M$1,),)</f>
        <v>32643</v>
      </c>
      <c r="N37" s="96">
        <f t="shared" si="5"/>
        <v>-1.6820600648357698E-3</v>
      </c>
      <c r="O37" s="94">
        <f>VLOOKUP(B37,Database!$A:$M,MATCH(Recap!$O$5,Database!$A$1:$M$1,),)</f>
        <v>34593</v>
      </c>
      <c r="P37" s="96">
        <f t="shared" si="6"/>
        <v>1.6992503307364397E-2</v>
      </c>
      <c r="Q37" s="94">
        <f>VLOOKUP(B37,Database!$A:$M,MATCH(Recap!$Q$5,Database!$A$1:$M$1,),)</f>
        <v>22670</v>
      </c>
      <c r="R37" s="96">
        <f t="shared" si="7"/>
        <v>1.0114512320099809E-2</v>
      </c>
      <c r="S37" s="94">
        <f>VLOOKUP(B37,Database!$A:$M,MATCH(Recap!$S$5,Database!$A$1:$M$1,),)</f>
        <v>21843</v>
      </c>
      <c r="T37" s="96">
        <f t="shared" si="8"/>
        <v>1.1952744961779014E-2</v>
      </c>
      <c r="U37" s="94">
        <f>VLOOKUP(B37,Database!$A:$M,MATCH(Recap!$U$5,Database!$A$1:$M$1,),)</f>
        <v>11078</v>
      </c>
      <c r="V37" s="96">
        <f t="shared" si="9"/>
        <v>1.8057060310581438E-4</v>
      </c>
    </row>
    <row r="38" spans="2:22" x14ac:dyDescent="0.35">
      <c r="B38" s="93">
        <v>43313</v>
      </c>
      <c r="C38" s="94">
        <f>VLOOKUP(B38,Database!$A:$M,MATCH(Recap!$C$5,Database!$A$1:$M$1,),)</f>
        <v>244108</v>
      </c>
      <c r="D38" s="96">
        <f t="shared" si="0"/>
        <v>4.0595093462923885E-2</v>
      </c>
      <c r="E38" s="94">
        <f>VLOOKUP(B38,Database!$A:$M,MATCH(Recap!$E$5,Database!$A$1:$M$1,),)</f>
        <v>160822</v>
      </c>
      <c r="F38" s="96">
        <f t="shared" si="1"/>
        <v>-1.2713867385338843E-2</v>
      </c>
      <c r="G38" s="94">
        <f>VLOOKUP(B38,Database!$A:$M,MATCH(Recap!$G$5,Database!$A$1:$M$1,),)</f>
        <v>67270</v>
      </c>
      <c r="H38" s="96">
        <f t="shared" si="2"/>
        <v>-1.660673040376575E-2</v>
      </c>
      <c r="I38" s="94">
        <f>VLOOKUP(B38,Database!$A:$M,MATCH(Recap!$I$5,Database!$A$1:$M$1,),)</f>
        <v>175671</v>
      </c>
      <c r="J38" s="96">
        <f t="shared" si="3"/>
        <v>6.046941214821254E-2</v>
      </c>
      <c r="K38" s="94">
        <f>VLOOKUP(B38,Database!$A:$M,MATCH(Recap!$K$5,Database!$A$1:$M$1,),)</f>
        <v>83286</v>
      </c>
      <c r="L38" s="96">
        <f t="shared" si="4"/>
        <v>0.16171957819561458</v>
      </c>
      <c r="M38" s="94">
        <f>VLOOKUP(B38,Database!$A:$M,MATCH(Recap!$M$5,Database!$A$1:$M$1,),)</f>
        <v>32294</v>
      </c>
      <c r="N38" s="96">
        <f t="shared" si="5"/>
        <v>-1.0691419293569831E-2</v>
      </c>
      <c r="O38" s="94">
        <f>VLOOKUP(B38,Database!$A:$M,MATCH(Recap!$O$5,Database!$A$1:$M$1,),)</f>
        <v>33695</v>
      </c>
      <c r="P38" s="96">
        <f t="shared" si="6"/>
        <v>-2.5959009048073311E-2</v>
      </c>
      <c r="Q38" s="94">
        <f>VLOOKUP(B38,Database!$A:$M,MATCH(Recap!$Q$5,Database!$A$1:$M$1,),)</f>
        <v>22403</v>
      </c>
      <c r="R38" s="96">
        <f t="shared" si="7"/>
        <v>-1.1777679752977502E-2</v>
      </c>
      <c r="S38" s="94">
        <f>VLOOKUP(B38,Database!$A:$M,MATCH(Recap!$S$5,Database!$A$1:$M$1,),)</f>
        <v>21486</v>
      </c>
      <c r="T38" s="96">
        <f t="shared" si="8"/>
        <v>-1.6343908803735752E-2</v>
      </c>
      <c r="U38" s="94">
        <f>VLOOKUP(B38,Database!$A:$M,MATCH(Recap!$U$5,Database!$A$1:$M$1,),)</f>
        <v>11178</v>
      </c>
      <c r="V38" s="96">
        <f t="shared" si="9"/>
        <v>9.0269001624842023E-3</v>
      </c>
    </row>
    <row r="39" spans="2:22" x14ac:dyDescent="0.35">
      <c r="B39" s="93">
        <v>43344</v>
      </c>
      <c r="C39" s="94">
        <f>VLOOKUP(B39,Database!$A:$M,MATCH(Recap!$C$5,Database!$A$1:$M$1,),)</f>
        <v>244834</v>
      </c>
      <c r="D39" s="96">
        <f t="shared" si="0"/>
        <v>2.9740934340537796E-3</v>
      </c>
      <c r="E39" s="94">
        <f>VLOOKUP(B39,Database!$A:$M,MATCH(Recap!$E$5,Database!$A$1:$M$1,),)</f>
        <v>160120</v>
      </c>
      <c r="F39" s="96">
        <f t="shared" si="1"/>
        <v>-4.3650744301152828E-3</v>
      </c>
      <c r="G39" s="94">
        <f>VLOOKUP(B39,Database!$A:$M,MATCH(Recap!$G$5,Database!$A$1:$M$1,),)</f>
        <v>67127</v>
      </c>
      <c r="H39" s="96">
        <f t="shared" si="2"/>
        <v>-2.1257618552103464E-3</v>
      </c>
      <c r="I39" s="94">
        <f>VLOOKUP(B39,Database!$A:$M,MATCH(Recap!$I$5,Database!$A$1:$M$1,),)</f>
        <v>176060</v>
      </c>
      <c r="J39" s="96">
        <f t="shared" si="3"/>
        <v>2.2143666285271901E-3</v>
      </c>
      <c r="K39" s="94">
        <f>VLOOKUP(B39,Database!$A:$M,MATCH(Recap!$K$5,Database!$A$1:$M$1,),)</f>
        <v>84714</v>
      </c>
      <c r="L39" s="96">
        <f t="shared" si="4"/>
        <v>1.7145738779626829E-2</v>
      </c>
      <c r="M39" s="94">
        <f>VLOOKUP(B39,Database!$A:$M,MATCH(Recap!$M$5,Database!$A$1:$M$1,),)</f>
        <v>31651</v>
      </c>
      <c r="N39" s="96">
        <f t="shared" si="5"/>
        <v>-1.9910819347247168E-2</v>
      </c>
      <c r="O39" s="94">
        <f>VLOOKUP(B39,Database!$A:$M,MATCH(Recap!$O$5,Database!$A$1:$M$1,),)</f>
        <v>34056</v>
      </c>
      <c r="P39" s="96">
        <f t="shared" si="6"/>
        <v>1.0713755750111293E-2</v>
      </c>
      <c r="Q39" s="94">
        <f>VLOOKUP(B39,Database!$A:$M,MATCH(Recap!$Q$5,Database!$A$1:$M$1,),)</f>
        <v>22058</v>
      </c>
      <c r="R39" s="96">
        <f t="shared" si="7"/>
        <v>-1.5399723251350266E-2</v>
      </c>
      <c r="S39" s="94">
        <f>VLOOKUP(B39,Database!$A:$M,MATCH(Recap!$S$5,Database!$A$1:$M$1,),)</f>
        <v>21522</v>
      </c>
      <c r="T39" s="96">
        <f t="shared" si="8"/>
        <v>1.6755096341803965E-3</v>
      </c>
      <c r="U39" s="94">
        <f>VLOOKUP(B39,Database!$A:$M,MATCH(Recap!$U$5,Database!$A$1:$M$1,),)</f>
        <v>10971</v>
      </c>
      <c r="V39" s="96">
        <f t="shared" si="9"/>
        <v>-1.8518518518518517E-2</v>
      </c>
    </row>
    <row r="40" spans="2:22" x14ac:dyDescent="0.35">
      <c r="B40" s="93">
        <v>43374</v>
      </c>
      <c r="C40" s="94">
        <f>VLOOKUP(B40,Database!$A:$M,MATCH(Recap!$C$5,Database!$A$1:$M$1,),)</f>
        <v>239723</v>
      </c>
      <c r="D40" s="96">
        <f t="shared" ref="D40:D71" si="10">(C40-C39)/C39</f>
        <v>-2.0875368617103835E-2</v>
      </c>
      <c r="E40" s="94">
        <f>VLOOKUP(B40,Database!$A:$M,MATCH(Recap!$E$5,Database!$A$1:$M$1,),)</f>
        <v>161994</v>
      </c>
      <c r="F40" s="96">
        <f t="shared" ref="F40:F71" si="11">(E40-E39)/E39</f>
        <v>1.1703722208343743E-2</v>
      </c>
      <c r="G40" s="94">
        <f>VLOOKUP(B40,Database!$A:$M,MATCH(Recap!$G$5,Database!$A$1:$M$1,),)</f>
        <v>67931</v>
      </c>
      <c r="H40" s="96">
        <f t="shared" ref="H40:H71" si="12">(G40-G39)/G39</f>
        <v>1.1977296765831931E-2</v>
      </c>
      <c r="I40" s="94">
        <f>VLOOKUP(B40,Database!$A:$M,MATCH(Recap!$I$5,Database!$A$1:$M$1,),)</f>
        <v>170432</v>
      </c>
      <c r="J40" s="96">
        <f t="shared" ref="J40:J71" si="13">(I40-I39)/I39</f>
        <v>-3.1966375099397933E-2</v>
      </c>
      <c r="K40" s="94">
        <f>VLOOKUP(B40,Database!$A:$M,MATCH(Recap!$K$5,Database!$A$1:$M$1,),)</f>
        <v>77729</v>
      </c>
      <c r="L40" s="96">
        <f t="shared" ref="L40:L71" si="14">(K40-K39)/K39</f>
        <v>-8.2453903723115424E-2</v>
      </c>
      <c r="M40" s="94">
        <f>VLOOKUP(B40,Database!$A:$M,MATCH(Recap!$M$5,Database!$A$1:$M$1,),)</f>
        <v>32024</v>
      </c>
      <c r="N40" s="96">
        <f t="shared" ref="N40:N71" si="15">(M40-M39)/M39</f>
        <v>1.1784777732141165E-2</v>
      </c>
      <c r="O40" s="94">
        <f>VLOOKUP(B40,Database!$A:$M,MATCH(Recap!$O$5,Database!$A$1:$M$1,),)</f>
        <v>34780</v>
      </c>
      <c r="P40" s="96">
        <f t="shared" ref="P40:P71" si="16">(O40-O39)/O39</f>
        <v>2.1259102654451491E-2</v>
      </c>
      <c r="Q40" s="94">
        <f>VLOOKUP(B40,Database!$A:$M,MATCH(Recap!$Q$5,Database!$A$1:$M$1,),)</f>
        <v>22841</v>
      </c>
      <c r="R40" s="96">
        <f t="shared" ref="R40:R71" si="17">(Q40-Q39)/Q39</f>
        <v>3.5497325233475381E-2</v>
      </c>
      <c r="S40" s="94">
        <f>VLOOKUP(B40,Database!$A:$M,MATCH(Recap!$S$5,Database!$A$1:$M$1,),)</f>
        <v>21524</v>
      </c>
      <c r="T40" s="96">
        <f t="shared" ref="T40:T71" si="18">(S40-S39)/S39</f>
        <v>9.2928166527274421E-5</v>
      </c>
      <c r="U40" s="94">
        <f>VLOOKUP(B40,Database!$A:$M,MATCH(Recap!$U$5,Database!$A$1:$M$1,),)</f>
        <v>11184</v>
      </c>
      <c r="V40" s="96">
        <f t="shared" ref="V40:V71" si="19">(U40-U39)/U39</f>
        <v>1.9414820891441073E-2</v>
      </c>
    </row>
    <row r="41" spans="2:22" x14ac:dyDescent="0.35">
      <c r="B41" s="93">
        <v>43405</v>
      </c>
      <c r="C41" s="94">
        <f>VLOOKUP(B41,Database!$A:$M,MATCH(Recap!$C$5,Database!$A$1:$M$1,),)</f>
        <v>231653</v>
      </c>
      <c r="D41" s="96">
        <f t="shared" si="10"/>
        <v>-3.3663853697809554E-2</v>
      </c>
      <c r="E41" s="94">
        <f>VLOOKUP(B41,Database!$A:$M,MATCH(Recap!$E$5,Database!$A$1:$M$1,),)</f>
        <v>158377</v>
      </c>
      <c r="F41" s="96">
        <f t="shared" si="11"/>
        <v>-2.2327987456325544E-2</v>
      </c>
      <c r="G41" s="94">
        <f>VLOOKUP(B41,Database!$A:$M,MATCH(Recap!$G$5,Database!$A$1:$M$1,),)</f>
        <v>65255</v>
      </c>
      <c r="H41" s="96">
        <f t="shared" si="12"/>
        <v>-3.9392913397417968E-2</v>
      </c>
      <c r="I41" s="94">
        <f>VLOOKUP(B41,Database!$A:$M,MATCH(Recap!$I$5,Database!$A$1:$M$1,),)</f>
        <v>163293</v>
      </c>
      <c r="J41" s="96">
        <f t="shared" si="13"/>
        <v>-4.1887673676304922E-2</v>
      </c>
      <c r="K41" s="94">
        <f>VLOOKUP(B41,Database!$A:$M,MATCH(Recap!$K$5,Database!$A$1:$M$1,),)</f>
        <v>73276</v>
      </c>
      <c r="L41" s="96">
        <f t="shared" si="14"/>
        <v>-5.7288785395412267E-2</v>
      </c>
      <c r="M41" s="94">
        <f>VLOOKUP(B41,Database!$A:$M,MATCH(Recap!$M$5,Database!$A$1:$M$1,),)</f>
        <v>32563</v>
      </c>
      <c r="N41" s="96">
        <f t="shared" si="15"/>
        <v>1.6831126655008743E-2</v>
      </c>
      <c r="O41" s="94">
        <f>VLOOKUP(B41,Database!$A:$M,MATCH(Recap!$O$5,Database!$A$1:$M$1,),)</f>
        <v>31989</v>
      </c>
      <c r="P41" s="96">
        <f t="shared" si="16"/>
        <v>-8.0247268545140887E-2</v>
      </c>
      <c r="Q41" s="94">
        <f>VLOOKUP(B41,Database!$A:$M,MATCH(Recap!$Q$5,Database!$A$1:$M$1,),)</f>
        <v>22799</v>
      </c>
      <c r="R41" s="96">
        <f t="shared" si="17"/>
        <v>-1.8387986515476554E-3</v>
      </c>
      <c r="S41" s="94">
        <f>VLOOKUP(B41,Database!$A:$M,MATCH(Recap!$S$5,Database!$A$1:$M$1,),)</f>
        <v>21029</v>
      </c>
      <c r="T41" s="96">
        <f t="shared" si="18"/>
        <v>-2.2997584092176174E-2</v>
      </c>
      <c r="U41" s="94">
        <f>VLOOKUP(B41,Database!$A:$M,MATCH(Recap!$U$5,Database!$A$1:$M$1,),)</f>
        <v>10882</v>
      </c>
      <c r="V41" s="96">
        <f t="shared" si="19"/>
        <v>-2.700286123032904E-2</v>
      </c>
    </row>
    <row r="42" spans="2:22" x14ac:dyDescent="0.35">
      <c r="B42" s="93">
        <v>43435</v>
      </c>
      <c r="C42" s="94">
        <f>VLOOKUP(B42,Database!$A:$M,MATCH(Recap!$C$5,Database!$A$1:$M$1,),)</f>
        <v>238448</v>
      </c>
      <c r="D42" s="96">
        <f t="shared" si="10"/>
        <v>2.9332665668046605E-2</v>
      </c>
      <c r="E42" s="94">
        <f>VLOOKUP(B42,Database!$A:$M,MATCH(Recap!$E$5,Database!$A$1:$M$1,),)</f>
        <v>159589</v>
      </c>
      <c r="F42" s="96">
        <f t="shared" si="11"/>
        <v>7.6526263283178747E-3</v>
      </c>
      <c r="G42" s="94">
        <f>VLOOKUP(B42,Database!$A:$M,MATCH(Recap!$G$5,Database!$A$1:$M$1,),)</f>
        <v>65773</v>
      </c>
      <c r="H42" s="96">
        <f t="shared" si="12"/>
        <v>7.9380890353229639E-3</v>
      </c>
      <c r="I42" s="94">
        <f>VLOOKUP(B42,Database!$A:$M,MATCH(Recap!$I$5,Database!$A$1:$M$1,),)</f>
        <v>169731</v>
      </c>
      <c r="J42" s="96">
        <f t="shared" si="13"/>
        <v>3.9426062354173175E-2</v>
      </c>
      <c r="K42" s="94">
        <f>VLOOKUP(B42,Database!$A:$M,MATCH(Recap!$K$5,Database!$A$1:$M$1,),)</f>
        <v>78859</v>
      </c>
      <c r="L42" s="96">
        <f t="shared" si="14"/>
        <v>7.6191385992685184E-2</v>
      </c>
      <c r="M42" s="94">
        <f>VLOOKUP(B42,Database!$A:$M,MATCH(Recap!$M$5,Database!$A$1:$M$1,),)</f>
        <v>32491</v>
      </c>
      <c r="N42" s="96">
        <f t="shared" si="15"/>
        <v>-2.2110984860117312E-3</v>
      </c>
      <c r="O42" s="94">
        <f>VLOOKUP(B42,Database!$A:$M,MATCH(Recap!$O$5,Database!$A$1:$M$1,),)</f>
        <v>32879</v>
      </c>
      <c r="P42" s="96">
        <f t="shared" si="16"/>
        <v>2.7822063834443089E-2</v>
      </c>
      <c r="Q42" s="94">
        <f>VLOOKUP(B42,Database!$A:$M,MATCH(Recap!$Q$5,Database!$A$1:$M$1,),)</f>
        <v>22696</v>
      </c>
      <c r="R42" s="96">
        <f t="shared" si="17"/>
        <v>-4.5177420062283433E-3</v>
      </c>
      <c r="S42" s="94">
        <f>VLOOKUP(B42,Database!$A:$M,MATCH(Recap!$S$5,Database!$A$1:$M$1,),)</f>
        <v>21491</v>
      </c>
      <c r="T42" s="96">
        <f t="shared" si="18"/>
        <v>2.1969660944410101E-2</v>
      </c>
      <c r="U42" s="94">
        <f>VLOOKUP(B42,Database!$A:$M,MATCH(Recap!$U$5,Database!$A$1:$M$1,),)</f>
        <v>10761</v>
      </c>
      <c r="V42" s="96">
        <f t="shared" si="19"/>
        <v>-1.1119279544201433E-2</v>
      </c>
    </row>
    <row r="43" spans="2:22" x14ac:dyDescent="0.35">
      <c r="B43" s="93">
        <v>43466</v>
      </c>
      <c r="C43" s="94">
        <f>VLOOKUP(B43,Database!$A:$M,MATCH(Recap!$C$5,Database!$A$1:$M$1,),)</f>
        <v>229028</v>
      </c>
      <c r="D43" s="96">
        <f t="shared" si="10"/>
        <v>-3.9505468697577671E-2</v>
      </c>
      <c r="E43" s="94">
        <f>VLOOKUP(B43,Database!$A:$M,MATCH(Recap!$E$5,Database!$A$1:$M$1,),)</f>
        <v>159378</v>
      </c>
      <c r="F43" s="96">
        <f t="shared" si="11"/>
        <v>-1.3221462632136301E-3</v>
      </c>
      <c r="G43" s="94">
        <f>VLOOKUP(B43,Database!$A:$M,MATCH(Recap!$G$5,Database!$A$1:$M$1,),)</f>
        <v>67110</v>
      </c>
      <c r="H43" s="96">
        <f t="shared" si="12"/>
        <v>2.0327490003496877E-2</v>
      </c>
      <c r="I43" s="94">
        <f>VLOOKUP(B43,Database!$A:$M,MATCH(Recap!$I$5,Database!$A$1:$M$1,),)</f>
        <v>160516</v>
      </c>
      <c r="J43" s="96">
        <f t="shared" si="13"/>
        <v>-5.4291791128314802E-2</v>
      </c>
      <c r="K43" s="94">
        <f>VLOOKUP(B43,Database!$A:$M,MATCH(Recap!$K$5,Database!$A$1:$M$1,),)</f>
        <v>69650</v>
      </c>
      <c r="L43" s="96">
        <f t="shared" si="14"/>
        <v>-0.11677804689382315</v>
      </c>
      <c r="M43" s="94">
        <f>VLOOKUP(B43,Database!$A:$M,MATCH(Recap!$M$5,Database!$A$1:$M$1,),)</f>
        <v>32335</v>
      </c>
      <c r="N43" s="96">
        <f t="shared" si="15"/>
        <v>-4.8013295989658674E-3</v>
      </c>
      <c r="O43" s="94">
        <f>VLOOKUP(B43,Database!$A:$M,MATCH(Recap!$O$5,Database!$A$1:$M$1,),)</f>
        <v>34032</v>
      </c>
      <c r="P43" s="96">
        <f t="shared" si="16"/>
        <v>3.5067976519967153E-2</v>
      </c>
      <c r="Q43" s="94">
        <f>VLOOKUP(B43,Database!$A:$M,MATCH(Recap!$Q$5,Database!$A$1:$M$1,),)</f>
        <v>22888</v>
      </c>
      <c r="R43" s="96">
        <f t="shared" si="17"/>
        <v>8.459640465280225E-3</v>
      </c>
      <c r="S43" s="94">
        <f>VLOOKUP(B43,Database!$A:$M,MATCH(Recap!$S$5,Database!$A$1:$M$1,),)</f>
        <v>19959</v>
      </c>
      <c r="T43" s="96">
        <f t="shared" si="18"/>
        <v>-7.1285654460006509E-2</v>
      </c>
      <c r="U43" s="94">
        <f>VLOOKUP(B43,Database!$A:$M,MATCH(Recap!$U$5,Database!$A$1:$M$1,),)</f>
        <v>11039</v>
      </c>
      <c r="V43" s="96">
        <f t="shared" si="19"/>
        <v>2.5834030294582287E-2</v>
      </c>
    </row>
    <row r="44" spans="2:22" x14ac:dyDescent="0.35">
      <c r="B44" s="93">
        <v>43497</v>
      </c>
      <c r="C44" s="94">
        <f>VLOOKUP(B44,Database!$A:$M,MATCH(Recap!$C$5,Database!$A$1:$M$1,),)</f>
        <v>223455</v>
      </c>
      <c r="D44" s="96">
        <f t="shared" si="10"/>
        <v>-2.4333269294584067E-2</v>
      </c>
      <c r="E44" s="94">
        <f>VLOOKUP(B44,Database!$A:$M,MATCH(Recap!$E$5,Database!$A$1:$M$1,),)</f>
        <v>159319</v>
      </c>
      <c r="F44" s="96">
        <f t="shared" si="11"/>
        <v>-3.7018911016576945E-4</v>
      </c>
      <c r="G44" s="94">
        <f>VLOOKUP(B44,Database!$A:$M,MATCH(Recap!$G$5,Database!$A$1:$M$1,),)</f>
        <v>66772</v>
      </c>
      <c r="H44" s="96">
        <f t="shared" si="12"/>
        <v>-5.0365072269408437E-3</v>
      </c>
      <c r="I44" s="94">
        <f>VLOOKUP(B44,Database!$A:$M,MATCH(Recap!$I$5,Database!$A$1:$M$1,),)</f>
        <v>154698</v>
      </c>
      <c r="J44" s="96">
        <f t="shared" si="13"/>
        <v>-3.6245607914475814E-2</v>
      </c>
      <c r="K44" s="94">
        <f>VLOOKUP(B44,Database!$A:$M,MATCH(Recap!$K$5,Database!$A$1:$M$1,),)</f>
        <v>64136</v>
      </c>
      <c r="L44" s="96">
        <f t="shared" si="14"/>
        <v>-7.9167264895908113E-2</v>
      </c>
      <c r="M44" s="94">
        <f>VLOOKUP(B44,Database!$A:$M,MATCH(Recap!$M$5,Database!$A$1:$M$1,),)</f>
        <v>32420</v>
      </c>
      <c r="N44" s="96">
        <f t="shared" si="15"/>
        <v>2.628730477810422E-3</v>
      </c>
      <c r="O44" s="94">
        <f>VLOOKUP(B44,Database!$A:$M,MATCH(Recap!$O$5,Database!$A$1:$M$1,),)</f>
        <v>33242</v>
      </c>
      <c r="P44" s="96">
        <f t="shared" si="16"/>
        <v>-2.3213446168312175E-2</v>
      </c>
      <c r="Q44" s="94">
        <f>VLOOKUP(B44,Database!$A:$M,MATCH(Recap!$Q$5,Database!$A$1:$M$1,),)</f>
        <v>22732</v>
      </c>
      <c r="R44" s="96">
        <f t="shared" si="17"/>
        <v>-6.8157986717930791E-3</v>
      </c>
      <c r="S44" s="94">
        <f>VLOOKUP(B44,Database!$A:$M,MATCH(Recap!$S$5,Database!$A$1:$M$1,),)</f>
        <v>20725</v>
      </c>
      <c r="T44" s="96">
        <f t="shared" si="18"/>
        <v>3.8378676286387095E-2</v>
      </c>
      <c r="U44" s="94">
        <f>VLOOKUP(B44,Database!$A:$M,MATCH(Recap!$U$5,Database!$A$1:$M$1,),)</f>
        <v>11011</v>
      </c>
      <c r="V44" s="96">
        <f t="shared" si="19"/>
        <v>-2.5364616360177552E-3</v>
      </c>
    </row>
    <row r="45" spans="2:22" x14ac:dyDescent="0.35">
      <c r="B45" s="93">
        <v>43525</v>
      </c>
      <c r="C45" s="94">
        <f>VLOOKUP(B45,Database!$A:$M,MATCH(Recap!$C$5,Database!$A$1:$M$1,),)</f>
        <v>233044</v>
      </c>
      <c r="D45" s="96">
        <f t="shared" si="10"/>
        <v>4.2912443221230223E-2</v>
      </c>
      <c r="E45" s="94">
        <f>VLOOKUP(B45,Database!$A:$M,MATCH(Recap!$E$5,Database!$A$1:$M$1,),)</f>
        <v>158787</v>
      </c>
      <c r="F45" s="96">
        <f t="shared" si="11"/>
        <v>-3.3392125233023054E-3</v>
      </c>
      <c r="G45" s="94">
        <f>VLOOKUP(B45,Database!$A:$M,MATCH(Recap!$G$5,Database!$A$1:$M$1,),)</f>
        <v>67615</v>
      </c>
      <c r="H45" s="96">
        <f t="shared" si="12"/>
        <v>1.2625052417180854E-2</v>
      </c>
      <c r="I45" s="94">
        <f>VLOOKUP(B45,Database!$A:$M,MATCH(Recap!$I$5,Database!$A$1:$M$1,),)</f>
        <v>164517</v>
      </c>
      <c r="J45" s="96">
        <f t="shared" si="13"/>
        <v>6.3472055230190436E-2</v>
      </c>
      <c r="K45" s="94">
        <f>VLOOKUP(B45,Database!$A:$M,MATCH(Recap!$K$5,Database!$A$1:$M$1,),)</f>
        <v>74257</v>
      </c>
      <c r="L45" s="96">
        <f t="shared" si="14"/>
        <v>0.15780528876138206</v>
      </c>
      <c r="M45" s="94">
        <f>VLOOKUP(B45,Database!$A:$M,MATCH(Recap!$M$5,Database!$A$1:$M$1,),)</f>
        <v>31790</v>
      </c>
      <c r="N45" s="96">
        <f t="shared" si="15"/>
        <v>-1.9432449105490437E-2</v>
      </c>
      <c r="O45" s="94">
        <f>VLOOKUP(B45,Database!$A:$M,MATCH(Recap!$O$5,Database!$A$1:$M$1,),)</f>
        <v>33165</v>
      </c>
      <c r="P45" s="96">
        <f t="shared" si="16"/>
        <v>-2.3163467902051621E-3</v>
      </c>
      <c r="Q45" s="94">
        <f>VLOOKUP(B45,Database!$A:$M,MATCH(Recap!$Q$5,Database!$A$1:$M$1,),)</f>
        <v>23076</v>
      </c>
      <c r="R45" s="96">
        <f t="shared" si="17"/>
        <v>1.5132852366707725E-2</v>
      </c>
      <c r="S45" s="94">
        <f>VLOOKUP(B45,Database!$A:$M,MATCH(Recap!$S$5,Database!$A$1:$M$1,),)</f>
        <v>20269</v>
      </c>
      <c r="T45" s="96">
        <f t="shared" si="18"/>
        <v>-2.2002412545235224E-2</v>
      </c>
      <c r="U45" s="94">
        <f>VLOOKUP(B45,Database!$A:$M,MATCH(Recap!$U$5,Database!$A$1:$M$1,),)</f>
        <v>11244</v>
      </c>
      <c r="V45" s="96">
        <f t="shared" si="19"/>
        <v>2.1160657524293889E-2</v>
      </c>
    </row>
    <row r="46" spans="2:22" x14ac:dyDescent="0.35">
      <c r="B46" s="93">
        <v>43556</v>
      </c>
      <c r="C46" s="94">
        <f>VLOOKUP(B46,Database!$A:$M,MATCH(Recap!$C$5,Database!$A$1:$M$1,),)</f>
        <v>223929</v>
      </c>
      <c r="D46" s="96">
        <f t="shared" si="10"/>
        <v>-3.9112785568390519E-2</v>
      </c>
      <c r="E46" s="94">
        <f>VLOOKUP(B46,Database!$A:$M,MATCH(Recap!$E$5,Database!$A$1:$M$1,),)</f>
        <v>159686</v>
      </c>
      <c r="F46" s="96">
        <f t="shared" si="11"/>
        <v>5.6616725550580338E-3</v>
      </c>
      <c r="G46" s="94">
        <f>VLOOKUP(B46,Database!$A:$M,MATCH(Recap!$G$5,Database!$A$1:$M$1,),)</f>
        <v>67038</v>
      </c>
      <c r="H46" s="96">
        <f t="shared" si="12"/>
        <v>-8.5336094061968498E-3</v>
      </c>
      <c r="I46" s="94">
        <f>VLOOKUP(B46,Database!$A:$M,MATCH(Recap!$I$5,Database!$A$1:$M$1,),)</f>
        <v>157216</v>
      </c>
      <c r="J46" s="96">
        <f t="shared" si="13"/>
        <v>-4.4378392506549479E-2</v>
      </c>
      <c r="K46" s="94">
        <f>VLOOKUP(B46,Database!$A:$M,MATCH(Recap!$K$5,Database!$A$1:$M$1,),)</f>
        <v>64243</v>
      </c>
      <c r="L46" s="96">
        <f t="shared" si="14"/>
        <v>-0.13485597317424619</v>
      </c>
      <c r="M46" s="94">
        <f>VLOOKUP(B46,Database!$A:$M,MATCH(Recap!$M$5,Database!$A$1:$M$1,),)</f>
        <v>32339</v>
      </c>
      <c r="N46" s="96">
        <f t="shared" si="15"/>
        <v>1.7269581629443222E-2</v>
      </c>
      <c r="O46" s="94">
        <f>VLOOKUP(B46,Database!$A:$M,MATCH(Recap!$O$5,Database!$A$1:$M$1,),)</f>
        <v>33273</v>
      </c>
      <c r="P46" s="96">
        <f t="shared" si="16"/>
        <v>3.2564450474898234E-3</v>
      </c>
      <c r="Q46" s="94">
        <f>VLOOKUP(B46,Database!$A:$M,MATCH(Recap!$Q$5,Database!$A$1:$M$1,),)</f>
        <v>23425</v>
      </c>
      <c r="R46" s="96">
        <f t="shared" si="17"/>
        <v>1.5123938290864967E-2</v>
      </c>
      <c r="S46" s="94">
        <f>VLOOKUP(B46,Database!$A:$M,MATCH(Recap!$S$5,Database!$A$1:$M$1,),)</f>
        <v>20308</v>
      </c>
      <c r="T46" s="96">
        <f t="shared" si="18"/>
        <v>1.9241205782229019E-3</v>
      </c>
      <c r="U46" s="94">
        <f>VLOOKUP(B46,Database!$A:$M,MATCH(Recap!$U$5,Database!$A$1:$M$1,),)</f>
        <v>11249</v>
      </c>
      <c r="V46" s="96">
        <f t="shared" si="19"/>
        <v>4.4468160796869442E-4</v>
      </c>
    </row>
    <row r="47" spans="2:22" x14ac:dyDescent="0.35">
      <c r="B47" s="93">
        <v>43586</v>
      </c>
      <c r="C47" s="94">
        <f>VLOOKUP(B47,Database!$A:$M,MATCH(Recap!$C$5,Database!$A$1:$M$1,),)</f>
        <v>217479</v>
      </c>
      <c r="D47" s="96">
        <f t="shared" si="10"/>
        <v>-2.8803772624358615E-2</v>
      </c>
      <c r="E47" s="94">
        <f>VLOOKUP(B47,Database!$A:$M,MATCH(Recap!$E$5,Database!$A$1:$M$1,),)</f>
        <v>158746</v>
      </c>
      <c r="F47" s="96">
        <f t="shared" si="11"/>
        <v>-5.8865523590045463E-3</v>
      </c>
      <c r="G47" s="94">
        <f>VLOOKUP(B47,Database!$A:$M,MATCH(Recap!$G$5,Database!$A$1:$M$1,),)</f>
        <v>66680</v>
      </c>
      <c r="H47" s="96">
        <f t="shared" si="12"/>
        <v>-5.3402547808705514E-3</v>
      </c>
      <c r="I47" s="94">
        <f>VLOOKUP(B47,Database!$A:$M,MATCH(Recap!$I$5,Database!$A$1:$M$1,),)</f>
        <v>149783</v>
      </c>
      <c r="J47" s="96">
        <f t="shared" si="13"/>
        <v>-4.7278902910645224E-2</v>
      </c>
      <c r="K47" s="94">
        <f>VLOOKUP(B47,Database!$A:$M,MATCH(Recap!$K$5,Database!$A$1:$M$1,),)</f>
        <v>58733</v>
      </c>
      <c r="L47" s="96">
        <f t="shared" si="14"/>
        <v>-8.5768099248167112E-2</v>
      </c>
      <c r="M47" s="94">
        <f>VLOOKUP(B47,Database!$A:$M,MATCH(Recap!$M$5,Database!$A$1:$M$1,),)</f>
        <v>32218</v>
      </c>
      <c r="N47" s="96">
        <f t="shared" si="15"/>
        <v>-3.741612294752466E-3</v>
      </c>
      <c r="O47" s="94">
        <f>VLOOKUP(B47,Database!$A:$M,MATCH(Recap!$O$5,Database!$A$1:$M$1,),)</f>
        <v>33097</v>
      </c>
      <c r="P47" s="96">
        <f t="shared" si="16"/>
        <v>-5.2895741291738045E-3</v>
      </c>
      <c r="Q47" s="94">
        <f>VLOOKUP(B47,Database!$A:$M,MATCH(Recap!$Q$5,Database!$A$1:$M$1,),)</f>
        <v>23172</v>
      </c>
      <c r="R47" s="96">
        <f t="shared" si="17"/>
        <v>-1.080042689434365E-2</v>
      </c>
      <c r="S47" s="94">
        <f>VLOOKUP(B47,Database!$A:$M,MATCH(Recap!$S$5,Database!$A$1:$M$1,),)</f>
        <v>19556</v>
      </c>
      <c r="T47" s="96">
        <f t="shared" si="18"/>
        <v>-3.7029741973606457E-2</v>
      </c>
      <c r="U47" s="94">
        <f>VLOOKUP(B47,Database!$A:$M,MATCH(Recap!$U$5,Database!$A$1:$M$1,),)</f>
        <v>11327</v>
      </c>
      <c r="V47" s="96">
        <f t="shared" si="19"/>
        <v>6.9339496844163925E-3</v>
      </c>
    </row>
    <row r="48" spans="2:22" x14ac:dyDescent="0.35">
      <c r="B48" s="93">
        <v>43617</v>
      </c>
      <c r="C48" s="94">
        <f>VLOOKUP(B48,Database!$A:$M,MATCH(Recap!$C$5,Database!$A$1:$M$1,),)</f>
        <v>219553</v>
      </c>
      <c r="D48" s="96">
        <f t="shared" si="10"/>
        <v>9.5365529545381397E-3</v>
      </c>
      <c r="E48" s="94">
        <f>VLOOKUP(B48,Database!$A:$M,MATCH(Recap!$E$5,Database!$A$1:$M$1,),)</f>
        <v>159812</v>
      </c>
      <c r="F48" s="96">
        <f t="shared" si="11"/>
        <v>6.7151298300429617E-3</v>
      </c>
      <c r="G48" s="94">
        <f>VLOOKUP(B48,Database!$A:$M,MATCH(Recap!$G$5,Database!$A$1:$M$1,),)</f>
        <v>66243</v>
      </c>
      <c r="H48" s="96">
        <f t="shared" si="12"/>
        <v>-6.5536892621475707E-3</v>
      </c>
      <c r="I48" s="94">
        <f>VLOOKUP(B48,Database!$A:$M,MATCH(Recap!$I$5,Database!$A$1:$M$1,),)</f>
        <v>150374</v>
      </c>
      <c r="J48" s="96">
        <f t="shared" si="13"/>
        <v>3.9457081244199943E-3</v>
      </c>
      <c r="K48" s="94">
        <f>VLOOKUP(B48,Database!$A:$M,MATCH(Recap!$K$5,Database!$A$1:$M$1,),)</f>
        <v>59741</v>
      </c>
      <c r="L48" s="96">
        <f t="shared" si="14"/>
        <v>1.7162412953535492E-2</v>
      </c>
      <c r="M48" s="94">
        <f>VLOOKUP(B48,Database!$A:$M,MATCH(Recap!$M$5,Database!$A$1:$M$1,),)</f>
        <v>32670</v>
      </c>
      <c r="N48" s="96">
        <f t="shared" si="15"/>
        <v>1.4029424545285244E-2</v>
      </c>
      <c r="O48" s="94">
        <f>VLOOKUP(B48,Database!$A:$M,MATCH(Recap!$O$5,Database!$A$1:$M$1,),)</f>
        <v>33181</v>
      </c>
      <c r="P48" s="96">
        <f t="shared" si="16"/>
        <v>2.5379943801553009E-3</v>
      </c>
      <c r="Q48" s="94">
        <f>VLOOKUP(B48,Database!$A:$M,MATCH(Recap!$Q$5,Database!$A$1:$M$1,),)</f>
        <v>22952</v>
      </c>
      <c r="R48" s="96">
        <f t="shared" si="17"/>
        <v>-9.4942171586397377E-3</v>
      </c>
      <c r="S48" s="94">
        <f>VLOOKUP(B48,Database!$A:$M,MATCH(Recap!$S$5,Database!$A$1:$M$1,),)</f>
        <v>20157</v>
      </c>
      <c r="T48" s="96">
        <f t="shared" si="18"/>
        <v>3.0732256085088974E-2</v>
      </c>
      <c r="U48" s="94">
        <f>VLOOKUP(B48,Database!$A:$M,MATCH(Recap!$U$5,Database!$A$1:$M$1,),)</f>
        <v>11444</v>
      </c>
      <c r="V48" s="96">
        <f t="shared" si="19"/>
        <v>1.03293016685795E-2</v>
      </c>
    </row>
    <row r="49" spans="2:22" x14ac:dyDescent="0.35">
      <c r="B49" s="93">
        <v>43647</v>
      </c>
      <c r="C49" s="94">
        <f>VLOOKUP(B49,Database!$A:$M,MATCH(Recap!$C$5,Database!$A$1:$M$1,),)</f>
        <v>225239</v>
      </c>
      <c r="D49" s="96">
        <f t="shared" si="10"/>
        <v>2.5898074724553979E-2</v>
      </c>
      <c r="E49" s="94">
        <f>VLOOKUP(B49,Database!$A:$M,MATCH(Recap!$E$5,Database!$A$1:$M$1,),)</f>
        <v>157829</v>
      </c>
      <c r="F49" s="96">
        <f t="shared" si="11"/>
        <v>-1.2408329787500312E-2</v>
      </c>
      <c r="G49" s="94">
        <f>VLOOKUP(B49,Database!$A:$M,MATCH(Recap!$G$5,Database!$A$1:$M$1,),)</f>
        <v>65872</v>
      </c>
      <c r="H49" s="96">
        <f t="shared" si="12"/>
        <v>-5.6005917606388603E-3</v>
      </c>
      <c r="I49" s="94">
        <f>VLOOKUP(B49,Database!$A:$M,MATCH(Recap!$I$5,Database!$A$1:$M$1,),)</f>
        <v>157455</v>
      </c>
      <c r="J49" s="96">
        <f t="shared" si="13"/>
        <v>4.7089257451421125E-2</v>
      </c>
      <c r="K49" s="94">
        <f>VLOOKUP(B49,Database!$A:$M,MATCH(Recap!$K$5,Database!$A$1:$M$1,),)</f>
        <v>67410</v>
      </c>
      <c r="L49" s="96">
        <f t="shared" si="14"/>
        <v>0.12837080062268794</v>
      </c>
      <c r="M49" s="94">
        <f>VLOOKUP(B49,Database!$A:$M,MATCH(Recap!$M$5,Database!$A$1:$M$1,),)</f>
        <v>32458</v>
      </c>
      <c r="N49" s="96">
        <f t="shared" si="15"/>
        <v>-6.4891337618610346E-3</v>
      </c>
      <c r="O49" s="94">
        <f>VLOOKUP(B49,Database!$A:$M,MATCH(Recap!$O$5,Database!$A$1:$M$1,),)</f>
        <v>32324</v>
      </c>
      <c r="P49" s="96">
        <f t="shared" si="16"/>
        <v>-2.5828034115909709E-2</v>
      </c>
      <c r="Q49" s="94">
        <f>VLOOKUP(B49,Database!$A:$M,MATCH(Recap!$Q$5,Database!$A$1:$M$1,),)</f>
        <v>22899</v>
      </c>
      <c r="R49" s="96">
        <f t="shared" si="17"/>
        <v>-2.3091669571279191E-3</v>
      </c>
      <c r="S49" s="94">
        <f>VLOOKUP(B49,Database!$A:$M,MATCH(Recap!$S$5,Database!$A$1:$M$1,),)</f>
        <v>19434</v>
      </c>
      <c r="T49" s="96">
        <f t="shared" si="18"/>
        <v>-3.586843280250037E-2</v>
      </c>
      <c r="U49" s="94">
        <f>VLOOKUP(B49,Database!$A:$M,MATCH(Recap!$U$5,Database!$A$1:$M$1,),)</f>
        <v>11583</v>
      </c>
      <c r="V49" s="96">
        <f t="shared" si="19"/>
        <v>1.2146102761272282E-2</v>
      </c>
    </row>
    <row r="50" spans="2:22" x14ac:dyDescent="0.35">
      <c r="B50" s="93">
        <v>43678</v>
      </c>
      <c r="C50" s="94">
        <f>VLOOKUP(B50,Database!$A:$M,MATCH(Recap!$C$5,Database!$A$1:$M$1,),)</f>
        <v>224546</v>
      </c>
      <c r="D50" s="96">
        <f t="shared" si="10"/>
        <v>-3.0767318270814555E-3</v>
      </c>
      <c r="E50" s="94">
        <f>VLOOKUP(B50,Database!$A:$M,MATCH(Recap!$E$5,Database!$A$1:$M$1,),)</f>
        <v>157610</v>
      </c>
      <c r="F50" s="96">
        <f t="shared" si="11"/>
        <v>-1.3875776948469546E-3</v>
      </c>
      <c r="G50" s="94">
        <f>VLOOKUP(B50,Database!$A:$M,MATCH(Recap!$G$5,Database!$A$1:$M$1,),)</f>
        <v>65829</v>
      </c>
      <c r="H50" s="96">
        <f t="shared" si="12"/>
        <v>-6.5278115132377942E-4</v>
      </c>
      <c r="I50" s="94">
        <f>VLOOKUP(B50,Database!$A:$M,MATCH(Recap!$I$5,Database!$A$1:$M$1,),)</f>
        <v>156670</v>
      </c>
      <c r="J50" s="96">
        <f t="shared" si="13"/>
        <v>-4.9855514273919529E-3</v>
      </c>
      <c r="K50" s="94">
        <f>VLOOKUP(B50,Database!$A:$M,MATCH(Recap!$K$5,Database!$A$1:$M$1,),)</f>
        <v>66936</v>
      </c>
      <c r="L50" s="96">
        <f t="shared" si="14"/>
        <v>-7.0315976858032932E-3</v>
      </c>
      <c r="M50" s="94">
        <f>VLOOKUP(B50,Database!$A:$M,MATCH(Recap!$M$5,Database!$A$1:$M$1,),)</f>
        <v>32597</v>
      </c>
      <c r="N50" s="96">
        <f t="shared" si="15"/>
        <v>4.2824573294719332E-3</v>
      </c>
      <c r="O50" s="94">
        <f>VLOOKUP(B50,Database!$A:$M,MATCH(Recap!$O$5,Database!$A$1:$M$1,),)</f>
        <v>32661</v>
      </c>
      <c r="P50" s="96">
        <f t="shared" si="16"/>
        <v>1.0425689889865116E-2</v>
      </c>
      <c r="Q50" s="94">
        <f>VLOOKUP(B50,Database!$A:$M,MATCH(Recap!$Q$5,Database!$A$1:$M$1,),)</f>
        <v>22607</v>
      </c>
      <c r="R50" s="96">
        <f t="shared" si="17"/>
        <v>-1.2751648543604523E-2</v>
      </c>
      <c r="S50" s="94">
        <f>VLOOKUP(B50,Database!$A:$M,MATCH(Recap!$S$5,Database!$A$1:$M$1,),)</f>
        <v>19402</v>
      </c>
      <c r="T50" s="96">
        <f t="shared" si="18"/>
        <v>-1.6465987444684574E-3</v>
      </c>
      <c r="U50" s="94">
        <f>VLOOKUP(B50,Database!$A:$M,MATCH(Recap!$U$5,Database!$A$1:$M$1,),)</f>
        <v>11297</v>
      </c>
      <c r="V50" s="96">
        <f t="shared" si="19"/>
        <v>-2.4691358024691357E-2</v>
      </c>
    </row>
    <row r="51" spans="2:22" x14ac:dyDescent="0.35">
      <c r="B51" s="93">
        <v>43709</v>
      </c>
      <c r="C51" s="94">
        <f>VLOOKUP(B51,Database!$A:$M,MATCH(Recap!$C$5,Database!$A$1:$M$1,),)</f>
        <v>221949</v>
      </c>
      <c r="D51" s="96">
        <f t="shared" si="10"/>
        <v>-1.1565558950059231E-2</v>
      </c>
      <c r="E51" s="94">
        <f>VLOOKUP(B51,Database!$A:$M,MATCH(Recap!$E$5,Database!$A$1:$M$1,),)</f>
        <v>156184</v>
      </c>
      <c r="F51" s="96">
        <f t="shared" si="11"/>
        <v>-9.0476492608337032E-3</v>
      </c>
      <c r="G51" s="94">
        <f>VLOOKUP(B51,Database!$A:$M,MATCH(Recap!$G$5,Database!$A$1:$M$1,),)</f>
        <v>65203</v>
      </c>
      <c r="H51" s="96">
        <f t="shared" si="12"/>
        <v>-9.5094867003904047E-3</v>
      </c>
      <c r="I51" s="94">
        <f>VLOOKUP(B51,Database!$A:$M,MATCH(Recap!$I$5,Database!$A$1:$M$1,),)</f>
        <v>154428</v>
      </c>
      <c r="J51" s="96">
        <f t="shared" si="13"/>
        <v>-1.4310333822684623E-2</v>
      </c>
      <c r="K51" s="94">
        <f>VLOOKUP(B51,Database!$A:$M,MATCH(Recap!$K$5,Database!$A$1:$M$1,),)</f>
        <v>65765</v>
      </c>
      <c r="L51" s="96">
        <f t="shared" si="14"/>
        <v>-1.7494322935341221E-2</v>
      </c>
      <c r="M51" s="94">
        <f>VLOOKUP(B51,Database!$A:$M,MATCH(Recap!$M$5,Database!$A$1:$M$1,),)</f>
        <v>31528</v>
      </c>
      <c r="N51" s="96">
        <f t="shared" si="15"/>
        <v>-3.2794428935178081E-2</v>
      </c>
      <c r="O51" s="94">
        <f>VLOOKUP(B51,Database!$A:$M,MATCH(Recap!$O$5,Database!$A$1:$M$1,),)</f>
        <v>32881</v>
      </c>
      <c r="P51" s="96">
        <f t="shared" si="16"/>
        <v>6.7358623434677443E-3</v>
      </c>
      <c r="Q51" s="94">
        <f>VLOOKUP(B51,Database!$A:$M,MATCH(Recap!$Q$5,Database!$A$1:$M$1,),)</f>
        <v>22561</v>
      </c>
      <c r="R51" s="96">
        <f t="shared" si="17"/>
        <v>-2.0347679922148006E-3</v>
      </c>
      <c r="S51" s="94">
        <f>VLOOKUP(B51,Database!$A:$M,MATCH(Recap!$S$5,Database!$A$1:$M$1,),)</f>
        <v>19000</v>
      </c>
      <c r="T51" s="96">
        <f t="shared" si="18"/>
        <v>-2.0719513452221422E-2</v>
      </c>
      <c r="U51" s="94">
        <f>VLOOKUP(B51,Database!$A:$M,MATCH(Recap!$U$5,Database!$A$1:$M$1,),)</f>
        <v>11306</v>
      </c>
      <c r="V51" s="96">
        <f t="shared" si="19"/>
        <v>7.9667168274763207E-4</v>
      </c>
    </row>
    <row r="52" spans="2:22" x14ac:dyDescent="0.35">
      <c r="B52" s="93">
        <v>43739</v>
      </c>
      <c r="C52" s="94">
        <f>VLOOKUP(B52,Database!$A:$M,MATCH(Recap!$C$5,Database!$A$1:$M$1,),)</f>
        <v>222975</v>
      </c>
      <c r="D52" s="96">
        <f t="shared" si="10"/>
        <v>4.6226835894732574E-3</v>
      </c>
      <c r="E52" s="94">
        <f>VLOOKUP(B52,Database!$A:$M,MATCH(Recap!$E$5,Database!$A$1:$M$1,),)</f>
        <v>155758</v>
      </c>
      <c r="F52" s="96">
        <f t="shared" si="11"/>
        <v>-2.7275521180146495E-3</v>
      </c>
      <c r="G52" s="94">
        <f>VLOOKUP(B52,Database!$A:$M,MATCH(Recap!$G$5,Database!$A$1:$M$1,),)</f>
        <v>65207</v>
      </c>
      <c r="H52" s="96">
        <f t="shared" si="12"/>
        <v>6.1346870542766432E-5</v>
      </c>
      <c r="I52" s="94">
        <f>VLOOKUP(B52,Database!$A:$M,MATCH(Recap!$I$5,Database!$A$1:$M$1,),)</f>
        <v>156626</v>
      </c>
      <c r="J52" s="96">
        <f t="shared" si="13"/>
        <v>1.4233170150490844E-2</v>
      </c>
      <c r="K52" s="94">
        <f>VLOOKUP(B52,Database!$A:$M,MATCH(Recap!$K$5,Database!$A$1:$M$1,),)</f>
        <v>67217</v>
      </c>
      <c r="L52" s="96">
        <f t="shared" si="14"/>
        <v>2.2078613244126816E-2</v>
      </c>
      <c r="M52" s="94">
        <f>VLOOKUP(B52,Database!$A:$M,MATCH(Recap!$M$5,Database!$A$1:$M$1,),)</f>
        <v>31956</v>
      </c>
      <c r="N52" s="96">
        <f t="shared" si="15"/>
        <v>1.3575234712002031E-2</v>
      </c>
      <c r="O52" s="94">
        <f>VLOOKUP(B52,Database!$A:$M,MATCH(Recap!$O$5,Database!$A$1:$M$1,),)</f>
        <v>33049</v>
      </c>
      <c r="P52" s="96">
        <f t="shared" si="16"/>
        <v>5.10933365773547E-3</v>
      </c>
      <c r="Q52" s="94">
        <f>VLOOKUP(B52,Database!$A:$M,MATCH(Recap!$Q$5,Database!$A$1:$M$1,),)</f>
        <v>22249</v>
      </c>
      <c r="R52" s="96">
        <f t="shared" si="17"/>
        <v>-1.3829174238730552E-2</v>
      </c>
      <c r="S52" s="94">
        <f>VLOOKUP(B52,Database!$A:$M,MATCH(Recap!$S$5,Database!$A$1:$M$1,),)</f>
        <v>18609</v>
      </c>
      <c r="T52" s="96">
        <f t="shared" si="18"/>
        <v>-2.0578947368421054E-2</v>
      </c>
      <c r="U52" s="94">
        <f>VLOOKUP(B52,Database!$A:$M,MATCH(Recap!$U$5,Database!$A$1:$M$1,),)</f>
        <v>11091</v>
      </c>
      <c r="V52" s="96">
        <f t="shared" si="19"/>
        <v>-1.9016451441712365E-2</v>
      </c>
    </row>
    <row r="53" spans="2:22" x14ac:dyDescent="0.35">
      <c r="B53" s="93">
        <v>43770</v>
      </c>
      <c r="C53" s="94">
        <f>VLOOKUP(B53,Database!$A:$M,MATCH(Recap!$C$5,Database!$A$1:$M$1,),)</f>
        <v>212779</v>
      </c>
      <c r="D53" s="96">
        <f t="shared" si="10"/>
        <v>-4.5727099450611056E-2</v>
      </c>
      <c r="E53" s="94">
        <f>VLOOKUP(B53,Database!$A:$M,MATCH(Recap!$E$5,Database!$A$1:$M$1,),)</f>
        <v>154752</v>
      </c>
      <c r="F53" s="96">
        <f t="shared" si="11"/>
        <v>-6.4587372719218271E-3</v>
      </c>
      <c r="G53" s="94">
        <f>VLOOKUP(B53,Database!$A:$M,MATCH(Recap!$G$5,Database!$A$1:$M$1,),)</f>
        <v>63805</v>
      </c>
      <c r="H53" s="96">
        <f t="shared" si="12"/>
        <v>-2.1500759120953273E-2</v>
      </c>
      <c r="I53" s="94">
        <f>VLOOKUP(B53,Database!$A:$M,MATCH(Recap!$I$5,Database!$A$1:$M$1,),)</f>
        <v>147226</v>
      </c>
      <c r="J53" s="96">
        <f t="shared" si="13"/>
        <v>-6.001557851186904E-2</v>
      </c>
      <c r="K53" s="94">
        <f>VLOOKUP(B53,Database!$A:$M,MATCH(Recap!$K$5,Database!$A$1:$M$1,),)</f>
        <v>58027</v>
      </c>
      <c r="L53" s="96">
        <f t="shared" si="14"/>
        <v>-0.13672136513084487</v>
      </c>
      <c r="M53" s="94">
        <f>VLOOKUP(B53,Database!$A:$M,MATCH(Recap!$M$5,Database!$A$1:$M$1,),)</f>
        <v>32043</v>
      </c>
      <c r="N53" s="96">
        <f t="shared" si="15"/>
        <v>2.7224934284641382E-3</v>
      </c>
      <c r="O53" s="94">
        <f>VLOOKUP(B53,Database!$A:$M,MATCH(Recap!$O$5,Database!$A$1:$M$1,),)</f>
        <v>32028</v>
      </c>
      <c r="P53" s="96">
        <f t="shared" si="16"/>
        <v>-3.0893521740446003E-2</v>
      </c>
      <c r="Q53" s="94">
        <f>VLOOKUP(B53,Database!$A:$M,MATCH(Recap!$Q$5,Database!$A$1:$M$1,),)</f>
        <v>21985</v>
      </c>
      <c r="R53" s="96">
        <f t="shared" si="17"/>
        <v>-1.1865701829295699E-2</v>
      </c>
      <c r="S53" s="94">
        <f>VLOOKUP(B53,Database!$A:$M,MATCH(Recap!$S$5,Database!$A$1:$M$1,),)</f>
        <v>18878</v>
      </c>
      <c r="T53" s="96">
        <f t="shared" si="18"/>
        <v>1.4455371057015423E-2</v>
      </c>
      <c r="U53" s="94">
        <f>VLOOKUP(B53,Database!$A:$M,MATCH(Recap!$U$5,Database!$A$1:$M$1,),)</f>
        <v>11350</v>
      </c>
      <c r="V53" s="96">
        <f t="shared" si="19"/>
        <v>2.3352267604363899E-2</v>
      </c>
    </row>
    <row r="54" spans="2:22" x14ac:dyDescent="0.35">
      <c r="B54" s="93">
        <v>43800</v>
      </c>
      <c r="C54" s="94">
        <f>VLOOKUP(B54,Database!$A:$M,MATCH(Recap!$C$5,Database!$A$1:$M$1,),)</f>
        <v>215324</v>
      </c>
      <c r="D54" s="96">
        <f t="shared" si="10"/>
        <v>1.1960766804994853E-2</v>
      </c>
      <c r="E54" s="94">
        <f>VLOOKUP(B54,Database!$A:$M,MATCH(Recap!$E$5,Database!$A$1:$M$1,),)</f>
        <v>152508</v>
      </c>
      <c r="F54" s="96">
        <f t="shared" si="11"/>
        <v>-1.4500620347394541E-2</v>
      </c>
      <c r="G54" s="94">
        <f>VLOOKUP(B54,Database!$A:$M,MATCH(Recap!$G$5,Database!$A$1:$M$1,),)</f>
        <v>62950</v>
      </c>
      <c r="H54" s="96">
        <f t="shared" si="12"/>
        <v>-1.3400203745787948E-2</v>
      </c>
      <c r="I54" s="94">
        <f>VLOOKUP(B54,Database!$A:$M,MATCH(Recap!$I$5,Database!$A$1:$M$1,),)</f>
        <v>150665</v>
      </c>
      <c r="J54" s="96">
        <f t="shared" si="13"/>
        <v>2.3358645891350713E-2</v>
      </c>
      <c r="K54" s="94">
        <f>VLOOKUP(B54,Database!$A:$M,MATCH(Recap!$K$5,Database!$A$1:$M$1,),)</f>
        <v>62816</v>
      </c>
      <c r="L54" s="96">
        <f t="shared" si="14"/>
        <v>8.2530546125079707E-2</v>
      </c>
      <c r="M54" s="94">
        <f>VLOOKUP(B54,Database!$A:$M,MATCH(Recap!$M$5,Database!$A$1:$M$1,),)</f>
        <v>31281</v>
      </c>
      <c r="N54" s="96">
        <f t="shared" si="15"/>
        <v>-2.37805448928003E-2</v>
      </c>
      <c r="O54" s="94">
        <f>VLOOKUP(B54,Database!$A:$M,MATCH(Recap!$O$5,Database!$A$1:$M$1,),)</f>
        <v>31161</v>
      </c>
      <c r="P54" s="96">
        <f t="shared" si="16"/>
        <v>-2.7070063694267517E-2</v>
      </c>
      <c r="Q54" s="94">
        <f>VLOOKUP(B54,Database!$A:$M,MATCH(Recap!$Q$5,Database!$A$1:$M$1,),)</f>
        <v>22114</v>
      </c>
      <c r="R54" s="96">
        <f t="shared" si="17"/>
        <v>5.8676370252444847E-3</v>
      </c>
      <c r="S54" s="94">
        <f>VLOOKUP(B54,Database!$A:$M,MATCH(Recap!$S$5,Database!$A$1:$M$1,),)</f>
        <v>18382</v>
      </c>
      <c r="T54" s="96">
        <f t="shared" si="18"/>
        <v>-2.6273969700180103E-2</v>
      </c>
      <c r="U54" s="94">
        <f>VLOOKUP(B54,Database!$A:$M,MATCH(Recap!$U$5,Database!$A$1:$M$1,),)</f>
        <v>11331</v>
      </c>
      <c r="V54" s="96">
        <f t="shared" si="19"/>
        <v>-1.6740088105726871E-3</v>
      </c>
    </row>
    <row r="55" spans="2:22" x14ac:dyDescent="0.35">
      <c r="B55" s="93">
        <v>43831</v>
      </c>
      <c r="C55" s="94">
        <f>VLOOKUP(B55,Database!$A:$M,MATCH(Recap!$C$5,Database!$A$1:$M$1,),)</f>
        <v>225551</v>
      </c>
      <c r="D55" s="96">
        <f t="shared" si="10"/>
        <v>4.7495866693912432E-2</v>
      </c>
      <c r="E55" s="94">
        <f>VLOOKUP(B55,Database!$A:$M,MATCH(Recap!$E$5,Database!$A$1:$M$1,),)</f>
        <v>150988</v>
      </c>
      <c r="F55" s="96">
        <f t="shared" si="11"/>
        <v>-9.9666902719857311E-3</v>
      </c>
      <c r="G55" s="94">
        <f>VLOOKUP(B55,Database!$A:$M,MATCH(Recap!$G$5,Database!$A$1:$M$1,),)</f>
        <v>62298</v>
      </c>
      <c r="H55" s="96">
        <f t="shared" si="12"/>
        <v>-1.0357426528991263E-2</v>
      </c>
      <c r="I55" s="94">
        <f>VLOOKUP(B55,Database!$A:$M,MATCH(Recap!$I$5,Database!$A$1:$M$1,),)</f>
        <v>161215</v>
      </c>
      <c r="J55" s="96">
        <f t="shared" si="13"/>
        <v>7.00228984833903E-2</v>
      </c>
      <c r="K55" s="94">
        <f>VLOOKUP(B55,Database!$A:$M,MATCH(Recap!$K$5,Database!$A$1:$M$1,),)</f>
        <v>74563</v>
      </c>
      <c r="L55" s="96">
        <f t="shared" si="14"/>
        <v>0.18700649516046866</v>
      </c>
      <c r="M55" s="94">
        <f>VLOOKUP(B55,Database!$A:$M,MATCH(Recap!$M$5,Database!$A$1:$M$1,),)</f>
        <v>30656</v>
      </c>
      <c r="N55" s="96">
        <f t="shared" si="15"/>
        <v>-1.9980179661775517E-2</v>
      </c>
      <c r="O55" s="94">
        <f>VLOOKUP(B55,Database!$A:$M,MATCH(Recap!$O$5,Database!$A$1:$M$1,),)</f>
        <v>31324</v>
      </c>
      <c r="P55" s="96">
        <f t="shared" si="16"/>
        <v>5.2308975963544172E-3</v>
      </c>
      <c r="Q55" s="94">
        <f>VLOOKUP(B55,Database!$A:$M,MATCH(Recap!$Q$5,Database!$A$1:$M$1,),)</f>
        <v>21947</v>
      </c>
      <c r="R55" s="96">
        <f t="shared" si="17"/>
        <v>-7.5517771547436016E-3</v>
      </c>
      <c r="S55" s="94">
        <f>VLOOKUP(B55,Database!$A:$M,MATCH(Recap!$S$5,Database!$A$1:$M$1,),)</f>
        <v>17802</v>
      </c>
      <c r="T55" s="96">
        <f t="shared" si="18"/>
        <v>-3.1552605810031553E-2</v>
      </c>
      <c r="U55" s="94">
        <f>VLOOKUP(B55,Database!$A:$M,MATCH(Recap!$U$5,Database!$A$1:$M$1,),)</f>
        <v>11151</v>
      </c>
      <c r="V55" s="96">
        <f t="shared" si="19"/>
        <v>-1.5885623510722795E-2</v>
      </c>
    </row>
    <row r="56" spans="2:22" x14ac:dyDescent="0.35">
      <c r="B56" s="93">
        <v>43862</v>
      </c>
      <c r="C56" s="94">
        <f>VLOOKUP(B56,Database!$A:$M,MATCH(Recap!$C$5,Database!$A$1:$M$1,),)</f>
        <v>231488</v>
      </c>
      <c r="D56" s="96">
        <f t="shared" si="10"/>
        <v>2.6322206507619121E-2</v>
      </c>
      <c r="E56" s="94">
        <f>VLOOKUP(B56,Database!$A:$M,MATCH(Recap!$E$5,Database!$A$1:$M$1,),)</f>
        <v>150101</v>
      </c>
      <c r="F56" s="96">
        <f t="shared" si="11"/>
        <v>-5.8746390441624498E-3</v>
      </c>
      <c r="G56" s="94">
        <f>VLOOKUP(B56,Database!$A:$M,MATCH(Recap!$G$5,Database!$A$1:$M$1,),)</f>
        <v>61245</v>
      </c>
      <c r="H56" s="96">
        <f t="shared" si="12"/>
        <v>-1.6902629297890784E-2</v>
      </c>
      <c r="I56" s="94">
        <f>VLOOKUP(B56,Database!$A:$M,MATCH(Recap!$I$5,Database!$A$1:$M$1,),)</f>
        <v>165264</v>
      </c>
      <c r="J56" s="96">
        <f t="shared" si="13"/>
        <v>2.5115528952020592E-2</v>
      </c>
      <c r="K56" s="94">
        <f>VLOOKUP(B56,Database!$A:$M,MATCH(Recap!$K$5,Database!$A$1:$M$1,),)</f>
        <v>81387</v>
      </c>
      <c r="L56" s="96">
        <f t="shared" si="14"/>
        <v>9.1519922749889349E-2</v>
      </c>
      <c r="M56" s="94">
        <f>VLOOKUP(B56,Database!$A:$M,MATCH(Recap!$M$5,Database!$A$1:$M$1,),)</f>
        <v>30209</v>
      </c>
      <c r="N56" s="96">
        <f t="shared" si="15"/>
        <v>-1.4581158663883089E-2</v>
      </c>
      <c r="O56" s="94">
        <f>VLOOKUP(B56,Database!$A:$M,MATCH(Recap!$O$5,Database!$A$1:$M$1,),)</f>
        <v>30624</v>
      </c>
      <c r="P56" s="96">
        <f t="shared" si="16"/>
        <v>-2.2347082109564553E-2</v>
      </c>
      <c r="Q56" s="94">
        <f>VLOOKUP(B56,Database!$A:$M,MATCH(Recap!$Q$5,Database!$A$1:$M$1,),)</f>
        <v>21817</v>
      </c>
      <c r="R56" s="96">
        <f t="shared" si="17"/>
        <v>-5.9233608238027976E-3</v>
      </c>
      <c r="S56" s="94">
        <f>VLOOKUP(B56,Database!$A:$M,MATCH(Recap!$S$5,Database!$A$1:$M$1,),)</f>
        <v>18239</v>
      </c>
      <c r="T56" s="96">
        <f t="shared" si="18"/>
        <v>2.454780361757106E-2</v>
      </c>
      <c r="U56" s="94">
        <f>VLOOKUP(B56,Database!$A:$M,MATCH(Recap!$U$5,Database!$A$1:$M$1,),)</f>
        <v>11238</v>
      </c>
      <c r="V56" s="96">
        <f t="shared" si="19"/>
        <v>7.8019908528383104E-3</v>
      </c>
    </row>
    <row r="57" spans="2:22" x14ac:dyDescent="0.35">
      <c r="B57" s="93">
        <v>43891</v>
      </c>
      <c r="C57" s="94">
        <f>VLOOKUP(B57,Database!$A:$M,MATCH(Recap!$C$5,Database!$A$1:$M$1,),)</f>
        <v>200119</v>
      </c>
      <c r="D57" s="96">
        <f t="shared" si="10"/>
        <v>-0.13551026403096489</v>
      </c>
      <c r="E57" s="94">
        <f>VLOOKUP(B57,Database!$A:$M,MATCH(Recap!$E$5,Database!$A$1:$M$1,),)</f>
        <v>145999</v>
      </c>
      <c r="F57" s="96">
        <f t="shared" si="11"/>
        <v>-2.7328265634472788E-2</v>
      </c>
      <c r="G57" s="94">
        <f>VLOOKUP(B57,Database!$A:$M,MATCH(Recap!$G$5,Database!$A$1:$M$1,),)</f>
        <v>60715</v>
      </c>
      <c r="H57" s="96">
        <f t="shared" si="12"/>
        <v>-8.6537676545024086E-3</v>
      </c>
      <c r="I57" s="94">
        <f>VLOOKUP(B57,Database!$A:$M,MATCH(Recap!$I$5,Database!$A$1:$M$1,),)</f>
        <v>143089</v>
      </c>
      <c r="J57" s="96">
        <f t="shared" si="13"/>
        <v>-0.13417925258979571</v>
      </c>
      <c r="K57" s="94">
        <f>VLOOKUP(B57,Database!$A:$M,MATCH(Recap!$K$5,Database!$A$1:$M$1,),)</f>
        <v>54120</v>
      </c>
      <c r="L57" s="96">
        <f t="shared" si="14"/>
        <v>-0.33502893582513177</v>
      </c>
      <c r="M57" s="94">
        <f>VLOOKUP(B57,Database!$A:$M,MATCH(Recap!$M$5,Database!$A$1:$M$1,),)</f>
        <v>28432</v>
      </c>
      <c r="N57" s="96">
        <f t="shared" si="15"/>
        <v>-5.8823529411764705E-2</v>
      </c>
      <c r="O57" s="94">
        <f>VLOOKUP(B57,Database!$A:$M,MATCH(Recap!$O$5,Database!$A$1:$M$1,),)</f>
        <v>30522</v>
      </c>
      <c r="P57" s="96">
        <f t="shared" si="16"/>
        <v>-3.3307210031347963E-3</v>
      </c>
      <c r="Q57" s="94">
        <f>VLOOKUP(B57,Database!$A:$M,MATCH(Recap!$Q$5,Database!$A$1:$M$1,),)</f>
        <v>21641</v>
      </c>
      <c r="R57" s="96">
        <f t="shared" si="17"/>
        <v>-8.0671036347802171E-3</v>
      </c>
      <c r="S57" s="94">
        <f>VLOOKUP(B57,Database!$A:$M,MATCH(Recap!$S$5,Database!$A$1:$M$1,),)</f>
        <v>16278</v>
      </c>
      <c r="T57" s="96">
        <f t="shared" si="18"/>
        <v>-0.107516859476945</v>
      </c>
      <c r="U57" s="94">
        <f>VLOOKUP(B57,Database!$A:$M,MATCH(Recap!$U$5,Database!$A$1:$M$1,),)</f>
        <v>11463</v>
      </c>
      <c r="V57" s="96">
        <f t="shared" si="19"/>
        <v>2.0021356113187401E-2</v>
      </c>
    </row>
    <row r="58" spans="2:22" x14ac:dyDescent="0.35">
      <c r="B58" s="93">
        <v>43922</v>
      </c>
      <c r="C58" s="94">
        <f>VLOOKUP(B58,Database!$A:$M,MATCH(Recap!$C$5,Database!$A$1:$M$1,),)</f>
        <v>159130</v>
      </c>
      <c r="D58" s="96">
        <f t="shared" si="10"/>
        <v>-0.20482313023750867</v>
      </c>
      <c r="E58" s="94">
        <f>VLOOKUP(B58,Database!$A:$M,MATCH(Recap!$E$5,Database!$A$1:$M$1,),)</f>
        <v>131804</v>
      </c>
      <c r="F58" s="96">
        <f t="shared" si="11"/>
        <v>-9.7226693333515982E-2</v>
      </c>
      <c r="G58" s="94">
        <f>VLOOKUP(B58,Database!$A:$M,MATCH(Recap!$G$5,Database!$A$1:$M$1,),)</f>
        <v>55545</v>
      </c>
      <c r="H58" s="96">
        <f t="shared" si="12"/>
        <v>-8.5151939388948369E-2</v>
      </c>
      <c r="I58" s="94">
        <f>VLOOKUP(B58,Database!$A:$M,MATCH(Recap!$I$5,Database!$A$1:$M$1,),)</f>
        <v>120811</v>
      </c>
      <c r="J58" s="96">
        <f t="shared" si="13"/>
        <v>-0.15569330975826234</v>
      </c>
      <c r="K58" s="94">
        <f>VLOOKUP(B58,Database!$A:$M,MATCH(Recap!$K$5,Database!$A$1:$M$1,),)</f>
        <v>27326</v>
      </c>
      <c r="L58" s="96">
        <f t="shared" si="14"/>
        <v>-0.49508499630450847</v>
      </c>
      <c r="M58" s="94">
        <f>VLOOKUP(B58,Database!$A:$M,MATCH(Recap!$M$5,Database!$A$1:$M$1,),)</f>
        <v>24370</v>
      </c>
      <c r="N58" s="96">
        <f t="shared" si="15"/>
        <v>-0.14286719189645469</v>
      </c>
      <c r="O58" s="94">
        <f>VLOOKUP(B58,Database!$A:$M,MATCH(Recap!$O$5,Database!$A$1:$M$1,),)</f>
        <v>27186</v>
      </c>
      <c r="P58" s="96">
        <f t="shared" si="16"/>
        <v>-0.10929821112640063</v>
      </c>
      <c r="Q58" s="94">
        <f>VLOOKUP(B58,Database!$A:$M,MATCH(Recap!$Q$5,Database!$A$1:$M$1,),)</f>
        <v>21522</v>
      </c>
      <c r="R58" s="96">
        <f t="shared" si="17"/>
        <v>-5.4988216810683424E-3</v>
      </c>
      <c r="S58" s="94">
        <f>VLOOKUP(B58,Database!$A:$M,MATCH(Recap!$S$5,Database!$A$1:$M$1,),)</f>
        <v>13624</v>
      </c>
      <c r="T58" s="96">
        <f t="shared" si="18"/>
        <v>-0.16304214276938198</v>
      </c>
      <c r="U58" s="94">
        <f>VLOOKUP(B58,Database!$A:$M,MATCH(Recap!$U$5,Database!$A$1:$M$1,),)</f>
        <v>10051</v>
      </c>
      <c r="V58" s="96">
        <f t="shared" si="19"/>
        <v>-0.1231789234929774</v>
      </c>
    </row>
    <row r="59" spans="2:22" x14ac:dyDescent="0.35">
      <c r="B59" s="93">
        <v>43952</v>
      </c>
      <c r="C59" s="94">
        <f>VLOOKUP(B59,Database!$A:$M,MATCH(Recap!$C$5,Database!$A$1:$M$1,),)</f>
        <v>179384</v>
      </c>
      <c r="D59" s="96">
        <f t="shared" si="10"/>
        <v>0.12727958273110035</v>
      </c>
      <c r="E59" s="94">
        <f>VLOOKUP(B59,Database!$A:$M,MATCH(Recap!$E$5,Database!$A$1:$M$1,),)</f>
        <v>136456</v>
      </c>
      <c r="F59" s="96">
        <f t="shared" si="11"/>
        <v>3.5294831719826406E-2</v>
      </c>
      <c r="G59" s="94">
        <f>VLOOKUP(B59,Database!$A:$M,MATCH(Recap!$G$5,Database!$A$1:$M$1,),)</f>
        <v>56463</v>
      </c>
      <c r="H59" s="96">
        <f t="shared" si="12"/>
        <v>1.652714015662976E-2</v>
      </c>
      <c r="I59" s="94">
        <f>VLOOKUP(B59,Database!$A:$M,MATCH(Recap!$I$5,Database!$A$1:$M$1,),)</f>
        <v>136257</v>
      </c>
      <c r="J59" s="96">
        <f t="shared" si="13"/>
        <v>0.12785259620398803</v>
      </c>
      <c r="K59" s="94">
        <f>VLOOKUP(B59,Database!$A:$M,MATCH(Recap!$K$5,Database!$A$1:$M$1,),)</f>
        <v>42928</v>
      </c>
      <c r="L59" s="96">
        <f t="shared" si="14"/>
        <v>0.57095806191905141</v>
      </c>
      <c r="M59" s="94">
        <f>VLOOKUP(B59,Database!$A:$M,MATCH(Recap!$M$5,Database!$A$1:$M$1,),)</f>
        <v>25987</v>
      </c>
      <c r="N59" s="96">
        <f t="shared" si="15"/>
        <v>6.6352072219942548E-2</v>
      </c>
      <c r="O59" s="94">
        <f>VLOOKUP(B59,Database!$A:$M,MATCH(Recap!$O$5,Database!$A$1:$M$1,),)</f>
        <v>28015</v>
      </c>
      <c r="P59" s="96">
        <f t="shared" si="16"/>
        <v>3.0493636430515707E-2</v>
      </c>
      <c r="Q59" s="94">
        <f>VLOOKUP(B59,Database!$A:$M,MATCH(Recap!$Q$5,Database!$A$1:$M$1,),)</f>
        <v>21374</v>
      </c>
      <c r="R59" s="96">
        <f t="shared" si="17"/>
        <v>-6.8766843230183066E-3</v>
      </c>
      <c r="S59" s="94">
        <f>VLOOKUP(B59,Database!$A:$M,MATCH(Recap!$S$5,Database!$A$1:$M$1,),)</f>
        <v>14523</v>
      </c>
      <c r="T59" s="96">
        <f t="shared" si="18"/>
        <v>6.5986494421608921E-2</v>
      </c>
      <c r="U59" s="94">
        <f>VLOOKUP(B59,Database!$A:$M,MATCH(Recap!$U$5,Database!$A$1:$M$1,),)</f>
        <v>10303</v>
      </c>
      <c r="V59" s="96">
        <f t="shared" si="19"/>
        <v>2.5072132126156603E-2</v>
      </c>
    </row>
    <row r="60" spans="2:22" x14ac:dyDescent="0.35">
      <c r="B60" s="93">
        <v>43983</v>
      </c>
      <c r="C60" s="94">
        <f>VLOOKUP(B60,Database!$A:$M,MATCH(Recap!$C$5,Database!$A$1:$M$1,),)</f>
        <v>198774</v>
      </c>
      <c r="D60" s="96">
        <f t="shared" si="10"/>
        <v>0.10809213753735004</v>
      </c>
      <c r="E60" s="94">
        <f>VLOOKUP(B60,Database!$A:$M,MATCH(Recap!$E$5,Database!$A$1:$M$1,),)</f>
        <v>143507</v>
      </c>
      <c r="F60" s="96">
        <f t="shared" si="11"/>
        <v>5.1672333939145221E-2</v>
      </c>
      <c r="G60" s="94">
        <f>VLOOKUP(B60,Database!$A:$M,MATCH(Recap!$G$5,Database!$A$1:$M$1,),)</f>
        <v>58548</v>
      </c>
      <c r="H60" s="96">
        <f t="shared" si="12"/>
        <v>3.6926837043727748E-2</v>
      </c>
      <c r="I60" s="94">
        <f>VLOOKUP(B60,Database!$A:$M,MATCH(Recap!$I$5,Database!$A$1:$M$1,),)</f>
        <v>135460</v>
      </c>
      <c r="J60" s="96">
        <f t="shared" si="13"/>
        <v>-5.849240772951114E-3</v>
      </c>
      <c r="K60" s="94">
        <f>VLOOKUP(B60,Database!$A:$M,MATCH(Recap!$K$5,Database!$A$1:$M$1,),)</f>
        <v>55267</v>
      </c>
      <c r="L60" s="96">
        <f t="shared" si="14"/>
        <v>0.28743477450614985</v>
      </c>
      <c r="M60" s="94">
        <f>VLOOKUP(B60,Database!$A:$M,MATCH(Recap!$M$5,Database!$A$1:$M$1,),)</f>
        <v>28472</v>
      </c>
      <c r="N60" s="96">
        <f t="shared" si="15"/>
        <v>9.5624735444645406E-2</v>
      </c>
      <c r="O60" s="94">
        <f>VLOOKUP(B60,Database!$A:$M,MATCH(Recap!$O$5,Database!$A$1:$M$1,),)</f>
        <v>29131</v>
      </c>
      <c r="P60" s="96">
        <f t="shared" si="16"/>
        <v>3.9835802248795286E-2</v>
      </c>
      <c r="Q60" s="94">
        <f>VLOOKUP(B60,Database!$A:$M,MATCH(Recap!$Q$5,Database!$A$1:$M$1,),)</f>
        <v>21599</v>
      </c>
      <c r="R60" s="96">
        <f t="shared" si="17"/>
        <v>1.0526808271732011E-2</v>
      </c>
      <c r="S60" s="94">
        <f>VLOOKUP(B60,Database!$A:$M,MATCH(Recap!$S$5,Database!$A$1:$M$1,),)</f>
        <v>15668</v>
      </c>
      <c r="T60" s="96">
        <f t="shared" si="18"/>
        <v>7.884045996006335E-2</v>
      </c>
      <c r="U60" s="94">
        <f>VLOOKUP(B60,Database!$A:$M,MATCH(Recap!$U$5,Database!$A$1:$M$1,),)</f>
        <v>10430</v>
      </c>
      <c r="V60" s="96">
        <f t="shared" si="19"/>
        <v>1.2326506842667184E-2</v>
      </c>
    </row>
    <row r="61" spans="2:22" x14ac:dyDescent="0.35">
      <c r="B61" s="93">
        <v>44013</v>
      </c>
      <c r="C61" s="94">
        <f>VLOOKUP(B61,Database!$A:$M,MATCH(Recap!$C$5,Database!$A$1:$M$1,),)</f>
        <v>218041</v>
      </c>
      <c r="D61" s="96">
        <f t="shared" si="10"/>
        <v>9.6929175847947927E-2</v>
      </c>
      <c r="E61" s="94">
        <f>VLOOKUP(B61,Database!$A:$M,MATCH(Recap!$E$5,Database!$A$1:$M$1,),)</f>
        <v>147581</v>
      </c>
      <c r="F61" s="96">
        <f t="shared" si="11"/>
        <v>2.8388859080044876E-2</v>
      </c>
      <c r="G61" s="94">
        <f>VLOOKUP(B61,Database!$A:$M,MATCH(Recap!$G$5,Database!$A$1:$M$1,),)</f>
        <v>60095</v>
      </c>
      <c r="H61" s="96">
        <f t="shared" si="12"/>
        <v>2.6422764227642278E-2</v>
      </c>
      <c r="I61" s="94">
        <f>VLOOKUP(B61,Database!$A:$M,MATCH(Recap!$I$5,Database!$A$1:$M$1,),)</f>
        <v>145739</v>
      </c>
      <c r="J61" s="96">
        <f t="shared" si="13"/>
        <v>7.5882179241104381E-2</v>
      </c>
      <c r="K61" s="94">
        <f>VLOOKUP(B61,Database!$A:$M,MATCH(Recap!$K$5,Database!$A$1:$M$1,),)</f>
        <v>70460</v>
      </c>
      <c r="L61" s="96">
        <f t="shared" si="14"/>
        <v>0.27490184015777952</v>
      </c>
      <c r="M61" s="94">
        <f>VLOOKUP(B61,Database!$A:$M,MATCH(Recap!$M$5,Database!$A$1:$M$1,),)</f>
        <v>29659</v>
      </c>
      <c r="N61" s="96">
        <f t="shared" si="15"/>
        <v>4.1690081483562798E-2</v>
      </c>
      <c r="O61" s="94">
        <f>VLOOKUP(B61,Database!$A:$M,MATCH(Recap!$O$5,Database!$A$1:$M$1,),)</f>
        <v>29808</v>
      </c>
      <c r="P61" s="96">
        <f t="shared" si="16"/>
        <v>2.3239847585046856E-2</v>
      </c>
      <c r="Q61" s="94">
        <f>VLOOKUP(B61,Database!$A:$M,MATCH(Recap!$Q$5,Database!$A$1:$M$1,),)</f>
        <v>21918</v>
      </c>
      <c r="R61" s="96">
        <f t="shared" si="17"/>
        <v>1.4769202277883236E-2</v>
      </c>
      <c r="S61" s="94">
        <f>VLOOKUP(B61,Database!$A:$M,MATCH(Recap!$S$5,Database!$A$1:$M$1,),)</f>
        <v>15569</v>
      </c>
      <c r="T61" s="96">
        <f t="shared" si="18"/>
        <v>-6.3186111820270618E-3</v>
      </c>
      <c r="U61" s="94">
        <f>VLOOKUP(B61,Database!$A:$M,MATCH(Recap!$U$5,Database!$A$1:$M$1,),)</f>
        <v>11210</v>
      </c>
      <c r="V61" s="96">
        <f t="shared" si="19"/>
        <v>7.4784276126558011E-2</v>
      </c>
    </row>
    <row r="62" spans="2:22" x14ac:dyDescent="0.35">
      <c r="B62" s="93">
        <v>44044</v>
      </c>
      <c r="C62" s="94">
        <f>VLOOKUP(B62,Database!$A:$M,MATCH(Recap!$C$5,Database!$A$1:$M$1,),)</f>
        <v>221086</v>
      </c>
      <c r="D62" s="96">
        <f t="shared" si="10"/>
        <v>1.3965263413761631E-2</v>
      </c>
      <c r="E62" s="94">
        <f>VLOOKUP(B62,Database!$A:$M,MATCH(Recap!$E$5,Database!$A$1:$M$1,),)</f>
        <v>149170</v>
      </c>
      <c r="F62" s="96">
        <f t="shared" si="11"/>
        <v>1.0766968647725656E-2</v>
      </c>
      <c r="G62" s="94">
        <f>VLOOKUP(B62,Database!$A:$M,MATCH(Recap!$G$5,Database!$A$1:$M$1,),)</f>
        <v>60687</v>
      </c>
      <c r="H62" s="96">
        <f t="shared" si="12"/>
        <v>9.8510691405274981E-3</v>
      </c>
      <c r="I62" s="94">
        <f>VLOOKUP(B62,Database!$A:$M,MATCH(Recap!$I$5,Database!$A$1:$M$1,),)</f>
        <v>149382</v>
      </c>
      <c r="J62" s="96">
        <f t="shared" si="13"/>
        <v>2.4996740748872984E-2</v>
      </c>
      <c r="K62" s="94">
        <f>VLOOKUP(B62,Database!$A:$M,MATCH(Recap!$K$5,Database!$A$1:$M$1,),)</f>
        <v>71916</v>
      </c>
      <c r="L62" s="96">
        <f t="shared" si="14"/>
        <v>2.0664206642066422E-2</v>
      </c>
      <c r="M62" s="94">
        <f>VLOOKUP(B62,Database!$A:$M,MATCH(Recap!$M$5,Database!$A$1:$M$1,),)</f>
        <v>29300</v>
      </c>
      <c r="N62" s="96">
        <f t="shared" si="15"/>
        <v>-1.2104251660541488E-2</v>
      </c>
      <c r="O62" s="94">
        <f>VLOOKUP(B62,Database!$A:$M,MATCH(Recap!$O$5,Database!$A$1:$M$1,),)</f>
        <v>30191</v>
      </c>
      <c r="P62" s="96">
        <f t="shared" si="16"/>
        <v>1.2848899624261943E-2</v>
      </c>
      <c r="Q62" s="94">
        <f>VLOOKUP(B62,Database!$A:$M,MATCH(Recap!$Q$5,Database!$A$1:$M$1,),)</f>
        <v>22021</v>
      </c>
      <c r="R62" s="96">
        <f t="shared" si="17"/>
        <v>4.6993338808285429E-3</v>
      </c>
      <c r="S62" s="94">
        <f>VLOOKUP(B62,Database!$A:$M,MATCH(Recap!$S$5,Database!$A$1:$M$1,),)</f>
        <v>16712</v>
      </c>
      <c r="T62" s="96">
        <f t="shared" si="18"/>
        <v>7.341511978932494E-2</v>
      </c>
      <c r="U62" s="94">
        <f>VLOOKUP(B62,Database!$A:$M,MATCH(Recap!$U$5,Database!$A$1:$M$1,),)</f>
        <v>11046</v>
      </c>
      <c r="V62" s="96">
        <f t="shared" si="19"/>
        <v>-1.4629794826048171E-2</v>
      </c>
    </row>
    <row r="63" spans="2:22" x14ac:dyDescent="0.35">
      <c r="B63" s="93">
        <v>44075</v>
      </c>
      <c r="C63" s="94">
        <f>VLOOKUP(B63,Database!$A:$M,MATCH(Recap!$C$5,Database!$A$1:$M$1,),)</f>
        <v>225593</v>
      </c>
      <c r="D63" s="96">
        <f t="shared" si="10"/>
        <v>2.038573224898908E-2</v>
      </c>
      <c r="E63" s="94">
        <f>VLOOKUP(B63,Database!$A:$M,MATCH(Recap!$E$5,Database!$A$1:$M$1,),)</f>
        <v>152724</v>
      </c>
      <c r="F63" s="96">
        <f t="shared" si="11"/>
        <v>2.3825165918080041E-2</v>
      </c>
      <c r="G63" s="94">
        <f>VLOOKUP(B63,Database!$A:$M,MATCH(Recap!$G$5,Database!$A$1:$M$1,),)</f>
        <v>62159</v>
      </c>
      <c r="H63" s="96">
        <f t="shared" si="12"/>
        <v>2.4255606637335839E-2</v>
      </c>
      <c r="I63" s="94">
        <f>VLOOKUP(B63,Database!$A:$M,MATCH(Recap!$I$5,Database!$A$1:$M$1,),)</f>
        <v>152915</v>
      </c>
      <c r="J63" s="96">
        <f t="shared" si="13"/>
        <v>2.3650774524373752E-2</v>
      </c>
      <c r="K63" s="94">
        <f>VLOOKUP(B63,Database!$A:$M,MATCH(Recap!$K$5,Database!$A$1:$M$1,),)</f>
        <v>72869</v>
      </c>
      <c r="L63" s="96">
        <f t="shared" si="14"/>
        <v>1.3251571277601647E-2</v>
      </c>
      <c r="M63" s="94">
        <f>VLOOKUP(B63,Database!$A:$M,MATCH(Recap!$M$5,Database!$A$1:$M$1,),)</f>
        <v>31043</v>
      </c>
      <c r="N63" s="96">
        <f t="shared" si="15"/>
        <v>5.9488054607508535E-2</v>
      </c>
      <c r="O63" s="94">
        <f>VLOOKUP(B63,Database!$A:$M,MATCH(Recap!$O$5,Database!$A$1:$M$1,),)</f>
        <v>30863</v>
      </c>
      <c r="P63" s="96">
        <f t="shared" si="16"/>
        <v>2.2258288894041269E-2</v>
      </c>
      <c r="Q63" s="94">
        <f>VLOOKUP(B63,Database!$A:$M,MATCH(Recap!$Q$5,Database!$A$1:$M$1,),)</f>
        <v>22111</v>
      </c>
      <c r="R63" s="96">
        <f t="shared" si="17"/>
        <v>4.0870078561373235E-3</v>
      </c>
      <c r="S63" s="94">
        <f>VLOOKUP(B63,Database!$A:$M,MATCH(Recap!$S$5,Database!$A$1:$M$1,),)</f>
        <v>17164</v>
      </c>
      <c r="T63" s="96">
        <f t="shared" si="18"/>
        <v>2.704643370033509E-2</v>
      </c>
      <c r="U63" s="94">
        <f>VLOOKUP(B63,Database!$A:$M,MATCH(Recap!$U$5,Database!$A$1:$M$1,),)</f>
        <v>11284</v>
      </c>
      <c r="V63" s="96">
        <f t="shared" si="19"/>
        <v>2.1546261089987327E-2</v>
      </c>
    </row>
    <row r="64" spans="2:22" x14ac:dyDescent="0.35">
      <c r="B64" s="93">
        <v>44105</v>
      </c>
      <c r="C64" s="94">
        <f>VLOOKUP(B64,Database!$A:$M,MATCH(Recap!$C$5,Database!$A$1:$M$1,),)</f>
        <v>229735</v>
      </c>
      <c r="D64" s="96">
        <f t="shared" si="10"/>
        <v>1.8360498774341403E-2</v>
      </c>
      <c r="E64" s="94">
        <f>VLOOKUP(B64,Database!$A:$M,MATCH(Recap!$E$5,Database!$A$1:$M$1,),)</f>
        <v>154200</v>
      </c>
      <c r="F64" s="96">
        <f t="shared" si="11"/>
        <v>9.6644928105602268E-3</v>
      </c>
      <c r="G64" s="94">
        <f>VLOOKUP(B64,Database!$A:$M,MATCH(Recap!$G$5,Database!$A$1:$M$1,),)</f>
        <v>62801</v>
      </c>
      <c r="H64" s="96">
        <f t="shared" si="12"/>
        <v>1.0328351485706011E-2</v>
      </c>
      <c r="I64" s="94">
        <f>VLOOKUP(B64,Database!$A:$M,MATCH(Recap!$I$5,Database!$A$1:$M$1,),)</f>
        <v>157980</v>
      </c>
      <c r="J64" s="96">
        <f t="shared" si="13"/>
        <v>3.3122976817186019E-2</v>
      </c>
      <c r="K64" s="94">
        <f>VLOOKUP(B64,Database!$A:$M,MATCH(Recap!$K$5,Database!$A$1:$M$1,),)</f>
        <v>75535</v>
      </c>
      <c r="L64" s="96">
        <f t="shared" si="14"/>
        <v>3.6586202637609956E-2</v>
      </c>
      <c r="M64" s="94">
        <f>VLOOKUP(B64,Database!$A:$M,MATCH(Recap!$M$5,Database!$A$1:$M$1,),)</f>
        <v>30927</v>
      </c>
      <c r="N64" s="96">
        <f t="shared" si="15"/>
        <v>-3.7367522468833552E-3</v>
      </c>
      <c r="O64" s="94">
        <f>VLOOKUP(B64,Database!$A:$M,MATCH(Recap!$O$5,Database!$A$1:$M$1,),)</f>
        <v>31082</v>
      </c>
      <c r="P64" s="96">
        <f t="shared" si="16"/>
        <v>7.0958753199624148E-3</v>
      </c>
      <c r="Q64" s="94">
        <f>VLOOKUP(B64,Database!$A:$M,MATCH(Recap!$Q$5,Database!$A$1:$M$1,),)</f>
        <v>22950</v>
      </c>
      <c r="R64" s="96">
        <f t="shared" si="17"/>
        <v>3.7944914296051742E-2</v>
      </c>
      <c r="S64" s="94">
        <f>VLOOKUP(B64,Database!$A:$M,MATCH(Recap!$S$5,Database!$A$1:$M$1,),)</f>
        <v>17354</v>
      </c>
      <c r="T64" s="96">
        <f t="shared" si="18"/>
        <v>1.1069680727103239E-2</v>
      </c>
      <c r="U64" s="94">
        <f>VLOOKUP(B64,Database!$A:$M,MATCH(Recap!$U$5,Database!$A$1:$M$1,),)</f>
        <v>11227</v>
      </c>
      <c r="V64" s="96">
        <f t="shared" si="19"/>
        <v>-5.0514002126905355E-3</v>
      </c>
    </row>
    <row r="65" spans="2:22" x14ac:dyDescent="0.35">
      <c r="B65" s="93">
        <v>44136</v>
      </c>
      <c r="C65" s="94">
        <f>VLOOKUP(B65,Database!$A:$M,MATCH(Recap!$C$5,Database!$A$1:$M$1,),)</f>
        <v>228470</v>
      </c>
      <c r="D65" s="96">
        <f t="shared" si="10"/>
        <v>-5.5063442662197752E-3</v>
      </c>
      <c r="E65" s="94">
        <f>VLOOKUP(B65,Database!$A:$M,MATCH(Recap!$E$5,Database!$A$1:$M$1,),)</f>
        <v>155167</v>
      </c>
      <c r="F65" s="96">
        <f t="shared" si="11"/>
        <v>6.2710765239948115E-3</v>
      </c>
      <c r="G65" s="94">
        <f>VLOOKUP(B65,Database!$A:$M,MATCH(Recap!$G$5,Database!$A$1:$M$1,),)</f>
        <v>62967</v>
      </c>
      <c r="H65" s="96">
        <f t="shared" si="12"/>
        <v>2.6432700116240187E-3</v>
      </c>
      <c r="I65" s="94">
        <f>VLOOKUP(B65,Database!$A:$M,MATCH(Recap!$I$5,Database!$A$1:$M$1,),)</f>
        <v>155771</v>
      </c>
      <c r="J65" s="96">
        <f t="shared" si="13"/>
        <v>-1.3982782630712749E-2</v>
      </c>
      <c r="K65" s="94">
        <f>VLOOKUP(B65,Database!$A:$M,MATCH(Recap!$K$5,Database!$A$1:$M$1,),)</f>
        <v>73303</v>
      </c>
      <c r="L65" s="96">
        <f t="shared" si="14"/>
        <v>-2.9549215595419343E-2</v>
      </c>
      <c r="M65" s="94">
        <f>VLOOKUP(B65,Database!$A:$M,MATCH(Recap!$M$5,Database!$A$1:$M$1,),)</f>
        <v>30962</v>
      </c>
      <c r="N65" s="96">
        <f t="shared" si="15"/>
        <v>1.131697222491674E-3</v>
      </c>
      <c r="O65" s="94">
        <f>VLOOKUP(B65,Database!$A:$M,MATCH(Recap!$O$5,Database!$A$1:$M$1,),)</f>
        <v>31006</v>
      </c>
      <c r="P65" s="96">
        <f t="shared" si="16"/>
        <v>-2.4451451000579113E-3</v>
      </c>
      <c r="Q65" s="94">
        <f>VLOOKUP(B65,Database!$A:$M,MATCH(Recap!$Q$5,Database!$A$1:$M$1,),)</f>
        <v>22765</v>
      </c>
      <c r="R65" s="96">
        <f t="shared" si="17"/>
        <v>-8.0610021786492372E-3</v>
      </c>
      <c r="S65" s="94">
        <f>VLOOKUP(B65,Database!$A:$M,MATCH(Recap!$S$5,Database!$A$1:$M$1,),)</f>
        <v>17897</v>
      </c>
      <c r="T65" s="96">
        <f t="shared" si="18"/>
        <v>3.1289616226806503E-2</v>
      </c>
      <c r="U65" s="94">
        <f>VLOOKUP(B65,Database!$A:$M,MATCH(Recap!$U$5,Database!$A$1:$M$1,),)</f>
        <v>11507</v>
      </c>
      <c r="V65" s="96">
        <f t="shared" si="19"/>
        <v>2.4939877082034382E-2</v>
      </c>
    </row>
    <row r="66" spans="2:22" x14ac:dyDescent="0.35">
      <c r="B66" s="93">
        <v>44166</v>
      </c>
      <c r="C66" s="94">
        <f>VLOOKUP(B66,Database!$A:$M,MATCH(Recap!$C$5,Database!$A$1:$M$1,),)</f>
        <v>231460</v>
      </c>
      <c r="D66" s="96">
        <f t="shared" si="10"/>
        <v>1.3087057381713136E-2</v>
      </c>
      <c r="E66" s="94">
        <f>VLOOKUP(B66,Database!$A:$M,MATCH(Recap!$E$5,Database!$A$1:$M$1,),)</f>
        <v>159092</v>
      </c>
      <c r="F66" s="96">
        <f t="shared" si="11"/>
        <v>2.529532697029652E-2</v>
      </c>
      <c r="G66" s="94">
        <f>VLOOKUP(B66,Database!$A:$M,MATCH(Recap!$G$5,Database!$A$1:$M$1,),)</f>
        <v>63944</v>
      </c>
      <c r="H66" s="96">
        <f t="shared" si="12"/>
        <v>1.551606397001604E-2</v>
      </c>
      <c r="I66" s="94">
        <f>VLOOKUP(B66,Database!$A:$M,MATCH(Recap!$I$5,Database!$A$1:$M$1,),)</f>
        <v>158387</v>
      </c>
      <c r="J66" s="96">
        <f t="shared" si="13"/>
        <v>1.6793883328732561E-2</v>
      </c>
      <c r="K66" s="94">
        <f>VLOOKUP(B66,Database!$A:$M,MATCH(Recap!$K$5,Database!$A$1:$M$1,),)</f>
        <v>72368</v>
      </c>
      <c r="L66" s="96">
        <f t="shared" si="14"/>
        <v>-1.2755276046000847E-2</v>
      </c>
      <c r="M66" s="94">
        <f>VLOOKUP(B66,Database!$A:$M,MATCH(Recap!$M$5,Database!$A$1:$M$1,),)</f>
        <v>31867</v>
      </c>
      <c r="N66" s="96">
        <f t="shared" si="15"/>
        <v>2.9229377947161034E-2</v>
      </c>
      <c r="O66" s="94">
        <f>VLOOKUP(B66,Database!$A:$M,MATCH(Recap!$O$5,Database!$A$1:$M$1,),)</f>
        <v>32511</v>
      </c>
      <c r="P66" s="96">
        <f t="shared" si="16"/>
        <v>4.8538992453073596E-2</v>
      </c>
      <c r="Q66" s="94">
        <f>VLOOKUP(B66,Database!$A:$M,MATCH(Recap!$Q$5,Database!$A$1:$M$1,),)</f>
        <v>22660</v>
      </c>
      <c r="R66" s="96">
        <f t="shared" si="17"/>
        <v>-4.6123435097737758E-3</v>
      </c>
      <c r="S66" s="94">
        <f>VLOOKUP(B66,Database!$A:$M,MATCH(Recap!$S$5,Database!$A$1:$M$1,),)</f>
        <v>18544</v>
      </c>
      <c r="T66" s="96">
        <f t="shared" si="18"/>
        <v>3.6151310275465164E-2</v>
      </c>
      <c r="U66" s="94">
        <f>VLOOKUP(B66,Database!$A:$M,MATCH(Recap!$U$5,Database!$A$1:$M$1,),)</f>
        <v>12026</v>
      </c>
      <c r="V66" s="96">
        <f t="shared" si="19"/>
        <v>4.510298079429912E-2</v>
      </c>
    </row>
    <row r="67" spans="2:22" x14ac:dyDescent="0.35">
      <c r="B67" s="93">
        <v>44197</v>
      </c>
      <c r="C67" s="94">
        <f>VLOOKUP(B67,Database!$A:$M,MATCH(Recap!$C$5,Database!$A$1:$M$1,),)</f>
        <v>237284</v>
      </c>
      <c r="D67" s="96">
        <f t="shared" si="10"/>
        <v>2.5162015034995249E-2</v>
      </c>
      <c r="E67" s="94">
        <f>VLOOKUP(B67,Database!$A:$M,MATCH(Recap!$E$5,Database!$A$1:$M$1,),)</f>
        <v>160923</v>
      </c>
      <c r="F67" s="96">
        <f t="shared" si="11"/>
        <v>1.1509063937847284E-2</v>
      </c>
      <c r="G67" s="94">
        <f>VLOOKUP(B67,Database!$A:$M,MATCH(Recap!$G$5,Database!$A$1:$M$1,),)</f>
        <v>64750</v>
      </c>
      <c r="H67" s="96">
        <f t="shared" si="12"/>
        <v>1.2604779181784062E-2</v>
      </c>
      <c r="I67" s="94">
        <f>VLOOKUP(B67,Database!$A:$M,MATCH(Recap!$I$5,Database!$A$1:$M$1,),)</f>
        <v>163476</v>
      </c>
      <c r="J67" s="96">
        <f t="shared" si="13"/>
        <v>3.2130162197655111E-2</v>
      </c>
      <c r="K67" s="94">
        <f>VLOOKUP(B67,Database!$A:$M,MATCH(Recap!$K$5,Database!$A$1:$M$1,),)</f>
        <v>76361</v>
      </c>
      <c r="L67" s="96">
        <f t="shared" si="14"/>
        <v>5.5176321025867787E-2</v>
      </c>
      <c r="M67" s="94">
        <f>VLOOKUP(B67,Database!$A:$M,MATCH(Recap!$M$5,Database!$A$1:$M$1,),)</f>
        <v>33041</v>
      </c>
      <c r="N67" s="96">
        <f t="shared" si="15"/>
        <v>3.6840618821978852E-2</v>
      </c>
      <c r="O67" s="94">
        <f>VLOOKUP(B67,Database!$A:$M,MATCH(Recap!$O$5,Database!$A$1:$M$1,),)</f>
        <v>31999</v>
      </c>
      <c r="P67" s="96">
        <f t="shared" si="16"/>
        <v>-1.5748515886930579E-2</v>
      </c>
      <c r="Q67" s="94">
        <f>VLOOKUP(B67,Database!$A:$M,MATCH(Recap!$Q$5,Database!$A$1:$M$1,),)</f>
        <v>22652</v>
      </c>
      <c r="R67" s="96">
        <f t="shared" si="17"/>
        <v>-3.5304501323918798E-4</v>
      </c>
      <c r="S67" s="94">
        <f>VLOOKUP(B67,Database!$A:$M,MATCH(Recap!$S$5,Database!$A$1:$M$1,),)</f>
        <v>18908</v>
      </c>
      <c r="T67" s="96">
        <f t="shared" si="18"/>
        <v>1.9628990509059533E-2</v>
      </c>
      <c r="U67" s="94">
        <f>VLOOKUP(B67,Database!$A:$M,MATCH(Recap!$U$5,Database!$A$1:$M$1,),)</f>
        <v>12121</v>
      </c>
      <c r="V67" s="96">
        <f t="shared" si="19"/>
        <v>7.8995509728920672E-3</v>
      </c>
    </row>
    <row r="68" spans="2:22" x14ac:dyDescent="0.35">
      <c r="B68" s="93">
        <v>44228</v>
      </c>
      <c r="C68" s="94">
        <f>VLOOKUP(B68,Database!$A:$M,MATCH(Recap!$C$5,Database!$A$1:$M$1,),)</f>
        <v>237479</v>
      </c>
      <c r="D68" s="96">
        <f t="shared" si="10"/>
        <v>8.218000370863607E-4</v>
      </c>
      <c r="E68" s="94">
        <f>VLOOKUP(B68,Database!$A:$M,MATCH(Recap!$E$5,Database!$A$1:$M$1,),)</f>
        <v>161039</v>
      </c>
      <c r="F68" s="96">
        <f t="shared" si="11"/>
        <v>7.2084164476178048E-4</v>
      </c>
      <c r="G68" s="94">
        <f>VLOOKUP(B68,Database!$A:$M,MATCH(Recap!$G$5,Database!$A$1:$M$1,),)</f>
        <v>64562</v>
      </c>
      <c r="H68" s="96">
        <f t="shared" si="12"/>
        <v>-2.9034749034749035E-3</v>
      </c>
      <c r="I68" s="94">
        <f>VLOOKUP(B68,Database!$A:$M,MATCH(Recap!$I$5,Database!$A$1:$M$1,),)</f>
        <v>167920</v>
      </c>
      <c r="J68" s="96">
        <f t="shared" si="13"/>
        <v>2.7184418507915534E-2</v>
      </c>
      <c r="K68" s="94">
        <f>VLOOKUP(B68,Database!$A:$M,MATCH(Recap!$K$5,Database!$A$1:$M$1,),)</f>
        <v>76440</v>
      </c>
      <c r="L68" s="96">
        <f t="shared" si="14"/>
        <v>1.0345595264598421E-3</v>
      </c>
      <c r="M68" s="94">
        <f>VLOOKUP(B68,Database!$A:$M,MATCH(Recap!$M$5,Database!$A$1:$M$1,),)</f>
        <v>33479</v>
      </c>
      <c r="N68" s="96">
        <f t="shared" si="15"/>
        <v>1.3256257377198027E-2</v>
      </c>
      <c r="O68" s="94">
        <f>VLOOKUP(B68,Database!$A:$M,MATCH(Recap!$O$5,Database!$A$1:$M$1,),)</f>
        <v>32339</v>
      </c>
      <c r="P68" s="96">
        <f t="shared" si="16"/>
        <v>1.0625332041626301E-2</v>
      </c>
      <c r="Q68" s="94">
        <f>VLOOKUP(B68,Database!$A:$M,MATCH(Recap!$Q$5,Database!$A$1:$M$1,),)</f>
        <v>22483</v>
      </c>
      <c r="R68" s="96">
        <f t="shared" si="17"/>
        <v>-7.4607098710930599E-3</v>
      </c>
      <c r="S68" s="94">
        <f>VLOOKUP(B68,Database!$A:$M,MATCH(Recap!$S$5,Database!$A$1:$M$1,),)</f>
        <v>19094</v>
      </c>
      <c r="T68" s="96">
        <f t="shared" si="18"/>
        <v>9.8371059868838581E-3</v>
      </c>
      <c r="U68" s="94">
        <f>VLOOKUP(B68,Database!$A:$M,MATCH(Recap!$U$5,Database!$A$1:$M$1,),)</f>
        <v>12367</v>
      </c>
      <c r="V68" s="96">
        <f t="shared" si="19"/>
        <v>2.0295355168715452E-2</v>
      </c>
    </row>
    <row r="69" spans="2:22" x14ac:dyDescent="0.35">
      <c r="B69" s="93">
        <v>44256</v>
      </c>
      <c r="C69" s="94">
        <f>VLOOKUP(B69,Database!$A:$M,MATCH(Recap!$C$5,Database!$A$1:$M$1,),)</f>
        <v>241392</v>
      </c>
      <c r="D69" s="96">
        <f t="shared" si="10"/>
        <v>1.6477246409156179E-2</v>
      </c>
      <c r="E69" s="94">
        <f>VLOOKUP(B69,Database!$A:$M,MATCH(Recap!$E$5,Database!$A$1:$M$1,),)</f>
        <v>163381</v>
      </c>
      <c r="F69" s="96">
        <f t="shared" si="11"/>
        <v>1.4543060997646533E-2</v>
      </c>
      <c r="G69" s="94">
        <f>VLOOKUP(B69,Database!$A:$M,MATCH(Recap!$G$5,Database!$A$1:$M$1,),)</f>
        <v>65886</v>
      </c>
      <c r="H69" s="96">
        <f t="shared" si="12"/>
        <v>2.0507419224931073E-2</v>
      </c>
      <c r="I69" s="94">
        <f>VLOOKUP(B69,Database!$A:$M,MATCH(Recap!$I$5,Database!$A$1:$M$1,),)</f>
        <v>170436</v>
      </c>
      <c r="J69" s="96">
        <f t="shared" si="13"/>
        <v>1.4983325393044308E-2</v>
      </c>
      <c r="K69" s="94">
        <f>VLOOKUP(B69,Database!$A:$M,MATCH(Recap!$K$5,Database!$A$1:$M$1,),)</f>
        <v>78011</v>
      </c>
      <c r="L69" s="96">
        <f t="shared" si="14"/>
        <v>2.0552066980638408E-2</v>
      </c>
      <c r="M69" s="94">
        <f>VLOOKUP(B69,Database!$A:$M,MATCH(Recap!$M$5,Database!$A$1:$M$1,),)</f>
        <v>35343</v>
      </c>
      <c r="N69" s="96">
        <f t="shared" si="15"/>
        <v>5.5676692852235733E-2</v>
      </c>
      <c r="O69" s="94">
        <f>VLOOKUP(B69,Database!$A:$M,MATCH(Recap!$O$5,Database!$A$1:$M$1,),)</f>
        <v>33661</v>
      </c>
      <c r="P69" s="96">
        <f t="shared" si="16"/>
        <v>4.0879433501345125E-2</v>
      </c>
      <c r="Q69" s="94">
        <f>VLOOKUP(B69,Database!$A:$M,MATCH(Recap!$Q$5,Database!$A$1:$M$1,),)</f>
        <v>22558</v>
      </c>
      <c r="R69" s="96">
        <f t="shared" si="17"/>
        <v>3.3358537561713293E-3</v>
      </c>
      <c r="S69" s="94">
        <f>VLOOKUP(B69,Database!$A:$M,MATCH(Recap!$S$5,Database!$A$1:$M$1,),)</f>
        <v>17215</v>
      </c>
      <c r="T69" s="96">
        <f t="shared" si="18"/>
        <v>-9.8407876819943438E-2</v>
      </c>
      <c r="U69" s="94">
        <f>VLOOKUP(B69,Database!$A:$M,MATCH(Recap!$U$5,Database!$A$1:$M$1,),)</f>
        <v>11992</v>
      </c>
      <c r="V69" s="96">
        <f t="shared" si="19"/>
        <v>-3.032263281313172E-2</v>
      </c>
    </row>
    <row r="70" spans="2:22" x14ac:dyDescent="0.35">
      <c r="B70" s="93">
        <v>44287</v>
      </c>
      <c r="C70" s="94">
        <f>VLOOKUP(B70,Database!$A:$M,MATCH(Recap!$C$5,Database!$A$1:$M$1,),)</f>
        <v>236566</v>
      </c>
      <c r="D70" s="96">
        <f t="shared" si="10"/>
        <v>-1.9992377543580565E-2</v>
      </c>
      <c r="E70" s="94">
        <f>VLOOKUP(B70,Database!$A:$M,MATCH(Recap!$E$5,Database!$A$1:$M$1,),)</f>
        <v>166043</v>
      </c>
      <c r="F70" s="96">
        <f t="shared" si="11"/>
        <v>1.6293204228153824E-2</v>
      </c>
      <c r="G70" s="94">
        <f>VLOOKUP(B70,Database!$A:$M,MATCH(Recap!$G$5,Database!$A$1:$M$1,),)</f>
        <v>67955</v>
      </c>
      <c r="H70" s="96">
        <f t="shared" si="12"/>
        <v>3.1402725920529402E-2</v>
      </c>
      <c r="I70" s="94">
        <f>VLOOKUP(B70,Database!$A:$M,MATCH(Recap!$I$5,Database!$A$1:$M$1,),)</f>
        <v>169097</v>
      </c>
      <c r="J70" s="96">
        <f t="shared" si="13"/>
        <v>-7.8563214344387344E-3</v>
      </c>
      <c r="K70" s="94">
        <f>VLOOKUP(B70,Database!$A:$M,MATCH(Recap!$K$5,Database!$A$1:$M$1,),)</f>
        <v>70523</v>
      </c>
      <c r="L70" s="96">
        <f t="shared" si="14"/>
        <v>-9.5986463447462533E-2</v>
      </c>
      <c r="M70" s="94">
        <f>VLOOKUP(B70,Database!$A:$M,MATCH(Recap!$M$5,Database!$A$1:$M$1,),)</f>
        <v>35926</v>
      </c>
      <c r="N70" s="96">
        <f t="shared" si="15"/>
        <v>1.6495487083722379E-2</v>
      </c>
      <c r="O70" s="94">
        <f>VLOOKUP(B70,Database!$A:$M,MATCH(Recap!$O$5,Database!$A$1:$M$1,),)</f>
        <v>34346</v>
      </c>
      <c r="P70" s="96">
        <f t="shared" si="16"/>
        <v>2.0349959894239624E-2</v>
      </c>
      <c r="Q70" s="94">
        <f>VLOOKUP(B70,Database!$A:$M,MATCH(Recap!$Q$5,Database!$A$1:$M$1,),)</f>
        <v>22775</v>
      </c>
      <c r="R70" s="96">
        <f t="shared" si="17"/>
        <v>9.6196471318379297E-3</v>
      </c>
      <c r="S70" s="94">
        <f>VLOOKUP(B70,Database!$A:$M,MATCH(Recap!$S$5,Database!$A$1:$M$1,),)</f>
        <v>17812</v>
      </c>
      <c r="T70" s="96">
        <f t="shared" si="18"/>
        <v>3.4679058960209119E-2</v>
      </c>
      <c r="U70" s="94">
        <f>VLOOKUP(B70,Database!$A:$M,MATCH(Recap!$U$5,Database!$A$1:$M$1,),)</f>
        <v>12153</v>
      </c>
      <c r="V70" s="96">
        <f t="shared" si="19"/>
        <v>1.3425617078052034E-2</v>
      </c>
    </row>
    <row r="71" spans="2:22" x14ac:dyDescent="0.35">
      <c r="B71" s="93">
        <v>44317</v>
      </c>
      <c r="C71" s="94">
        <f>VLOOKUP(B71,Database!$A:$M,MATCH(Recap!$C$5,Database!$A$1:$M$1,),)</f>
        <v>241545</v>
      </c>
      <c r="D71" s="96">
        <f t="shared" si="10"/>
        <v>2.1046980546655054E-2</v>
      </c>
      <c r="E71" s="94">
        <f>VLOOKUP(B71,Database!$A:$M,MATCH(Recap!$E$5,Database!$A$1:$M$1,),)</f>
        <v>166210</v>
      </c>
      <c r="F71" s="96">
        <f t="shared" si="11"/>
        <v>1.0057635672687196E-3</v>
      </c>
      <c r="G71" s="94">
        <f>VLOOKUP(B71,Database!$A:$M,MATCH(Recap!$G$5,Database!$A$1:$M$1,),)</f>
        <v>66882</v>
      </c>
      <c r="H71" s="96">
        <f t="shared" si="12"/>
        <v>-1.5789860937385033E-2</v>
      </c>
      <c r="I71" s="94">
        <f>VLOOKUP(B71,Database!$A:$M,MATCH(Recap!$I$5,Database!$A$1:$M$1,),)</f>
        <v>171996</v>
      </c>
      <c r="J71" s="96">
        <f t="shared" si="13"/>
        <v>1.7144006103005968E-2</v>
      </c>
      <c r="K71" s="94">
        <f>VLOOKUP(B71,Database!$A:$M,MATCH(Recap!$K$5,Database!$A$1:$M$1,),)</f>
        <v>75335</v>
      </c>
      <c r="L71" s="96">
        <f t="shared" si="14"/>
        <v>6.8233058718432285E-2</v>
      </c>
      <c r="M71" s="94">
        <f>VLOOKUP(B71,Database!$A:$M,MATCH(Recap!$M$5,Database!$A$1:$M$1,),)</f>
        <v>34072</v>
      </c>
      <c r="N71" s="96">
        <f t="shared" si="15"/>
        <v>-5.1606079162723376E-2</v>
      </c>
      <c r="O71" s="94">
        <f>VLOOKUP(B71,Database!$A:$M,MATCH(Recap!$O$5,Database!$A$1:$M$1,),)</f>
        <v>34548</v>
      </c>
      <c r="P71" s="96">
        <f t="shared" si="16"/>
        <v>5.8813253362837012E-3</v>
      </c>
      <c r="Q71" s="94">
        <f>VLOOKUP(B71,Database!$A:$M,MATCH(Recap!$Q$5,Database!$A$1:$M$1,),)</f>
        <v>22546</v>
      </c>
      <c r="R71" s="96">
        <f t="shared" si="17"/>
        <v>-1.0054884742041713E-2</v>
      </c>
      <c r="S71" s="94">
        <f>VLOOKUP(B71,Database!$A:$M,MATCH(Recap!$S$5,Database!$A$1:$M$1,),)</f>
        <v>19048</v>
      </c>
      <c r="T71" s="96">
        <f t="shared" si="18"/>
        <v>6.9391421513586349E-2</v>
      </c>
      <c r="U71" s="94">
        <f>VLOOKUP(B71,Database!$A:$M,MATCH(Recap!$U$5,Database!$A$1:$M$1,),)</f>
        <v>12532</v>
      </c>
      <c r="V71" s="96">
        <f t="shared" si="19"/>
        <v>3.1185715461202995E-2</v>
      </c>
    </row>
    <row r="72" spans="2:22" x14ac:dyDescent="0.35">
      <c r="B72" s="93">
        <v>44348</v>
      </c>
      <c r="C72" s="94">
        <f>VLOOKUP(B72,Database!$A:$M,MATCH(Recap!$C$5,Database!$A$1:$M$1,),)</f>
        <v>245826</v>
      </c>
      <c r="D72" s="96">
        <f t="shared" ref="D72:D103" si="20">(C72-C71)/C71</f>
        <v>1.7723405576600633E-2</v>
      </c>
      <c r="E72" s="94">
        <f>VLOOKUP(B72,Database!$A:$M,MATCH(Recap!$E$5,Database!$A$1:$M$1,),)</f>
        <v>167836</v>
      </c>
      <c r="F72" s="96">
        <f t="shared" ref="F72:F103" si="21">(E72-E71)/E71</f>
        <v>9.7828048853859581E-3</v>
      </c>
      <c r="G72" s="94">
        <f>VLOOKUP(B72,Database!$A:$M,MATCH(Recap!$G$5,Database!$A$1:$M$1,),)</f>
        <v>68158</v>
      </c>
      <c r="H72" s="96">
        <f t="shared" ref="H72:H103" si="22">(G72-G71)/G71</f>
        <v>1.9078376842797763E-2</v>
      </c>
      <c r="I72" s="94">
        <f>VLOOKUP(B72,Database!$A:$M,MATCH(Recap!$I$5,Database!$A$1:$M$1,),)</f>
        <v>176392</v>
      </c>
      <c r="J72" s="96">
        <f t="shared" ref="J72:J103" si="23">(I72-I71)/I71</f>
        <v>2.5558733924044744E-2</v>
      </c>
      <c r="K72" s="94">
        <f>VLOOKUP(B72,Database!$A:$M,MATCH(Recap!$K$5,Database!$A$1:$M$1,),)</f>
        <v>77990</v>
      </c>
      <c r="L72" s="96">
        <f t="shared" ref="L72:L103" si="24">(K72-K71)/K71</f>
        <v>3.5242583128691843E-2</v>
      </c>
      <c r="M72" s="94">
        <f>VLOOKUP(B72,Database!$A:$M,MATCH(Recap!$M$5,Database!$A$1:$M$1,),)</f>
        <v>34768</v>
      </c>
      <c r="N72" s="96">
        <f t="shared" ref="N72:N103" si="25">(M72-M71)/M71</f>
        <v>2.0427330359239257E-2</v>
      </c>
      <c r="O72" s="94">
        <f>VLOOKUP(B72,Database!$A:$M,MATCH(Recap!$O$5,Database!$A$1:$M$1,),)</f>
        <v>34954</v>
      </c>
      <c r="P72" s="96">
        <f t="shared" ref="P72:P103" si="26">(O72-O71)/O71</f>
        <v>1.1751765659372467E-2</v>
      </c>
      <c r="Q72" s="94">
        <f>VLOOKUP(B72,Database!$A:$M,MATCH(Recap!$Q$5,Database!$A$1:$M$1,),)</f>
        <v>22791</v>
      </c>
      <c r="R72" s="96">
        <f t="shared" ref="R72:R103" si="27">(Q72-Q71)/Q71</f>
        <v>1.0866672580502085E-2</v>
      </c>
      <c r="S72" s="94">
        <f>VLOOKUP(B72,Database!$A:$M,MATCH(Recap!$S$5,Database!$A$1:$M$1,),)</f>
        <v>19083</v>
      </c>
      <c r="T72" s="96">
        <f t="shared" ref="T72:T103" si="28">(S72-S71)/S71</f>
        <v>1.8374632507349854E-3</v>
      </c>
      <c r="U72" s="94">
        <f>VLOOKUP(B72,Database!$A:$M,MATCH(Recap!$U$5,Database!$A$1:$M$1,),)</f>
        <v>12751</v>
      </c>
      <c r="V72" s="96">
        <f t="shared" ref="V72:V103" si="29">(U72-U71)/U71</f>
        <v>1.7475263325885733E-2</v>
      </c>
    </row>
    <row r="73" spans="2:22" x14ac:dyDescent="0.35">
      <c r="B73" s="93">
        <v>44378</v>
      </c>
      <c r="C73" s="94">
        <f>VLOOKUP(B73,Database!$A:$M,MATCH(Recap!$C$5,Database!$A$1:$M$1,),)</f>
        <v>246741</v>
      </c>
      <c r="D73" s="96">
        <f t="shared" si="20"/>
        <v>3.7221449317810158E-3</v>
      </c>
      <c r="E73" s="94">
        <f>VLOOKUP(B73,Database!$A:$M,MATCH(Recap!$E$5,Database!$A$1:$M$1,),)</f>
        <v>168528</v>
      </c>
      <c r="F73" s="96">
        <f t="shared" si="21"/>
        <v>4.123072523177387E-3</v>
      </c>
      <c r="G73" s="94">
        <f>VLOOKUP(B73,Database!$A:$M,MATCH(Recap!$G$5,Database!$A$1:$M$1,),)</f>
        <v>68660</v>
      </c>
      <c r="H73" s="96">
        <f t="shared" si="22"/>
        <v>7.365239590363567E-3</v>
      </c>
      <c r="I73" s="94">
        <f>VLOOKUP(B73,Database!$A:$M,MATCH(Recap!$I$5,Database!$A$1:$M$1,),)</f>
        <v>174579</v>
      </c>
      <c r="J73" s="96">
        <f t="shared" si="23"/>
        <v>-1.0278243911288494E-2</v>
      </c>
      <c r="K73" s="94">
        <f>VLOOKUP(B73,Database!$A:$M,MATCH(Recap!$K$5,Database!$A$1:$M$1,),)</f>
        <v>78213</v>
      </c>
      <c r="L73" s="96">
        <f t="shared" si="24"/>
        <v>2.8593409411463008E-3</v>
      </c>
      <c r="M73" s="94">
        <f>VLOOKUP(B73,Database!$A:$M,MATCH(Recap!$M$5,Database!$A$1:$M$1,),)</f>
        <v>34185</v>
      </c>
      <c r="N73" s="96">
        <f t="shared" si="25"/>
        <v>-1.676829268292683E-2</v>
      </c>
      <c r="O73" s="94">
        <f>VLOOKUP(B73,Database!$A:$M,MATCH(Recap!$O$5,Database!$A$1:$M$1,),)</f>
        <v>36029</v>
      </c>
      <c r="P73" s="96">
        <f t="shared" si="26"/>
        <v>3.0754706185272072E-2</v>
      </c>
      <c r="Q73" s="94">
        <f>VLOOKUP(B73,Database!$A:$M,MATCH(Recap!$Q$5,Database!$A$1:$M$1,),)</f>
        <v>22720</v>
      </c>
      <c r="R73" s="96">
        <f t="shared" si="27"/>
        <v>-3.1152647975077881E-3</v>
      </c>
      <c r="S73" s="94">
        <f>VLOOKUP(B73,Database!$A:$M,MATCH(Recap!$S$5,Database!$A$1:$M$1,),)</f>
        <v>19778</v>
      </c>
      <c r="T73" s="96">
        <f t="shared" si="28"/>
        <v>3.641985012838652E-2</v>
      </c>
      <c r="U73" s="94">
        <f>VLOOKUP(B73,Database!$A:$M,MATCH(Recap!$U$5,Database!$A$1:$M$1,),)</f>
        <v>12493</v>
      </c>
      <c r="V73" s="96">
        <f t="shared" si="29"/>
        <v>-2.0233707160222728E-2</v>
      </c>
    </row>
    <row r="74" spans="2:22" x14ac:dyDescent="0.35">
      <c r="B74" s="93">
        <v>44409</v>
      </c>
      <c r="C74" s="94">
        <f>VLOOKUP(B74,Database!$A:$M,MATCH(Recap!$C$5,Database!$A$1:$M$1,),)</f>
        <v>250577</v>
      </c>
      <c r="D74" s="96">
        <f t="shared" si="20"/>
        <v>1.5546666342440049E-2</v>
      </c>
      <c r="E74" s="94">
        <f>VLOOKUP(B74,Database!$A:$M,MATCH(Recap!$E$5,Database!$A$1:$M$1,),)</f>
        <v>170357</v>
      </c>
      <c r="F74" s="96">
        <f t="shared" si="21"/>
        <v>1.0852795974556156E-2</v>
      </c>
      <c r="G74" s="94">
        <f>VLOOKUP(B74,Database!$A:$M,MATCH(Recap!$G$5,Database!$A$1:$M$1,),)</f>
        <v>69530</v>
      </c>
      <c r="H74" s="96">
        <f t="shared" si="22"/>
        <v>1.2671133119720361E-2</v>
      </c>
      <c r="I74" s="94">
        <f>VLOOKUP(B74,Database!$A:$M,MATCH(Recap!$I$5,Database!$A$1:$M$1,),)</f>
        <v>179913</v>
      </c>
      <c r="J74" s="96">
        <f t="shared" si="23"/>
        <v>3.055350299864245E-2</v>
      </c>
      <c r="K74" s="94">
        <f>VLOOKUP(B74,Database!$A:$M,MATCH(Recap!$K$5,Database!$A$1:$M$1,),)</f>
        <v>80220</v>
      </c>
      <c r="L74" s="96">
        <f t="shared" si="24"/>
        <v>2.5660695792259599E-2</v>
      </c>
      <c r="M74" s="94">
        <f>VLOOKUP(B74,Database!$A:$M,MATCH(Recap!$M$5,Database!$A$1:$M$1,),)</f>
        <v>35620</v>
      </c>
      <c r="N74" s="96">
        <f t="shared" si="25"/>
        <v>4.1977475500950712E-2</v>
      </c>
      <c r="O74" s="94">
        <f>VLOOKUP(B74,Database!$A:$M,MATCH(Recap!$O$5,Database!$A$1:$M$1,),)</f>
        <v>36105</v>
      </c>
      <c r="P74" s="96">
        <f t="shared" si="26"/>
        <v>2.1094118626661857E-3</v>
      </c>
      <c r="Q74" s="94">
        <f>VLOOKUP(B74,Database!$A:$M,MATCH(Recap!$Q$5,Database!$A$1:$M$1,),)</f>
        <v>23271</v>
      </c>
      <c r="R74" s="96">
        <f t="shared" si="27"/>
        <v>2.4251760563380281E-2</v>
      </c>
      <c r="S74" s="94">
        <f>VLOOKUP(B74,Database!$A:$M,MATCH(Recap!$S$5,Database!$A$1:$M$1,),)</f>
        <v>19502</v>
      </c>
      <c r="T74" s="96">
        <f t="shared" si="28"/>
        <v>-1.3954899383152999E-2</v>
      </c>
      <c r="U74" s="94">
        <f>VLOOKUP(B74,Database!$A:$M,MATCH(Recap!$U$5,Database!$A$1:$M$1,),)</f>
        <v>12732</v>
      </c>
      <c r="V74" s="96">
        <f t="shared" si="29"/>
        <v>1.913071319939166E-2</v>
      </c>
    </row>
    <row r="75" spans="2:22" x14ac:dyDescent="0.35">
      <c r="B75" s="93">
        <v>44440</v>
      </c>
      <c r="C75" s="94">
        <f>VLOOKUP(B75,Database!$A:$M,MATCH(Recap!$C$5,Database!$A$1:$M$1,),)</f>
        <v>246849</v>
      </c>
      <c r="D75" s="96">
        <f t="shared" si="20"/>
        <v>-1.4877662355284005E-2</v>
      </c>
      <c r="E75" s="94">
        <f>VLOOKUP(B75,Database!$A:$M,MATCH(Recap!$E$5,Database!$A$1:$M$1,),)</f>
        <v>170626</v>
      </c>
      <c r="F75" s="96">
        <f t="shared" si="21"/>
        <v>1.5790369635530093E-3</v>
      </c>
      <c r="G75" s="94">
        <f>VLOOKUP(B75,Database!$A:$M,MATCH(Recap!$G$5,Database!$A$1:$M$1,),)</f>
        <v>69298</v>
      </c>
      <c r="H75" s="96">
        <f t="shared" si="22"/>
        <v>-3.3366891989069468E-3</v>
      </c>
      <c r="I75" s="94">
        <f>VLOOKUP(B75,Database!$A:$M,MATCH(Recap!$I$5,Database!$A$1:$M$1,),)</f>
        <v>177267</v>
      </c>
      <c r="J75" s="96">
        <f t="shared" si="23"/>
        <v>-1.4707108435743943E-2</v>
      </c>
      <c r="K75" s="94">
        <f>VLOOKUP(B75,Database!$A:$M,MATCH(Recap!$K$5,Database!$A$1:$M$1,),)</f>
        <v>76223</v>
      </c>
      <c r="L75" s="96">
        <f t="shared" si="24"/>
        <v>-4.9825479930191971E-2</v>
      </c>
      <c r="M75" s="94">
        <f>VLOOKUP(B75,Database!$A:$M,MATCH(Recap!$M$5,Database!$A$1:$M$1,),)</f>
        <v>35821</v>
      </c>
      <c r="N75" s="96">
        <f t="shared" si="25"/>
        <v>5.642897248736665E-3</v>
      </c>
      <c r="O75" s="94">
        <f>VLOOKUP(B75,Database!$A:$M,MATCH(Recap!$O$5,Database!$A$1:$M$1,),)</f>
        <v>36108</v>
      </c>
      <c r="P75" s="96">
        <f t="shared" si="26"/>
        <v>8.3090984628167837E-5</v>
      </c>
      <c r="Q75" s="94">
        <f>VLOOKUP(B75,Database!$A:$M,MATCH(Recap!$Q$5,Database!$A$1:$M$1,),)</f>
        <v>22970</v>
      </c>
      <c r="R75" s="96">
        <f t="shared" si="27"/>
        <v>-1.2934553736410124E-2</v>
      </c>
      <c r="S75" s="94">
        <f>VLOOKUP(B75,Database!$A:$M,MATCH(Recap!$S$5,Database!$A$1:$M$1,),)</f>
        <v>19441</v>
      </c>
      <c r="T75" s="96">
        <f t="shared" si="28"/>
        <v>-3.1278843195569686E-3</v>
      </c>
      <c r="U75" s="94">
        <f>VLOOKUP(B75,Database!$A:$M,MATCH(Recap!$U$5,Database!$A$1:$M$1,),)</f>
        <v>12871</v>
      </c>
      <c r="V75" s="96">
        <f t="shared" si="29"/>
        <v>1.0917373546968269E-2</v>
      </c>
    </row>
    <row r="76" spans="2:22" x14ac:dyDescent="0.35">
      <c r="B76" s="93">
        <v>44470</v>
      </c>
      <c r="C76" s="94">
        <f>VLOOKUP(B76,Database!$A:$M,MATCH(Recap!$C$5,Database!$A$1:$M$1,),)</f>
        <v>250503</v>
      </c>
      <c r="D76" s="96">
        <f t="shared" si="20"/>
        <v>1.4802571612605278E-2</v>
      </c>
      <c r="E76" s="94">
        <f>VLOOKUP(B76,Database!$A:$M,MATCH(Recap!$E$5,Database!$A$1:$M$1,),)</f>
        <v>171142</v>
      </c>
      <c r="F76" s="96">
        <f t="shared" si="21"/>
        <v>3.0241581001723065E-3</v>
      </c>
      <c r="G76" s="94">
        <f>VLOOKUP(B76,Database!$A:$M,MATCH(Recap!$G$5,Database!$A$1:$M$1,),)</f>
        <v>70632</v>
      </c>
      <c r="H76" s="96">
        <f t="shared" si="22"/>
        <v>1.9250194810817051E-2</v>
      </c>
      <c r="I76" s="94">
        <f>VLOOKUP(B76,Database!$A:$M,MATCH(Recap!$I$5,Database!$A$1:$M$1,),)</f>
        <v>178531</v>
      </c>
      <c r="J76" s="96">
        <f t="shared" si="23"/>
        <v>7.1304867798292967E-3</v>
      </c>
      <c r="K76" s="94">
        <f>VLOOKUP(B76,Database!$A:$M,MATCH(Recap!$K$5,Database!$A$1:$M$1,),)</f>
        <v>79361</v>
      </c>
      <c r="L76" s="96">
        <f t="shared" si="24"/>
        <v>4.1168676121380685E-2</v>
      </c>
      <c r="M76" s="94">
        <f>VLOOKUP(B76,Database!$A:$M,MATCH(Recap!$M$5,Database!$A$1:$M$1,),)</f>
        <v>35491</v>
      </c>
      <c r="N76" s="96">
        <f t="shared" si="25"/>
        <v>-9.2124731302867038E-3</v>
      </c>
      <c r="O76" s="94">
        <f>VLOOKUP(B76,Database!$A:$M,MATCH(Recap!$O$5,Database!$A$1:$M$1,),)</f>
        <v>36711</v>
      </c>
      <c r="P76" s="96">
        <f t="shared" si="26"/>
        <v>1.6699900299102691E-2</v>
      </c>
      <c r="Q76" s="94">
        <f>VLOOKUP(B76,Database!$A:$M,MATCH(Recap!$Q$5,Database!$A$1:$M$1,),)</f>
        <v>22931</v>
      </c>
      <c r="R76" s="96">
        <f t="shared" si="27"/>
        <v>-1.6978667827601218E-3</v>
      </c>
      <c r="S76" s="94">
        <f>VLOOKUP(B76,Database!$A:$M,MATCH(Recap!$S$5,Database!$A$1:$M$1,),)</f>
        <v>19823</v>
      </c>
      <c r="T76" s="96">
        <f t="shared" si="28"/>
        <v>1.9649195000257188E-2</v>
      </c>
      <c r="U76" s="94">
        <f>VLOOKUP(B76,Database!$A:$M,MATCH(Recap!$U$5,Database!$A$1:$M$1,),)</f>
        <v>12931</v>
      </c>
      <c r="V76" s="96">
        <f t="shared" si="29"/>
        <v>4.6616424520239301E-3</v>
      </c>
    </row>
    <row r="77" spans="2:22" x14ac:dyDescent="0.35">
      <c r="B77" s="93">
        <v>44501</v>
      </c>
      <c r="C77" s="94">
        <f>VLOOKUP(B77,Database!$A:$M,MATCH(Recap!$C$5,Database!$A$1:$M$1,),)</f>
        <v>254074</v>
      </c>
      <c r="D77" s="96">
        <f t="shared" si="20"/>
        <v>1.4255318299581243E-2</v>
      </c>
      <c r="E77" s="94">
        <f>VLOOKUP(B77,Database!$A:$M,MATCH(Recap!$E$5,Database!$A$1:$M$1,),)</f>
        <v>173429</v>
      </c>
      <c r="F77" s="96">
        <f t="shared" si="21"/>
        <v>1.3363172102698344E-2</v>
      </c>
      <c r="G77" s="94">
        <f>VLOOKUP(B77,Database!$A:$M,MATCH(Recap!$G$5,Database!$A$1:$M$1,),)</f>
        <v>71135</v>
      </c>
      <c r="H77" s="96">
        <f t="shared" si="22"/>
        <v>7.1214180541397665E-3</v>
      </c>
      <c r="I77" s="94">
        <f>VLOOKUP(B77,Database!$A:$M,MATCH(Recap!$I$5,Database!$A$1:$M$1,),)</f>
        <v>180712</v>
      </c>
      <c r="J77" s="96">
        <f t="shared" si="23"/>
        <v>1.2216365785213772E-2</v>
      </c>
      <c r="K77" s="94">
        <f>VLOOKUP(B77,Database!$A:$M,MATCH(Recap!$K$5,Database!$A$1:$M$1,),)</f>
        <v>80645</v>
      </c>
      <c r="L77" s="96">
        <f t="shared" si="24"/>
        <v>1.6179231612504882E-2</v>
      </c>
      <c r="M77" s="94">
        <f>VLOOKUP(B77,Database!$A:$M,MATCH(Recap!$M$5,Database!$A$1:$M$1,),)</f>
        <v>35429</v>
      </c>
      <c r="N77" s="96">
        <f t="shared" si="25"/>
        <v>-1.7469217548110789E-3</v>
      </c>
      <c r="O77" s="94">
        <f>VLOOKUP(B77,Database!$A:$M,MATCH(Recap!$O$5,Database!$A$1:$M$1,),)</f>
        <v>37145</v>
      </c>
      <c r="P77" s="96">
        <f t="shared" si="26"/>
        <v>1.182206967938765E-2</v>
      </c>
      <c r="Q77" s="94">
        <f>VLOOKUP(B77,Database!$A:$M,MATCH(Recap!$Q$5,Database!$A$1:$M$1,),)</f>
        <v>23936</v>
      </c>
      <c r="R77" s="96">
        <f t="shared" si="27"/>
        <v>4.3827133574636953E-2</v>
      </c>
      <c r="S77" s="94">
        <f>VLOOKUP(B77,Database!$A:$M,MATCH(Recap!$S$5,Database!$A$1:$M$1,),)</f>
        <v>19634</v>
      </c>
      <c r="T77" s="96">
        <f t="shared" si="28"/>
        <v>-9.5343792564193102E-3</v>
      </c>
      <c r="U77" s="94">
        <f>VLOOKUP(B77,Database!$A:$M,MATCH(Recap!$U$5,Database!$A$1:$M$1,),)</f>
        <v>13120</v>
      </c>
      <c r="V77" s="96">
        <f t="shared" si="29"/>
        <v>1.4616038976103937E-2</v>
      </c>
    </row>
    <row r="78" spans="2:22" x14ac:dyDescent="0.35">
      <c r="B78" s="93">
        <v>44531</v>
      </c>
      <c r="C78" s="94">
        <f>VLOOKUP(B78,Database!$A:$M,MATCH(Recap!$C$5,Database!$A$1:$M$1,),)</f>
        <v>256464</v>
      </c>
      <c r="D78" s="96">
        <f t="shared" si="20"/>
        <v>9.406708281839149E-3</v>
      </c>
      <c r="E78" s="94">
        <f>VLOOKUP(B78,Database!$A:$M,MATCH(Recap!$E$5,Database!$A$1:$M$1,),)</f>
        <v>175086</v>
      </c>
      <c r="F78" s="96">
        <f t="shared" si="21"/>
        <v>9.5543421227130415E-3</v>
      </c>
      <c r="G78" s="94">
        <f>VLOOKUP(B78,Database!$A:$M,MATCH(Recap!$G$5,Database!$A$1:$M$1,),)</f>
        <v>71199</v>
      </c>
      <c r="H78" s="96">
        <f t="shared" si="22"/>
        <v>8.9969775778449431E-4</v>
      </c>
      <c r="I78" s="94">
        <f>VLOOKUP(B78,Database!$A:$M,MATCH(Recap!$I$5,Database!$A$1:$M$1,),)</f>
        <v>181268</v>
      </c>
      <c r="J78" s="96">
        <f t="shared" si="23"/>
        <v>3.0767187569170837E-3</v>
      </c>
      <c r="K78" s="94">
        <f>VLOOKUP(B78,Database!$A:$M,MATCH(Recap!$K$5,Database!$A$1:$M$1,),)</f>
        <v>81378</v>
      </c>
      <c r="L78" s="96">
        <f t="shared" si="24"/>
        <v>9.0892181784363573E-3</v>
      </c>
      <c r="M78" s="94">
        <f>VLOOKUP(B78,Database!$A:$M,MATCH(Recap!$M$5,Database!$A$1:$M$1,),)</f>
        <v>36782</v>
      </c>
      <c r="N78" s="96">
        <f t="shared" si="25"/>
        <v>3.8189054164667363E-2</v>
      </c>
      <c r="O78" s="94">
        <f>VLOOKUP(B78,Database!$A:$M,MATCH(Recap!$O$5,Database!$A$1:$M$1,),)</f>
        <v>36707</v>
      </c>
      <c r="P78" s="96">
        <f t="shared" si="26"/>
        <v>-1.1791627406111185E-2</v>
      </c>
      <c r="Q78" s="94">
        <f>VLOOKUP(B78,Database!$A:$M,MATCH(Recap!$Q$5,Database!$A$1:$M$1,),)</f>
        <v>23611</v>
      </c>
      <c r="R78" s="96">
        <f t="shared" si="27"/>
        <v>-1.3577874331550803E-2</v>
      </c>
      <c r="S78" s="94">
        <f>VLOOKUP(B78,Database!$A:$M,MATCH(Recap!$S$5,Database!$A$1:$M$1,),)</f>
        <v>20083</v>
      </c>
      <c r="T78" s="96">
        <f t="shared" si="28"/>
        <v>2.2868493429764693E-2</v>
      </c>
      <c r="U78" s="94">
        <f>VLOOKUP(B78,Database!$A:$M,MATCH(Recap!$U$5,Database!$A$1:$M$1,),)</f>
        <v>13251</v>
      </c>
      <c r="V78" s="96">
        <f t="shared" si="29"/>
        <v>9.9847560975609758E-3</v>
      </c>
    </row>
    <row r="79" spans="2:22" x14ac:dyDescent="0.35">
      <c r="B79" s="93">
        <v>44562</v>
      </c>
      <c r="C79" s="94">
        <f>VLOOKUP(B79,Database!$A:$M,MATCH(Recap!$C$5,Database!$A$1:$M$1,),)</f>
        <v>264356</v>
      </c>
      <c r="D79" s="96">
        <f t="shared" si="20"/>
        <v>3.0772350115415809E-2</v>
      </c>
      <c r="E79" s="94">
        <f>VLOOKUP(B79,Database!$A:$M,MATCH(Recap!$E$5,Database!$A$1:$M$1,),)</f>
        <v>176592</v>
      </c>
      <c r="F79" s="96">
        <f t="shared" si="21"/>
        <v>8.6014872691134638E-3</v>
      </c>
      <c r="G79" s="94">
        <f>VLOOKUP(B79,Database!$A:$M,MATCH(Recap!$G$5,Database!$A$1:$M$1,),)</f>
        <v>72217</v>
      </c>
      <c r="H79" s="96">
        <f t="shared" si="22"/>
        <v>1.4297953622944143E-2</v>
      </c>
      <c r="I79" s="94">
        <f>VLOOKUP(B79,Database!$A:$M,MATCH(Recap!$I$5,Database!$A$1:$M$1,),)</f>
        <v>189468</v>
      </c>
      <c r="J79" s="96">
        <f t="shared" si="23"/>
        <v>4.5236886819515855E-2</v>
      </c>
      <c r="K79" s="94">
        <f>VLOOKUP(B79,Database!$A:$M,MATCH(Recap!$K$5,Database!$A$1:$M$1,),)</f>
        <v>87764</v>
      </c>
      <c r="L79" s="96">
        <f t="shared" si="24"/>
        <v>7.8473297451399637E-2</v>
      </c>
      <c r="M79" s="94">
        <f>VLOOKUP(B79,Database!$A:$M,MATCH(Recap!$M$5,Database!$A$1:$M$1,),)</f>
        <v>36442</v>
      </c>
      <c r="N79" s="96">
        <f t="shared" si="25"/>
        <v>-9.2436517861997722E-3</v>
      </c>
      <c r="O79" s="94">
        <f>VLOOKUP(B79,Database!$A:$M,MATCH(Recap!$O$5,Database!$A$1:$M$1,),)</f>
        <v>37908</v>
      </c>
      <c r="P79" s="96">
        <f t="shared" si="26"/>
        <v>3.2718555043997059E-2</v>
      </c>
      <c r="Q79" s="94">
        <f>VLOOKUP(B79,Database!$A:$M,MATCH(Recap!$Q$5,Database!$A$1:$M$1,),)</f>
        <v>23746</v>
      </c>
      <c r="R79" s="96">
        <f t="shared" si="27"/>
        <v>5.7176739655245435E-3</v>
      </c>
      <c r="S79" s="94">
        <f>VLOOKUP(B79,Database!$A:$M,MATCH(Recap!$S$5,Database!$A$1:$M$1,),)</f>
        <v>20519</v>
      </c>
      <c r="T79" s="96">
        <f t="shared" si="28"/>
        <v>2.1709903898819896E-2</v>
      </c>
      <c r="U79" s="94">
        <f>VLOOKUP(B79,Database!$A:$M,MATCH(Recap!$U$5,Database!$A$1:$M$1,),)</f>
        <v>12855</v>
      </c>
      <c r="V79" s="96">
        <f t="shared" si="29"/>
        <v>-2.9884537016074259E-2</v>
      </c>
    </row>
    <row r="80" spans="2:22" x14ac:dyDescent="0.35">
      <c r="B80" s="93">
        <v>44593</v>
      </c>
      <c r="C80" s="94">
        <f>VLOOKUP(B80,Database!$A:$M,MATCH(Recap!$C$5,Database!$A$1:$M$1,),)</f>
        <v>262494</v>
      </c>
      <c r="D80" s="96">
        <f t="shared" si="20"/>
        <v>-7.0435322065699286E-3</v>
      </c>
      <c r="E80" s="94">
        <f>VLOOKUP(B80,Database!$A:$M,MATCH(Recap!$E$5,Database!$A$1:$M$1,),)</f>
        <v>176015</v>
      </c>
      <c r="F80" s="96">
        <f t="shared" si="21"/>
        <v>-3.2674186826130288E-3</v>
      </c>
      <c r="G80" s="94">
        <f>VLOOKUP(B80,Database!$A:$M,MATCH(Recap!$G$5,Database!$A$1:$M$1,),)</f>
        <v>72038</v>
      </c>
      <c r="H80" s="96">
        <f t="shared" si="22"/>
        <v>-2.4786407632551894E-3</v>
      </c>
      <c r="I80" s="94">
        <f>VLOOKUP(B80,Database!$A:$M,MATCH(Recap!$I$5,Database!$A$1:$M$1,),)</f>
        <v>187611</v>
      </c>
      <c r="J80" s="96">
        <f t="shared" si="23"/>
        <v>-9.8011273671543483E-3</v>
      </c>
      <c r="K80" s="94">
        <f>VLOOKUP(B80,Database!$A:$M,MATCH(Recap!$K$5,Database!$A$1:$M$1,),)</f>
        <v>86479</v>
      </c>
      <c r="L80" s="96">
        <f t="shared" si="24"/>
        <v>-1.4641538671892803E-2</v>
      </c>
      <c r="M80" s="94">
        <f>VLOOKUP(B80,Database!$A:$M,MATCH(Recap!$M$5,Database!$A$1:$M$1,),)</f>
        <v>36534</v>
      </c>
      <c r="N80" s="96">
        <f t="shared" si="25"/>
        <v>2.5245595741177763E-3</v>
      </c>
      <c r="O80" s="94">
        <f>VLOOKUP(B80,Database!$A:$M,MATCH(Recap!$O$5,Database!$A$1:$M$1,),)</f>
        <v>37155</v>
      </c>
      <c r="P80" s="96">
        <f t="shared" si="26"/>
        <v>-1.9863880974992087E-2</v>
      </c>
      <c r="Q80" s="94">
        <f>VLOOKUP(B80,Database!$A:$M,MATCH(Recap!$Q$5,Database!$A$1:$M$1,),)</f>
        <v>23325</v>
      </c>
      <c r="R80" s="96">
        <f t="shared" si="27"/>
        <v>-1.7729301777141413E-2</v>
      </c>
      <c r="S80" s="94">
        <f>VLOOKUP(B80,Database!$A:$M,MATCH(Recap!$S$5,Database!$A$1:$M$1,),)</f>
        <v>20120</v>
      </c>
      <c r="T80" s="96">
        <f t="shared" si="28"/>
        <v>-1.9445392075637214E-2</v>
      </c>
      <c r="U80" s="94">
        <f>VLOOKUP(B80,Database!$A:$M,MATCH(Recap!$U$5,Database!$A$1:$M$1,),)</f>
        <v>13250</v>
      </c>
      <c r="V80" s="96">
        <f t="shared" si="29"/>
        <v>3.0727343446129912E-2</v>
      </c>
    </row>
    <row r="81" spans="2:22" x14ac:dyDescent="0.35">
      <c r="B81" s="93">
        <v>44621</v>
      </c>
      <c r="C81" s="94">
        <f>VLOOKUP(B81,Database!$A:$M,MATCH(Recap!$C$5,Database!$A$1:$M$1,),)</f>
        <v>264258</v>
      </c>
      <c r="D81" s="96">
        <f t="shared" si="20"/>
        <v>6.7201536035109378E-3</v>
      </c>
      <c r="E81" s="94">
        <f>VLOOKUP(B81,Database!$A:$M,MATCH(Recap!$E$5,Database!$A$1:$M$1,),)</f>
        <v>178038</v>
      </c>
      <c r="F81" s="96">
        <f t="shared" si="21"/>
        <v>1.1493338635911713E-2</v>
      </c>
      <c r="G81" s="94">
        <f>VLOOKUP(B81,Database!$A:$M,MATCH(Recap!$G$5,Database!$A$1:$M$1,),)</f>
        <v>72857</v>
      </c>
      <c r="H81" s="96">
        <f t="shared" si="22"/>
        <v>1.1368999694605624E-2</v>
      </c>
      <c r="I81" s="94">
        <f>VLOOKUP(B81,Database!$A:$M,MATCH(Recap!$I$5,Database!$A$1:$M$1,),)</f>
        <v>186907</v>
      </c>
      <c r="J81" s="96">
        <f t="shared" si="23"/>
        <v>-3.7524452190969611E-3</v>
      </c>
      <c r="K81" s="94">
        <f>VLOOKUP(B81,Database!$A:$M,MATCH(Recap!$K$5,Database!$A$1:$M$1,),)</f>
        <v>86220</v>
      </c>
      <c r="L81" s="96">
        <f t="shared" si="24"/>
        <v>-2.9949467500780536E-3</v>
      </c>
      <c r="M81" s="94">
        <f>VLOOKUP(B81,Database!$A:$M,MATCH(Recap!$M$5,Database!$A$1:$M$1,),)</f>
        <v>36986</v>
      </c>
      <c r="N81" s="96">
        <f t="shared" si="25"/>
        <v>1.2372037006623966E-2</v>
      </c>
      <c r="O81" s="94">
        <f>VLOOKUP(B81,Database!$A:$M,MATCH(Recap!$O$5,Database!$A$1:$M$1,),)</f>
        <v>37379</v>
      </c>
      <c r="P81" s="96">
        <f t="shared" si="26"/>
        <v>6.028798277486206E-3</v>
      </c>
      <c r="Q81" s="94">
        <f>VLOOKUP(B81,Database!$A:$M,MATCH(Recap!$Q$5,Database!$A$1:$M$1,),)</f>
        <v>23742</v>
      </c>
      <c r="R81" s="96">
        <f t="shared" si="27"/>
        <v>1.7877813504823151E-2</v>
      </c>
      <c r="S81" s="94">
        <f>VLOOKUP(B81,Database!$A:$M,MATCH(Recap!$S$5,Database!$A$1:$M$1,),)</f>
        <v>20783</v>
      </c>
      <c r="T81" s="96">
        <f t="shared" si="28"/>
        <v>3.2952286282306162E-2</v>
      </c>
      <c r="U81" s="94">
        <f>VLOOKUP(B81,Database!$A:$M,MATCH(Recap!$U$5,Database!$A$1:$M$1,),)</f>
        <v>13593</v>
      </c>
      <c r="V81" s="96">
        <f t="shared" si="29"/>
        <v>2.5886792452830189E-2</v>
      </c>
    </row>
    <row r="82" spans="2:22" x14ac:dyDescent="0.35">
      <c r="B82" s="93">
        <v>44652</v>
      </c>
      <c r="C82" s="94">
        <f>VLOOKUP(B82,Database!$A:$M,MATCH(Recap!$C$5,Database!$A$1:$M$1,),)</f>
        <v>265376</v>
      </c>
      <c r="D82" s="96">
        <f t="shared" si="20"/>
        <v>4.2307139235141416E-3</v>
      </c>
      <c r="E82" s="94">
        <f>VLOOKUP(B82,Database!$A:$M,MATCH(Recap!$E$5,Database!$A$1:$M$1,),)</f>
        <v>178467</v>
      </c>
      <c r="F82" s="96">
        <f t="shared" si="21"/>
        <v>2.409597950999225E-3</v>
      </c>
      <c r="G82" s="94">
        <f>VLOOKUP(B82,Database!$A:$M,MATCH(Recap!$G$5,Database!$A$1:$M$1,),)</f>
        <v>73115</v>
      </c>
      <c r="H82" s="96">
        <f t="shared" si="22"/>
        <v>3.5411834140851258E-3</v>
      </c>
      <c r="I82" s="94">
        <f>VLOOKUP(B82,Database!$A:$M,MATCH(Recap!$I$5,Database!$A$1:$M$1,),)</f>
        <v>188269</v>
      </c>
      <c r="J82" s="96">
        <f t="shared" si="23"/>
        <v>7.2870464990610305E-3</v>
      </c>
      <c r="K82" s="94">
        <f>VLOOKUP(B82,Database!$A:$M,MATCH(Recap!$K$5,Database!$A$1:$M$1,),)</f>
        <v>86909</v>
      </c>
      <c r="L82" s="96">
        <f t="shared" si="24"/>
        <v>7.9911853398283456E-3</v>
      </c>
      <c r="M82" s="94">
        <f>VLOOKUP(B82,Database!$A:$M,MATCH(Recap!$M$5,Database!$A$1:$M$1,),)</f>
        <v>36891</v>
      </c>
      <c r="N82" s="96">
        <f t="shared" si="25"/>
        <v>-2.5685394473584601E-3</v>
      </c>
      <c r="O82" s="94">
        <f>VLOOKUP(B82,Database!$A:$M,MATCH(Recap!$O$5,Database!$A$1:$M$1,),)</f>
        <v>37763</v>
      </c>
      <c r="P82" s="96">
        <f t="shared" si="26"/>
        <v>1.0273148024291714E-2</v>
      </c>
      <c r="Q82" s="94">
        <f>VLOOKUP(B82,Database!$A:$M,MATCH(Recap!$Q$5,Database!$A$1:$M$1,),)</f>
        <v>23741</v>
      </c>
      <c r="R82" s="96">
        <f t="shared" si="27"/>
        <v>-4.2119450762362062E-5</v>
      </c>
      <c r="S82" s="94">
        <f>VLOOKUP(B82,Database!$A:$M,MATCH(Recap!$S$5,Database!$A$1:$M$1,),)</f>
        <v>20962</v>
      </c>
      <c r="T82" s="96">
        <f t="shared" si="28"/>
        <v>8.6128085454457975E-3</v>
      </c>
      <c r="U82" s="94">
        <f>VLOOKUP(B82,Database!$A:$M,MATCH(Recap!$U$5,Database!$A$1:$M$1,),)</f>
        <v>13464</v>
      </c>
      <c r="V82" s="96">
        <f t="shared" si="29"/>
        <v>-9.4901787684837785E-3</v>
      </c>
    </row>
    <row r="83" spans="2:22" x14ac:dyDescent="0.35">
      <c r="B83" s="93">
        <v>44682</v>
      </c>
      <c r="C83" s="94">
        <f>VLOOKUP(B83,Database!$A:$M,MATCH(Recap!$C$5,Database!$A$1:$M$1,),)</f>
        <v>267533</v>
      </c>
      <c r="D83" s="96">
        <f t="shared" si="20"/>
        <v>8.1280899553840581E-3</v>
      </c>
      <c r="E83" s="94">
        <f>VLOOKUP(B83,Database!$A:$M,MATCH(Recap!$E$5,Database!$A$1:$M$1,),)</f>
        <v>179258</v>
      </c>
      <c r="F83" s="96">
        <f t="shared" si="21"/>
        <v>4.4321919458499334E-3</v>
      </c>
      <c r="G83" s="94">
        <f>VLOOKUP(B83,Database!$A:$M,MATCH(Recap!$G$5,Database!$A$1:$M$1,),)</f>
        <v>73477</v>
      </c>
      <c r="H83" s="96">
        <f t="shared" si="22"/>
        <v>4.9511044245366884E-3</v>
      </c>
      <c r="I83" s="94">
        <f>VLOOKUP(B83,Database!$A:$M,MATCH(Recap!$I$5,Database!$A$1:$M$1,),)</f>
        <v>189296</v>
      </c>
      <c r="J83" s="96">
        <f t="shared" si="23"/>
        <v>5.4549607210958783E-3</v>
      </c>
      <c r="K83" s="94">
        <f>VLOOKUP(B83,Database!$A:$M,MATCH(Recap!$K$5,Database!$A$1:$M$1,),)</f>
        <v>88275</v>
      </c>
      <c r="L83" s="96">
        <f t="shared" si="24"/>
        <v>1.5717589662750692E-2</v>
      </c>
      <c r="M83" s="94">
        <f>VLOOKUP(B83,Database!$A:$M,MATCH(Recap!$M$5,Database!$A$1:$M$1,),)</f>
        <v>36810</v>
      </c>
      <c r="N83" s="96">
        <f t="shared" si="25"/>
        <v>-2.1956574774335204E-3</v>
      </c>
      <c r="O83" s="94">
        <f>VLOOKUP(B83,Database!$A:$M,MATCH(Recap!$O$5,Database!$A$1:$M$1,),)</f>
        <v>38242</v>
      </c>
      <c r="P83" s="96">
        <f t="shared" si="26"/>
        <v>1.2684373593199693E-2</v>
      </c>
      <c r="Q83" s="94">
        <f>VLOOKUP(B83,Database!$A:$M,MATCH(Recap!$Q$5,Database!$A$1:$M$1,),)</f>
        <v>23787</v>
      </c>
      <c r="R83" s="96">
        <f t="shared" si="27"/>
        <v>1.9375763447201046E-3</v>
      </c>
      <c r="S83" s="94">
        <f>VLOOKUP(B83,Database!$A:$M,MATCH(Recap!$S$5,Database!$A$1:$M$1,),)</f>
        <v>21350</v>
      </c>
      <c r="T83" s="96">
        <f t="shared" si="28"/>
        <v>1.8509684190439843E-2</v>
      </c>
      <c r="U83" s="94">
        <f>VLOOKUP(B83,Database!$A:$M,MATCH(Recap!$U$5,Database!$A$1:$M$1,),)</f>
        <v>13353</v>
      </c>
      <c r="V83" s="96">
        <f t="shared" si="29"/>
        <v>-8.2442067736185377E-3</v>
      </c>
    </row>
    <row r="84" spans="2:22" x14ac:dyDescent="0.35">
      <c r="B84" s="93">
        <v>44713</v>
      </c>
      <c r="C84" s="94">
        <f>VLOOKUP(B84,Database!$A:$M,MATCH(Recap!$C$5,Database!$A$1:$M$1,),)</f>
        <v>273571</v>
      </c>
      <c r="D84" s="96">
        <f t="shared" si="20"/>
        <v>2.2569178381732346E-2</v>
      </c>
      <c r="E84" s="94">
        <f>VLOOKUP(B84,Database!$A:$M,MATCH(Recap!$E$5,Database!$A$1:$M$1,),)</f>
        <v>179945</v>
      </c>
      <c r="F84" s="96">
        <f t="shared" si="21"/>
        <v>3.8324649388032893E-3</v>
      </c>
      <c r="G84" s="94">
        <f>VLOOKUP(B84,Database!$A:$M,MATCH(Recap!$G$5,Database!$A$1:$M$1,),)</f>
        <v>74190</v>
      </c>
      <c r="H84" s="96">
        <f t="shared" si="22"/>
        <v>9.7037168093416989E-3</v>
      </c>
      <c r="I84" s="94">
        <f>VLOOKUP(B84,Database!$A:$M,MATCH(Recap!$I$5,Database!$A$1:$M$1,),)</f>
        <v>194488</v>
      </c>
      <c r="J84" s="96">
        <f t="shared" si="23"/>
        <v>2.7427943538162455E-2</v>
      </c>
      <c r="K84" s="94">
        <f>VLOOKUP(B84,Database!$A:$M,MATCH(Recap!$K$5,Database!$A$1:$M$1,),)</f>
        <v>93626</v>
      </c>
      <c r="L84" s="96">
        <f t="shared" si="24"/>
        <v>6.0617388841687908E-2</v>
      </c>
      <c r="M84" s="94">
        <f>VLOOKUP(B84,Database!$A:$M,MATCH(Recap!$M$5,Database!$A$1:$M$1,),)</f>
        <v>36922</v>
      </c>
      <c r="N84" s="96">
        <f t="shared" si="25"/>
        <v>3.0426514534093998E-3</v>
      </c>
      <c r="O84" s="94">
        <f>VLOOKUP(B84,Database!$A:$M,MATCH(Recap!$O$5,Database!$A$1:$M$1,),)</f>
        <v>38434</v>
      </c>
      <c r="P84" s="96">
        <f t="shared" si="26"/>
        <v>5.0206579153809945E-3</v>
      </c>
      <c r="Q84" s="94">
        <f>VLOOKUP(B84,Database!$A:$M,MATCH(Recap!$Q$5,Database!$A$1:$M$1,),)</f>
        <v>24211</v>
      </c>
      <c r="R84" s="96">
        <f t="shared" si="27"/>
        <v>1.7824862319754487E-2</v>
      </c>
      <c r="S84" s="94">
        <f>VLOOKUP(B84,Database!$A:$M,MATCH(Recap!$S$5,Database!$A$1:$M$1,),)</f>
        <v>21050</v>
      </c>
      <c r="T84" s="96">
        <f t="shared" si="28"/>
        <v>-1.405152224824356E-2</v>
      </c>
      <c r="U84" s="94">
        <f>VLOOKUP(B84,Database!$A:$M,MATCH(Recap!$U$5,Database!$A$1:$M$1,),)</f>
        <v>13717</v>
      </c>
      <c r="V84" s="96">
        <f t="shared" si="29"/>
        <v>2.725979180708455E-2</v>
      </c>
    </row>
    <row r="85" spans="2:22" x14ac:dyDescent="0.35">
      <c r="B85" s="93">
        <v>44743</v>
      </c>
      <c r="C85" s="94">
        <f>VLOOKUP(B85,Database!$A:$M,MATCH(Recap!$C$5,Database!$A$1:$M$1,),)</f>
        <v>273203</v>
      </c>
      <c r="D85" s="96">
        <f t="shared" si="20"/>
        <v>-1.345171820112512E-3</v>
      </c>
      <c r="E85" s="94">
        <f>VLOOKUP(B85,Database!$A:$M,MATCH(Recap!$E$5,Database!$A$1:$M$1,),)</f>
        <v>180216</v>
      </c>
      <c r="F85" s="96">
        <f t="shared" si="21"/>
        <v>1.5060157270277029E-3</v>
      </c>
      <c r="G85" s="94">
        <f>VLOOKUP(B85,Database!$A:$M,MATCH(Recap!$G$5,Database!$A$1:$M$1,),)</f>
        <v>74709</v>
      </c>
      <c r="H85" s="96">
        <f t="shared" si="22"/>
        <v>6.9955519611807522E-3</v>
      </c>
      <c r="I85" s="94">
        <f>VLOOKUP(B85,Database!$A:$M,MATCH(Recap!$I$5,Database!$A$1:$M$1,),)</f>
        <v>194332</v>
      </c>
      <c r="J85" s="96">
        <f t="shared" si="23"/>
        <v>-8.021060425321871E-4</v>
      </c>
      <c r="K85" s="94">
        <f>VLOOKUP(B85,Database!$A:$M,MATCH(Recap!$K$5,Database!$A$1:$M$1,),)</f>
        <v>92987</v>
      </c>
      <c r="L85" s="96">
        <f t="shared" si="24"/>
        <v>-6.8250272360241811E-3</v>
      </c>
      <c r="M85" s="94">
        <f>VLOOKUP(B85,Database!$A:$M,MATCH(Recap!$M$5,Database!$A$1:$M$1,),)</f>
        <v>37195</v>
      </c>
      <c r="N85" s="96">
        <f t="shared" si="25"/>
        <v>7.3939656573316723E-3</v>
      </c>
      <c r="O85" s="94">
        <f>VLOOKUP(B85,Database!$A:$M,MATCH(Recap!$O$5,Database!$A$1:$M$1,),)</f>
        <v>38622</v>
      </c>
      <c r="P85" s="96">
        <f t="shared" si="26"/>
        <v>4.8915023156580108E-3</v>
      </c>
      <c r="Q85" s="94">
        <f>VLOOKUP(B85,Database!$A:$M,MATCH(Recap!$Q$5,Database!$A$1:$M$1,),)</f>
        <v>24547</v>
      </c>
      <c r="R85" s="96">
        <f t="shared" si="27"/>
        <v>1.3877989343686755E-2</v>
      </c>
      <c r="S85" s="94">
        <f>VLOOKUP(B85,Database!$A:$M,MATCH(Recap!$S$5,Database!$A$1:$M$1,),)</f>
        <v>20649</v>
      </c>
      <c r="T85" s="96">
        <f t="shared" si="28"/>
        <v>-1.9049881235154394E-2</v>
      </c>
      <c r="U85" s="94">
        <f>VLOOKUP(B85,Database!$A:$M,MATCH(Recap!$U$5,Database!$A$1:$M$1,),)</f>
        <v>13661</v>
      </c>
      <c r="V85" s="96">
        <f t="shared" si="29"/>
        <v>-4.0825253335277393E-3</v>
      </c>
    </row>
    <row r="86" spans="2:22" x14ac:dyDescent="0.35">
      <c r="B86" s="93">
        <v>44774</v>
      </c>
      <c r="C86" s="94">
        <f>VLOOKUP(B86,Database!$A:$M,MATCH(Recap!$C$5,Database!$A$1:$M$1,),)</f>
        <v>273841</v>
      </c>
      <c r="D86" s="96">
        <f t="shared" si="20"/>
        <v>2.3352598617145492E-3</v>
      </c>
      <c r="E86" s="94">
        <f>VLOOKUP(B86,Database!$A:$M,MATCH(Recap!$E$5,Database!$A$1:$M$1,),)</f>
        <v>180358</v>
      </c>
      <c r="F86" s="96">
        <f t="shared" si="21"/>
        <v>7.8794335686065608E-4</v>
      </c>
      <c r="G86" s="94">
        <f>VLOOKUP(B86,Database!$A:$M,MATCH(Recap!$G$5,Database!$A$1:$M$1,),)</f>
        <v>75379</v>
      </c>
      <c r="H86" s="96">
        <f t="shared" si="22"/>
        <v>8.968129676478068E-3</v>
      </c>
      <c r="I86" s="94">
        <f>VLOOKUP(B86,Database!$A:$M,MATCH(Recap!$I$5,Database!$A$1:$M$1,),)</f>
        <v>194542</v>
      </c>
      <c r="J86" s="96">
        <f t="shared" si="23"/>
        <v>1.0806249099479242E-3</v>
      </c>
      <c r="K86" s="94">
        <f>VLOOKUP(B86,Database!$A:$M,MATCH(Recap!$K$5,Database!$A$1:$M$1,),)</f>
        <v>93483</v>
      </c>
      <c r="L86" s="96">
        <f t="shared" si="24"/>
        <v>5.3340789572735971E-3</v>
      </c>
      <c r="M86" s="94">
        <f>VLOOKUP(B86,Database!$A:$M,MATCH(Recap!$M$5,Database!$A$1:$M$1,),)</f>
        <v>36860</v>
      </c>
      <c r="N86" s="96">
        <f t="shared" si="25"/>
        <v>-9.006586906842317E-3</v>
      </c>
      <c r="O86" s="94">
        <f>VLOOKUP(B86,Database!$A:$M,MATCH(Recap!$O$5,Database!$A$1:$M$1,),)</f>
        <v>38888</v>
      </c>
      <c r="P86" s="96">
        <f t="shared" si="26"/>
        <v>6.8872663248925482E-3</v>
      </c>
      <c r="Q86" s="94">
        <f>VLOOKUP(B86,Database!$A:$M,MATCH(Recap!$Q$5,Database!$A$1:$M$1,),)</f>
        <v>24519</v>
      </c>
      <c r="R86" s="96">
        <f t="shared" si="27"/>
        <v>-1.1406689208457246E-3</v>
      </c>
      <c r="S86" s="94">
        <f>VLOOKUP(B86,Database!$A:$M,MATCH(Recap!$S$5,Database!$A$1:$M$1,),)</f>
        <v>20738</v>
      </c>
      <c r="T86" s="96">
        <f t="shared" si="28"/>
        <v>4.3101360840718675E-3</v>
      </c>
      <c r="U86" s="94">
        <f>VLOOKUP(B86,Database!$A:$M,MATCH(Recap!$U$5,Database!$A$1:$M$1,),)</f>
        <v>13851</v>
      </c>
      <c r="V86" s="96">
        <f t="shared" si="29"/>
        <v>1.3908205841446454E-2</v>
      </c>
    </row>
    <row r="87" spans="2:22" x14ac:dyDescent="0.35">
      <c r="B87" s="93">
        <v>44805</v>
      </c>
      <c r="C87" s="94">
        <f>VLOOKUP(B87,Database!$A:$M,MATCH(Recap!$C$5,Database!$A$1:$M$1,),)</f>
        <v>274399</v>
      </c>
      <c r="D87" s="96">
        <f t="shared" si="20"/>
        <v>2.0376787990111049E-3</v>
      </c>
      <c r="E87" s="94">
        <f>VLOOKUP(B87,Database!$A:$M,MATCH(Recap!$E$5,Database!$A$1:$M$1,),)</f>
        <v>178723</v>
      </c>
      <c r="F87" s="96">
        <f t="shared" si="21"/>
        <v>-9.0653034520231986E-3</v>
      </c>
      <c r="G87" s="94">
        <f>VLOOKUP(B87,Database!$A:$M,MATCH(Recap!$G$5,Database!$A$1:$M$1,),)</f>
        <v>74819</v>
      </c>
      <c r="H87" s="96">
        <f t="shared" si="22"/>
        <v>-7.4291248225633131E-3</v>
      </c>
      <c r="I87" s="94">
        <f>VLOOKUP(B87,Database!$A:$M,MATCH(Recap!$I$5,Database!$A$1:$M$1,),)</f>
        <v>193704</v>
      </c>
      <c r="J87" s="96">
        <f t="shared" si="23"/>
        <v>-4.3075531247751125E-3</v>
      </c>
      <c r="K87" s="94">
        <f>VLOOKUP(B87,Database!$A:$M,MATCH(Recap!$K$5,Database!$A$1:$M$1,),)</f>
        <v>95676</v>
      </c>
      <c r="L87" s="96">
        <f t="shared" si="24"/>
        <v>2.3458810692853247E-2</v>
      </c>
      <c r="M87" s="94">
        <f>VLOOKUP(B87,Database!$A:$M,MATCH(Recap!$M$5,Database!$A$1:$M$1,),)</f>
        <v>36444</v>
      </c>
      <c r="N87" s="96">
        <f t="shared" si="25"/>
        <v>-1.1285946825827455E-2</v>
      </c>
      <c r="O87" s="94">
        <f>VLOOKUP(B87,Database!$A:$M,MATCH(Recap!$O$5,Database!$A$1:$M$1,),)</f>
        <v>38633</v>
      </c>
      <c r="P87" s="96">
        <f t="shared" si="26"/>
        <v>-6.5572927381197287E-3</v>
      </c>
      <c r="Q87" s="94">
        <f>VLOOKUP(B87,Database!$A:$M,MATCH(Recap!$Q$5,Database!$A$1:$M$1,),)</f>
        <v>24239</v>
      </c>
      <c r="R87" s="96">
        <f t="shared" si="27"/>
        <v>-1.1419715322810881E-2</v>
      </c>
      <c r="S87" s="94">
        <f>VLOOKUP(B87,Database!$A:$M,MATCH(Recap!$S$5,Database!$A$1:$M$1,),)</f>
        <v>20241</v>
      </c>
      <c r="T87" s="96">
        <f t="shared" si="28"/>
        <v>-2.3965666891696404E-2</v>
      </c>
      <c r="U87" s="94">
        <f>VLOOKUP(B87,Database!$A:$M,MATCH(Recap!$U$5,Database!$A$1:$M$1,),)</f>
        <v>13701</v>
      </c>
      <c r="V87" s="96">
        <f t="shared" si="29"/>
        <v>-1.0829542993285684E-2</v>
      </c>
    </row>
    <row r="88" spans="2:22" x14ac:dyDescent="0.35">
      <c r="B88" s="93">
        <v>44835</v>
      </c>
      <c r="C88" s="94">
        <f>VLOOKUP(B88,Database!$A:$M,MATCH(Recap!$C$5,Database!$A$1:$M$1,),)</f>
        <v>276366</v>
      </c>
      <c r="D88" s="96">
        <f t="shared" si="20"/>
        <v>7.1683934708216867E-3</v>
      </c>
      <c r="E88" s="94">
        <f>VLOOKUP(B88,Database!$A:$M,MATCH(Recap!$E$5,Database!$A$1:$M$1,),)</f>
        <v>178914</v>
      </c>
      <c r="F88" s="96">
        <f t="shared" si="21"/>
        <v>1.068692893472021E-3</v>
      </c>
      <c r="G88" s="94">
        <f>VLOOKUP(B88,Database!$A:$M,MATCH(Recap!$G$5,Database!$A$1:$M$1,),)</f>
        <v>75055</v>
      </c>
      <c r="H88" s="96">
        <f t="shared" si="22"/>
        <v>3.1542789933038397E-3</v>
      </c>
      <c r="I88" s="94">
        <f>VLOOKUP(B88,Database!$A:$M,MATCH(Recap!$I$5,Database!$A$1:$M$1,),)</f>
        <v>195690</v>
      </c>
      <c r="J88" s="96">
        <f t="shared" si="23"/>
        <v>1.0252756783546028E-2</v>
      </c>
      <c r="K88" s="94">
        <f>VLOOKUP(B88,Database!$A:$M,MATCH(Recap!$K$5,Database!$A$1:$M$1,),)</f>
        <v>97452</v>
      </c>
      <c r="L88" s="96">
        <f t="shared" si="24"/>
        <v>1.8562648940173083E-2</v>
      </c>
      <c r="M88" s="94">
        <f>VLOOKUP(B88,Database!$A:$M,MATCH(Recap!$M$5,Database!$A$1:$M$1,),)</f>
        <v>36382</v>
      </c>
      <c r="N88" s="96">
        <f t="shared" si="25"/>
        <v>-1.7012402590275491E-3</v>
      </c>
      <c r="O88" s="94">
        <f>VLOOKUP(B88,Database!$A:$M,MATCH(Recap!$O$5,Database!$A$1:$M$1,),)</f>
        <v>39199</v>
      </c>
      <c r="P88" s="96">
        <f t="shared" si="26"/>
        <v>1.4650687236300572E-2</v>
      </c>
      <c r="Q88" s="94">
        <f>VLOOKUP(B88,Database!$A:$M,MATCH(Recap!$Q$5,Database!$A$1:$M$1,),)</f>
        <v>24188</v>
      </c>
      <c r="R88" s="96">
        <f t="shared" si="27"/>
        <v>-2.1040471966665289E-3</v>
      </c>
      <c r="S88" s="94">
        <f>VLOOKUP(B88,Database!$A:$M,MATCH(Recap!$S$5,Database!$A$1:$M$1,),)</f>
        <v>20125</v>
      </c>
      <c r="T88" s="96">
        <f t="shared" si="28"/>
        <v>-5.7309421471271179E-3</v>
      </c>
      <c r="U88" s="94">
        <f>VLOOKUP(B88,Database!$A:$M,MATCH(Recap!$U$5,Database!$A$1:$M$1,),)</f>
        <v>13678</v>
      </c>
      <c r="V88" s="96">
        <f t="shared" si="29"/>
        <v>-1.6787095832420992E-3</v>
      </c>
    </row>
    <row r="89" spans="2:22" x14ac:dyDescent="0.35">
      <c r="B89" s="93">
        <v>44866</v>
      </c>
      <c r="C89" s="94">
        <f>VLOOKUP(B89,Database!$A:$M,MATCH(Recap!$C$5,Database!$A$1:$M$1,),)</f>
        <v>270473</v>
      </c>
      <c r="D89" s="96">
        <f t="shared" si="20"/>
        <v>-2.132317289391604E-2</v>
      </c>
      <c r="E89" s="94">
        <f>VLOOKUP(B89,Database!$A:$M,MATCH(Recap!$E$5,Database!$A$1:$M$1,),)</f>
        <v>179148</v>
      </c>
      <c r="F89" s="96">
        <f t="shared" si="21"/>
        <v>1.3078909420168349E-3</v>
      </c>
      <c r="G89" s="94">
        <f>VLOOKUP(B89,Database!$A:$M,MATCH(Recap!$G$5,Database!$A$1:$M$1,),)</f>
        <v>75124</v>
      </c>
      <c r="H89" s="96">
        <f t="shared" si="22"/>
        <v>9.1932582772633401E-4</v>
      </c>
      <c r="I89" s="94">
        <f>VLOOKUP(B89,Database!$A:$M,MATCH(Recap!$I$5,Database!$A$1:$M$1,),)</f>
        <v>189826</v>
      </c>
      <c r="J89" s="96">
        <f t="shared" si="23"/>
        <v>-2.9965762174868415E-2</v>
      </c>
      <c r="K89" s="94">
        <f>VLOOKUP(B89,Database!$A:$M,MATCH(Recap!$K$5,Database!$A$1:$M$1,),)</f>
        <v>91325</v>
      </c>
      <c r="L89" s="96">
        <f t="shared" si="24"/>
        <v>-6.2871977999425357E-2</v>
      </c>
      <c r="M89" s="94">
        <f>VLOOKUP(B89,Database!$A:$M,MATCH(Recap!$M$5,Database!$A$1:$M$1,),)</f>
        <v>36426</v>
      </c>
      <c r="N89" s="96">
        <f t="shared" si="25"/>
        <v>1.2093892584244957E-3</v>
      </c>
      <c r="O89" s="94">
        <f>VLOOKUP(B89,Database!$A:$M,MATCH(Recap!$O$5,Database!$A$1:$M$1,),)</f>
        <v>39248</v>
      </c>
      <c r="P89" s="96">
        <f t="shared" si="26"/>
        <v>1.2500318885685859E-3</v>
      </c>
      <c r="Q89" s="94">
        <f>VLOOKUP(B89,Database!$A:$M,MATCH(Recap!$Q$5,Database!$A$1:$M$1,),)</f>
        <v>24338</v>
      </c>
      <c r="R89" s="96">
        <f t="shared" si="27"/>
        <v>6.2014221928228877E-3</v>
      </c>
      <c r="S89" s="94">
        <f>VLOOKUP(B89,Database!$A:$M,MATCH(Recap!$S$5,Database!$A$1:$M$1,),)</f>
        <v>20004</v>
      </c>
      <c r="T89" s="96">
        <f t="shared" si="28"/>
        <v>-6.0124223602484473E-3</v>
      </c>
      <c r="U89" s="94">
        <f>VLOOKUP(B89,Database!$A:$M,MATCH(Recap!$U$5,Database!$A$1:$M$1,),)</f>
        <v>13695</v>
      </c>
      <c r="V89" s="96">
        <f t="shared" si="29"/>
        <v>1.2428717648779062E-3</v>
      </c>
    </row>
  </sheetData>
  <mergeCells count="10">
    <mergeCell ref="C4:D4"/>
    <mergeCell ref="E4:F4"/>
    <mergeCell ref="G4:H4"/>
    <mergeCell ref="I4:J4"/>
    <mergeCell ref="K4:L4"/>
    <mergeCell ref="M4:N4"/>
    <mergeCell ref="O4:P4"/>
    <mergeCell ref="Q4:R4"/>
    <mergeCell ref="S4:T4"/>
    <mergeCell ref="U4:V4"/>
  </mergeCells>
  <conditionalFormatting sqref="D8:D89">
    <cfRule type="colorScale" priority="11">
      <colorScale>
        <cfvo type="min"/>
        <cfvo type="percentile" val="50"/>
        <cfvo type="max"/>
        <color rgb="FFF8696B"/>
        <color rgb="FFFFEB84"/>
        <color rgb="FF63BE7B"/>
      </colorScale>
    </cfRule>
  </conditionalFormatting>
  <conditionalFormatting sqref="F8:F89">
    <cfRule type="colorScale" priority="12">
      <colorScale>
        <cfvo type="min"/>
        <cfvo type="percentile" val="50"/>
        <cfvo type="max"/>
        <color rgb="FFF8696B"/>
        <color rgb="FFFFEB84"/>
        <color rgb="FF63BE7B"/>
      </colorScale>
    </cfRule>
  </conditionalFormatting>
  <conditionalFormatting sqref="H8:H89">
    <cfRule type="colorScale" priority="13">
      <colorScale>
        <cfvo type="min"/>
        <cfvo type="percentile" val="50"/>
        <cfvo type="max"/>
        <color rgb="FFF8696B"/>
        <color rgb="FFFFEB84"/>
        <color rgb="FF63BE7B"/>
      </colorScale>
    </cfRule>
  </conditionalFormatting>
  <conditionalFormatting sqref="J8:J89">
    <cfRule type="colorScale" priority="14">
      <colorScale>
        <cfvo type="min"/>
        <cfvo type="percentile" val="50"/>
        <cfvo type="max"/>
        <color rgb="FFF8696B"/>
        <color rgb="FFFFEB84"/>
        <color rgb="FF63BE7B"/>
      </colorScale>
    </cfRule>
  </conditionalFormatting>
  <conditionalFormatting sqref="L8:L89">
    <cfRule type="colorScale" priority="15">
      <colorScale>
        <cfvo type="min"/>
        <cfvo type="percentile" val="50"/>
        <cfvo type="max"/>
        <color rgb="FFF8696B"/>
        <color rgb="FFFFEB84"/>
        <color rgb="FF63BE7B"/>
      </colorScale>
    </cfRule>
  </conditionalFormatting>
  <conditionalFormatting sqref="N8:N89">
    <cfRule type="colorScale" priority="16">
      <colorScale>
        <cfvo type="min"/>
        <cfvo type="percentile" val="50"/>
        <cfvo type="max"/>
        <color rgb="FFF8696B"/>
        <color rgb="FFFFEB84"/>
        <color rgb="FF63BE7B"/>
      </colorScale>
    </cfRule>
  </conditionalFormatting>
  <conditionalFormatting sqref="P8:P89">
    <cfRule type="colorScale" priority="17">
      <colorScale>
        <cfvo type="min"/>
        <cfvo type="percentile" val="50"/>
        <cfvo type="max"/>
        <color rgb="FFF8696B"/>
        <color rgb="FFFFEB84"/>
        <color rgb="FF63BE7B"/>
      </colorScale>
    </cfRule>
  </conditionalFormatting>
  <conditionalFormatting sqref="R8:R89">
    <cfRule type="colorScale" priority="18">
      <colorScale>
        <cfvo type="min"/>
        <cfvo type="percentile" val="50"/>
        <cfvo type="max"/>
        <color rgb="FFF8696B"/>
        <color rgb="FFFFEB84"/>
        <color rgb="FF63BE7B"/>
      </colorScale>
    </cfRule>
  </conditionalFormatting>
  <conditionalFormatting sqref="T8:T89">
    <cfRule type="colorScale" priority="19">
      <colorScale>
        <cfvo type="min"/>
        <cfvo type="percentile" val="50"/>
        <cfvo type="max"/>
        <color rgb="FFF8696B"/>
        <color rgb="FFFFEB84"/>
        <color rgb="FF63BE7B"/>
      </colorScale>
    </cfRule>
  </conditionalFormatting>
  <conditionalFormatting sqref="V8:V89">
    <cfRule type="colorScale" priority="20">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375"/>
  <sheetViews>
    <sheetView zoomScale="130" zoomScaleNormal="130" workbookViewId="0">
      <pane ySplit="5" topLeftCell="A348" activePane="bottomLeft" state="frozen"/>
      <selection pane="bottomLeft" activeCell="AA361" sqref="AA361"/>
    </sheetView>
  </sheetViews>
  <sheetFormatPr defaultColWidth="8.81640625" defaultRowHeight="14.5" x14ac:dyDescent="0.35"/>
  <cols>
    <col min="1" max="1" width="10.81640625" style="68" customWidth="1"/>
    <col min="2" max="2" width="24.453125" style="69" customWidth="1"/>
    <col min="3" max="3" width="14.81640625" style="119" customWidth="1"/>
    <col min="4" max="240" width="9.1796875" style="117" customWidth="1"/>
    <col min="241" max="241" width="10.81640625" style="117" customWidth="1"/>
    <col min="242" max="242" width="18.1796875" style="117" customWidth="1"/>
    <col min="243" max="243" width="15" style="117" customWidth="1"/>
    <col min="244" max="247" width="13" style="117" customWidth="1"/>
    <col min="248" max="248" width="17.453125" style="117" customWidth="1"/>
    <col min="249" max="496" width="9.1796875" style="117" customWidth="1"/>
    <col min="497" max="497" width="10.81640625" style="117" customWidth="1"/>
    <col min="498" max="498" width="18.1796875" style="117" customWidth="1"/>
    <col min="499" max="499" width="15" style="117" customWidth="1"/>
    <col min="500" max="503" width="13" style="117" customWidth="1"/>
    <col min="504" max="504" width="17.453125" style="117" customWidth="1"/>
    <col min="505" max="752" width="9.1796875" style="117" customWidth="1"/>
    <col min="753" max="753" width="10.81640625" style="117" customWidth="1"/>
    <col min="754" max="754" width="18.1796875" style="117" customWidth="1"/>
    <col min="755" max="755" width="15" style="117" customWidth="1"/>
    <col min="756" max="759" width="13" style="117" customWidth="1"/>
    <col min="760" max="760" width="17.453125" style="117" customWidth="1"/>
    <col min="761" max="1008" width="9.1796875" style="117" customWidth="1"/>
    <col min="1009" max="1009" width="10.81640625" style="117" customWidth="1"/>
    <col min="1010" max="1010" width="18.1796875" style="117" customWidth="1"/>
    <col min="1011" max="1011" width="15" style="117" customWidth="1"/>
    <col min="1012" max="1015" width="13" style="117" customWidth="1"/>
    <col min="1016" max="1016" width="17.453125" style="117" customWidth="1"/>
    <col min="1017" max="1264" width="9.1796875" style="117" customWidth="1"/>
    <col min="1265" max="1265" width="10.81640625" style="117" customWidth="1"/>
    <col min="1266" max="1266" width="18.1796875" style="117" customWidth="1"/>
    <col min="1267" max="1267" width="15" style="117" customWidth="1"/>
    <col min="1268" max="1271" width="13" style="117" customWidth="1"/>
    <col min="1272" max="1272" width="17.453125" style="117" customWidth="1"/>
    <col min="1273" max="1520" width="9.1796875" style="117" customWidth="1"/>
    <col min="1521" max="1521" width="10.81640625" style="117" customWidth="1"/>
    <col min="1522" max="1522" width="18.1796875" style="117" customWidth="1"/>
    <col min="1523" max="1523" width="15" style="117" customWidth="1"/>
    <col min="1524" max="1527" width="13" style="117" customWidth="1"/>
    <col min="1528" max="1528" width="17.453125" style="117" customWidth="1"/>
    <col min="1529" max="1776" width="9.1796875" style="117" customWidth="1"/>
    <col min="1777" max="1777" width="10.81640625" style="117" customWidth="1"/>
    <col min="1778" max="1778" width="18.1796875" style="117" customWidth="1"/>
    <col min="1779" max="1779" width="15" style="117" customWidth="1"/>
    <col min="1780" max="1783" width="13" style="117" customWidth="1"/>
    <col min="1784" max="1784" width="17.453125" style="117" customWidth="1"/>
    <col min="1785" max="2032" width="9.1796875" style="117" customWidth="1"/>
    <col min="2033" max="2033" width="10.81640625" style="117" customWidth="1"/>
    <col min="2034" max="2034" width="18.1796875" style="117" customWidth="1"/>
    <col min="2035" max="2035" width="15" style="117" customWidth="1"/>
    <col min="2036" max="2039" width="13" style="117" customWidth="1"/>
    <col min="2040" max="2040" width="17.453125" style="117" customWidth="1"/>
    <col min="2041" max="2288" width="9.1796875" style="117" customWidth="1"/>
    <col min="2289" max="2289" width="10.81640625" style="117" customWidth="1"/>
    <col min="2290" max="2290" width="18.1796875" style="117" customWidth="1"/>
    <col min="2291" max="2291" width="15" style="117" customWidth="1"/>
    <col min="2292" max="2295" width="13" style="117" customWidth="1"/>
    <col min="2296" max="2296" width="17.453125" style="117" customWidth="1"/>
    <col min="2297" max="2544" width="9.1796875" style="117" customWidth="1"/>
    <col min="2545" max="2545" width="10.81640625" style="117" customWidth="1"/>
    <col min="2546" max="2546" width="18.1796875" style="117" customWidth="1"/>
    <col min="2547" max="2547" width="15" style="117" customWidth="1"/>
    <col min="2548" max="2551" width="13" style="117" customWidth="1"/>
    <col min="2552" max="2552" width="17.453125" style="117" customWidth="1"/>
    <col min="2553" max="2800" width="9.1796875" style="117" customWidth="1"/>
    <col min="2801" max="2801" width="10.81640625" style="117" customWidth="1"/>
    <col min="2802" max="2802" width="18.1796875" style="117" customWidth="1"/>
    <col min="2803" max="2803" width="15" style="117" customWidth="1"/>
    <col min="2804" max="2807" width="13" style="117" customWidth="1"/>
    <col min="2808" max="2808" width="17.453125" style="117" customWidth="1"/>
    <col min="2809" max="3056" width="9.1796875" style="117" customWidth="1"/>
    <col min="3057" max="3057" width="10.81640625" style="117" customWidth="1"/>
    <col min="3058" max="3058" width="18.1796875" style="117" customWidth="1"/>
    <col min="3059" max="3059" width="15" style="117" customWidth="1"/>
    <col min="3060" max="3063" width="13" style="117" customWidth="1"/>
    <col min="3064" max="3064" width="17.453125" style="117" customWidth="1"/>
    <col min="3065" max="3312" width="9.1796875" style="117" customWidth="1"/>
    <col min="3313" max="3313" width="10.81640625" style="117" customWidth="1"/>
    <col min="3314" max="3314" width="18.1796875" style="117" customWidth="1"/>
    <col min="3315" max="3315" width="15" style="117" customWidth="1"/>
    <col min="3316" max="3319" width="13" style="117" customWidth="1"/>
    <col min="3320" max="3320" width="17.453125" style="117" customWidth="1"/>
    <col min="3321" max="3568" width="9.1796875" style="117" customWidth="1"/>
    <col min="3569" max="3569" width="10.81640625" style="117" customWidth="1"/>
    <col min="3570" max="3570" width="18.1796875" style="117" customWidth="1"/>
    <col min="3571" max="3571" width="15" style="117" customWidth="1"/>
    <col min="3572" max="3575" width="13" style="117" customWidth="1"/>
    <col min="3576" max="3576" width="17.453125" style="117" customWidth="1"/>
    <col min="3577" max="3824" width="9.1796875" style="117" customWidth="1"/>
    <col min="3825" max="3825" width="10.81640625" style="117" customWidth="1"/>
    <col min="3826" max="3826" width="18.1796875" style="117" customWidth="1"/>
    <col min="3827" max="3827" width="15" style="117" customWidth="1"/>
    <col min="3828" max="3831" width="13" style="117" customWidth="1"/>
    <col min="3832" max="3832" width="17.453125" style="117" customWidth="1"/>
    <col min="3833" max="4080" width="9.1796875" style="117" customWidth="1"/>
    <col min="4081" max="4081" width="10.81640625" style="117" customWidth="1"/>
    <col min="4082" max="4082" width="18.1796875" style="117" customWidth="1"/>
    <col min="4083" max="4083" width="15" style="117" customWidth="1"/>
    <col min="4084" max="4087" width="13" style="117" customWidth="1"/>
    <col min="4088" max="4088" width="17.453125" style="117" customWidth="1"/>
    <col min="4089" max="4336" width="9.1796875" style="117" customWidth="1"/>
    <col min="4337" max="4337" width="10.81640625" style="117" customWidth="1"/>
    <col min="4338" max="4338" width="18.1796875" style="117" customWidth="1"/>
    <col min="4339" max="4339" width="15" style="117" customWidth="1"/>
    <col min="4340" max="4343" width="13" style="117" customWidth="1"/>
    <col min="4344" max="4344" width="17.453125" style="117" customWidth="1"/>
    <col min="4345" max="4592" width="9.1796875" style="117" customWidth="1"/>
    <col min="4593" max="4593" width="10.81640625" style="117" customWidth="1"/>
    <col min="4594" max="4594" width="18.1796875" style="117" customWidth="1"/>
    <col min="4595" max="4595" width="15" style="117" customWidth="1"/>
    <col min="4596" max="4599" width="13" style="117" customWidth="1"/>
    <col min="4600" max="4600" width="17.453125" style="117" customWidth="1"/>
    <col min="4601" max="4848" width="9.1796875" style="117" customWidth="1"/>
    <col min="4849" max="4849" width="10.81640625" style="117" customWidth="1"/>
    <col min="4850" max="4850" width="18.1796875" style="117" customWidth="1"/>
    <col min="4851" max="4851" width="15" style="117" customWidth="1"/>
    <col min="4852" max="4855" width="13" style="117" customWidth="1"/>
    <col min="4856" max="4856" width="17.453125" style="117" customWidth="1"/>
    <col min="4857" max="5104" width="9.1796875" style="117" customWidth="1"/>
    <col min="5105" max="5105" width="10.81640625" style="117" customWidth="1"/>
    <col min="5106" max="5106" width="18.1796875" style="117" customWidth="1"/>
    <col min="5107" max="5107" width="15" style="117" customWidth="1"/>
    <col min="5108" max="5111" width="13" style="117" customWidth="1"/>
    <col min="5112" max="5112" width="17.453125" style="117" customWidth="1"/>
    <col min="5113" max="5360" width="9.1796875" style="117" customWidth="1"/>
    <col min="5361" max="5361" width="10.81640625" style="117" customWidth="1"/>
    <col min="5362" max="5362" width="18.1796875" style="117" customWidth="1"/>
    <col min="5363" max="5363" width="15" style="117" customWidth="1"/>
    <col min="5364" max="5367" width="13" style="117" customWidth="1"/>
    <col min="5368" max="5368" width="17.453125" style="117" customWidth="1"/>
    <col min="5369" max="5616" width="9.1796875" style="117" customWidth="1"/>
    <col min="5617" max="5617" width="10.81640625" style="117" customWidth="1"/>
    <col min="5618" max="5618" width="18.1796875" style="117" customWidth="1"/>
    <col min="5619" max="5619" width="15" style="117" customWidth="1"/>
    <col min="5620" max="5623" width="13" style="117" customWidth="1"/>
    <col min="5624" max="5624" width="17.453125" style="117" customWidth="1"/>
    <col min="5625" max="5872" width="9.1796875" style="117" customWidth="1"/>
    <col min="5873" max="5873" width="10.81640625" style="117" customWidth="1"/>
    <col min="5874" max="5874" width="18.1796875" style="117" customWidth="1"/>
    <col min="5875" max="5875" width="15" style="117" customWidth="1"/>
    <col min="5876" max="5879" width="13" style="117" customWidth="1"/>
    <col min="5880" max="5880" width="17.453125" style="117" customWidth="1"/>
    <col min="5881" max="6128" width="9.1796875" style="117" customWidth="1"/>
    <col min="6129" max="6129" width="10.81640625" style="117" customWidth="1"/>
    <col min="6130" max="6130" width="18.1796875" style="117" customWidth="1"/>
    <col min="6131" max="6131" width="15" style="117" customWidth="1"/>
    <col min="6132" max="6135" width="13" style="117" customWidth="1"/>
    <col min="6136" max="6136" width="17.453125" style="117" customWidth="1"/>
    <col min="6137" max="6384" width="9.1796875" style="117" customWidth="1"/>
    <col min="6385" max="6385" width="10.81640625" style="117" customWidth="1"/>
    <col min="6386" max="6386" width="18.1796875" style="117" customWidth="1"/>
    <col min="6387" max="6387" width="15" style="117" customWidth="1"/>
    <col min="6388" max="6391" width="13" style="117" customWidth="1"/>
    <col min="6392" max="6392" width="17.453125" style="117" customWidth="1"/>
    <col min="6393" max="6640" width="9.1796875" style="117" customWidth="1"/>
    <col min="6641" max="6641" width="10.81640625" style="117" customWidth="1"/>
    <col min="6642" max="6642" width="18.1796875" style="117" customWidth="1"/>
    <col min="6643" max="6643" width="15" style="117" customWidth="1"/>
    <col min="6644" max="6647" width="13" style="117" customWidth="1"/>
    <col min="6648" max="6648" width="17.453125" style="117" customWidth="1"/>
    <col min="6649" max="6896" width="9.1796875" style="117" customWidth="1"/>
    <col min="6897" max="6897" width="10.81640625" style="117" customWidth="1"/>
    <col min="6898" max="6898" width="18.1796875" style="117" customWidth="1"/>
    <col min="6899" max="6899" width="15" style="117" customWidth="1"/>
    <col min="6900" max="6903" width="13" style="117" customWidth="1"/>
    <col min="6904" max="6904" width="17.453125" style="117" customWidth="1"/>
    <col min="6905" max="7152" width="9.1796875" style="117" customWidth="1"/>
    <col min="7153" max="7153" width="10.81640625" style="117" customWidth="1"/>
    <col min="7154" max="7154" width="18.1796875" style="117" customWidth="1"/>
    <col min="7155" max="7155" width="15" style="117" customWidth="1"/>
    <col min="7156" max="7159" width="13" style="117" customWidth="1"/>
    <col min="7160" max="7160" width="17.453125" style="117" customWidth="1"/>
    <col min="7161" max="7408" width="9.1796875" style="117" customWidth="1"/>
    <col min="7409" max="7409" width="10.81640625" style="117" customWidth="1"/>
    <col min="7410" max="7410" width="18.1796875" style="117" customWidth="1"/>
    <col min="7411" max="7411" width="15" style="117" customWidth="1"/>
    <col min="7412" max="7415" width="13" style="117" customWidth="1"/>
    <col min="7416" max="7416" width="17.453125" style="117" customWidth="1"/>
    <col min="7417" max="7664" width="9.1796875" style="117" customWidth="1"/>
    <col min="7665" max="7665" width="10.81640625" style="117" customWidth="1"/>
    <col min="7666" max="7666" width="18.1796875" style="117" customWidth="1"/>
    <col min="7667" max="7667" width="15" style="117" customWidth="1"/>
    <col min="7668" max="7671" width="13" style="117" customWidth="1"/>
    <col min="7672" max="7672" width="17.453125" style="117" customWidth="1"/>
    <col min="7673" max="7920" width="9.1796875" style="117" customWidth="1"/>
    <col min="7921" max="7921" width="10.81640625" style="117" customWidth="1"/>
    <col min="7922" max="7922" width="18.1796875" style="117" customWidth="1"/>
    <col min="7923" max="7923" width="15" style="117" customWidth="1"/>
    <col min="7924" max="7927" width="13" style="117" customWidth="1"/>
    <col min="7928" max="7928" width="17.453125" style="117" customWidth="1"/>
    <col min="7929" max="8176" width="9.1796875" style="117" customWidth="1"/>
    <col min="8177" max="8177" width="10.81640625" style="117" customWidth="1"/>
    <col min="8178" max="8178" width="18.1796875" style="117" customWidth="1"/>
    <col min="8179" max="8179" width="15" style="117" customWidth="1"/>
    <col min="8180" max="8183" width="13" style="117" customWidth="1"/>
    <col min="8184" max="8184" width="17.453125" style="117" customWidth="1"/>
    <col min="8185" max="8432" width="9.1796875" style="117" customWidth="1"/>
    <col min="8433" max="8433" width="10.81640625" style="117" customWidth="1"/>
    <col min="8434" max="8434" width="18.1796875" style="117" customWidth="1"/>
    <col min="8435" max="8435" width="15" style="117" customWidth="1"/>
    <col min="8436" max="8439" width="13" style="117" customWidth="1"/>
    <col min="8440" max="8440" width="17.453125" style="117" customWidth="1"/>
    <col min="8441" max="8688" width="9.1796875" style="117" customWidth="1"/>
    <col min="8689" max="8689" width="10.81640625" style="117" customWidth="1"/>
    <col min="8690" max="8690" width="18.1796875" style="117" customWidth="1"/>
    <col min="8691" max="8691" width="15" style="117" customWidth="1"/>
    <col min="8692" max="8695" width="13" style="117" customWidth="1"/>
    <col min="8696" max="8696" width="17.453125" style="117" customWidth="1"/>
    <col min="8697" max="8944" width="9.1796875" style="117" customWidth="1"/>
    <col min="8945" max="8945" width="10.81640625" style="117" customWidth="1"/>
    <col min="8946" max="8946" width="18.1796875" style="117" customWidth="1"/>
    <col min="8947" max="8947" width="15" style="117" customWidth="1"/>
    <col min="8948" max="8951" width="13" style="117" customWidth="1"/>
    <col min="8952" max="8952" width="17.453125" style="117" customWidth="1"/>
    <col min="8953" max="9200" width="9.1796875" style="117" customWidth="1"/>
    <col min="9201" max="9201" width="10.81640625" style="117" customWidth="1"/>
    <col min="9202" max="9202" width="18.1796875" style="117" customWidth="1"/>
    <col min="9203" max="9203" width="15" style="117" customWidth="1"/>
    <col min="9204" max="9207" width="13" style="117" customWidth="1"/>
    <col min="9208" max="9208" width="17.453125" style="117" customWidth="1"/>
    <col min="9209" max="9456" width="9.1796875" style="117" customWidth="1"/>
    <col min="9457" max="9457" width="10.81640625" style="117" customWidth="1"/>
    <col min="9458" max="9458" width="18.1796875" style="117" customWidth="1"/>
    <col min="9459" max="9459" width="15" style="117" customWidth="1"/>
    <col min="9460" max="9463" width="13" style="117" customWidth="1"/>
    <col min="9464" max="9464" width="17.453125" style="117" customWidth="1"/>
    <col min="9465" max="9712" width="9.1796875" style="117" customWidth="1"/>
    <col min="9713" max="9713" width="10.81640625" style="117" customWidth="1"/>
    <col min="9714" max="9714" width="18.1796875" style="117" customWidth="1"/>
    <col min="9715" max="9715" width="15" style="117" customWidth="1"/>
    <col min="9716" max="9719" width="13" style="117" customWidth="1"/>
    <col min="9720" max="9720" width="17.453125" style="117" customWidth="1"/>
    <col min="9721" max="9968" width="9.1796875" style="117" customWidth="1"/>
    <col min="9969" max="9969" width="10.81640625" style="117" customWidth="1"/>
    <col min="9970" max="9970" width="18.1796875" style="117" customWidth="1"/>
    <col min="9971" max="9971" width="15" style="117" customWidth="1"/>
    <col min="9972" max="9975" width="13" style="117" customWidth="1"/>
    <col min="9976" max="9976" width="17.453125" style="117" customWidth="1"/>
    <col min="9977" max="10224" width="9.1796875" style="117" customWidth="1"/>
    <col min="10225" max="10225" width="10.81640625" style="117" customWidth="1"/>
    <col min="10226" max="10226" width="18.1796875" style="117" customWidth="1"/>
    <col min="10227" max="10227" width="15" style="117" customWidth="1"/>
    <col min="10228" max="10231" width="13" style="117" customWidth="1"/>
    <col min="10232" max="10232" width="17.453125" style="117" customWidth="1"/>
    <col min="10233" max="10480" width="9.1796875" style="117" customWidth="1"/>
    <col min="10481" max="10481" width="10.81640625" style="117" customWidth="1"/>
    <col min="10482" max="10482" width="18.1796875" style="117" customWidth="1"/>
    <col min="10483" max="10483" width="15" style="117" customWidth="1"/>
    <col min="10484" max="10487" width="13" style="117" customWidth="1"/>
    <col min="10488" max="10488" width="17.453125" style="117" customWidth="1"/>
    <col min="10489" max="10736" width="9.1796875" style="117" customWidth="1"/>
    <col min="10737" max="10737" width="10.81640625" style="117" customWidth="1"/>
    <col min="10738" max="10738" width="18.1796875" style="117" customWidth="1"/>
    <col min="10739" max="10739" width="15" style="117" customWidth="1"/>
    <col min="10740" max="10743" width="13" style="117" customWidth="1"/>
    <col min="10744" max="10744" width="17.453125" style="117" customWidth="1"/>
    <col min="10745" max="10992" width="9.1796875" style="117" customWidth="1"/>
    <col min="10993" max="10993" width="10.81640625" style="117" customWidth="1"/>
    <col min="10994" max="10994" width="18.1796875" style="117" customWidth="1"/>
    <col min="10995" max="10995" width="15" style="117" customWidth="1"/>
    <col min="10996" max="10999" width="13" style="117" customWidth="1"/>
    <col min="11000" max="11000" width="17.453125" style="117" customWidth="1"/>
    <col min="11001" max="11248" width="9.1796875" style="117" customWidth="1"/>
    <col min="11249" max="11249" width="10.81640625" style="117" customWidth="1"/>
    <col min="11250" max="11250" width="18.1796875" style="117" customWidth="1"/>
    <col min="11251" max="11251" width="15" style="117" customWidth="1"/>
    <col min="11252" max="11255" width="13" style="117" customWidth="1"/>
    <col min="11256" max="11256" width="17.453125" style="117" customWidth="1"/>
    <col min="11257" max="11504" width="9.1796875" style="117" customWidth="1"/>
    <col min="11505" max="11505" width="10.81640625" style="117" customWidth="1"/>
    <col min="11506" max="11506" width="18.1796875" style="117" customWidth="1"/>
    <col min="11507" max="11507" width="15" style="117" customWidth="1"/>
    <col min="11508" max="11511" width="13" style="117" customWidth="1"/>
    <col min="11512" max="11512" width="17.453125" style="117" customWidth="1"/>
    <col min="11513" max="11760" width="9.1796875" style="117" customWidth="1"/>
    <col min="11761" max="11761" width="10.81640625" style="117" customWidth="1"/>
    <col min="11762" max="11762" width="18.1796875" style="117" customWidth="1"/>
    <col min="11763" max="11763" width="15" style="117" customWidth="1"/>
    <col min="11764" max="11767" width="13" style="117" customWidth="1"/>
    <col min="11768" max="11768" width="17.453125" style="117" customWidth="1"/>
    <col min="11769" max="12016" width="9.1796875" style="117" customWidth="1"/>
    <col min="12017" max="12017" width="10.81640625" style="117" customWidth="1"/>
    <col min="12018" max="12018" width="18.1796875" style="117" customWidth="1"/>
    <col min="12019" max="12019" width="15" style="117" customWidth="1"/>
    <col min="12020" max="12023" width="13" style="117" customWidth="1"/>
    <col min="12024" max="12024" width="17.453125" style="117" customWidth="1"/>
    <col min="12025" max="12272" width="9.1796875" style="117" customWidth="1"/>
    <col min="12273" max="12273" width="10.81640625" style="117" customWidth="1"/>
    <col min="12274" max="12274" width="18.1796875" style="117" customWidth="1"/>
    <col min="12275" max="12275" width="15" style="117" customWidth="1"/>
    <col min="12276" max="12279" width="13" style="117" customWidth="1"/>
    <col min="12280" max="12280" width="17.453125" style="117" customWidth="1"/>
    <col min="12281" max="12528" width="9.1796875" style="117" customWidth="1"/>
    <col min="12529" max="12529" width="10.81640625" style="117" customWidth="1"/>
    <col min="12530" max="12530" width="18.1796875" style="117" customWidth="1"/>
    <col min="12531" max="12531" width="15" style="117" customWidth="1"/>
    <col min="12532" max="12535" width="13" style="117" customWidth="1"/>
    <col min="12536" max="12536" width="17.453125" style="117" customWidth="1"/>
    <col min="12537" max="12784" width="9.1796875" style="117" customWidth="1"/>
    <col min="12785" max="12785" width="10.81640625" style="117" customWidth="1"/>
    <col min="12786" max="12786" width="18.1796875" style="117" customWidth="1"/>
    <col min="12787" max="12787" width="15" style="117" customWidth="1"/>
    <col min="12788" max="12791" width="13" style="117" customWidth="1"/>
    <col min="12792" max="12792" width="17.453125" style="117" customWidth="1"/>
    <col min="12793" max="13040" width="9.1796875" style="117" customWidth="1"/>
    <col min="13041" max="13041" width="10.81640625" style="117" customWidth="1"/>
    <col min="13042" max="13042" width="18.1796875" style="117" customWidth="1"/>
    <col min="13043" max="13043" width="15" style="117" customWidth="1"/>
    <col min="13044" max="13047" width="13" style="117" customWidth="1"/>
    <col min="13048" max="13048" width="17.453125" style="117" customWidth="1"/>
    <col min="13049" max="13296" width="9.1796875" style="117" customWidth="1"/>
    <col min="13297" max="13297" width="10.81640625" style="117" customWidth="1"/>
    <col min="13298" max="13298" width="18.1796875" style="117" customWidth="1"/>
    <col min="13299" max="13299" width="15" style="117" customWidth="1"/>
    <col min="13300" max="13303" width="13" style="117" customWidth="1"/>
    <col min="13304" max="13304" width="17.453125" style="117" customWidth="1"/>
    <col min="13305" max="13552" width="9.1796875" style="117" customWidth="1"/>
    <col min="13553" max="13553" width="10.81640625" style="117" customWidth="1"/>
    <col min="13554" max="13554" width="18.1796875" style="117" customWidth="1"/>
    <col min="13555" max="13555" width="15" style="117" customWidth="1"/>
    <col min="13556" max="13559" width="13" style="117" customWidth="1"/>
    <col min="13560" max="13560" width="17.453125" style="117" customWidth="1"/>
    <col min="13561" max="13808" width="9.1796875" style="117" customWidth="1"/>
    <col min="13809" max="13809" width="10.81640625" style="117" customWidth="1"/>
    <col min="13810" max="13810" width="18.1796875" style="117" customWidth="1"/>
    <col min="13811" max="13811" width="15" style="117" customWidth="1"/>
    <col min="13812" max="13815" width="13" style="117" customWidth="1"/>
    <col min="13816" max="13816" width="17.453125" style="117" customWidth="1"/>
    <col min="13817" max="14064" width="9.1796875" style="117" customWidth="1"/>
    <col min="14065" max="14065" width="10.81640625" style="117" customWidth="1"/>
    <col min="14066" max="14066" width="18.1796875" style="117" customWidth="1"/>
    <col min="14067" max="14067" width="15" style="117" customWidth="1"/>
    <col min="14068" max="14071" width="13" style="117" customWidth="1"/>
    <col min="14072" max="14072" width="17.453125" style="117" customWidth="1"/>
    <col min="14073" max="14320" width="9.1796875" style="117" customWidth="1"/>
    <col min="14321" max="14321" width="10.81640625" style="117" customWidth="1"/>
    <col min="14322" max="14322" width="18.1796875" style="117" customWidth="1"/>
    <col min="14323" max="14323" width="15" style="117" customWidth="1"/>
    <col min="14324" max="14327" width="13" style="117" customWidth="1"/>
    <col min="14328" max="14328" width="17.453125" style="117" customWidth="1"/>
    <col min="14329" max="14576" width="9.1796875" style="117" customWidth="1"/>
    <col min="14577" max="14577" width="10.81640625" style="117" customWidth="1"/>
    <col min="14578" max="14578" width="18.1796875" style="117" customWidth="1"/>
    <col min="14579" max="14579" width="15" style="117" customWidth="1"/>
    <col min="14580" max="14583" width="13" style="117" customWidth="1"/>
    <col min="14584" max="14584" width="17.453125" style="117" customWidth="1"/>
    <col min="14585" max="14832" width="9.1796875" style="117" customWidth="1"/>
    <col min="14833" max="14833" width="10.81640625" style="117" customWidth="1"/>
    <col min="14834" max="14834" width="18.1796875" style="117" customWidth="1"/>
    <col min="14835" max="14835" width="15" style="117" customWidth="1"/>
    <col min="14836" max="14839" width="13" style="117" customWidth="1"/>
    <col min="14840" max="14840" width="17.453125" style="117" customWidth="1"/>
    <col min="14841" max="15088" width="9.1796875" style="117" customWidth="1"/>
    <col min="15089" max="15089" width="10.81640625" style="117" customWidth="1"/>
    <col min="15090" max="15090" width="18.1796875" style="117" customWidth="1"/>
    <col min="15091" max="15091" width="15" style="117" customWidth="1"/>
    <col min="15092" max="15095" width="13" style="117" customWidth="1"/>
    <col min="15096" max="15096" width="17.453125" style="117" customWidth="1"/>
    <col min="15097" max="15344" width="9.1796875" style="117" customWidth="1"/>
    <col min="15345" max="15345" width="10.81640625" style="117" customWidth="1"/>
    <col min="15346" max="15346" width="18.1796875" style="117" customWidth="1"/>
    <col min="15347" max="15347" width="15" style="117" customWidth="1"/>
    <col min="15348" max="15351" width="13" style="117" customWidth="1"/>
    <col min="15352" max="15352" width="17.453125" style="117" customWidth="1"/>
    <col min="15353" max="15600" width="9.1796875" style="117" customWidth="1"/>
    <col min="15601" max="15601" width="10.81640625" style="117" customWidth="1"/>
    <col min="15602" max="15602" width="18.1796875" style="117" customWidth="1"/>
    <col min="15603" max="15603" width="15" style="117" customWidth="1"/>
    <col min="15604" max="15607" width="13" style="117" customWidth="1"/>
    <col min="15608" max="15608" width="17.453125" style="117" customWidth="1"/>
    <col min="15609" max="15856" width="9.1796875" style="117" customWidth="1"/>
    <col min="15857" max="15857" width="10.81640625" style="117" customWidth="1"/>
    <col min="15858" max="15858" width="18.1796875" style="117" customWidth="1"/>
    <col min="15859" max="15859" width="15" style="117" customWidth="1"/>
    <col min="15860" max="15863" width="13" style="117" customWidth="1"/>
    <col min="15864" max="15864" width="17.453125" style="117" customWidth="1"/>
    <col min="15865" max="16112" width="9.1796875" style="117" customWidth="1"/>
    <col min="16113" max="16113" width="10.81640625" style="117" customWidth="1"/>
    <col min="16114" max="16114" width="18.1796875" style="117" customWidth="1"/>
    <col min="16115" max="16115" width="15" style="117" customWidth="1"/>
    <col min="16116" max="16119" width="13" style="117" customWidth="1"/>
    <col min="16120" max="16120" width="17.453125" style="117" customWidth="1"/>
    <col min="16121" max="16384" width="9.1796875" style="117" customWidth="1"/>
  </cols>
  <sheetData>
    <row r="1" spans="1:3" x14ac:dyDescent="0.35">
      <c r="A1" s="1" t="s">
        <v>14</v>
      </c>
      <c r="C1" s="70"/>
    </row>
    <row r="2" spans="1:3" x14ac:dyDescent="0.35">
      <c r="A2" s="71" t="s">
        <v>108</v>
      </c>
      <c r="B2" s="68"/>
      <c r="C2" s="69"/>
    </row>
    <row r="3" spans="1:3" x14ac:dyDescent="0.35">
      <c r="B3" s="68"/>
      <c r="C3" s="69"/>
    </row>
    <row r="4" spans="1:3" ht="16" customHeight="1" thickBot="1" x14ac:dyDescent="0.4"/>
    <row r="5" spans="1:3" ht="68.25" customHeight="1" x14ac:dyDescent="0.35">
      <c r="A5" s="72" t="s">
        <v>109</v>
      </c>
      <c r="B5" s="73" t="s">
        <v>108</v>
      </c>
      <c r="C5" s="111" t="s">
        <v>110</v>
      </c>
    </row>
    <row r="6" spans="1:3" x14ac:dyDescent="0.35">
      <c r="A6" s="74">
        <v>33635</v>
      </c>
      <c r="B6" s="75">
        <f>VLOOKUP(A6,Database!A:M,MATCH($A$1,Database!$A$1:$M$1,),)</f>
        <v>114535</v>
      </c>
      <c r="C6" s="112"/>
    </row>
    <row r="7" spans="1:3" x14ac:dyDescent="0.35">
      <c r="A7" s="74">
        <v>33664</v>
      </c>
      <c r="B7" s="75">
        <f>VLOOKUP(A7,Database!A:M,MATCH($A$1,Database!$A$1:$M$1,),)</f>
        <v>120025</v>
      </c>
      <c r="C7" s="113">
        <f>(Table53514[[#This Row],[Manufacturers'' New Orders: Durable Goods]]-B6)/B6</f>
        <v>4.7932946260968265E-2</v>
      </c>
    </row>
    <row r="8" spans="1:3" x14ac:dyDescent="0.35">
      <c r="A8" s="74">
        <v>33695</v>
      </c>
      <c r="B8" s="75">
        <f>VLOOKUP(A8,Database!A:M,MATCH($A$1,Database!$A$1:$M$1,),)</f>
        <v>124470</v>
      </c>
      <c r="C8" s="113">
        <f>(Table53514[[#This Row],[Manufacturers'' New Orders: Durable Goods]]-B7)/B7</f>
        <v>3.7033951260154137E-2</v>
      </c>
    </row>
    <row r="9" spans="1:3" x14ac:dyDescent="0.35">
      <c r="A9" s="74">
        <v>33725</v>
      </c>
      <c r="B9" s="75">
        <f>VLOOKUP(A9,Database!A:M,MATCH($A$1,Database!$A$1:$M$1,),)</f>
        <v>125822</v>
      </c>
      <c r="C9" s="113">
        <f>(Table53514[[#This Row],[Manufacturers'' New Orders: Durable Goods]]-B8)/B8</f>
        <v>1.0862055113682012E-2</v>
      </c>
    </row>
    <row r="10" spans="1:3" x14ac:dyDescent="0.35">
      <c r="A10" s="74">
        <v>33756</v>
      </c>
      <c r="B10" s="75">
        <f>VLOOKUP(A10,Database!A:M,MATCH($A$1,Database!$A$1:$M$1,),)</f>
        <v>122834</v>
      </c>
      <c r="C10" s="113">
        <f>(Table53514[[#This Row],[Manufacturers'' New Orders: Durable Goods]]-B9)/B9</f>
        <v>-2.3747834242024448E-2</v>
      </c>
    </row>
    <row r="11" spans="1:3" x14ac:dyDescent="0.35">
      <c r="A11" s="74">
        <v>33786</v>
      </c>
      <c r="B11" s="75">
        <f>VLOOKUP(A11,Database!A:M,MATCH($A$1,Database!$A$1:$M$1,),)</f>
        <v>122590</v>
      </c>
      <c r="C11" s="113">
        <f>(Table53514[[#This Row],[Manufacturers'' New Orders: Durable Goods]]-B10)/B10</f>
        <v>-1.9864206978523861E-3</v>
      </c>
    </row>
    <row r="12" spans="1:3" x14ac:dyDescent="0.35">
      <c r="A12" s="74">
        <v>33817</v>
      </c>
      <c r="B12" s="75">
        <f>VLOOKUP(A12,Database!A:M,MATCH($A$1,Database!$A$1:$M$1,),)</f>
        <v>120411</v>
      </c>
      <c r="C12" s="113">
        <f>(Table53514[[#This Row],[Manufacturers'' New Orders: Durable Goods]]-B11)/B11</f>
        <v>-1.7774696141610244E-2</v>
      </c>
    </row>
    <row r="13" spans="1:3" x14ac:dyDescent="0.35">
      <c r="A13" s="74">
        <v>33848</v>
      </c>
      <c r="B13" s="75">
        <f>VLOOKUP(A13,Database!A:M,MATCH($A$1,Database!$A$1:$M$1,),)</f>
        <v>120711</v>
      </c>
      <c r="C13" s="113">
        <f>(Table53514[[#This Row],[Manufacturers'' New Orders: Durable Goods]]-B12)/B12</f>
        <v>2.491466726461868E-3</v>
      </c>
    </row>
    <row r="14" spans="1:3" x14ac:dyDescent="0.35">
      <c r="A14" s="74">
        <v>33878</v>
      </c>
      <c r="B14" s="75">
        <f>VLOOKUP(A14,Database!A:M,MATCH($A$1,Database!$A$1:$M$1,),)</f>
        <v>127392</v>
      </c>
      <c r="C14" s="113">
        <f>(Table53514[[#This Row],[Manufacturers'' New Orders: Durable Goods]]-B13)/B13</f>
        <v>5.5347068618435767E-2</v>
      </c>
    </row>
    <row r="15" spans="1:3" x14ac:dyDescent="0.35">
      <c r="A15" s="74">
        <v>33909</v>
      </c>
      <c r="B15" s="75">
        <f>VLOOKUP(A15,Database!A:M,MATCH($A$1,Database!$A$1:$M$1,),)</f>
        <v>122374</v>
      </c>
      <c r="C15" s="113">
        <f>(Table53514[[#This Row],[Manufacturers'' New Orders: Durable Goods]]-B14)/B14</f>
        <v>-3.9390228585782464E-2</v>
      </c>
    </row>
    <row r="16" spans="1:3" x14ac:dyDescent="0.35">
      <c r="A16" s="74">
        <v>33939</v>
      </c>
      <c r="B16" s="75">
        <f>VLOOKUP(A16,Database!A:M,MATCH($A$1,Database!$A$1:$M$1,),)</f>
        <v>126080</v>
      </c>
      <c r="C16" s="113">
        <f>(Table53514[[#This Row],[Manufacturers'' New Orders: Durable Goods]]-B15)/B15</f>
        <v>3.0284210698350956E-2</v>
      </c>
    </row>
    <row r="17" spans="1:3" x14ac:dyDescent="0.35">
      <c r="A17" s="74">
        <v>33970</v>
      </c>
      <c r="B17" s="75">
        <f>VLOOKUP(A17,Database!A:M,MATCH($A$1,Database!$A$1:$M$1,),)</f>
        <v>121637</v>
      </c>
      <c r="C17" s="113">
        <f>(Table53514[[#This Row],[Manufacturers'' New Orders: Durable Goods]]-B16)/B16</f>
        <v>-3.523953045685279E-2</v>
      </c>
    </row>
    <row r="18" spans="1:3" x14ac:dyDescent="0.35">
      <c r="A18" s="74">
        <v>34001</v>
      </c>
      <c r="B18" s="75">
        <f>VLOOKUP(A18,Database!A:M,MATCH($A$1,Database!$A$1:$M$1,),)</f>
        <v>128854</v>
      </c>
      <c r="C18" s="113">
        <f>(Table53514[[#This Row],[Manufacturers'' New Orders: Durable Goods]]-B17)/B17</f>
        <v>5.933227554115935E-2</v>
      </c>
    </row>
    <row r="19" spans="1:3" x14ac:dyDescent="0.35">
      <c r="A19" s="74">
        <v>34029</v>
      </c>
      <c r="B19" s="75">
        <f>VLOOKUP(A19,Database!A:M,MATCH($A$1,Database!$A$1:$M$1,),)</f>
        <v>126762</v>
      </c>
      <c r="C19" s="113">
        <f>(Table53514[[#This Row],[Manufacturers'' New Orders: Durable Goods]]-B18)/B18</f>
        <v>-1.6235429245502662E-2</v>
      </c>
    </row>
    <row r="20" spans="1:3" x14ac:dyDescent="0.35">
      <c r="A20" s="74">
        <v>34060</v>
      </c>
      <c r="B20" s="75">
        <f>VLOOKUP(A20,Database!A:M,MATCH($A$1,Database!$A$1:$M$1,),)</f>
        <v>127395</v>
      </c>
      <c r="C20" s="113">
        <f>(Table53514[[#This Row],[Manufacturers'' New Orders: Durable Goods]]-B19)/B19</f>
        <v>4.993610072419179E-3</v>
      </c>
    </row>
    <row r="21" spans="1:3" x14ac:dyDescent="0.35">
      <c r="A21" s="74">
        <v>34090</v>
      </c>
      <c r="B21" s="75">
        <f>VLOOKUP(A21,Database!A:M,MATCH($A$1,Database!$A$1:$M$1,),)</f>
        <v>126529</v>
      </c>
      <c r="C21" s="113">
        <f>(Table53514[[#This Row],[Manufacturers'' New Orders: Durable Goods]]-B20)/B20</f>
        <v>-6.797755013933043E-3</v>
      </c>
    </row>
    <row r="22" spans="1:3" x14ac:dyDescent="0.35">
      <c r="A22" s="74">
        <v>34121</v>
      </c>
      <c r="B22" s="75">
        <f>VLOOKUP(A22,Database!A:M,MATCH($A$1,Database!$A$1:$M$1,),)</f>
        <v>130212</v>
      </c>
      <c r="C22" s="113">
        <f>(Table53514[[#This Row],[Manufacturers'' New Orders: Durable Goods]]-B21)/B21</f>
        <v>2.9107951536801839E-2</v>
      </c>
    </row>
    <row r="23" spans="1:3" x14ac:dyDescent="0.35">
      <c r="A23" s="74">
        <v>34151</v>
      </c>
      <c r="B23" s="75">
        <f>VLOOKUP(A23,Database!A:M,MATCH($A$1,Database!$A$1:$M$1,),)</f>
        <v>128111</v>
      </c>
      <c r="C23" s="113">
        <f>(Table53514[[#This Row],[Manufacturers'' New Orders: Durable Goods]]-B22)/B22</f>
        <v>-1.6135225632046203E-2</v>
      </c>
    </row>
    <row r="24" spans="1:3" x14ac:dyDescent="0.35">
      <c r="A24" s="74">
        <v>34182</v>
      </c>
      <c r="B24" s="75">
        <f>VLOOKUP(A24,Database!A:M,MATCH($A$1,Database!$A$1:$M$1,),)</f>
        <v>129378</v>
      </c>
      <c r="C24" s="113">
        <f>(Table53514[[#This Row],[Manufacturers'' New Orders: Durable Goods]]-B23)/B23</f>
        <v>9.8898611360460856E-3</v>
      </c>
    </row>
    <row r="25" spans="1:3" x14ac:dyDescent="0.35">
      <c r="A25" s="74">
        <v>34213</v>
      </c>
      <c r="B25" s="75">
        <f>VLOOKUP(A25,Database!A:M,MATCH($A$1,Database!$A$1:$M$1,),)</f>
        <v>127233</v>
      </c>
      <c r="C25" s="113">
        <f>(Table53514[[#This Row],[Manufacturers'' New Orders: Durable Goods]]-B24)/B24</f>
        <v>-1.6579325696795436E-2</v>
      </c>
    </row>
    <row r="26" spans="1:3" x14ac:dyDescent="0.35">
      <c r="A26" s="74">
        <v>34243</v>
      </c>
      <c r="B26" s="75">
        <f>VLOOKUP(A26,Database!A:M,MATCH($A$1,Database!$A$1:$M$1,),)</f>
        <v>133168</v>
      </c>
      <c r="C26" s="113">
        <f>(Table53514[[#This Row],[Manufacturers'' New Orders: Durable Goods]]-B25)/B25</f>
        <v>4.6646703292384836E-2</v>
      </c>
    </row>
    <row r="27" spans="1:3" x14ac:dyDescent="0.35">
      <c r="A27" s="74">
        <v>34274</v>
      </c>
      <c r="B27" s="75">
        <f>VLOOKUP(A27,Database!A:M,MATCH($A$1,Database!$A$1:$M$1,),)</f>
        <v>130391</v>
      </c>
      <c r="C27" s="113">
        <f>(Table53514[[#This Row],[Manufacturers'' New Orders: Durable Goods]]-B26)/B26</f>
        <v>-2.0853358164123512E-2</v>
      </c>
    </row>
    <row r="28" spans="1:3" x14ac:dyDescent="0.35">
      <c r="A28" s="74">
        <v>34304</v>
      </c>
      <c r="B28" s="75">
        <f>VLOOKUP(A28,Database!A:M,MATCH($A$1,Database!$A$1:$M$1,),)</f>
        <v>133565</v>
      </c>
      <c r="C28" s="113">
        <f>(Table53514[[#This Row],[Manufacturers'' New Orders: Durable Goods]]-B27)/B27</f>
        <v>2.4342170855350447E-2</v>
      </c>
    </row>
    <row r="29" spans="1:3" x14ac:dyDescent="0.35">
      <c r="A29" s="74">
        <v>34335</v>
      </c>
      <c r="B29" s="75">
        <f>VLOOKUP(A29,Database!A:M,MATCH($A$1,Database!$A$1:$M$1,),)</f>
        <v>138498</v>
      </c>
      <c r="C29" s="113">
        <f>(Table53514[[#This Row],[Manufacturers'' New Orders: Durable Goods]]-B28)/B28</f>
        <v>3.6933328342005765E-2</v>
      </c>
    </row>
    <row r="30" spans="1:3" x14ac:dyDescent="0.35">
      <c r="A30" s="74">
        <v>34366</v>
      </c>
      <c r="B30" s="75">
        <f>VLOOKUP(A30,Database!A:M,MATCH($A$1,Database!$A$1:$M$1,),)</f>
        <v>137141</v>
      </c>
      <c r="C30" s="113">
        <f>(Table53514[[#This Row],[Manufacturers'' New Orders: Durable Goods]]-B29)/B29</f>
        <v>-9.7979754220277552E-3</v>
      </c>
    </row>
    <row r="31" spans="1:3" x14ac:dyDescent="0.35">
      <c r="A31" s="74">
        <v>34394</v>
      </c>
      <c r="B31" s="75">
        <f>VLOOKUP(A31,Database!A:M,MATCH($A$1,Database!$A$1:$M$1,),)</f>
        <v>136548</v>
      </c>
      <c r="C31" s="113">
        <f>(Table53514[[#This Row],[Manufacturers'' New Orders: Durable Goods]]-B30)/B30</f>
        <v>-4.3240168877286883E-3</v>
      </c>
    </row>
    <row r="32" spans="1:3" x14ac:dyDescent="0.35">
      <c r="A32" s="74">
        <v>34425</v>
      </c>
      <c r="B32" s="75">
        <f>VLOOKUP(A32,Database!A:M,MATCH($A$1,Database!$A$1:$M$1,),)</f>
        <v>140336</v>
      </c>
      <c r="C32" s="113">
        <f>(Table53514[[#This Row],[Manufacturers'' New Orders: Durable Goods]]-B31)/B31</f>
        <v>2.7741160617511789E-2</v>
      </c>
    </row>
    <row r="33" spans="1:3" x14ac:dyDescent="0.35">
      <c r="A33" s="74">
        <v>34455</v>
      </c>
      <c r="B33" s="75">
        <f>VLOOKUP(A33,Database!A:M,MATCH($A$1,Database!$A$1:$M$1,),)</f>
        <v>142630</v>
      </c>
      <c r="C33" s="113">
        <f>(Table53514[[#This Row],[Manufacturers'' New Orders: Durable Goods]]-B32)/B32</f>
        <v>1.6346482727169081E-2</v>
      </c>
    </row>
    <row r="34" spans="1:3" x14ac:dyDescent="0.35">
      <c r="A34" s="74">
        <v>34486</v>
      </c>
      <c r="B34" s="75">
        <f>VLOOKUP(A34,Database!A:M,MATCH($A$1,Database!$A$1:$M$1,),)</f>
        <v>145063</v>
      </c>
      <c r="C34" s="113">
        <f>(Table53514[[#This Row],[Manufacturers'' New Orders: Durable Goods]]-B33)/B33</f>
        <v>1.7058122414639276E-2</v>
      </c>
    </row>
    <row r="35" spans="1:3" x14ac:dyDescent="0.35">
      <c r="A35" s="74">
        <v>34516</v>
      </c>
      <c r="B35" s="75">
        <f>VLOOKUP(A35,Database!A:M,MATCH($A$1,Database!$A$1:$M$1,),)</f>
        <v>145013</v>
      </c>
      <c r="C35" s="113">
        <f>(Table53514[[#This Row],[Manufacturers'' New Orders: Durable Goods]]-B34)/B34</f>
        <v>-3.4467782963264236E-4</v>
      </c>
    </row>
    <row r="36" spans="1:3" x14ac:dyDescent="0.35">
      <c r="A36" s="74">
        <v>34547</v>
      </c>
      <c r="B36" s="75">
        <f>VLOOKUP(A36,Database!A:M,MATCH($A$1,Database!$A$1:$M$1,),)</f>
        <v>145884</v>
      </c>
      <c r="C36" s="113">
        <f>(Table53514[[#This Row],[Manufacturers'' New Orders: Durable Goods]]-B35)/B35</f>
        <v>6.0063580506575275E-3</v>
      </c>
    </row>
    <row r="37" spans="1:3" x14ac:dyDescent="0.35">
      <c r="A37" s="74">
        <v>34578</v>
      </c>
      <c r="B37" s="75">
        <f>VLOOKUP(A37,Database!A:M,MATCH($A$1,Database!$A$1:$M$1,),)</f>
        <v>145487</v>
      </c>
      <c r="C37" s="113">
        <f>(Table53514[[#This Row],[Manufacturers'' New Orders: Durable Goods]]-B36)/B36</f>
        <v>-2.7213402429327412E-3</v>
      </c>
    </row>
    <row r="38" spans="1:3" x14ac:dyDescent="0.35">
      <c r="A38" s="74">
        <v>34608</v>
      </c>
      <c r="B38" s="75">
        <f>VLOOKUP(A38,Database!A:M,MATCH($A$1,Database!$A$1:$M$1,),)</f>
        <v>149547</v>
      </c>
      <c r="C38" s="113">
        <f>(Table53514[[#This Row],[Manufacturers'' New Orders: Durable Goods]]-B37)/B37</f>
        <v>2.7906273412744782E-2</v>
      </c>
    </row>
    <row r="39" spans="1:3" x14ac:dyDescent="0.35">
      <c r="A39" s="74">
        <v>34639</v>
      </c>
      <c r="B39" s="75">
        <f>VLOOKUP(A39,Database!A:M,MATCH($A$1,Database!$A$1:$M$1,),)</f>
        <v>150038</v>
      </c>
      <c r="C39" s="113">
        <f>(Table53514[[#This Row],[Manufacturers'' New Orders: Durable Goods]]-B38)/B38</f>
        <v>3.2832487445418495E-3</v>
      </c>
    </row>
    <row r="40" spans="1:3" x14ac:dyDescent="0.35">
      <c r="A40" s="74">
        <v>34669</v>
      </c>
      <c r="B40" s="75">
        <f>VLOOKUP(A40,Database!A:M,MATCH($A$1,Database!$A$1:$M$1,),)</f>
        <v>152489</v>
      </c>
      <c r="C40" s="113">
        <f>(Table53514[[#This Row],[Manufacturers'' New Orders: Durable Goods]]-B39)/B39</f>
        <v>1.6335861581732627E-2</v>
      </c>
    </row>
    <row r="41" spans="1:3" x14ac:dyDescent="0.35">
      <c r="A41" s="74">
        <v>34700</v>
      </c>
      <c r="B41" s="75">
        <f>VLOOKUP(A41,Database!A:M,MATCH($A$1,Database!$A$1:$M$1,),)</f>
        <v>150459</v>
      </c>
      <c r="C41" s="113">
        <f>(Table53514[[#This Row],[Manufacturers'' New Orders: Durable Goods]]-B40)/B40</f>
        <v>-1.3312435651096145E-2</v>
      </c>
    </row>
    <row r="42" spans="1:3" x14ac:dyDescent="0.35">
      <c r="A42" s="74">
        <v>34731</v>
      </c>
      <c r="B42" s="75">
        <f>VLOOKUP(A42,Database!A:M,MATCH($A$1,Database!$A$1:$M$1,),)</f>
        <v>153856</v>
      </c>
      <c r="C42" s="113">
        <f>(Table53514[[#This Row],[Manufacturers'' New Orders: Durable Goods]]-B41)/B41</f>
        <v>2.2577579274087958E-2</v>
      </c>
    </row>
    <row r="43" spans="1:3" x14ac:dyDescent="0.35">
      <c r="A43" s="74">
        <v>34759</v>
      </c>
      <c r="B43" s="75">
        <f>VLOOKUP(A43,Database!A:M,MATCH($A$1,Database!$A$1:$M$1,),)</f>
        <v>152888</v>
      </c>
      <c r="C43" s="113">
        <f>(Table53514[[#This Row],[Manufacturers'' New Orders: Durable Goods]]-B42)/B42</f>
        <v>-6.2915973377703823E-3</v>
      </c>
    </row>
    <row r="44" spans="1:3" x14ac:dyDescent="0.35">
      <c r="A44" s="74">
        <v>34790</v>
      </c>
      <c r="B44" s="75">
        <f>VLOOKUP(A44,Database!A:M,MATCH($A$1,Database!$A$1:$M$1,),)</f>
        <v>151401</v>
      </c>
      <c r="C44" s="113">
        <f>(Table53514[[#This Row],[Manufacturers'' New Orders: Durable Goods]]-B43)/B43</f>
        <v>-9.7260739888022606E-3</v>
      </c>
    </row>
    <row r="45" spans="1:3" x14ac:dyDescent="0.35">
      <c r="A45" s="74">
        <v>34820</v>
      </c>
      <c r="B45" s="75">
        <f>VLOOKUP(A45,Database!A:M,MATCH($A$1,Database!$A$1:$M$1,),)</f>
        <v>152838</v>
      </c>
      <c r="C45" s="113">
        <f>(Table53514[[#This Row],[Manufacturers'' New Orders: Durable Goods]]-B44)/B44</f>
        <v>9.4913507836804252E-3</v>
      </c>
    </row>
    <row r="46" spans="1:3" x14ac:dyDescent="0.35">
      <c r="A46" s="74">
        <v>34851</v>
      </c>
      <c r="B46" s="75">
        <f>VLOOKUP(A46,Database!A:M,MATCH($A$1,Database!$A$1:$M$1,),)</f>
        <v>150051</v>
      </c>
      <c r="C46" s="113">
        <f>(Table53514[[#This Row],[Manufacturers'' New Orders: Durable Goods]]-B45)/B45</f>
        <v>-1.823499391512582E-2</v>
      </c>
    </row>
    <row r="47" spans="1:3" x14ac:dyDescent="0.35">
      <c r="A47" s="74">
        <v>34881</v>
      </c>
      <c r="B47" s="75">
        <f>VLOOKUP(A47,Database!A:M,MATCH($A$1,Database!$A$1:$M$1,),)</f>
        <v>148915</v>
      </c>
      <c r="C47" s="113">
        <f>(Table53514[[#This Row],[Manufacturers'' New Orders: Durable Goods]]-B46)/B46</f>
        <v>-7.570759275179772E-3</v>
      </c>
    </row>
    <row r="48" spans="1:3" x14ac:dyDescent="0.35">
      <c r="A48" s="74">
        <v>34912</v>
      </c>
      <c r="B48" s="75">
        <f>VLOOKUP(A48,Database!A:M,MATCH($A$1,Database!$A$1:$M$1,),)</f>
        <v>154372</v>
      </c>
      <c r="C48" s="113">
        <f>(Table53514[[#This Row],[Manufacturers'' New Orders: Durable Goods]]-B47)/B47</f>
        <v>3.6645065977235339E-2</v>
      </c>
    </row>
    <row r="49" spans="1:3" x14ac:dyDescent="0.35">
      <c r="A49" s="74">
        <v>34943</v>
      </c>
      <c r="B49" s="75">
        <f>VLOOKUP(A49,Database!A:M,MATCH($A$1,Database!$A$1:$M$1,),)</f>
        <v>160175</v>
      </c>
      <c r="C49" s="113">
        <f>(Table53514[[#This Row],[Manufacturers'' New Orders: Durable Goods]]-B48)/B48</f>
        <v>3.759101391444044E-2</v>
      </c>
    </row>
    <row r="50" spans="1:3" x14ac:dyDescent="0.35">
      <c r="A50" s="74">
        <v>34973</v>
      </c>
      <c r="B50" s="75">
        <f>VLOOKUP(A50,Database!A:M,MATCH($A$1,Database!$A$1:$M$1,),)</f>
        <v>155473</v>
      </c>
      <c r="C50" s="113">
        <f>(Table53514[[#This Row],[Manufacturers'' New Orders: Durable Goods]]-B49)/B49</f>
        <v>-2.9355392539410021E-2</v>
      </c>
    </row>
    <row r="51" spans="1:3" x14ac:dyDescent="0.35">
      <c r="A51" s="74">
        <v>35004</v>
      </c>
      <c r="B51" s="75">
        <f>VLOOKUP(A51,Database!A:M,MATCH($A$1,Database!$A$1:$M$1,),)</f>
        <v>156146</v>
      </c>
      <c r="C51" s="113">
        <f>(Table53514[[#This Row],[Manufacturers'' New Orders: Durable Goods]]-B50)/B50</f>
        <v>4.3287258880963251E-3</v>
      </c>
    </row>
    <row r="52" spans="1:3" x14ac:dyDescent="0.35">
      <c r="A52" s="74">
        <v>35034</v>
      </c>
      <c r="B52" s="75">
        <f>VLOOKUP(A52,Database!A:M,MATCH($A$1,Database!$A$1:$M$1,),)</f>
        <v>163279</v>
      </c>
      <c r="C52" s="113">
        <f>(Table53514[[#This Row],[Manufacturers'' New Orders: Durable Goods]]-B51)/B51</f>
        <v>4.5681605676738436E-2</v>
      </c>
    </row>
    <row r="53" spans="1:3" x14ac:dyDescent="0.35">
      <c r="A53" s="74">
        <v>35065</v>
      </c>
      <c r="B53" s="75">
        <f>VLOOKUP(A53,Database!A:M,MATCH($A$1,Database!$A$1:$M$1,),)</f>
        <v>155806</v>
      </c>
      <c r="C53" s="113">
        <f>(Table53514[[#This Row],[Manufacturers'' New Orders: Durable Goods]]-B52)/B52</f>
        <v>-4.5768286184996232E-2</v>
      </c>
    </row>
    <row r="54" spans="1:3" x14ac:dyDescent="0.35">
      <c r="A54" s="74">
        <v>35096</v>
      </c>
      <c r="B54" s="75">
        <f>VLOOKUP(A54,Database!A:M,MATCH($A$1,Database!$A$1:$M$1,),)</f>
        <v>150773</v>
      </c>
      <c r="C54" s="113">
        <f>(Table53514[[#This Row],[Manufacturers'' New Orders: Durable Goods]]-B53)/B53</f>
        <v>-3.2302992182586039E-2</v>
      </c>
    </row>
    <row r="55" spans="1:3" x14ac:dyDescent="0.35">
      <c r="A55" s="74">
        <v>35125</v>
      </c>
      <c r="B55" s="75">
        <f>VLOOKUP(A55,Database!A:M,MATCH($A$1,Database!$A$1:$M$1,),)</f>
        <v>164976</v>
      </c>
      <c r="C55" s="113">
        <f>(Table53514[[#This Row],[Manufacturers'' New Orders: Durable Goods]]-B54)/B54</f>
        <v>9.420121639816148E-2</v>
      </c>
    </row>
    <row r="56" spans="1:3" x14ac:dyDescent="0.35">
      <c r="A56" s="74">
        <v>35156</v>
      </c>
      <c r="B56" s="75">
        <f>VLOOKUP(A56,Database!A:M,MATCH($A$1,Database!$A$1:$M$1,),)</f>
        <v>156830</v>
      </c>
      <c r="C56" s="113">
        <f>(Table53514[[#This Row],[Manufacturers'' New Orders: Durable Goods]]-B55)/B55</f>
        <v>-4.9376879061196782E-2</v>
      </c>
    </row>
    <row r="57" spans="1:3" x14ac:dyDescent="0.35">
      <c r="A57" s="74">
        <v>35186</v>
      </c>
      <c r="B57" s="75">
        <f>VLOOKUP(A57,Database!A:M,MATCH($A$1,Database!$A$1:$M$1,),)</f>
        <v>164502</v>
      </c>
      <c r="C57" s="113">
        <f>(Table53514[[#This Row],[Manufacturers'' New Orders: Durable Goods]]-B56)/B56</f>
        <v>4.8919211885481095E-2</v>
      </c>
    </row>
    <row r="58" spans="1:3" x14ac:dyDescent="0.35">
      <c r="A58" s="74">
        <v>35217</v>
      </c>
      <c r="B58" s="75">
        <f>VLOOKUP(A58,Database!A:M,MATCH($A$1,Database!$A$1:$M$1,),)</f>
        <v>164599</v>
      </c>
      <c r="C58" s="113">
        <f>(Table53514[[#This Row],[Manufacturers'' New Orders: Durable Goods]]-B57)/B57</f>
        <v>5.8965848439532654E-4</v>
      </c>
    </row>
    <row r="59" spans="1:3" x14ac:dyDescent="0.35">
      <c r="A59" s="74">
        <v>35247</v>
      </c>
      <c r="B59" s="75">
        <f>VLOOKUP(A59,Database!A:M,MATCH($A$1,Database!$A$1:$M$1,),)</f>
        <v>163588</v>
      </c>
      <c r="C59" s="113">
        <f>(Table53514[[#This Row],[Manufacturers'' New Orders: Durable Goods]]-B58)/B58</f>
        <v>-6.1422001348732371E-3</v>
      </c>
    </row>
    <row r="60" spans="1:3" x14ac:dyDescent="0.35">
      <c r="A60" s="74">
        <v>35278</v>
      </c>
      <c r="B60" s="75">
        <f>VLOOKUP(A60,Database!A:M,MATCH($A$1,Database!$A$1:$M$1,),)</f>
        <v>157310</v>
      </c>
      <c r="C60" s="113">
        <f>(Table53514[[#This Row],[Manufacturers'' New Orders: Durable Goods]]-B59)/B59</f>
        <v>-3.8376898060982469E-2</v>
      </c>
    </row>
    <row r="61" spans="1:3" x14ac:dyDescent="0.35">
      <c r="A61" s="74">
        <v>35309</v>
      </c>
      <c r="B61" s="75">
        <f>VLOOKUP(A61,Database!A:M,MATCH($A$1,Database!$A$1:$M$1,),)</f>
        <v>165442</v>
      </c>
      <c r="C61" s="113">
        <f>(Table53514[[#This Row],[Manufacturers'' New Orders: Durable Goods]]-B60)/B60</f>
        <v>5.1694107176911828E-2</v>
      </c>
    </row>
    <row r="62" spans="1:3" x14ac:dyDescent="0.35">
      <c r="A62" s="74">
        <v>35339</v>
      </c>
      <c r="B62" s="75">
        <f>VLOOKUP(A62,Database!A:M,MATCH($A$1,Database!$A$1:$M$1,),)</f>
        <v>165266</v>
      </c>
      <c r="C62" s="113">
        <f>(Table53514[[#This Row],[Manufacturers'' New Orders: Durable Goods]]-B61)/B61</f>
        <v>-1.0638169267779645E-3</v>
      </c>
    </row>
    <row r="63" spans="1:3" x14ac:dyDescent="0.35">
      <c r="A63" s="74">
        <v>35370</v>
      </c>
      <c r="B63" s="75">
        <f>VLOOKUP(A63,Database!A:M,MATCH($A$1,Database!$A$1:$M$1,),)</f>
        <v>170783</v>
      </c>
      <c r="C63" s="113">
        <f>(Table53514[[#This Row],[Manufacturers'' New Orders: Durable Goods]]-B62)/B62</f>
        <v>3.3382546924352254E-2</v>
      </c>
    </row>
    <row r="64" spans="1:3" x14ac:dyDescent="0.35">
      <c r="A64" s="74">
        <v>35400</v>
      </c>
      <c r="B64" s="75">
        <f>VLOOKUP(A64,Database!A:M,MATCH($A$1,Database!$A$1:$M$1,),)</f>
        <v>162332</v>
      </c>
      <c r="C64" s="113">
        <f>(Table53514[[#This Row],[Manufacturers'' New Orders: Durable Goods]]-B63)/B63</f>
        <v>-4.9483847923973701E-2</v>
      </c>
    </row>
    <row r="65" spans="1:3" x14ac:dyDescent="0.35">
      <c r="A65" s="74">
        <v>35431</v>
      </c>
      <c r="B65" s="75">
        <f>VLOOKUP(A65,Database!A:M,MATCH($A$1,Database!$A$1:$M$1,),)</f>
        <v>161827</v>
      </c>
      <c r="C65" s="113">
        <f>(Table53514[[#This Row],[Manufacturers'' New Orders: Durable Goods]]-B64)/B64</f>
        <v>-3.1109085084887762E-3</v>
      </c>
    </row>
    <row r="66" spans="1:3" x14ac:dyDescent="0.35">
      <c r="A66" s="74">
        <v>35462</v>
      </c>
      <c r="B66" s="75">
        <f>VLOOKUP(A66,Database!A:M,MATCH($A$1,Database!$A$1:$M$1,),)</f>
        <v>170221</v>
      </c>
      <c r="C66" s="113">
        <f>(Table53514[[#This Row],[Manufacturers'' New Orders: Durable Goods]]-B65)/B65</f>
        <v>5.1870207072985348E-2</v>
      </c>
    </row>
    <row r="67" spans="1:3" x14ac:dyDescent="0.35">
      <c r="A67" s="74">
        <v>35490</v>
      </c>
      <c r="B67" s="75">
        <f>VLOOKUP(A67,Database!A:M,MATCH($A$1,Database!$A$1:$M$1,),)</f>
        <v>167568</v>
      </c>
      <c r="C67" s="113">
        <f>(Table53514[[#This Row],[Manufacturers'' New Orders: Durable Goods]]-B66)/B66</f>
        <v>-1.5585621045581919E-2</v>
      </c>
    </row>
    <row r="68" spans="1:3" x14ac:dyDescent="0.35">
      <c r="A68" s="74">
        <v>35521</v>
      </c>
      <c r="B68" s="75">
        <f>VLOOKUP(A68,Database!A:M,MATCH($A$1,Database!$A$1:$M$1,),)</f>
        <v>174054</v>
      </c>
      <c r="C68" s="113">
        <f>(Table53514[[#This Row],[Manufacturers'' New Orders: Durable Goods]]-B67)/B67</f>
        <v>3.8706674305356632E-2</v>
      </c>
    </row>
    <row r="69" spans="1:3" x14ac:dyDescent="0.35">
      <c r="A69" s="74">
        <v>35551</v>
      </c>
      <c r="B69" s="75">
        <f>VLOOKUP(A69,Database!A:M,MATCH($A$1,Database!$A$1:$M$1,),)</f>
        <v>168586</v>
      </c>
      <c r="C69" s="113">
        <f>(Table53514[[#This Row],[Manufacturers'' New Orders: Durable Goods]]-B68)/B68</f>
        <v>-3.1415537706688729E-2</v>
      </c>
    </row>
    <row r="70" spans="1:3" x14ac:dyDescent="0.35">
      <c r="A70" s="74">
        <v>35582</v>
      </c>
      <c r="B70" s="75">
        <f>VLOOKUP(A70,Database!A:M,MATCH($A$1,Database!$A$1:$M$1,),)</f>
        <v>174828</v>
      </c>
      <c r="C70" s="113">
        <f>(Table53514[[#This Row],[Manufacturers'' New Orders: Durable Goods]]-B69)/B69</f>
        <v>3.7025613040228729E-2</v>
      </c>
    </row>
    <row r="71" spans="1:3" x14ac:dyDescent="0.35">
      <c r="A71" s="74">
        <v>35612</v>
      </c>
      <c r="B71" s="75">
        <f>VLOOKUP(A71,Database!A:M,MATCH($A$1,Database!$A$1:$M$1,),)</f>
        <v>178860</v>
      </c>
      <c r="C71" s="113">
        <f>(Table53514[[#This Row],[Manufacturers'' New Orders: Durable Goods]]-B70)/B70</f>
        <v>2.3062667307296315E-2</v>
      </c>
    </row>
    <row r="72" spans="1:3" x14ac:dyDescent="0.35">
      <c r="A72" s="74">
        <v>35643</v>
      </c>
      <c r="B72" s="75">
        <f>VLOOKUP(A72,Database!A:M,MATCH($A$1,Database!$A$1:$M$1,),)</f>
        <v>177302</v>
      </c>
      <c r="C72" s="113">
        <f>(Table53514[[#This Row],[Manufacturers'' New Orders: Durable Goods]]-B71)/B71</f>
        <v>-8.7107234708710731E-3</v>
      </c>
    </row>
    <row r="73" spans="1:3" x14ac:dyDescent="0.35">
      <c r="A73" s="74">
        <v>35674</v>
      </c>
      <c r="B73" s="75">
        <f>VLOOKUP(A73,Database!A:M,MATCH($A$1,Database!$A$1:$M$1,),)</f>
        <v>177835</v>
      </c>
      <c r="C73" s="113">
        <f>(Table53514[[#This Row],[Manufacturers'' New Orders: Durable Goods]]-B72)/B72</f>
        <v>3.0061702631668003E-3</v>
      </c>
    </row>
    <row r="74" spans="1:3" x14ac:dyDescent="0.35">
      <c r="A74" s="74">
        <v>35704</v>
      </c>
      <c r="B74" s="75">
        <f>VLOOKUP(A74,Database!A:M,MATCH($A$1,Database!$A$1:$M$1,),)</f>
        <v>177801</v>
      </c>
      <c r="C74" s="113">
        <f>(Table53514[[#This Row],[Manufacturers'' New Orders: Durable Goods]]-B73)/B73</f>
        <v>-1.9118846121404673E-4</v>
      </c>
    </row>
    <row r="75" spans="1:3" x14ac:dyDescent="0.35">
      <c r="A75" s="74">
        <v>35735</v>
      </c>
      <c r="B75" s="75">
        <f>VLOOKUP(A75,Database!A:M,MATCH($A$1,Database!$A$1:$M$1,),)</f>
        <v>191187</v>
      </c>
      <c r="C75" s="113">
        <f>(Table53514[[#This Row],[Manufacturers'' New Orders: Durable Goods]]-B74)/B74</f>
        <v>7.5286415711947621E-2</v>
      </c>
    </row>
    <row r="76" spans="1:3" x14ac:dyDescent="0.35">
      <c r="A76" s="74">
        <v>35765</v>
      </c>
      <c r="B76" s="75">
        <f>VLOOKUP(A76,Database!A:M,MATCH($A$1,Database!$A$1:$M$1,),)</f>
        <v>173770</v>
      </c>
      <c r="C76" s="113">
        <f>(Table53514[[#This Row],[Manufacturers'' New Orders: Durable Goods]]-B75)/B75</f>
        <v>-9.1099290223707677E-2</v>
      </c>
    </row>
    <row r="77" spans="1:3" x14ac:dyDescent="0.35">
      <c r="A77" s="74">
        <v>35796</v>
      </c>
      <c r="B77" s="75">
        <f>VLOOKUP(A77,Database!A:M,MATCH($A$1,Database!$A$1:$M$1,),)</f>
        <v>174288</v>
      </c>
      <c r="C77" s="113">
        <f>(Table53514[[#This Row],[Manufacturers'' New Orders: Durable Goods]]-B76)/B76</f>
        <v>2.9809518328825458E-3</v>
      </c>
    </row>
    <row r="78" spans="1:3" x14ac:dyDescent="0.35">
      <c r="A78" s="74">
        <v>35827</v>
      </c>
      <c r="B78" s="75">
        <f>VLOOKUP(A78,Database!A:M,MATCH($A$1,Database!$A$1:$M$1,),)</f>
        <v>181270</v>
      </c>
      <c r="C78" s="113">
        <f>(Table53514[[#This Row],[Manufacturers'' New Orders: Durable Goods]]-B77)/B77</f>
        <v>4.0060130358946115E-2</v>
      </c>
    </row>
    <row r="79" spans="1:3" x14ac:dyDescent="0.35">
      <c r="A79" s="74">
        <v>35855</v>
      </c>
      <c r="B79" s="75">
        <f>VLOOKUP(A79,Database!A:M,MATCH($A$1,Database!$A$1:$M$1,),)</f>
        <v>176886</v>
      </c>
      <c r="C79" s="113">
        <f>(Table53514[[#This Row],[Manufacturers'' New Orders: Durable Goods]]-B78)/B78</f>
        <v>-2.4184917526341922E-2</v>
      </c>
    </row>
    <row r="80" spans="1:3" x14ac:dyDescent="0.35">
      <c r="A80" s="74">
        <v>35886</v>
      </c>
      <c r="B80" s="75">
        <f>VLOOKUP(A80,Database!A:M,MATCH($A$1,Database!$A$1:$M$1,),)</f>
        <v>180915</v>
      </c>
      <c r="C80" s="113">
        <f>(Table53514[[#This Row],[Manufacturers'' New Orders: Durable Goods]]-B79)/B79</f>
        <v>2.2777382042671553E-2</v>
      </c>
    </row>
    <row r="81" spans="1:3" x14ac:dyDescent="0.35">
      <c r="A81" s="74">
        <v>35916</v>
      </c>
      <c r="B81" s="75">
        <f>VLOOKUP(A81,Database!A:M,MATCH($A$1,Database!$A$1:$M$1,),)</f>
        <v>180634</v>
      </c>
      <c r="C81" s="113">
        <f>(Table53514[[#This Row],[Manufacturers'' New Orders: Durable Goods]]-B80)/B80</f>
        <v>-1.5532155984854766E-3</v>
      </c>
    </row>
    <row r="82" spans="1:3" x14ac:dyDescent="0.35">
      <c r="A82" s="74">
        <v>35947</v>
      </c>
      <c r="B82" s="75">
        <f>VLOOKUP(A82,Database!A:M,MATCH($A$1,Database!$A$1:$M$1,),)</f>
        <v>172189</v>
      </c>
      <c r="C82" s="113">
        <f>(Table53514[[#This Row],[Manufacturers'' New Orders: Durable Goods]]-B81)/B81</f>
        <v>-4.6751995748308732E-2</v>
      </c>
    </row>
    <row r="83" spans="1:3" x14ac:dyDescent="0.35">
      <c r="A83" s="74">
        <v>35977</v>
      </c>
      <c r="B83" s="75">
        <f>VLOOKUP(A83,Database!A:M,MATCH($A$1,Database!$A$1:$M$1,),)</f>
        <v>170459</v>
      </c>
      <c r="C83" s="113">
        <f>(Table53514[[#This Row],[Manufacturers'' New Orders: Durable Goods]]-B82)/B82</f>
        <v>-1.0047099408208422E-2</v>
      </c>
    </row>
    <row r="84" spans="1:3" x14ac:dyDescent="0.35">
      <c r="A84" s="74">
        <v>36008</v>
      </c>
      <c r="B84" s="75">
        <f>VLOOKUP(A84,Database!A:M,MATCH($A$1,Database!$A$1:$M$1,),)</f>
        <v>179033</v>
      </c>
      <c r="C84" s="113">
        <f>(Table53514[[#This Row],[Manufacturers'' New Orders: Durable Goods]]-B83)/B83</f>
        <v>5.0299485506778756E-2</v>
      </c>
    </row>
    <row r="85" spans="1:3" x14ac:dyDescent="0.35">
      <c r="A85" s="74">
        <v>36039</v>
      </c>
      <c r="B85" s="75">
        <f>VLOOKUP(A85,Database!A:M,MATCH($A$1,Database!$A$1:$M$1,),)</f>
        <v>181422</v>
      </c>
      <c r="C85" s="113">
        <f>(Table53514[[#This Row],[Manufacturers'' New Orders: Durable Goods]]-B84)/B84</f>
        <v>1.334390866488301E-2</v>
      </c>
    </row>
    <row r="86" spans="1:3" x14ac:dyDescent="0.35">
      <c r="A86" s="74">
        <v>36069</v>
      </c>
      <c r="B86" s="75">
        <f>VLOOKUP(A86,Database!A:M,MATCH($A$1,Database!$A$1:$M$1,),)</f>
        <v>178527</v>
      </c>
      <c r="C86" s="113">
        <f>(Table53514[[#This Row],[Manufacturers'' New Orders: Durable Goods]]-B85)/B85</f>
        <v>-1.5957270893276448E-2</v>
      </c>
    </row>
    <row r="87" spans="1:3" x14ac:dyDescent="0.35">
      <c r="A87" s="74">
        <v>36100</v>
      </c>
      <c r="B87" s="75">
        <f>VLOOKUP(A87,Database!A:M,MATCH($A$1,Database!$A$1:$M$1,),)</f>
        <v>182400</v>
      </c>
      <c r="C87" s="113">
        <f>(Table53514[[#This Row],[Manufacturers'' New Orders: Durable Goods]]-B86)/B86</f>
        <v>2.1694197516342065E-2</v>
      </c>
    </row>
    <row r="88" spans="1:3" x14ac:dyDescent="0.35">
      <c r="A88" s="74">
        <v>36130</v>
      </c>
      <c r="B88" s="75">
        <f>VLOOKUP(A88,Database!A:M,MATCH($A$1,Database!$A$1:$M$1,),)</f>
        <v>178424</v>
      </c>
      <c r="C88" s="113">
        <f>(Table53514[[#This Row],[Manufacturers'' New Orders: Durable Goods]]-B87)/B87</f>
        <v>-2.1798245614035087E-2</v>
      </c>
    </row>
    <row r="89" spans="1:3" x14ac:dyDescent="0.35">
      <c r="A89" s="74">
        <v>36161</v>
      </c>
      <c r="B89" s="75">
        <f>VLOOKUP(A89,Database!A:M,MATCH($A$1,Database!$A$1:$M$1,),)</f>
        <v>186527</v>
      </c>
      <c r="C89" s="113">
        <f>(Table53514[[#This Row],[Manufacturers'' New Orders: Durable Goods]]-B88)/B88</f>
        <v>4.5414294041160382E-2</v>
      </c>
    </row>
    <row r="90" spans="1:3" x14ac:dyDescent="0.35">
      <c r="A90" s="74">
        <v>36192</v>
      </c>
      <c r="B90" s="75">
        <f>VLOOKUP(A90,Database!A:M,MATCH($A$1,Database!$A$1:$M$1,),)</f>
        <v>185546</v>
      </c>
      <c r="C90" s="113">
        <f>(Table53514[[#This Row],[Manufacturers'' New Orders: Durable Goods]]-B89)/B89</f>
        <v>-5.2592922204292144E-3</v>
      </c>
    </row>
    <row r="91" spans="1:3" x14ac:dyDescent="0.35">
      <c r="A91" s="74">
        <v>36220</v>
      </c>
      <c r="B91" s="75">
        <f>VLOOKUP(A91,Database!A:M,MATCH($A$1,Database!$A$1:$M$1,),)</f>
        <v>184689</v>
      </c>
      <c r="C91" s="113">
        <f>(Table53514[[#This Row],[Manufacturers'' New Orders: Durable Goods]]-B90)/B90</f>
        <v>-4.6188007286602781E-3</v>
      </c>
    </row>
    <row r="92" spans="1:3" x14ac:dyDescent="0.35">
      <c r="A92" s="74">
        <v>36251</v>
      </c>
      <c r="B92" s="75">
        <f>VLOOKUP(A92,Database!A:M,MATCH($A$1,Database!$A$1:$M$1,),)</f>
        <v>182993</v>
      </c>
      <c r="C92" s="113">
        <f>(Table53514[[#This Row],[Manufacturers'' New Orders: Durable Goods]]-B91)/B91</f>
        <v>-9.1830049434454674E-3</v>
      </c>
    </row>
    <row r="93" spans="1:3" x14ac:dyDescent="0.35">
      <c r="A93" s="74">
        <v>36281</v>
      </c>
      <c r="B93" s="75">
        <f>VLOOKUP(A93,Database!A:M,MATCH($A$1,Database!$A$1:$M$1,),)</f>
        <v>185963</v>
      </c>
      <c r="C93" s="113">
        <f>(Table53514[[#This Row],[Manufacturers'' New Orders: Durable Goods]]-B92)/B92</f>
        <v>1.6230129021328685E-2</v>
      </c>
    </row>
    <row r="94" spans="1:3" x14ac:dyDescent="0.35">
      <c r="A94" s="74">
        <v>36312</v>
      </c>
      <c r="B94" s="75">
        <f>VLOOKUP(A94,Database!A:M,MATCH($A$1,Database!$A$1:$M$1,),)</f>
        <v>182590</v>
      </c>
      <c r="C94" s="113">
        <f>(Table53514[[#This Row],[Manufacturers'' New Orders: Durable Goods]]-B93)/B93</f>
        <v>-1.8138016702247222E-2</v>
      </c>
    </row>
    <row r="95" spans="1:3" x14ac:dyDescent="0.35">
      <c r="A95" s="74">
        <v>36342</v>
      </c>
      <c r="B95" s="75">
        <f>VLOOKUP(A95,Database!A:M,MATCH($A$1,Database!$A$1:$M$1,),)</f>
        <v>189083</v>
      </c>
      <c r="C95" s="113">
        <f>(Table53514[[#This Row],[Manufacturers'' New Orders: Durable Goods]]-B94)/B94</f>
        <v>3.5560545484418643E-2</v>
      </c>
    </row>
    <row r="96" spans="1:3" x14ac:dyDescent="0.35">
      <c r="A96" s="74">
        <v>36373</v>
      </c>
      <c r="B96" s="75">
        <f>VLOOKUP(A96,Database!A:M,MATCH($A$1,Database!$A$1:$M$1,),)</f>
        <v>189414</v>
      </c>
      <c r="C96" s="113">
        <f>(Table53514[[#This Row],[Manufacturers'' New Orders: Durable Goods]]-B95)/B95</f>
        <v>1.7505539895178307E-3</v>
      </c>
    </row>
    <row r="97" spans="1:3" x14ac:dyDescent="0.35">
      <c r="A97" s="74">
        <v>36404</v>
      </c>
      <c r="B97" s="75">
        <f>VLOOKUP(A97,Database!A:M,MATCH($A$1,Database!$A$1:$M$1,),)</f>
        <v>188910</v>
      </c>
      <c r="C97" s="113">
        <f>(Table53514[[#This Row],[Manufacturers'' New Orders: Durable Goods]]-B96)/B96</f>
        <v>-2.6608381640216669E-3</v>
      </c>
    </row>
    <row r="98" spans="1:3" x14ac:dyDescent="0.35">
      <c r="A98" s="74">
        <v>36434</v>
      </c>
      <c r="B98" s="75">
        <f>VLOOKUP(A98,Database!A:M,MATCH($A$1,Database!$A$1:$M$1,),)</f>
        <v>194547</v>
      </c>
      <c r="C98" s="113">
        <f>(Table53514[[#This Row],[Manufacturers'' New Orders: Durable Goods]]-B97)/B97</f>
        <v>2.9839606161664284E-2</v>
      </c>
    </row>
    <row r="99" spans="1:3" x14ac:dyDescent="0.35">
      <c r="A99" s="74">
        <v>36465</v>
      </c>
      <c r="B99" s="75">
        <f>VLOOKUP(A99,Database!A:M,MATCH($A$1,Database!$A$1:$M$1,),)</f>
        <v>186597</v>
      </c>
      <c r="C99" s="113">
        <f>(Table53514[[#This Row],[Manufacturers'' New Orders: Durable Goods]]-B98)/B98</f>
        <v>-4.0864161359465835E-2</v>
      </c>
    </row>
    <row r="100" spans="1:3" x14ac:dyDescent="0.35">
      <c r="A100" s="74">
        <v>36495</v>
      </c>
      <c r="B100" s="75">
        <f>VLOOKUP(A100,Database!A:M,MATCH($A$1,Database!$A$1:$M$1,),)</f>
        <v>196344</v>
      </c>
      <c r="C100" s="113">
        <f>(Table53514[[#This Row],[Manufacturers'' New Orders: Durable Goods]]-B99)/B99</f>
        <v>5.2235566488207208E-2</v>
      </c>
    </row>
    <row r="101" spans="1:3" x14ac:dyDescent="0.35">
      <c r="A101" s="74">
        <v>36526</v>
      </c>
      <c r="B101" s="75">
        <f>VLOOKUP(A101,Database!A:M,MATCH($A$1,Database!$A$1:$M$1,),)</f>
        <v>201360</v>
      </c>
      <c r="C101" s="113">
        <f>(Table53514[[#This Row],[Manufacturers'' New Orders: Durable Goods]]-B100)/B100</f>
        <v>2.554699914435888E-2</v>
      </c>
    </row>
    <row r="102" spans="1:3" x14ac:dyDescent="0.35">
      <c r="A102" s="74">
        <v>36557</v>
      </c>
      <c r="B102" s="75">
        <f>VLOOKUP(A102,Database!A:M,MATCH($A$1,Database!$A$1:$M$1,),)</f>
        <v>183911</v>
      </c>
      <c r="C102" s="113">
        <f>(Table53514[[#This Row],[Manufacturers'' New Orders: Durable Goods]]-B101)/B101</f>
        <v>-8.6655740961462058E-2</v>
      </c>
    </row>
    <row r="103" spans="1:3" x14ac:dyDescent="0.35">
      <c r="A103" s="74">
        <v>36586</v>
      </c>
      <c r="B103" s="75">
        <f>VLOOKUP(A103,Database!A:M,MATCH($A$1,Database!$A$1:$M$1,),)</f>
        <v>192130</v>
      </c>
      <c r="C103" s="113">
        <f>(Table53514[[#This Row],[Manufacturers'' New Orders: Durable Goods]]-B102)/B102</f>
        <v>4.4690094665354438E-2</v>
      </c>
    </row>
    <row r="104" spans="1:3" x14ac:dyDescent="0.35">
      <c r="A104" s="74">
        <v>36617</v>
      </c>
      <c r="B104" s="75">
        <f>VLOOKUP(A104,Database!A:M,MATCH($A$1,Database!$A$1:$M$1,),)</f>
        <v>195044</v>
      </c>
      <c r="C104" s="113">
        <f>(Table53514[[#This Row],[Manufacturers'' New Orders: Durable Goods]]-B103)/B103</f>
        <v>1.5166814136261905E-2</v>
      </c>
    </row>
    <row r="105" spans="1:3" x14ac:dyDescent="0.35">
      <c r="A105" s="74">
        <v>36647</v>
      </c>
      <c r="B105" s="75">
        <f>VLOOKUP(A105,Database!A:M,MATCH($A$1,Database!$A$1:$M$1,),)</f>
        <v>188606</v>
      </c>
      <c r="C105" s="113">
        <f>(Table53514[[#This Row],[Manufacturers'' New Orders: Durable Goods]]-B104)/B104</f>
        <v>-3.3007936670699942E-2</v>
      </c>
    </row>
    <row r="106" spans="1:3" x14ac:dyDescent="0.35">
      <c r="A106" s="74">
        <v>36678</v>
      </c>
      <c r="B106" s="75">
        <f>VLOOKUP(A106,Database!A:M,MATCH($A$1,Database!$A$1:$M$1,),)</f>
        <v>219745</v>
      </c>
      <c r="C106" s="113">
        <f>(Table53514[[#This Row],[Manufacturers'' New Orders: Durable Goods]]-B105)/B105</f>
        <v>0.16510079212750389</v>
      </c>
    </row>
    <row r="107" spans="1:3" x14ac:dyDescent="0.35">
      <c r="A107" s="74">
        <v>36708</v>
      </c>
      <c r="B107" s="75">
        <f>VLOOKUP(A107,Database!A:M,MATCH($A$1,Database!$A$1:$M$1,),)</f>
        <v>189265</v>
      </c>
      <c r="C107" s="113">
        <f>(Table53514[[#This Row],[Manufacturers'' New Orders: Durable Goods]]-B106)/B106</f>
        <v>-0.1387062276729846</v>
      </c>
    </row>
    <row r="108" spans="1:3" x14ac:dyDescent="0.35">
      <c r="A108" s="74">
        <v>36739</v>
      </c>
      <c r="B108" s="75">
        <f>VLOOKUP(A108,Database!A:M,MATCH($A$1,Database!$A$1:$M$1,),)</f>
        <v>188730</v>
      </c>
      <c r="C108" s="113">
        <f>(Table53514[[#This Row],[Manufacturers'' New Orders: Durable Goods]]-B107)/B107</f>
        <v>-2.8267244339946636E-3</v>
      </c>
    </row>
    <row r="109" spans="1:3" x14ac:dyDescent="0.35">
      <c r="A109" s="74">
        <v>36770</v>
      </c>
      <c r="B109" s="75">
        <f>VLOOKUP(A109,Database!A:M,MATCH($A$1,Database!$A$1:$M$1,),)</f>
        <v>199947</v>
      </c>
      <c r="C109" s="113">
        <f>(Table53514[[#This Row],[Manufacturers'' New Orders: Durable Goods]]-B108)/B108</f>
        <v>5.9434112223811793E-2</v>
      </c>
    </row>
    <row r="110" spans="1:3" x14ac:dyDescent="0.35">
      <c r="A110" s="74">
        <v>36800</v>
      </c>
      <c r="B110" s="75">
        <f>VLOOKUP(A110,Database!A:M,MATCH($A$1,Database!$A$1:$M$1,),)</f>
        <v>186158</v>
      </c>
      <c r="C110" s="113">
        <f>(Table53514[[#This Row],[Manufacturers'' New Orders: Durable Goods]]-B109)/B109</f>
        <v>-6.8963275267946003E-2</v>
      </c>
    </row>
    <row r="111" spans="1:3" x14ac:dyDescent="0.35">
      <c r="A111" s="74">
        <v>36831</v>
      </c>
      <c r="B111" s="75">
        <f>VLOOKUP(A111,Database!A:M,MATCH($A$1,Database!$A$1:$M$1,),)</f>
        <v>189392</v>
      </c>
      <c r="C111" s="113">
        <f>(Table53514[[#This Row],[Manufacturers'' New Orders: Durable Goods]]-B110)/B110</f>
        <v>1.7372339625479433E-2</v>
      </c>
    </row>
    <row r="112" spans="1:3" x14ac:dyDescent="0.35">
      <c r="A112" s="74">
        <v>36861</v>
      </c>
      <c r="B112" s="75">
        <f>VLOOKUP(A112,Database!A:M,MATCH($A$1,Database!$A$1:$M$1,),)</f>
        <v>188659</v>
      </c>
      <c r="C112" s="113">
        <f>(Table53514[[#This Row],[Manufacturers'' New Orders: Durable Goods]]-B111)/B111</f>
        <v>-3.8702796316634281E-3</v>
      </c>
    </row>
    <row r="113" spans="1:3" x14ac:dyDescent="0.35">
      <c r="A113" s="74">
        <v>36892</v>
      </c>
      <c r="B113" s="75">
        <f>VLOOKUP(A113,Database!A:M,MATCH($A$1,Database!$A$1:$M$1,),)</f>
        <v>177056</v>
      </c>
      <c r="C113" s="113">
        <f>(Table53514[[#This Row],[Manufacturers'' New Orders: Durable Goods]]-B112)/B112</f>
        <v>-6.1502499218166112E-2</v>
      </c>
    </row>
    <row r="114" spans="1:3" x14ac:dyDescent="0.35">
      <c r="A114" s="74">
        <v>36923</v>
      </c>
      <c r="B114" s="75">
        <f>VLOOKUP(A114,Database!A:M,MATCH($A$1,Database!$A$1:$M$1,),)</f>
        <v>180276</v>
      </c>
      <c r="C114" s="113">
        <f>(Table53514[[#This Row],[Manufacturers'' New Orders: Durable Goods]]-B113)/B113</f>
        <v>1.8186336526296764E-2</v>
      </c>
    </row>
    <row r="115" spans="1:3" x14ac:dyDescent="0.35">
      <c r="A115" s="74">
        <v>36951</v>
      </c>
      <c r="B115" s="75">
        <f>VLOOKUP(A115,Database!A:M,MATCH($A$1,Database!$A$1:$M$1,),)</f>
        <v>182209</v>
      </c>
      <c r="C115" s="113">
        <f>(Table53514[[#This Row],[Manufacturers'' New Orders: Durable Goods]]-B114)/B114</f>
        <v>1.0722447802258759E-2</v>
      </c>
    </row>
    <row r="116" spans="1:3" x14ac:dyDescent="0.35">
      <c r="A116" s="74">
        <v>36982</v>
      </c>
      <c r="B116" s="75">
        <f>VLOOKUP(A116,Database!A:M,MATCH($A$1,Database!$A$1:$M$1,),)</f>
        <v>171850</v>
      </c>
      <c r="C116" s="113">
        <f>(Table53514[[#This Row],[Manufacturers'' New Orders: Durable Goods]]-B115)/B115</f>
        <v>-5.6852295989769992E-2</v>
      </c>
    </row>
    <row r="117" spans="1:3" x14ac:dyDescent="0.35">
      <c r="A117" s="74">
        <v>37012</v>
      </c>
      <c r="B117" s="75">
        <f>VLOOKUP(A117,Database!A:M,MATCH($A$1,Database!$A$1:$M$1,),)</f>
        <v>177749</v>
      </c>
      <c r="C117" s="113">
        <f>(Table53514[[#This Row],[Manufacturers'' New Orders: Durable Goods]]-B116)/B116</f>
        <v>3.4326447483270295E-2</v>
      </c>
    </row>
    <row r="118" spans="1:3" x14ac:dyDescent="0.35">
      <c r="A118" s="74">
        <v>37043</v>
      </c>
      <c r="B118" s="75">
        <f>VLOOKUP(A118,Database!A:M,MATCH($A$1,Database!$A$1:$M$1,),)</f>
        <v>176350</v>
      </c>
      <c r="C118" s="113">
        <f>(Table53514[[#This Row],[Manufacturers'' New Orders: Durable Goods]]-B117)/B117</f>
        <v>-7.870649061316801E-3</v>
      </c>
    </row>
    <row r="119" spans="1:3" x14ac:dyDescent="0.35">
      <c r="A119" s="74">
        <v>37073</v>
      </c>
      <c r="B119" s="75">
        <f>VLOOKUP(A119,Database!A:M,MATCH($A$1,Database!$A$1:$M$1,),)</f>
        <v>170129</v>
      </c>
      <c r="C119" s="113">
        <f>(Table53514[[#This Row],[Manufacturers'' New Orders: Durable Goods]]-B118)/B118</f>
        <v>-3.5276438899914941E-2</v>
      </c>
    </row>
    <row r="120" spans="1:3" x14ac:dyDescent="0.35">
      <c r="A120" s="74">
        <v>37104</v>
      </c>
      <c r="B120" s="75">
        <f>VLOOKUP(A120,Database!A:M,MATCH($A$1,Database!$A$1:$M$1,),)</f>
        <v>170484</v>
      </c>
      <c r="C120" s="113">
        <f>(Table53514[[#This Row],[Manufacturers'' New Orders: Durable Goods]]-B119)/B119</f>
        <v>2.0866518935631199E-3</v>
      </c>
    </row>
    <row r="121" spans="1:3" x14ac:dyDescent="0.35">
      <c r="A121" s="74">
        <v>37135</v>
      </c>
      <c r="B121" s="75">
        <f>VLOOKUP(A121,Database!A:M,MATCH($A$1,Database!$A$1:$M$1,),)</f>
        <v>164123</v>
      </c>
      <c r="C121" s="113">
        <f>(Table53514[[#This Row],[Manufacturers'' New Orders: Durable Goods]]-B120)/B120</f>
        <v>-3.7311419253419673E-2</v>
      </c>
    </row>
    <row r="122" spans="1:3" x14ac:dyDescent="0.35">
      <c r="A122" s="74">
        <v>37165</v>
      </c>
      <c r="B122" s="75">
        <f>VLOOKUP(A122,Database!A:M,MATCH($A$1,Database!$A$1:$M$1,),)</f>
        <v>171530</v>
      </c>
      <c r="C122" s="113">
        <f>(Table53514[[#This Row],[Manufacturers'' New Orders: Durable Goods]]-B121)/B121</f>
        <v>4.5130786056798863E-2</v>
      </c>
    </row>
    <row r="123" spans="1:3" x14ac:dyDescent="0.35">
      <c r="A123" s="74">
        <v>37196</v>
      </c>
      <c r="B123" s="75">
        <f>VLOOKUP(A123,Database!A:M,MATCH($A$1,Database!$A$1:$M$1,),)</f>
        <v>163811</v>
      </c>
      <c r="C123" s="113">
        <f>(Table53514[[#This Row],[Manufacturers'' New Orders: Durable Goods]]-B122)/B122</f>
        <v>-4.5000874482597798E-2</v>
      </c>
    </row>
    <row r="124" spans="1:3" x14ac:dyDescent="0.35">
      <c r="A124" s="74">
        <v>37226</v>
      </c>
      <c r="B124" s="75">
        <f>VLOOKUP(A124,Database!A:M,MATCH($A$1,Database!$A$1:$M$1,),)</f>
        <v>165304</v>
      </c>
      <c r="C124" s="113">
        <f>(Table53514[[#This Row],[Manufacturers'' New Orders: Durable Goods]]-B123)/B123</f>
        <v>9.1141620526094102E-3</v>
      </c>
    </row>
    <row r="125" spans="1:3" x14ac:dyDescent="0.35">
      <c r="A125" s="74">
        <v>37257</v>
      </c>
      <c r="B125" s="75">
        <f>VLOOKUP(A125,Database!A:M,MATCH($A$1,Database!$A$1:$M$1,),)</f>
        <v>163324</v>
      </c>
      <c r="C125" s="113">
        <f>(Table53514[[#This Row],[Manufacturers'' New Orders: Durable Goods]]-B124)/B124</f>
        <v>-1.197793156850409E-2</v>
      </c>
    </row>
    <row r="126" spans="1:3" x14ac:dyDescent="0.35">
      <c r="A126" s="74">
        <v>37288</v>
      </c>
      <c r="B126" s="75">
        <f>VLOOKUP(A126,Database!A:M,MATCH($A$1,Database!$A$1:$M$1,),)</f>
        <v>172406</v>
      </c>
      <c r="C126" s="113">
        <f>(Table53514[[#This Row],[Manufacturers'' New Orders: Durable Goods]]-B125)/B125</f>
        <v>5.5607259190321078E-2</v>
      </c>
    </row>
    <row r="127" spans="1:3" x14ac:dyDescent="0.35">
      <c r="A127" s="74">
        <v>37316</v>
      </c>
      <c r="B127" s="75">
        <f>VLOOKUP(A127,Database!A:M,MATCH($A$1,Database!$A$1:$M$1,),)</f>
        <v>167853</v>
      </c>
      <c r="C127" s="113">
        <f>(Table53514[[#This Row],[Manufacturers'' New Orders: Durable Goods]]-B126)/B126</f>
        <v>-2.6408593668433813E-2</v>
      </c>
    </row>
    <row r="128" spans="1:3" x14ac:dyDescent="0.35">
      <c r="A128" s="74">
        <v>37347</v>
      </c>
      <c r="B128" s="75">
        <f>VLOOKUP(A128,Database!A:M,MATCH($A$1,Database!$A$1:$M$1,),)</f>
        <v>171852</v>
      </c>
      <c r="C128" s="113">
        <f>(Table53514[[#This Row],[Manufacturers'' New Orders: Durable Goods]]-B127)/B127</f>
        <v>2.3824417794141302E-2</v>
      </c>
    </row>
    <row r="129" spans="1:3" x14ac:dyDescent="0.35">
      <c r="A129" s="74">
        <v>37377</v>
      </c>
      <c r="B129" s="75">
        <f>VLOOKUP(A129,Database!A:M,MATCH($A$1,Database!$A$1:$M$1,),)</f>
        <v>171854</v>
      </c>
      <c r="C129" s="113">
        <f>(Table53514[[#This Row],[Manufacturers'' New Orders: Durable Goods]]-B128)/B128</f>
        <v>1.163792100179224E-5</v>
      </c>
    </row>
    <row r="130" spans="1:3" x14ac:dyDescent="0.35">
      <c r="A130" s="74">
        <v>37408</v>
      </c>
      <c r="B130" s="75">
        <f>VLOOKUP(A130,Database!A:M,MATCH($A$1,Database!$A$1:$M$1,),)</f>
        <v>166070</v>
      </c>
      <c r="C130" s="113">
        <f>(Table53514[[#This Row],[Manufacturers'' New Orders: Durable Goods]]-B129)/B129</f>
        <v>-3.3656475845776065E-2</v>
      </c>
    </row>
    <row r="131" spans="1:3" x14ac:dyDescent="0.35">
      <c r="A131" s="74">
        <v>37438</v>
      </c>
      <c r="B131" s="75">
        <f>VLOOKUP(A131,Database!A:M,MATCH($A$1,Database!$A$1:$M$1,),)</f>
        <v>174282</v>
      </c>
      <c r="C131" s="113">
        <f>(Table53514[[#This Row],[Manufacturers'' New Orders: Durable Goods]]-B130)/B130</f>
        <v>4.9449027518516285E-2</v>
      </c>
    </row>
    <row r="132" spans="1:3" x14ac:dyDescent="0.35">
      <c r="A132" s="74">
        <v>37469</v>
      </c>
      <c r="B132" s="75">
        <f>VLOOKUP(A132,Database!A:M,MATCH($A$1,Database!$A$1:$M$1,),)</f>
        <v>177126</v>
      </c>
      <c r="C132" s="113">
        <f>(Table53514[[#This Row],[Manufacturers'' New Orders: Durable Goods]]-B131)/B131</f>
        <v>1.6318380555651185E-2</v>
      </c>
    </row>
    <row r="133" spans="1:3" x14ac:dyDescent="0.35">
      <c r="A133" s="74">
        <v>37500</v>
      </c>
      <c r="B133" s="75">
        <f>VLOOKUP(A133,Database!A:M,MATCH($A$1,Database!$A$1:$M$1,),)</f>
        <v>166838</v>
      </c>
      <c r="C133" s="113">
        <f>(Table53514[[#This Row],[Manufacturers'' New Orders: Durable Goods]]-B132)/B132</f>
        <v>-5.8082946602983188E-2</v>
      </c>
    </row>
    <row r="134" spans="1:3" x14ac:dyDescent="0.35">
      <c r="A134" s="74">
        <v>37530</v>
      </c>
      <c r="B134" s="75">
        <f>VLOOKUP(A134,Database!A:M,MATCH($A$1,Database!$A$1:$M$1,),)</f>
        <v>169134</v>
      </c>
      <c r="C134" s="113">
        <f>(Table53514[[#This Row],[Manufacturers'' New Orders: Durable Goods]]-B133)/B133</f>
        <v>1.3761852815305866E-2</v>
      </c>
    </row>
    <row r="135" spans="1:3" x14ac:dyDescent="0.35">
      <c r="A135" s="74">
        <v>37561</v>
      </c>
      <c r="B135" s="75">
        <f>VLOOKUP(A135,Database!A:M,MATCH($A$1,Database!$A$1:$M$1,),)</f>
        <v>170023</v>
      </c>
      <c r="C135" s="113">
        <f>(Table53514[[#This Row],[Manufacturers'' New Orders: Durable Goods]]-B134)/B134</f>
        <v>5.2561874017051568E-3</v>
      </c>
    </row>
    <row r="136" spans="1:3" x14ac:dyDescent="0.35">
      <c r="A136" s="74">
        <v>37591</v>
      </c>
      <c r="B136" s="75">
        <f>VLOOKUP(A136,Database!A:M,MATCH($A$1,Database!$A$1:$M$1,),)</f>
        <v>163962</v>
      </c>
      <c r="C136" s="113">
        <f>(Table53514[[#This Row],[Manufacturers'' New Orders: Durable Goods]]-B135)/B135</f>
        <v>-3.5648118195773515E-2</v>
      </c>
    </row>
    <row r="137" spans="1:3" x14ac:dyDescent="0.35">
      <c r="A137" s="74">
        <v>37622</v>
      </c>
      <c r="B137" s="75">
        <f>VLOOKUP(A137,Database!A:M,MATCH($A$1,Database!$A$1:$M$1,),)</f>
        <v>169994</v>
      </c>
      <c r="C137" s="113">
        <f>(Table53514[[#This Row],[Manufacturers'' New Orders: Durable Goods]]-B136)/B136</f>
        <v>3.6789012088166768E-2</v>
      </c>
    </row>
    <row r="138" spans="1:3" x14ac:dyDescent="0.35">
      <c r="A138" s="74">
        <v>37653</v>
      </c>
      <c r="B138" s="75">
        <f>VLOOKUP(A138,Database!A:M,MATCH($A$1,Database!$A$1:$M$1,),)</f>
        <v>174113</v>
      </c>
      <c r="C138" s="113">
        <f>(Table53514[[#This Row],[Manufacturers'' New Orders: Durable Goods]]-B137)/B137</f>
        <v>2.4230266950598257E-2</v>
      </c>
    </row>
    <row r="139" spans="1:3" x14ac:dyDescent="0.35">
      <c r="A139" s="74">
        <v>37681</v>
      </c>
      <c r="B139" s="75">
        <f>VLOOKUP(A139,Database!A:M,MATCH($A$1,Database!$A$1:$M$1,),)</f>
        <v>172245</v>
      </c>
      <c r="C139" s="113">
        <f>(Table53514[[#This Row],[Manufacturers'' New Orders: Durable Goods]]-B138)/B138</f>
        <v>-1.0728664717740777E-2</v>
      </c>
    </row>
    <row r="140" spans="1:3" x14ac:dyDescent="0.35">
      <c r="A140" s="74">
        <v>37712</v>
      </c>
      <c r="B140" s="75">
        <f>VLOOKUP(A140,Database!A:M,MATCH($A$1,Database!$A$1:$M$1,),)</f>
        <v>169347</v>
      </c>
      <c r="C140" s="113">
        <f>(Table53514[[#This Row],[Manufacturers'' New Orders: Durable Goods]]-B139)/B139</f>
        <v>-1.6824871549246712E-2</v>
      </c>
    </row>
    <row r="141" spans="1:3" x14ac:dyDescent="0.35">
      <c r="A141" s="74">
        <v>37742</v>
      </c>
      <c r="B141" s="75">
        <f>VLOOKUP(A141,Database!A:M,MATCH($A$1,Database!$A$1:$M$1,),)</f>
        <v>171542</v>
      </c>
      <c r="C141" s="113">
        <f>(Table53514[[#This Row],[Manufacturers'' New Orders: Durable Goods]]-B140)/B140</f>
        <v>1.2961552315659562E-2</v>
      </c>
    </row>
    <row r="142" spans="1:3" x14ac:dyDescent="0.35">
      <c r="A142" s="74">
        <v>37773</v>
      </c>
      <c r="B142" s="75">
        <f>VLOOKUP(A142,Database!A:M,MATCH($A$1,Database!$A$1:$M$1,),)</f>
        <v>173507</v>
      </c>
      <c r="C142" s="113">
        <f>(Table53514[[#This Row],[Manufacturers'' New Orders: Durable Goods]]-B141)/B141</f>
        <v>1.1454920660829418E-2</v>
      </c>
    </row>
    <row r="143" spans="1:3" x14ac:dyDescent="0.35">
      <c r="A143" s="74">
        <v>37803</v>
      </c>
      <c r="B143" s="75">
        <f>VLOOKUP(A143,Database!A:M,MATCH($A$1,Database!$A$1:$M$1,),)</f>
        <v>173320</v>
      </c>
      <c r="C143" s="113">
        <f>(Table53514[[#This Row],[Manufacturers'' New Orders: Durable Goods]]-B142)/B142</f>
        <v>-1.0777663149037216E-3</v>
      </c>
    </row>
    <row r="144" spans="1:3" x14ac:dyDescent="0.35">
      <c r="A144" s="74">
        <v>37834</v>
      </c>
      <c r="B144" s="75">
        <f>VLOOKUP(A144,Database!A:M,MATCH($A$1,Database!$A$1:$M$1,),)</f>
        <v>173044</v>
      </c>
      <c r="C144" s="113">
        <f>(Table53514[[#This Row],[Manufacturers'' New Orders: Durable Goods]]-B143)/B143</f>
        <v>-1.5924301869374568E-3</v>
      </c>
    </row>
    <row r="145" spans="1:3" x14ac:dyDescent="0.35">
      <c r="A145" s="74">
        <v>37865</v>
      </c>
      <c r="B145" s="75">
        <f>VLOOKUP(A145,Database!A:M,MATCH($A$1,Database!$A$1:$M$1,),)</f>
        <v>178690</v>
      </c>
      <c r="C145" s="113">
        <f>(Table53514[[#This Row],[Manufacturers'' New Orders: Durable Goods]]-B144)/B144</f>
        <v>3.2627539816462867E-2</v>
      </c>
    </row>
    <row r="146" spans="1:3" x14ac:dyDescent="0.35">
      <c r="A146" s="74">
        <v>37895</v>
      </c>
      <c r="B146" s="75">
        <f>VLOOKUP(A146,Database!A:M,MATCH($A$1,Database!$A$1:$M$1,),)</f>
        <v>183704</v>
      </c>
      <c r="C146" s="113">
        <f>(Table53514[[#This Row],[Manufacturers'' New Orders: Durable Goods]]-B145)/B145</f>
        <v>2.8059768313839609E-2</v>
      </c>
    </row>
    <row r="147" spans="1:3" x14ac:dyDescent="0.35">
      <c r="A147" s="74">
        <v>37926</v>
      </c>
      <c r="B147" s="75">
        <f>VLOOKUP(A147,Database!A:M,MATCH($A$1,Database!$A$1:$M$1,),)</f>
        <v>181685</v>
      </c>
      <c r="C147" s="113">
        <f>(Table53514[[#This Row],[Manufacturers'' New Orders: Durable Goods]]-B146)/B146</f>
        <v>-1.0990506466925053E-2</v>
      </c>
    </row>
    <row r="148" spans="1:3" x14ac:dyDescent="0.35">
      <c r="A148" s="74">
        <v>37956</v>
      </c>
      <c r="B148" s="75">
        <f>VLOOKUP(A148,Database!A:M,MATCH($A$1,Database!$A$1:$M$1,),)</f>
        <v>181513</v>
      </c>
      <c r="C148" s="113">
        <f>(Table53514[[#This Row],[Manufacturers'' New Orders: Durable Goods]]-B147)/B147</f>
        <v>-9.4669345295428906E-4</v>
      </c>
    </row>
    <row r="149" spans="1:3" x14ac:dyDescent="0.35">
      <c r="A149" s="74">
        <v>37987</v>
      </c>
      <c r="B149" s="75">
        <f>VLOOKUP(A149,Database!A:M,MATCH($A$1,Database!$A$1:$M$1,),)</f>
        <v>178696</v>
      </c>
      <c r="C149" s="113">
        <f>(Table53514[[#This Row],[Manufacturers'' New Orders: Durable Goods]]-B148)/B148</f>
        <v>-1.5519549563943079E-2</v>
      </c>
    </row>
    <row r="150" spans="1:3" x14ac:dyDescent="0.35">
      <c r="A150" s="74">
        <v>38018</v>
      </c>
      <c r="B150" s="75">
        <f>VLOOKUP(A150,Database!A:M,MATCH($A$1,Database!$A$1:$M$1,),)</f>
        <v>181662</v>
      </c>
      <c r="C150" s="113">
        <f>(Table53514[[#This Row],[Manufacturers'' New Orders: Durable Goods]]-B149)/B149</f>
        <v>1.659802122039665E-2</v>
      </c>
    </row>
    <row r="151" spans="1:3" x14ac:dyDescent="0.35">
      <c r="A151" s="74">
        <v>38047</v>
      </c>
      <c r="B151" s="75">
        <f>VLOOKUP(A151,Database!A:M,MATCH($A$1,Database!$A$1:$M$1,),)</f>
        <v>190869</v>
      </c>
      <c r="C151" s="113">
        <f>(Table53514[[#This Row],[Manufacturers'' New Orders: Durable Goods]]-B150)/B150</f>
        <v>5.0682035868811308E-2</v>
      </c>
    </row>
    <row r="152" spans="1:3" x14ac:dyDescent="0.35">
      <c r="A152" s="74">
        <v>38078</v>
      </c>
      <c r="B152" s="75">
        <f>VLOOKUP(A152,Database!A:M,MATCH($A$1,Database!$A$1:$M$1,),)</f>
        <v>184368</v>
      </c>
      <c r="C152" s="113">
        <f>(Table53514[[#This Row],[Manufacturers'' New Orders: Durable Goods]]-B151)/B151</f>
        <v>-3.4060009744903572E-2</v>
      </c>
    </row>
    <row r="153" spans="1:3" x14ac:dyDescent="0.35">
      <c r="A153" s="74">
        <v>38108</v>
      </c>
      <c r="B153" s="75">
        <f>VLOOKUP(A153,Database!A:M,MATCH($A$1,Database!$A$1:$M$1,),)</f>
        <v>183459</v>
      </c>
      <c r="C153" s="113">
        <f>(Table53514[[#This Row],[Manufacturers'' New Orders: Durable Goods]]-B152)/B152</f>
        <v>-4.9303566779484512E-3</v>
      </c>
    </row>
    <row r="154" spans="1:3" x14ac:dyDescent="0.35">
      <c r="A154" s="74">
        <v>38139</v>
      </c>
      <c r="B154" s="75">
        <f>VLOOKUP(A154,Database!A:M,MATCH($A$1,Database!$A$1:$M$1,),)</f>
        <v>185640</v>
      </c>
      <c r="C154" s="113">
        <f>(Table53514[[#This Row],[Manufacturers'' New Orders: Durable Goods]]-B153)/B153</f>
        <v>1.1888214805487875E-2</v>
      </c>
    </row>
    <row r="155" spans="1:3" x14ac:dyDescent="0.35">
      <c r="A155" s="74">
        <v>38169</v>
      </c>
      <c r="B155" s="75">
        <f>VLOOKUP(A155,Database!A:M,MATCH($A$1,Database!$A$1:$M$1,),)</f>
        <v>186835</v>
      </c>
      <c r="C155" s="113">
        <f>(Table53514[[#This Row],[Manufacturers'' New Orders: Durable Goods]]-B154)/B154</f>
        <v>6.4371902607196722E-3</v>
      </c>
    </row>
    <row r="156" spans="1:3" x14ac:dyDescent="0.35">
      <c r="A156" s="74">
        <v>38200</v>
      </c>
      <c r="B156" s="75">
        <f>VLOOKUP(A156,Database!A:M,MATCH($A$1,Database!$A$1:$M$1,),)</f>
        <v>183728</v>
      </c>
      <c r="C156" s="113">
        <f>(Table53514[[#This Row],[Manufacturers'' New Orders: Durable Goods]]-B155)/B155</f>
        <v>-1.662964647951401E-2</v>
      </c>
    </row>
    <row r="157" spans="1:3" x14ac:dyDescent="0.35">
      <c r="A157" s="74">
        <v>38231</v>
      </c>
      <c r="B157" s="75">
        <f>VLOOKUP(A157,Database!A:M,MATCH($A$1,Database!$A$1:$M$1,),)</f>
        <v>188444</v>
      </c>
      <c r="C157" s="113">
        <f>(Table53514[[#This Row],[Manufacturers'' New Orders: Durable Goods]]-B156)/B156</f>
        <v>2.5668379343377165E-2</v>
      </c>
    </row>
    <row r="158" spans="1:3" x14ac:dyDescent="0.35">
      <c r="A158" s="74">
        <v>38261</v>
      </c>
      <c r="B158" s="75">
        <f>VLOOKUP(A158,Database!A:M,MATCH($A$1,Database!$A$1:$M$1,),)</f>
        <v>185187</v>
      </c>
      <c r="C158" s="113">
        <f>(Table53514[[#This Row],[Manufacturers'' New Orders: Durable Goods]]-B157)/B157</f>
        <v>-1.7283649253889751E-2</v>
      </c>
    </row>
    <row r="159" spans="1:3" x14ac:dyDescent="0.35">
      <c r="A159" s="74">
        <v>38292</v>
      </c>
      <c r="B159" s="75">
        <f>VLOOKUP(A159,Database!A:M,MATCH($A$1,Database!$A$1:$M$1,),)</f>
        <v>192545</v>
      </c>
      <c r="C159" s="113">
        <f>(Table53514[[#This Row],[Manufacturers'' New Orders: Durable Goods]]-B158)/B158</f>
        <v>3.973281061845594E-2</v>
      </c>
    </row>
    <row r="160" spans="1:3" x14ac:dyDescent="0.35">
      <c r="A160" s="74">
        <v>38322</v>
      </c>
      <c r="B160" s="75">
        <f>VLOOKUP(A160,Database!A:M,MATCH($A$1,Database!$A$1:$M$1,),)</f>
        <v>193578</v>
      </c>
      <c r="C160" s="113">
        <f>(Table53514[[#This Row],[Manufacturers'' New Orders: Durable Goods]]-B159)/B159</f>
        <v>5.364979615154899E-3</v>
      </c>
    </row>
    <row r="161" spans="1:3" x14ac:dyDescent="0.35">
      <c r="A161" s="74">
        <v>38353</v>
      </c>
      <c r="B161" s="75">
        <f>VLOOKUP(A161,Database!A:M,MATCH($A$1,Database!$A$1:$M$1,),)</f>
        <v>194875</v>
      </c>
      <c r="C161" s="113">
        <f>(Table53514[[#This Row],[Manufacturers'' New Orders: Durable Goods]]-B160)/B160</f>
        <v>6.7001415450102797E-3</v>
      </c>
    </row>
    <row r="162" spans="1:3" x14ac:dyDescent="0.35">
      <c r="A162" s="74">
        <v>38384</v>
      </c>
      <c r="B162" s="75">
        <f>VLOOKUP(A162,Database!A:M,MATCH($A$1,Database!$A$1:$M$1,),)</f>
        <v>196475</v>
      </c>
      <c r="C162" s="113">
        <f>(Table53514[[#This Row],[Manufacturers'' New Orders: Durable Goods]]-B161)/B161</f>
        <v>8.2103912764592696E-3</v>
      </c>
    </row>
    <row r="163" spans="1:3" x14ac:dyDescent="0.35">
      <c r="A163" s="74">
        <v>38412</v>
      </c>
      <c r="B163" s="75">
        <f>VLOOKUP(A163,Database!A:M,MATCH($A$1,Database!$A$1:$M$1,),)</f>
        <v>186608</v>
      </c>
      <c r="C163" s="113">
        <f>(Table53514[[#This Row],[Manufacturers'' New Orders: Durable Goods]]-B162)/B162</f>
        <v>-5.0220129787504772E-2</v>
      </c>
    </row>
    <row r="164" spans="1:3" x14ac:dyDescent="0.35">
      <c r="A164" s="74">
        <v>38443</v>
      </c>
      <c r="B164" s="75">
        <f>VLOOKUP(A164,Database!A:M,MATCH($A$1,Database!$A$1:$M$1,),)</f>
        <v>194847</v>
      </c>
      <c r="C164" s="113">
        <f>(Table53514[[#This Row],[Manufacturers'' New Orders: Durable Goods]]-B163)/B163</f>
        <v>4.415137614678899E-2</v>
      </c>
    </row>
    <row r="165" spans="1:3" x14ac:dyDescent="0.35">
      <c r="A165" s="74">
        <v>38473</v>
      </c>
      <c r="B165" s="75">
        <f>VLOOKUP(A165,Database!A:M,MATCH($A$1,Database!$A$1:$M$1,),)</f>
        <v>206623</v>
      </c>
      <c r="C165" s="113">
        <f>(Table53514[[#This Row],[Manufacturers'' New Orders: Durable Goods]]-B164)/B164</f>
        <v>6.0437163518042361E-2</v>
      </c>
    </row>
    <row r="166" spans="1:3" x14ac:dyDescent="0.35">
      <c r="A166" s="74">
        <v>38504</v>
      </c>
      <c r="B166" s="75">
        <f>VLOOKUP(A166,Database!A:M,MATCH($A$1,Database!$A$1:$M$1,),)</f>
        <v>210020</v>
      </c>
      <c r="C166" s="113">
        <f>(Table53514[[#This Row],[Manufacturers'' New Orders: Durable Goods]]-B165)/B165</f>
        <v>1.6440570507639519E-2</v>
      </c>
    </row>
    <row r="167" spans="1:3" x14ac:dyDescent="0.35">
      <c r="A167" s="74">
        <v>38534</v>
      </c>
      <c r="B167" s="75">
        <f>VLOOKUP(A167,Database!A:M,MATCH($A$1,Database!$A$1:$M$1,),)</f>
        <v>194475</v>
      </c>
      <c r="C167" s="113">
        <f>(Table53514[[#This Row],[Manufacturers'' New Orders: Durable Goods]]-B166)/B166</f>
        <v>-7.401676030854204E-2</v>
      </c>
    </row>
    <row r="168" spans="1:3" x14ac:dyDescent="0.35">
      <c r="A168" s="74">
        <v>38565</v>
      </c>
      <c r="B168" s="75">
        <f>VLOOKUP(A168,Database!A:M,MATCH($A$1,Database!$A$1:$M$1,),)</f>
        <v>204839</v>
      </c>
      <c r="C168" s="113">
        <f>(Table53514[[#This Row],[Manufacturers'' New Orders: Durable Goods]]-B167)/B167</f>
        <v>5.3292196940480784E-2</v>
      </c>
    </row>
    <row r="169" spans="1:3" x14ac:dyDescent="0.35">
      <c r="A169" s="74">
        <v>38596</v>
      </c>
      <c r="B169" s="75">
        <f>VLOOKUP(A169,Database!A:M,MATCH($A$1,Database!$A$1:$M$1,),)</f>
        <v>203997</v>
      </c>
      <c r="C169" s="113">
        <f>(Table53514[[#This Row],[Manufacturers'' New Orders: Durable Goods]]-B168)/B168</f>
        <v>-4.1105453551325676E-3</v>
      </c>
    </row>
    <row r="170" spans="1:3" x14ac:dyDescent="0.35">
      <c r="A170" s="74">
        <v>38626</v>
      </c>
      <c r="B170" s="75">
        <f>VLOOKUP(A170,Database!A:M,MATCH($A$1,Database!$A$1:$M$1,),)</f>
        <v>209901</v>
      </c>
      <c r="C170" s="113">
        <f>(Table53514[[#This Row],[Manufacturers'' New Orders: Durable Goods]]-B169)/B169</f>
        <v>2.8941602082383566E-2</v>
      </c>
    </row>
    <row r="171" spans="1:3" x14ac:dyDescent="0.35">
      <c r="A171" s="74">
        <v>38657</v>
      </c>
      <c r="B171" s="75">
        <f>VLOOKUP(A171,Database!A:M,MATCH($A$1,Database!$A$1:$M$1,),)</f>
        <v>220733</v>
      </c>
      <c r="C171" s="113">
        <f>(Table53514[[#This Row],[Manufacturers'' New Orders: Durable Goods]]-B170)/B170</f>
        <v>5.1605280584656577E-2</v>
      </c>
    </row>
    <row r="172" spans="1:3" x14ac:dyDescent="0.35">
      <c r="A172" s="74">
        <v>38687</v>
      </c>
      <c r="B172" s="75">
        <f>VLOOKUP(A172,Database!A:M,MATCH($A$1,Database!$A$1:$M$1,),)</f>
        <v>221499</v>
      </c>
      <c r="C172" s="113">
        <f>(Table53514[[#This Row],[Manufacturers'' New Orders: Durable Goods]]-B171)/B171</f>
        <v>3.4702559200482032E-3</v>
      </c>
    </row>
    <row r="173" spans="1:3" x14ac:dyDescent="0.35">
      <c r="A173" s="74">
        <v>38718</v>
      </c>
      <c r="B173" s="75">
        <f>VLOOKUP(A173,Database!A:M,MATCH($A$1,Database!$A$1:$M$1,),)</f>
        <v>209540</v>
      </c>
      <c r="C173" s="113">
        <f>(Table53514[[#This Row],[Manufacturers'' New Orders: Durable Goods]]-B172)/B172</f>
        <v>-5.3991214407288518E-2</v>
      </c>
    </row>
    <row r="174" spans="1:3" x14ac:dyDescent="0.35">
      <c r="A174" s="74">
        <v>38749</v>
      </c>
      <c r="B174" s="75">
        <f>VLOOKUP(A174,Database!A:M,MATCH($A$1,Database!$A$1:$M$1,),)</f>
        <v>219738</v>
      </c>
      <c r="C174" s="113">
        <f>(Table53514[[#This Row],[Manufacturers'' New Orders: Durable Goods]]-B173)/B173</f>
        <v>4.8668511978619836E-2</v>
      </c>
    </row>
    <row r="175" spans="1:3" x14ac:dyDescent="0.35">
      <c r="A175" s="74">
        <v>38777</v>
      </c>
      <c r="B175" s="75">
        <f>VLOOKUP(A175,Database!A:M,MATCH($A$1,Database!$A$1:$M$1,),)</f>
        <v>227188</v>
      </c>
      <c r="C175" s="113">
        <f>(Table53514[[#This Row],[Manufacturers'' New Orders: Durable Goods]]-B174)/B174</f>
        <v>3.3904012960889789E-2</v>
      </c>
    </row>
    <row r="176" spans="1:3" x14ac:dyDescent="0.35">
      <c r="A176" s="74">
        <v>38808</v>
      </c>
      <c r="B176" s="75">
        <f>VLOOKUP(A176,Database!A:M,MATCH($A$1,Database!$A$1:$M$1,),)</f>
        <v>214625</v>
      </c>
      <c r="C176" s="113">
        <f>(Table53514[[#This Row],[Manufacturers'' New Orders: Durable Goods]]-B175)/B175</f>
        <v>-5.5297815025441482E-2</v>
      </c>
    </row>
    <row r="177" spans="1:3" x14ac:dyDescent="0.35">
      <c r="A177" s="74">
        <v>38838</v>
      </c>
      <c r="B177" s="75">
        <f>VLOOKUP(A177,Database!A:M,MATCH($A$1,Database!$A$1:$M$1,),)</f>
        <v>215819</v>
      </c>
      <c r="C177" s="113">
        <f>(Table53514[[#This Row],[Manufacturers'' New Orders: Durable Goods]]-B176)/B176</f>
        <v>5.5631916132789748E-3</v>
      </c>
    </row>
    <row r="178" spans="1:3" x14ac:dyDescent="0.35">
      <c r="A178" s="74">
        <v>38869</v>
      </c>
      <c r="B178" s="75">
        <f>VLOOKUP(A178,Database!A:M,MATCH($A$1,Database!$A$1:$M$1,),)</f>
        <v>221220</v>
      </c>
      <c r="C178" s="113">
        <f>(Table53514[[#This Row],[Manufacturers'' New Orders: Durable Goods]]-B177)/B177</f>
        <v>2.5025600155686015E-2</v>
      </c>
    </row>
    <row r="179" spans="1:3" x14ac:dyDescent="0.35">
      <c r="A179" s="74">
        <v>38899</v>
      </c>
      <c r="B179" s="75">
        <f>VLOOKUP(A179,Database!A:M,MATCH($A$1,Database!$A$1:$M$1,),)</f>
        <v>209494</v>
      </c>
      <c r="C179" s="113">
        <f>(Table53514[[#This Row],[Manufacturers'' New Orders: Durable Goods]]-B178)/B178</f>
        <v>-5.3006057318506467E-2</v>
      </c>
    </row>
    <row r="180" spans="1:3" x14ac:dyDescent="0.35">
      <c r="A180" s="74">
        <v>38930</v>
      </c>
      <c r="B180" s="75">
        <f>VLOOKUP(A180,Database!A:M,MATCH($A$1,Database!$A$1:$M$1,),)</f>
        <v>210473</v>
      </c>
      <c r="C180" s="113">
        <f>(Table53514[[#This Row],[Manufacturers'' New Orders: Durable Goods]]-B179)/B179</f>
        <v>4.6731648639101835E-3</v>
      </c>
    </row>
    <row r="181" spans="1:3" x14ac:dyDescent="0.35">
      <c r="A181" s="74">
        <v>38961</v>
      </c>
      <c r="B181" s="75">
        <f>VLOOKUP(A181,Database!A:M,MATCH($A$1,Database!$A$1:$M$1,),)</f>
        <v>234701</v>
      </c>
      <c r="C181" s="113">
        <f>(Table53514[[#This Row],[Manufacturers'' New Orders: Durable Goods]]-B180)/B180</f>
        <v>0.11511215215253263</v>
      </c>
    </row>
    <row r="182" spans="1:3" x14ac:dyDescent="0.35">
      <c r="A182" s="74">
        <v>38991</v>
      </c>
      <c r="B182" s="75">
        <f>VLOOKUP(A182,Database!A:M,MATCH($A$1,Database!$A$1:$M$1,),)</f>
        <v>216952</v>
      </c>
      <c r="C182" s="113">
        <f>(Table53514[[#This Row],[Manufacturers'' New Orders: Durable Goods]]-B181)/B181</f>
        <v>-7.5623878892718821E-2</v>
      </c>
    </row>
    <row r="183" spans="1:3" x14ac:dyDescent="0.35">
      <c r="A183" s="74">
        <v>39022</v>
      </c>
      <c r="B183" s="75">
        <f>VLOOKUP(A183,Database!A:M,MATCH($A$1,Database!$A$1:$M$1,),)</f>
        <v>224809</v>
      </c>
      <c r="C183" s="113">
        <f>(Table53514[[#This Row],[Manufacturers'' New Orders: Durable Goods]]-B182)/B182</f>
        <v>3.6215384048084366E-2</v>
      </c>
    </row>
    <row r="184" spans="1:3" x14ac:dyDescent="0.35">
      <c r="A184" s="74">
        <v>39052</v>
      </c>
      <c r="B184" s="75">
        <f>VLOOKUP(A184,Database!A:M,MATCH($A$1,Database!$A$1:$M$1,),)</f>
        <v>229243</v>
      </c>
      <c r="C184" s="113">
        <f>(Table53514[[#This Row],[Manufacturers'' New Orders: Durable Goods]]-B183)/B183</f>
        <v>1.972340964996953E-2</v>
      </c>
    </row>
    <row r="185" spans="1:3" x14ac:dyDescent="0.35">
      <c r="A185" s="74">
        <v>39083</v>
      </c>
      <c r="B185" s="75">
        <f>VLOOKUP(A185,Database!A:M,MATCH($A$1,Database!$A$1:$M$1,),)</f>
        <v>222969</v>
      </c>
      <c r="C185" s="113">
        <f>(Table53514[[#This Row],[Manufacturers'' New Orders: Durable Goods]]-B184)/B184</f>
        <v>-2.7368338400736335E-2</v>
      </c>
    </row>
    <row r="186" spans="1:3" x14ac:dyDescent="0.35">
      <c r="A186" s="74">
        <v>39114</v>
      </c>
      <c r="B186" s="75">
        <f>VLOOKUP(A186,Database!A:M,MATCH($A$1,Database!$A$1:$M$1,),)</f>
        <v>220962</v>
      </c>
      <c r="C186" s="113">
        <f>(Table53514[[#This Row],[Manufacturers'' New Orders: Durable Goods]]-B185)/B185</f>
        <v>-9.0012512950230755E-3</v>
      </c>
    </row>
    <row r="187" spans="1:3" x14ac:dyDescent="0.35">
      <c r="A187" s="74">
        <v>39142</v>
      </c>
      <c r="B187" s="75">
        <f>VLOOKUP(A187,Database!A:M,MATCH($A$1,Database!$A$1:$M$1,),)</f>
        <v>229526</v>
      </c>
      <c r="C187" s="113">
        <f>(Table53514[[#This Row],[Manufacturers'' New Orders: Durable Goods]]-B186)/B186</f>
        <v>3.875779545804256E-2</v>
      </c>
    </row>
    <row r="188" spans="1:3" x14ac:dyDescent="0.35">
      <c r="A188" s="74">
        <v>39173</v>
      </c>
      <c r="B188" s="75">
        <f>VLOOKUP(A188,Database!A:M,MATCH($A$1,Database!$A$1:$M$1,),)</f>
        <v>233420</v>
      </c>
      <c r="C188" s="113">
        <f>(Table53514[[#This Row],[Manufacturers'' New Orders: Durable Goods]]-B187)/B187</f>
        <v>1.6965398255535322E-2</v>
      </c>
    </row>
    <row r="189" spans="1:3" x14ac:dyDescent="0.35">
      <c r="A189" s="74">
        <v>39203</v>
      </c>
      <c r="B189" s="75">
        <f>VLOOKUP(A189,Database!A:M,MATCH($A$1,Database!$A$1:$M$1,),)</f>
        <v>228836</v>
      </c>
      <c r="C189" s="113">
        <f>(Table53514[[#This Row],[Manufacturers'' New Orders: Durable Goods]]-B188)/B188</f>
        <v>-1.9638420015422844E-2</v>
      </c>
    </row>
    <row r="190" spans="1:3" x14ac:dyDescent="0.35">
      <c r="A190" s="74">
        <v>39234</v>
      </c>
      <c r="B190" s="75">
        <f>VLOOKUP(A190,Database!A:M,MATCH($A$1,Database!$A$1:$M$1,),)</f>
        <v>228868</v>
      </c>
      <c r="C190" s="113">
        <f>(Table53514[[#This Row],[Manufacturers'' New Orders: Durable Goods]]-B189)/B189</f>
        <v>1.3983813735601042E-4</v>
      </c>
    </row>
    <row r="191" spans="1:3" x14ac:dyDescent="0.35">
      <c r="A191" s="74">
        <v>39264</v>
      </c>
      <c r="B191" s="75">
        <f>VLOOKUP(A191,Database!A:M,MATCH($A$1,Database!$A$1:$M$1,),)</f>
        <v>233176</v>
      </c>
      <c r="C191" s="113">
        <f>(Table53514[[#This Row],[Manufacturers'' New Orders: Durable Goods]]-B190)/B190</f>
        <v>1.8823077057517869E-2</v>
      </c>
    </row>
    <row r="192" spans="1:3" x14ac:dyDescent="0.35">
      <c r="A192" s="74">
        <v>39295</v>
      </c>
      <c r="B192" s="75">
        <f>VLOOKUP(A192,Database!A:M,MATCH($A$1,Database!$A$1:$M$1,),)</f>
        <v>235758</v>
      </c>
      <c r="C192" s="113">
        <f>(Table53514[[#This Row],[Manufacturers'' New Orders: Durable Goods]]-B191)/B191</f>
        <v>1.107318077332144E-2</v>
      </c>
    </row>
    <row r="193" spans="1:3" x14ac:dyDescent="0.35">
      <c r="A193" s="74">
        <v>39326</v>
      </c>
      <c r="B193" s="75">
        <f>VLOOKUP(A193,Database!A:M,MATCH($A$1,Database!$A$1:$M$1,),)</f>
        <v>226473</v>
      </c>
      <c r="C193" s="113">
        <f>(Table53514[[#This Row],[Manufacturers'' New Orders: Durable Goods]]-B192)/B192</f>
        <v>-3.9383605222304226E-2</v>
      </c>
    </row>
    <row r="194" spans="1:3" x14ac:dyDescent="0.35">
      <c r="A194" s="74">
        <v>39356</v>
      </c>
      <c r="B194" s="75">
        <f>VLOOKUP(A194,Database!A:M,MATCH($A$1,Database!$A$1:$M$1,),)</f>
        <v>230700</v>
      </c>
      <c r="C194" s="113">
        <f>(Table53514[[#This Row],[Manufacturers'' New Orders: Durable Goods]]-B193)/B193</f>
        <v>1.8664476560119748E-2</v>
      </c>
    </row>
    <row r="195" spans="1:3" x14ac:dyDescent="0.35">
      <c r="A195" s="74">
        <v>39387</v>
      </c>
      <c r="B195" s="75">
        <f>VLOOKUP(A195,Database!A:M,MATCH($A$1,Database!$A$1:$M$1,),)</f>
        <v>227005</v>
      </c>
      <c r="C195" s="113">
        <f>(Table53514[[#This Row],[Manufacturers'' New Orders: Durable Goods]]-B194)/B194</f>
        <v>-1.6016471608149112E-2</v>
      </c>
    </row>
    <row r="196" spans="1:3" x14ac:dyDescent="0.35">
      <c r="A196" s="74">
        <v>39417</v>
      </c>
      <c r="B196" s="75">
        <f>VLOOKUP(A196,Database!A:M,MATCH($A$1,Database!$A$1:$M$1,),)</f>
        <v>244443</v>
      </c>
      <c r="C196" s="113">
        <f>(Table53514[[#This Row],[Manufacturers'' New Orders: Durable Goods]]-B195)/B195</f>
        <v>7.6817691240281052E-2</v>
      </c>
    </row>
    <row r="197" spans="1:3" x14ac:dyDescent="0.35">
      <c r="A197" s="74">
        <v>39448</v>
      </c>
      <c r="B197" s="75">
        <f>VLOOKUP(A197,Database!A:M,MATCH($A$1,Database!$A$1:$M$1,),)</f>
        <v>239389</v>
      </c>
      <c r="C197" s="113">
        <f>(Table53514[[#This Row],[Manufacturers'' New Orders: Durable Goods]]-B196)/B196</f>
        <v>-2.0675576719316979E-2</v>
      </c>
    </row>
    <row r="198" spans="1:3" x14ac:dyDescent="0.35">
      <c r="A198" s="74">
        <v>39479</v>
      </c>
      <c r="B198" s="75">
        <f>VLOOKUP(A198,Database!A:M,MATCH($A$1,Database!$A$1:$M$1,),)</f>
        <v>235037</v>
      </c>
      <c r="C198" s="113">
        <f>(Table53514[[#This Row],[Manufacturers'' New Orders: Durable Goods]]-B197)/B197</f>
        <v>-1.8179615604727035E-2</v>
      </c>
    </row>
    <row r="199" spans="1:3" x14ac:dyDescent="0.35">
      <c r="A199" s="74">
        <v>39508</v>
      </c>
      <c r="B199" s="75">
        <f>VLOOKUP(A199,Database!A:M,MATCH($A$1,Database!$A$1:$M$1,),)</f>
        <v>234868</v>
      </c>
      <c r="C199" s="113">
        <f>(Table53514[[#This Row],[Manufacturers'' New Orders: Durable Goods]]-B198)/B198</f>
        <v>-7.1903572628990325E-4</v>
      </c>
    </row>
    <row r="200" spans="1:3" x14ac:dyDescent="0.35">
      <c r="A200" s="74">
        <v>39539</v>
      </c>
      <c r="B200" s="75">
        <f>VLOOKUP(A200,Database!A:M,MATCH($A$1,Database!$A$1:$M$1,),)</f>
        <v>231086</v>
      </c>
      <c r="C200" s="113">
        <f>(Table53514[[#This Row],[Manufacturers'' New Orders: Durable Goods]]-B199)/B199</f>
        <v>-1.6102661920738458E-2</v>
      </c>
    </row>
    <row r="201" spans="1:3" x14ac:dyDescent="0.35">
      <c r="A201" s="74">
        <v>39569</v>
      </c>
      <c r="B201" s="75">
        <f>VLOOKUP(A201,Database!A:M,MATCH($A$1,Database!$A$1:$M$1,),)</f>
        <v>227370</v>
      </c>
      <c r="C201" s="113">
        <f>(Table53514[[#This Row],[Manufacturers'' New Orders: Durable Goods]]-B200)/B200</f>
        <v>-1.6080593372164477E-2</v>
      </c>
    </row>
    <row r="202" spans="1:3" x14ac:dyDescent="0.35">
      <c r="A202" s="74">
        <v>39600</v>
      </c>
      <c r="B202" s="75">
        <f>VLOOKUP(A202,Database!A:M,MATCH($A$1,Database!$A$1:$M$1,),)</f>
        <v>229262</v>
      </c>
      <c r="C202" s="113">
        <f>(Table53514[[#This Row],[Manufacturers'' New Orders: Durable Goods]]-B201)/B201</f>
        <v>8.3212385099177555E-3</v>
      </c>
    </row>
    <row r="203" spans="1:3" x14ac:dyDescent="0.35">
      <c r="A203" s="74">
        <v>39630</v>
      </c>
      <c r="B203" s="75">
        <f>VLOOKUP(A203,Database!A:M,MATCH($A$1,Database!$A$1:$M$1,),)</f>
        <v>220411</v>
      </c>
      <c r="C203" s="113">
        <f>(Table53514[[#This Row],[Manufacturers'' New Orders: Durable Goods]]-B202)/B202</f>
        <v>-3.8606485156720258E-2</v>
      </c>
    </row>
    <row r="204" spans="1:3" x14ac:dyDescent="0.35">
      <c r="A204" s="74">
        <v>39661</v>
      </c>
      <c r="B204" s="75">
        <f>VLOOKUP(A204,Database!A:M,MATCH($A$1,Database!$A$1:$M$1,),)</f>
        <v>214106</v>
      </c>
      <c r="C204" s="113">
        <f>(Table53514[[#This Row],[Manufacturers'' New Orders: Durable Goods]]-B203)/B203</f>
        <v>-2.8605650353203789E-2</v>
      </c>
    </row>
    <row r="205" spans="1:3" x14ac:dyDescent="0.35">
      <c r="A205" s="74">
        <v>39692</v>
      </c>
      <c r="B205" s="75">
        <f>VLOOKUP(A205,Database!A:M,MATCH($A$1,Database!$A$1:$M$1,),)</f>
        <v>215245</v>
      </c>
      <c r="C205" s="113">
        <f>(Table53514[[#This Row],[Manufacturers'' New Orders: Durable Goods]]-B204)/B204</f>
        <v>5.3197948679625977E-3</v>
      </c>
    </row>
    <row r="206" spans="1:3" x14ac:dyDescent="0.35">
      <c r="A206" s="74">
        <v>39722</v>
      </c>
      <c r="B206" s="75">
        <f>VLOOKUP(A206,Database!A:M,MATCH($A$1,Database!$A$1:$M$1,),)</f>
        <v>191912</v>
      </c>
      <c r="C206" s="113">
        <f>(Table53514[[#This Row],[Manufacturers'' New Orders: Durable Goods]]-B205)/B205</f>
        <v>-0.1084020534739483</v>
      </c>
    </row>
    <row r="207" spans="1:3" x14ac:dyDescent="0.35">
      <c r="A207" s="74">
        <v>39753</v>
      </c>
      <c r="B207" s="75">
        <f>VLOOKUP(A207,Database!A:M,MATCH($A$1,Database!$A$1:$M$1,),)</f>
        <v>181552</v>
      </c>
      <c r="C207" s="113">
        <f>(Table53514[[#This Row],[Manufacturers'' New Orders: Durable Goods]]-B206)/B206</f>
        <v>-5.3983075576305807E-2</v>
      </c>
    </row>
    <row r="208" spans="1:3" x14ac:dyDescent="0.35">
      <c r="A208" s="74">
        <v>39783</v>
      </c>
      <c r="B208" s="75">
        <f>VLOOKUP(A208,Database!A:M,MATCH($A$1,Database!$A$1:$M$1,),)</f>
        <v>173849</v>
      </c>
      <c r="C208" s="113">
        <f>(Table53514[[#This Row],[Manufacturers'' New Orders: Durable Goods]]-B207)/B207</f>
        <v>-4.242861549308187E-2</v>
      </c>
    </row>
    <row r="209" spans="1:3" x14ac:dyDescent="0.35">
      <c r="A209" s="74">
        <v>39814</v>
      </c>
      <c r="B209" s="75">
        <f>VLOOKUP(A209,Database!A:M,MATCH($A$1,Database!$A$1:$M$1,),)</f>
        <v>151085</v>
      </c>
      <c r="C209" s="113">
        <f>(Table53514[[#This Row],[Manufacturers'' New Orders: Durable Goods]]-B208)/B208</f>
        <v>-0.13094121910393502</v>
      </c>
    </row>
    <row r="210" spans="1:3" x14ac:dyDescent="0.35">
      <c r="A210" s="74">
        <v>39845</v>
      </c>
      <c r="B210" s="75">
        <f>VLOOKUP(A210,Database!A:M,MATCH($A$1,Database!$A$1:$M$1,),)</f>
        <v>148834</v>
      </c>
      <c r="C210" s="113">
        <f>(Table53514[[#This Row],[Manufacturers'' New Orders: Durable Goods]]-B209)/B209</f>
        <v>-1.4898897971340636E-2</v>
      </c>
    </row>
    <row r="211" spans="1:3" x14ac:dyDescent="0.35">
      <c r="A211" s="74">
        <v>39873</v>
      </c>
      <c r="B211" s="75">
        <f>VLOOKUP(A211,Database!A:M,MATCH($A$1,Database!$A$1:$M$1,),)</f>
        <v>146323</v>
      </c>
      <c r="C211" s="113">
        <f>(Table53514[[#This Row],[Manufacturers'' New Orders: Durable Goods]]-B210)/B210</f>
        <v>-1.6871145034064797E-2</v>
      </c>
    </row>
    <row r="212" spans="1:3" x14ac:dyDescent="0.35">
      <c r="A212" s="74">
        <v>39904</v>
      </c>
      <c r="B212" s="75">
        <f>VLOOKUP(A212,Database!A:M,MATCH($A$1,Database!$A$1:$M$1,),)</f>
        <v>147467</v>
      </c>
      <c r="C212" s="113">
        <f>(Table53514[[#This Row],[Manufacturers'' New Orders: Durable Goods]]-B211)/B211</f>
        <v>7.818319744674453E-3</v>
      </c>
    </row>
    <row r="213" spans="1:3" x14ac:dyDescent="0.35">
      <c r="A213" s="74">
        <v>39934</v>
      </c>
      <c r="B213" s="75">
        <f>VLOOKUP(A213,Database!A:M,MATCH($A$1,Database!$A$1:$M$1,),)</f>
        <v>149255</v>
      </c>
      <c r="C213" s="113">
        <f>(Table53514[[#This Row],[Manufacturers'' New Orders: Durable Goods]]-B212)/B212</f>
        <v>1.2124746553466199E-2</v>
      </c>
    </row>
    <row r="214" spans="1:3" x14ac:dyDescent="0.35">
      <c r="A214" s="74">
        <v>39965</v>
      </c>
      <c r="B214" s="75">
        <f>VLOOKUP(A214,Database!A:M,MATCH($A$1,Database!$A$1:$M$1,),)</f>
        <v>147033</v>
      </c>
      <c r="C214" s="113">
        <f>(Table53514[[#This Row],[Manufacturers'' New Orders: Durable Goods]]-B213)/B213</f>
        <v>-1.4887273458175606E-2</v>
      </c>
    </row>
    <row r="215" spans="1:3" x14ac:dyDescent="0.35">
      <c r="A215" s="74">
        <v>39995</v>
      </c>
      <c r="B215" s="75">
        <f>VLOOKUP(A215,Database!A:M,MATCH($A$1,Database!$A$1:$M$1,),)</f>
        <v>153691</v>
      </c>
      <c r="C215" s="113">
        <f>(Table53514[[#This Row],[Manufacturers'' New Orders: Durable Goods]]-B214)/B214</f>
        <v>4.5282351580937616E-2</v>
      </c>
    </row>
    <row r="216" spans="1:3" x14ac:dyDescent="0.35">
      <c r="A216" s="74">
        <v>40026</v>
      </c>
      <c r="B216" s="75">
        <f>VLOOKUP(A216,Database!A:M,MATCH($A$1,Database!$A$1:$M$1,),)</f>
        <v>157489</v>
      </c>
      <c r="C216" s="113">
        <f>(Table53514[[#This Row],[Manufacturers'' New Orders: Durable Goods]]-B215)/B215</f>
        <v>2.4711921973310083E-2</v>
      </c>
    </row>
    <row r="217" spans="1:3" x14ac:dyDescent="0.35">
      <c r="A217" s="74">
        <v>40057</v>
      </c>
      <c r="B217" s="75">
        <f>VLOOKUP(A217,Database!A:M,MATCH($A$1,Database!$A$1:$M$1,),)</f>
        <v>158041</v>
      </c>
      <c r="C217" s="113">
        <f>(Table53514[[#This Row],[Manufacturers'' New Orders: Durable Goods]]-B216)/B216</f>
        <v>3.5050066988805569E-3</v>
      </c>
    </row>
    <row r="218" spans="1:3" x14ac:dyDescent="0.35">
      <c r="A218" s="74">
        <v>40087</v>
      </c>
      <c r="B218" s="75">
        <f>VLOOKUP(A218,Database!A:M,MATCH($A$1,Database!$A$1:$M$1,),)</f>
        <v>161097</v>
      </c>
      <c r="C218" s="113">
        <f>(Table53514[[#This Row],[Manufacturers'' New Orders: Durable Goods]]-B217)/B217</f>
        <v>1.9336754386519953E-2</v>
      </c>
    </row>
    <row r="219" spans="1:3" x14ac:dyDescent="0.35">
      <c r="A219" s="74">
        <v>40118</v>
      </c>
      <c r="B219" s="75">
        <f>VLOOKUP(A219,Database!A:M,MATCH($A$1,Database!$A$1:$M$1,),)</f>
        <v>160419</v>
      </c>
      <c r="C219" s="113">
        <f>(Table53514[[#This Row],[Manufacturers'' New Orders: Durable Goods]]-B218)/B218</f>
        <v>-4.2086444812752567E-3</v>
      </c>
    </row>
    <row r="220" spans="1:3" x14ac:dyDescent="0.35">
      <c r="A220" s="74">
        <v>40148</v>
      </c>
      <c r="B220" s="75">
        <f>VLOOKUP(A220,Database!A:M,MATCH($A$1,Database!$A$1:$M$1,),)</f>
        <v>160520</v>
      </c>
      <c r="C220" s="113">
        <f>(Table53514[[#This Row],[Manufacturers'' New Orders: Durable Goods]]-B219)/B219</f>
        <v>6.2960123177429109E-4</v>
      </c>
    </row>
    <row r="221" spans="1:3" x14ac:dyDescent="0.35">
      <c r="A221" s="74">
        <v>40179</v>
      </c>
      <c r="B221" s="75">
        <f>VLOOKUP(A221,Database!A:M,MATCH($A$1,Database!$A$1:$M$1,),)</f>
        <v>181016</v>
      </c>
      <c r="C221" s="113">
        <f>(Table53514[[#This Row],[Manufacturers'' New Orders: Durable Goods]]-B220)/B220</f>
        <v>0.12768502367306256</v>
      </c>
    </row>
    <row r="222" spans="1:3" x14ac:dyDescent="0.35">
      <c r="A222" s="74">
        <v>40210</v>
      </c>
      <c r="B222" s="75">
        <f>VLOOKUP(A222,Database!A:M,MATCH($A$1,Database!$A$1:$M$1,),)</f>
        <v>180450</v>
      </c>
      <c r="C222" s="113">
        <f>(Table53514[[#This Row],[Manufacturers'' New Orders: Durable Goods]]-B221)/B221</f>
        <v>-3.1267954213992132E-3</v>
      </c>
    </row>
    <row r="223" spans="1:3" x14ac:dyDescent="0.35">
      <c r="A223" s="74">
        <v>40238</v>
      </c>
      <c r="B223" s="75">
        <f>VLOOKUP(A223,Database!A:M,MATCH($A$1,Database!$A$1:$M$1,),)</f>
        <v>182148</v>
      </c>
      <c r="C223" s="113">
        <f>(Table53514[[#This Row],[Manufacturers'' New Orders: Durable Goods]]-B222)/B222</f>
        <v>9.4098088113050704E-3</v>
      </c>
    </row>
    <row r="224" spans="1:3" x14ac:dyDescent="0.35">
      <c r="A224" s="74">
        <v>40269</v>
      </c>
      <c r="B224" s="75">
        <f>VLOOKUP(A224,Database!A:M,MATCH($A$1,Database!$A$1:$M$1,),)</f>
        <v>182948</v>
      </c>
      <c r="C224" s="113">
        <f>(Table53514[[#This Row],[Manufacturers'' New Orders: Durable Goods]]-B223)/B223</f>
        <v>4.392032852405736E-3</v>
      </c>
    </row>
    <row r="225" spans="1:3" x14ac:dyDescent="0.35">
      <c r="A225" s="74">
        <v>40299</v>
      </c>
      <c r="B225" s="75">
        <f>VLOOKUP(A225,Database!A:M,MATCH($A$1,Database!$A$1:$M$1,),)</f>
        <v>189932</v>
      </c>
      <c r="C225" s="113">
        <f>(Table53514[[#This Row],[Manufacturers'' New Orders: Durable Goods]]-B224)/B224</f>
        <v>3.8174781905240832E-2</v>
      </c>
    </row>
    <row r="226" spans="1:3" x14ac:dyDescent="0.35">
      <c r="A226" s="74">
        <v>40330</v>
      </c>
      <c r="B226" s="75">
        <f>VLOOKUP(A226,Database!A:M,MATCH($A$1,Database!$A$1:$M$1,),)</f>
        <v>185667</v>
      </c>
      <c r="C226" s="113">
        <f>(Table53514[[#This Row],[Manufacturers'' New Orders: Durable Goods]]-B225)/B225</f>
        <v>-2.2455405092348842E-2</v>
      </c>
    </row>
    <row r="227" spans="1:3" x14ac:dyDescent="0.35">
      <c r="A227" s="74">
        <v>40360</v>
      </c>
      <c r="B227" s="75">
        <f>VLOOKUP(A227,Database!A:M,MATCH($A$1,Database!$A$1:$M$1,),)</f>
        <v>187506</v>
      </c>
      <c r="C227" s="113">
        <f>(Table53514[[#This Row],[Manufacturers'' New Orders: Durable Goods]]-B226)/B226</f>
        <v>9.9048296143094891E-3</v>
      </c>
    </row>
    <row r="228" spans="1:3" x14ac:dyDescent="0.35">
      <c r="A228" s="74">
        <v>40391</v>
      </c>
      <c r="B228" s="75">
        <f>VLOOKUP(A228,Database!A:M,MATCH($A$1,Database!$A$1:$M$1,),)</f>
        <v>191745</v>
      </c>
      <c r="C228" s="113">
        <f>(Table53514[[#This Row],[Manufacturers'' New Orders: Durable Goods]]-B227)/B227</f>
        <v>2.260727656714985E-2</v>
      </c>
    </row>
    <row r="229" spans="1:3" x14ac:dyDescent="0.35">
      <c r="A229" s="74">
        <v>40422</v>
      </c>
      <c r="B229" s="75">
        <f>VLOOKUP(A229,Database!A:M,MATCH($A$1,Database!$A$1:$M$1,),)</f>
        <v>201932</v>
      </c>
      <c r="C229" s="113">
        <f>(Table53514[[#This Row],[Manufacturers'' New Orders: Durable Goods]]-B228)/B228</f>
        <v>5.3127852095230646E-2</v>
      </c>
    </row>
    <row r="230" spans="1:3" x14ac:dyDescent="0.35">
      <c r="A230" s="74">
        <v>40452</v>
      </c>
      <c r="B230" s="75">
        <f>VLOOKUP(A230,Database!A:M,MATCH($A$1,Database!$A$1:$M$1,),)</f>
        <v>193066</v>
      </c>
      <c r="C230" s="113">
        <f>(Table53514[[#This Row],[Manufacturers'' New Orders: Durable Goods]]-B229)/B229</f>
        <v>-4.3905869302537488E-2</v>
      </c>
    </row>
    <row r="231" spans="1:3" x14ac:dyDescent="0.35">
      <c r="A231" s="74">
        <v>40483</v>
      </c>
      <c r="B231" s="75">
        <f>VLOOKUP(A231,Database!A:M,MATCH($A$1,Database!$A$1:$M$1,),)</f>
        <v>197202</v>
      </c>
      <c r="C231" s="113">
        <f>(Table53514[[#This Row],[Manufacturers'' New Orders: Durable Goods]]-B230)/B230</f>
        <v>2.1422725907202719E-2</v>
      </c>
    </row>
    <row r="232" spans="1:3" x14ac:dyDescent="0.35">
      <c r="A232" s="74">
        <v>40513</v>
      </c>
      <c r="B232" s="75">
        <f>VLOOKUP(A232,Database!A:M,MATCH($A$1,Database!$A$1:$M$1,),)</f>
        <v>193452</v>
      </c>
      <c r="C232" s="113">
        <f>(Table53514[[#This Row],[Manufacturers'' New Orders: Durable Goods]]-B231)/B231</f>
        <v>-1.901603432013874E-2</v>
      </c>
    </row>
    <row r="233" spans="1:3" x14ac:dyDescent="0.35">
      <c r="A233" s="74">
        <v>40544</v>
      </c>
      <c r="B233" s="75">
        <f>VLOOKUP(A233,Database!A:M,MATCH($A$1,Database!$A$1:$M$1,),)</f>
        <v>203636</v>
      </c>
      <c r="C233" s="113">
        <f>(Table53514[[#This Row],[Manufacturers'' New Orders: Durable Goods]]-B232)/B232</f>
        <v>5.2643549821144262E-2</v>
      </c>
    </row>
    <row r="234" spans="1:3" x14ac:dyDescent="0.35">
      <c r="A234" s="74">
        <v>40575</v>
      </c>
      <c r="B234" s="75">
        <f>VLOOKUP(A234,Database!A:M,MATCH($A$1,Database!$A$1:$M$1,),)</f>
        <v>196393</v>
      </c>
      <c r="C234" s="113">
        <f>(Table53514[[#This Row],[Manufacturers'' New Orders: Durable Goods]]-B233)/B233</f>
        <v>-3.5568367086369797E-2</v>
      </c>
    </row>
    <row r="235" spans="1:3" x14ac:dyDescent="0.35">
      <c r="A235" s="74">
        <v>40603</v>
      </c>
      <c r="B235" s="75">
        <f>VLOOKUP(A235,Database!A:M,MATCH($A$1,Database!$A$1:$M$1,),)</f>
        <v>212748</v>
      </c>
      <c r="C235" s="113">
        <f>(Table53514[[#This Row],[Manufacturers'' New Orders: Durable Goods]]-B234)/B234</f>
        <v>8.3276898871141022E-2</v>
      </c>
    </row>
    <row r="236" spans="1:3" x14ac:dyDescent="0.35">
      <c r="A236" s="74">
        <v>40634</v>
      </c>
      <c r="B236" s="75">
        <f>VLOOKUP(A236,Database!A:M,MATCH($A$1,Database!$A$1:$M$1,),)</f>
        <v>200733</v>
      </c>
      <c r="C236" s="113">
        <f>(Table53514[[#This Row],[Manufacturers'' New Orders: Durable Goods]]-B235)/B235</f>
        <v>-5.6475266512493655E-2</v>
      </c>
    </row>
    <row r="237" spans="1:3" x14ac:dyDescent="0.35">
      <c r="A237" s="74">
        <v>40664</v>
      </c>
      <c r="B237" s="75">
        <f>VLOOKUP(A237,Database!A:M,MATCH($A$1,Database!$A$1:$M$1,),)</f>
        <v>207170</v>
      </c>
      <c r="C237" s="113">
        <f>(Table53514[[#This Row],[Manufacturers'' New Orders: Durable Goods]]-B236)/B236</f>
        <v>3.2067472712508656E-2</v>
      </c>
    </row>
    <row r="238" spans="1:3" x14ac:dyDescent="0.35">
      <c r="A238" s="74">
        <v>40695</v>
      </c>
      <c r="B238" s="75">
        <f>VLOOKUP(A238,Database!A:M,MATCH($A$1,Database!$A$1:$M$1,),)</f>
        <v>201579</v>
      </c>
      <c r="C238" s="113">
        <f>(Table53514[[#This Row],[Manufacturers'' New Orders: Durable Goods]]-B237)/B237</f>
        <v>-2.6987498189892357E-2</v>
      </c>
    </row>
    <row r="239" spans="1:3" x14ac:dyDescent="0.35">
      <c r="A239" s="74">
        <v>40725</v>
      </c>
      <c r="B239" s="75">
        <f>VLOOKUP(A239,Database!A:M,MATCH($A$1,Database!$A$1:$M$1,),)</f>
        <v>206458</v>
      </c>
      <c r="C239" s="113">
        <f>(Table53514[[#This Row],[Manufacturers'' New Orders: Durable Goods]]-B238)/B238</f>
        <v>2.420391012952738E-2</v>
      </c>
    </row>
    <row r="240" spans="1:3" x14ac:dyDescent="0.35">
      <c r="A240" s="74">
        <v>40756</v>
      </c>
      <c r="B240" s="75">
        <f>VLOOKUP(A240,Database!A:M,MATCH($A$1,Database!$A$1:$M$1,),)</f>
        <v>216705</v>
      </c>
      <c r="C240" s="113">
        <f>(Table53514[[#This Row],[Manufacturers'' New Orders: Durable Goods]]-B239)/B239</f>
        <v>4.9632370748529969E-2</v>
      </c>
    </row>
    <row r="241" spans="1:3" x14ac:dyDescent="0.35">
      <c r="A241" s="74">
        <v>40787</v>
      </c>
      <c r="B241" s="75">
        <f>VLOOKUP(A241,Database!A:M,MATCH($A$1,Database!$A$1:$M$1,),)</f>
        <v>204738</v>
      </c>
      <c r="C241" s="113">
        <f>(Table53514[[#This Row],[Manufacturers'' New Orders: Durable Goods]]-B240)/B240</f>
        <v>-5.522253755104866E-2</v>
      </c>
    </row>
    <row r="242" spans="1:3" x14ac:dyDescent="0.35">
      <c r="A242" s="74">
        <v>40817</v>
      </c>
      <c r="B242" s="75">
        <f>VLOOKUP(A242,Database!A:M,MATCH($A$1,Database!$A$1:$M$1,),)</f>
        <v>210799</v>
      </c>
      <c r="C242" s="113">
        <f>(Table53514[[#This Row],[Manufacturers'' New Orders: Durable Goods]]-B241)/B241</f>
        <v>2.9603688616671061E-2</v>
      </c>
    </row>
    <row r="243" spans="1:3" x14ac:dyDescent="0.35">
      <c r="A243" s="74">
        <v>40848</v>
      </c>
      <c r="B243" s="75">
        <f>VLOOKUP(A243,Database!A:M,MATCH($A$1,Database!$A$1:$M$1,),)</f>
        <v>215531</v>
      </c>
      <c r="C243" s="113">
        <f>(Table53514[[#This Row],[Manufacturers'' New Orders: Durable Goods]]-B242)/B242</f>
        <v>2.2447924326016729E-2</v>
      </c>
    </row>
    <row r="244" spans="1:3" x14ac:dyDescent="0.35">
      <c r="A244" s="74">
        <v>40878</v>
      </c>
      <c r="B244" s="75">
        <f>VLOOKUP(A244,Database!A:M,MATCH($A$1,Database!$A$1:$M$1,),)</f>
        <v>223835</v>
      </c>
      <c r="C244" s="113">
        <f>(Table53514[[#This Row],[Manufacturers'' New Orders: Durable Goods]]-B243)/B243</f>
        <v>3.8528100366072633E-2</v>
      </c>
    </row>
    <row r="245" spans="1:3" x14ac:dyDescent="0.35">
      <c r="A245" s="74">
        <v>40909</v>
      </c>
      <c r="B245" s="75">
        <f>VLOOKUP(A245,Database!A:M,MATCH($A$1,Database!$A$1:$M$1,),)</f>
        <v>225182</v>
      </c>
      <c r="C245" s="113">
        <f>(Table53514[[#This Row],[Manufacturers'' New Orders: Durable Goods]]-B244)/B244</f>
        <v>6.0178256304867428E-3</v>
      </c>
    </row>
    <row r="246" spans="1:3" x14ac:dyDescent="0.35">
      <c r="A246" s="74">
        <v>40940</v>
      </c>
      <c r="B246" s="75">
        <f>VLOOKUP(A246,Database!A:M,MATCH($A$1,Database!$A$1:$M$1,),)</f>
        <v>227597</v>
      </c>
      <c r="C246" s="113">
        <f>(Table53514[[#This Row],[Manufacturers'' New Orders: Durable Goods]]-B245)/B245</f>
        <v>1.072465827641641E-2</v>
      </c>
    </row>
    <row r="247" spans="1:3" x14ac:dyDescent="0.35">
      <c r="A247" s="74">
        <v>40969</v>
      </c>
      <c r="B247" s="75">
        <f>VLOOKUP(A247,Database!A:M,MATCH($A$1,Database!$A$1:$M$1,),)</f>
        <v>219960</v>
      </c>
      <c r="C247" s="113">
        <f>(Table53514[[#This Row],[Manufacturers'' New Orders: Durable Goods]]-B246)/B246</f>
        <v>-3.3554923834672692E-2</v>
      </c>
    </row>
    <row r="248" spans="1:3" x14ac:dyDescent="0.35">
      <c r="A248" s="74">
        <v>41000</v>
      </c>
      <c r="B248" s="75">
        <f>VLOOKUP(A248,Database!A:M,MATCH($A$1,Database!$A$1:$M$1,),)</f>
        <v>218414</v>
      </c>
      <c r="C248" s="113">
        <f>(Table53514[[#This Row],[Manufacturers'' New Orders: Durable Goods]]-B247)/B247</f>
        <v>-7.028550645571922E-3</v>
      </c>
    </row>
    <row r="249" spans="1:3" x14ac:dyDescent="0.35">
      <c r="A249" s="74">
        <v>41030</v>
      </c>
      <c r="B249" s="75">
        <f>VLOOKUP(A249,Database!A:M,MATCH($A$1,Database!$A$1:$M$1,),)</f>
        <v>219076</v>
      </c>
      <c r="C249" s="113">
        <f>(Table53514[[#This Row],[Manufacturers'' New Orders: Durable Goods]]-B248)/B248</f>
        <v>3.030941240030401E-3</v>
      </c>
    </row>
    <row r="250" spans="1:3" x14ac:dyDescent="0.35">
      <c r="A250" s="74">
        <v>41061</v>
      </c>
      <c r="B250" s="75">
        <f>VLOOKUP(A250,Database!A:M,MATCH($A$1,Database!$A$1:$M$1,),)</f>
        <v>218755</v>
      </c>
      <c r="C250" s="113">
        <f>(Table53514[[#This Row],[Manufacturers'' New Orders: Durable Goods]]-B249)/B249</f>
        <v>-1.4652449378297942E-3</v>
      </c>
    </row>
    <row r="251" spans="1:3" x14ac:dyDescent="0.35">
      <c r="A251" s="74">
        <v>41091</v>
      </c>
      <c r="B251" s="75">
        <f>VLOOKUP(A251,Database!A:M,MATCH($A$1,Database!$A$1:$M$1,),)</f>
        <v>225223</v>
      </c>
      <c r="C251" s="113">
        <f>(Table53514[[#This Row],[Manufacturers'' New Orders: Durable Goods]]-B250)/B250</f>
        <v>2.9567324175447419E-2</v>
      </c>
    </row>
    <row r="252" spans="1:3" x14ac:dyDescent="0.35">
      <c r="A252" s="74">
        <v>41122</v>
      </c>
      <c r="B252" s="75">
        <f>VLOOKUP(A252,Database!A:M,MATCH($A$1,Database!$A$1:$M$1,),)</f>
        <v>200423</v>
      </c>
      <c r="C252" s="113">
        <f>(Table53514[[#This Row],[Manufacturers'' New Orders: Durable Goods]]-B251)/B251</f>
        <v>-0.11011308791730862</v>
      </c>
    </row>
    <row r="253" spans="1:3" x14ac:dyDescent="0.35">
      <c r="A253" s="74">
        <v>41153</v>
      </c>
      <c r="B253" s="75">
        <f>VLOOKUP(A253,Database!A:M,MATCH($A$1,Database!$A$1:$M$1,),)</f>
        <v>217241</v>
      </c>
      <c r="C253" s="113">
        <f>(Table53514[[#This Row],[Manufacturers'' New Orders: Durable Goods]]-B252)/B252</f>
        <v>8.391252500960468E-2</v>
      </c>
    </row>
    <row r="254" spans="1:3" x14ac:dyDescent="0.35">
      <c r="A254" s="74">
        <v>41183</v>
      </c>
      <c r="B254" s="75">
        <f>VLOOKUP(A254,Database!A:M,MATCH($A$1,Database!$A$1:$M$1,),)</f>
        <v>219017</v>
      </c>
      <c r="C254" s="113">
        <f>(Table53514[[#This Row],[Manufacturers'' New Orders: Durable Goods]]-B253)/B253</f>
        <v>8.1752523694882638E-3</v>
      </c>
    </row>
    <row r="255" spans="1:3" x14ac:dyDescent="0.35">
      <c r="A255" s="74">
        <v>41214</v>
      </c>
      <c r="B255" s="75">
        <f>VLOOKUP(A255,Database!A:M,MATCH($A$1,Database!$A$1:$M$1,),)</f>
        <v>214689</v>
      </c>
      <c r="C255" s="113">
        <f>(Table53514[[#This Row],[Manufacturers'' New Orders: Durable Goods]]-B254)/B254</f>
        <v>-1.9761023116926995E-2</v>
      </c>
    </row>
    <row r="256" spans="1:3" x14ac:dyDescent="0.35">
      <c r="A256" s="74">
        <v>41244</v>
      </c>
      <c r="B256" s="75">
        <f>VLOOKUP(A256,Database!A:M,MATCH($A$1,Database!$A$1:$M$1,),)</f>
        <v>230992</v>
      </c>
      <c r="C256" s="113">
        <f>(Table53514[[#This Row],[Manufacturers'' New Orders: Durable Goods]]-B255)/B255</f>
        <v>7.5937751817745675E-2</v>
      </c>
    </row>
    <row r="257" spans="1:3" x14ac:dyDescent="0.35">
      <c r="A257" s="74">
        <v>41275</v>
      </c>
      <c r="B257" s="75">
        <f>VLOOKUP(A257,Database!A:M,MATCH($A$1,Database!$A$1:$M$1,),)</f>
        <v>222797</v>
      </c>
      <c r="C257" s="113">
        <f>(Table53514[[#This Row],[Manufacturers'' New Orders: Durable Goods]]-B256)/B256</f>
        <v>-3.5477419131398492E-2</v>
      </c>
    </row>
    <row r="258" spans="1:3" x14ac:dyDescent="0.35">
      <c r="A258" s="74">
        <v>41306</v>
      </c>
      <c r="B258" s="75">
        <f>VLOOKUP(A258,Database!A:M,MATCH($A$1,Database!$A$1:$M$1,),)</f>
        <v>235952</v>
      </c>
      <c r="C258" s="113">
        <f>(Table53514[[#This Row],[Manufacturers'' New Orders: Durable Goods]]-B257)/B257</f>
        <v>5.9044780674784671E-2</v>
      </c>
    </row>
    <row r="259" spans="1:3" x14ac:dyDescent="0.35">
      <c r="A259" s="74">
        <v>41334</v>
      </c>
      <c r="B259" s="75">
        <f>VLOOKUP(A259,Database!A:M,MATCH($A$1,Database!$A$1:$M$1,),)</f>
        <v>215188</v>
      </c>
      <c r="C259" s="113">
        <f>(Table53514[[#This Row],[Manufacturers'' New Orders: Durable Goods]]-B258)/B258</f>
        <v>-8.8000949345629617E-2</v>
      </c>
    </row>
    <row r="260" spans="1:3" x14ac:dyDescent="0.35">
      <c r="A260" s="74">
        <v>41365</v>
      </c>
      <c r="B260" s="75">
        <f>VLOOKUP(A260,Database!A:M,MATCH($A$1,Database!$A$1:$M$1,),)</f>
        <v>226541</v>
      </c>
      <c r="C260" s="113">
        <f>(Table53514[[#This Row],[Manufacturers'' New Orders: Durable Goods]]-B259)/B259</f>
        <v>5.2758518132981394E-2</v>
      </c>
    </row>
    <row r="261" spans="1:3" x14ac:dyDescent="0.35">
      <c r="A261" s="74">
        <v>41395</v>
      </c>
      <c r="B261" s="75">
        <f>VLOOKUP(A261,Database!A:M,MATCH($A$1,Database!$A$1:$M$1,),)</f>
        <v>235258</v>
      </c>
      <c r="C261" s="113">
        <f>(Table53514[[#This Row],[Manufacturers'' New Orders: Durable Goods]]-B260)/B260</f>
        <v>3.8478685977372751E-2</v>
      </c>
    </row>
    <row r="262" spans="1:3" x14ac:dyDescent="0.35">
      <c r="A262" s="74">
        <v>41426</v>
      </c>
      <c r="B262" s="75">
        <f>VLOOKUP(A262,Database!A:M,MATCH($A$1,Database!$A$1:$M$1,),)</f>
        <v>248010</v>
      </c>
      <c r="C262" s="113">
        <f>(Table53514[[#This Row],[Manufacturers'' New Orders: Durable Goods]]-B261)/B261</f>
        <v>5.4204320363175747E-2</v>
      </c>
    </row>
    <row r="263" spans="1:3" x14ac:dyDescent="0.35">
      <c r="A263" s="74">
        <v>41456</v>
      </c>
      <c r="B263" s="75">
        <f>VLOOKUP(A263,Database!A:M,MATCH($A$1,Database!$A$1:$M$1,),)</f>
        <v>223780</v>
      </c>
      <c r="C263" s="113">
        <f>(Table53514[[#This Row],[Manufacturers'' New Orders: Durable Goods]]-B262)/B262</f>
        <v>-9.7697673480908034E-2</v>
      </c>
    </row>
    <row r="264" spans="1:3" x14ac:dyDescent="0.35">
      <c r="A264" s="74">
        <v>41487</v>
      </c>
      <c r="B264" s="75">
        <f>VLOOKUP(A264,Database!A:M,MATCH($A$1,Database!$A$1:$M$1,),)</f>
        <v>225010</v>
      </c>
      <c r="C264" s="113">
        <f>(Table53514[[#This Row],[Manufacturers'' New Orders: Durable Goods]]-B263)/B263</f>
        <v>5.4964697470730184E-3</v>
      </c>
    </row>
    <row r="265" spans="1:3" x14ac:dyDescent="0.35">
      <c r="A265" s="74">
        <v>41518</v>
      </c>
      <c r="B265" s="75">
        <f>VLOOKUP(A265,Database!A:M,MATCH($A$1,Database!$A$1:$M$1,),)</f>
        <v>238632</v>
      </c>
      <c r="C265" s="113">
        <f>(Table53514[[#This Row],[Manufacturers'' New Orders: Durable Goods]]-B264)/B264</f>
        <v>6.0539531576374386E-2</v>
      </c>
    </row>
    <row r="266" spans="1:3" x14ac:dyDescent="0.35">
      <c r="A266" s="74">
        <v>41548</v>
      </c>
      <c r="B266" s="75">
        <f>VLOOKUP(A266,Database!A:M,MATCH($A$1,Database!$A$1:$M$1,),)</f>
        <v>231962</v>
      </c>
      <c r="C266" s="113">
        <f>(Table53514[[#This Row],[Manufacturers'' New Orders: Durable Goods]]-B265)/B265</f>
        <v>-2.7950987294243855E-2</v>
      </c>
    </row>
    <row r="267" spans="1:3" x14ac:dyDescent="0.35">
      <c r="A267" s="74">
        <v>41579</v>
      </c>
      <c r="B267" s="75">
        <f>VLOOKUP(A267,Database!A:M,MATCH($A$1,Database!$A$1:$M$1,),)</f>
        <v>241389</v>
      </c>
      <c r="C267" s="113">
        <f>(Table53514[[#This Row],[Manufacturers'' New Orders: Durable Goods]]-B266)/B266</f>
        <v>4.0640277286796977E-2</v>
      </c>
    </row>
    <row r="268" spans="1:3" x14ac:dyDescent="0.35">
      <c r="A268" s="74">
        <v>41609</v>
      </c>
      <c r="B268" s="75">
        <f>VLOOKUP(A268,Database!A:M,MATCH($A$1,Database!$A$1:$M$1,),)</f>
        <v>238377</v>
      </c>
      <c r="C268" s="113">
        <f>(Table53514[[#This Row],[Manufacturers'' New Orders: Durable Goods]]-B267)/B267</f>
        <v>-1.2477784820352212E-2</v>
      </c>
    </row>
    <row r="269" spans="1:3" x14ac:dyDescent="0.35">
      <c r="A269" s="74">
        <v>41640</v>
      </c>
      <c r="B269" s="75">
        <f>VLOOKUP(A269,Database!A:M,MATCH($A$1,Database!$A$1:$M$1,),)</f>
        <v>223144</v>
      </c>
      <c r="C269" s="113">
        <f>(Table53514[[#This Row],[Manufacturers'' New Orders: Durable Goods]]-B268)/B268</f>
        <v>-6.3902977216761678E-2</v>
      </c>
    </row>
    <row r="270" spans="1:3" x14ac:dyDescent="0.35">
      <c r="A270" s="74">
        <v>41671</v>
      </c>
      <c r="B270" s="75">
        <f>VLOOKUP(A270,Database!A:M,MATCH($A$1,Database!$A$1:$M$1,),)</f>
        <v>232711</v>
      </c>
      <c r="C270" s="113">
        <f>(Table53514[[#This Row],[Manufacturers'' New Orders: Durable Goods]]-B269)/B269</f>
        <v>4.2873660058079091E-2</v>
      </c>
    </row>
    <row r="271" spans="1:3" x14ac:dyDescent="0.35">
      <c r="A271" s="74">
        <v>41699</v>
      </c>
      <c r="B271" s="75">
        <f>VLOOKUP(A271,Database!A:M,MATCH($A$1,Database!$A$1:$M$1,),)</f>
        <v>233153</v>
      </c>
      <c r="C271" s="113">
        <f>(Table53514[[#This Row],[Manufacturers'' New Orders: Durable Goods]]-B270)/B270</f>
        <v>1.8993515562220952E-3</v>
      </c>
    </row>
    <row r="272" spans="1:3" x14ac:dyDescent="0.35">
      <c r="A272" s="74">
        <v>41730</v>
      </c>
      <c r="B272" s="75">
        <f>VLOOKUP(A272,Database!A:M,MATCH($A$1,Database!$A$1:$M$1,),)</f>
        <v>237372</v>
      </c>
      <c r="C272" s="113">
        <f>(Table53514[[#This Row],[Manufacturers'' New Orders: Durable Goods]]-B271)/B271</f>
        <v>1.8095413741191408E-2</v>
      </c>
    </row>
    <row r="273" spans="1:3" x14ac:dyDescent="0.35">
      <c r="A273" s="74">
        <v>41760</v>
      </c>
      <c r="B273" s="75">
        <f>VLOOKUP(A273,Database!A:M,MATCH($A$1,Database!$A$1:$M$1,),)</f>
        <v>232959</v>
      </c>
      <c r="C273" s="113">
        <f>(Table53514[[#This Row],[Manufacturers'' New Orders: Durable Goods]]-B272)/B272</f>
        <v>-1.859107224103938E-2</v>
      </c>
    </row>
    <row r="274" spans="1:3" x14ac:dyDescent="0.35">
      <c r="A274" s="74">
        <v>41791</v>
      </c>
      <c r="B274" s="75">
        <f>VLOOKUP(A274,Database!A:M,MATCH($A$1,Database!$A$1:$M$1,),)</f>
        <v>240181</v>
      </c>
      <c r="C274" s="113">
        <f>(Table53514[[#This Row],[Manufacturers'' New Orders: Durable Goods]]-B273)/B273</f>
        <v>3.1001163294828705E-2</v>
      </c>
    </row>
    <row r="275" spans="1:3" x14ac:dyDescent="0.35">
      <c r="A275" s="74">
        <v>41821</v>
      </c>
      <c r="B275" s="75">
        <f>VLOOKUP(A275,Database!A:M,MATCH($A$1,Database!$A$1:$M$1,),)</f>
        <v>303162</v>
      </c>
      <c r="C275" s="113">
        <f>(Table53514[[#This Row],[Manufacturers'' New Orders: Durable Goods]]-B274)/B274</f>
        <v>0.26222307343211992</v>
      </c>
    </row>
    <row r="276" spans="1:3" x14ac:dyDescent="0.35">
      <c r="A276" s="74">
        <v>41852</v>
      </c>
      <c r="B276" s="75">
        <f>VLOOKUP(A276,Database!A:M,MATCH($A$1,Database!$A$1:$M$1,),)</f>
        <v>236666</v>
      </c>
      <c r="C276" s="113">
        <f>(Table53514[[#This Row],[Manufacturers'' New Orders: Durable Goods]]-B275)/B275</f>
        <v>-0.21934147419531472</v>
      </c>
    </row>
    <row r="277" spans="1:3" x14ac:dyDescent="0.35">
      <c r="A277" s="74">
        <v>41883</v>
      </c>
      <c r="B277" s="75">
        <f>VLOOKUP(A277,Database!A:M,MATCH($A$1,Database!$A$1:$M$1,),)</f>
        <v>237534</v>
      </c>
      <c r="C277" s="113">
        <f>(Table53514[[#This Row],[Manufacturers'' New Orders: Durable Goods]]-B276)/B276</f>
        <v>3.6676159651153947E-3</v>
      </c>
    </row>
    <row r="278" spans="1:3" x14ac:dyDescent="0.35">
      <c r="A278" s="74">
        <v>41913</v>
      </c>
      <c r="B278" s="75">
        <f>VLOOKUP(A278,Database!A:M,MATCH($A$1,Database!$A$1:$M$1,),)</f>
        <v>232089</v>
      </c>
      <c r="C278" s="113">
        <f>(Table53514[[#This Row],[Manufacturers'' New Orders: Durable Goods]]-B277)/B277</f>
        <v>-2.2923034176160043E-2</v>
      </c>
    </row>
    <row r="279" spans="1:3" x14ac:dyDescent="0.35">
      <c r="A279" s="74">
        <v>41944</v>
      </c>
      <c r="B279" s="75">
        <f>VLOOKUP(A279,Database!A:M,MATCH($A$1,Database!$A$1:$M$1,),)</f>
        <v>226155</v>
      </c>
      <c r="C279" s="113">
        <f>(Table53514[[#This Row],[Manufacturers'' New Orders: Durable Goods]]-B278)/B278</f>
        <v>-2.5567777878313921E-2</v>
      </c>
    </row>
    <row r="280" spans="1:3" x14ac:dyDescent="0.35">
      <c r="A280" s="74">
        <v>41974</v>
      </c>
      <c r="B280" s="75">
        <f>VLOOKUP(A280,Database!A:M,MATCH($A$1,Database!$A$1:$M$1,),)</f>
        <v>225835</v>
      </c>
      <c r="C280" s="113">
        <f>(Table53514[[#This Row],[Manufacturers'' New Orders: Durable Goods]]-B279)/B279</f>
        <v>-1.4149587672171741E-3</v>
      </c>
    </row>
    <row r="281" spans="1:3" x14ac:dyDescent="0.35">
      <c r="A281" s="74">
        <v>42005</v>
      </c>
      <c r="B281" s="75">
        <f>VLOOKUP(A281,Database!A:M,MATCH($A$1,Database!$A$1:$M$1,),)</f>
        <v>224061</v>
      </c>
      <c r="C281" s="113">
        <f>(Table53514[[#This Row],[Manufacturers'' New Orders: Durable Goods]]-B280)/B280</f>
        <v>-7.8552925808665613E-3</v>
      </c>
    </row>
    <row r="282" spans="1:3" x14ac:dyDescent="0.35">
      <c r="A282" s="74">
        <v>42036</v>
      </c>
      <c r="B282" s="75">
        <f>VLOOKUP(A282,Database!A:M,MATCH($A$1,Database!$A$1:$M$1,),)</f>
        <v>218966</v>
      </c>
      <c r="C282" s="113">
        <f>(Table53514[[#This Row],[Manufacturers'' New Orders: Durable Goods]]-B281)/B281</f>
        <v>-2.2739343303832437E-2</v>
      </c>
    </row>
    <row r="283" spans="1:3" x14ac:dyDescent="0.35">
      <c r="A283" s="74">
        <v>42064</v>
      </c>
      <c r="B283" s="75">
        <f>VLOOKUP(A283,Database!A:M,MATCH($A$1,Database!$A$1:$M$1,),)</f>
        <v>227573</v>
      </c>
      <c r="C283" s="113">
        <f>(Table53514[[#This Row],[Manufacturers'' New Orders: Durable Goods]]-B282)/B282</f>
        <v>3.9307472392974253E-2</v>
      </c>
    </row>
    <row r="284" spans="1:3" x14ac:dyDescent="0.35">
      <c r="A284" s="74">
        <v>42095</v>
      </c>
      <c r="B284" s="75">
        <f>VLOOKUP(A284,Database!A:M,MATCH($A$1,Database!$A$1:$M$1,),)</f>
        <v>224339</v>
      </c>
      <c r="C284" s="113">
        <f>(Table53514[[#This Row],[Manufacturers'' New Orders: Durable Goods]]-B283)/B283</f>
        <v>-1.4210824658461241E-2</v>
      </c>
    </row>
    <row r="285" spans="1:3" x14ac:dyDescent="0.35">
      <c r="A285" s="74">
        <v>42125</v>
      </c>
      <c r="B285" s="75">
        <f>VLOOKUP(A285,Database!A:M,MATCH($A$1,Database!$A$1:$M$1,),)</f>
        <v>217332</v>
      </c>
      <c r="C285" s="113">
        <f>(Table53514[[#This Row],[Manufacturers'' New Orders: Durable Goods]]-B284)/B284</f>
        <v>-3.1233980716683235E-2</v>
      </c>
    </row>
    <row r="286" spans="1:3" x14ac:dyDescent="0.35">
      <c r="A286" s="74">
        <v>42156</v>
      </c>
      <c r="B286" s="75">
        <f>VLOOKUP(A286,Database!A:M,MATCH($A$1,Database!$A$1:$M$1,),)</f>
        <v>232766</v>
      </c>
      <c r="C286" s="113">
        <f>(Table53514[[#This Row],[Manufacturers'' New Orders: Durable Goods]]-B285)/B285</f>
        <v>7.1015773102902469E-2</v>
      </c>
    </row>
    <row r="287" spans="1:3" x14ac:dyDescent="0.35">
      <c r="A287" s="74">
        <v>42186</v>
      </c>
      <c r="B287" s="75">
        <f>VLOOKUP(A287,Database!A:M,MATCH($A$1,Database!$A$1:$M$1,),)</f>
        <v>230189</v>
      </c>
      <c r="C287" s="113">
        <f>(Table53514[[#This Row],[Manufacturers'' New Orders: Durable Goods]]-B286)/B286</f>
        <v>-1.1071204557366626E-2</v>
      </c>
    </row>
    <row r="288" spans="1:3" x14ac:dyDescent="0.35">
      <c r="A288" s="74">
        <v>42217</v>
      </c>
      <c r="B288" s="75">
        <f>VLOOKUP(A288,Database!A:M,MATCH($A$1,Database!$A$1:$M$1,),)</f>
        <v>222647</v>
      </c>
      <c r="C288" s="113">
        <f>(Table53514[[#This Row],[Manufacturers'' New Orders: Durable Goods]]-B287)/B287</f>
        <v>-3.2764380574223789E-2</v>
      </c>
    </row>
    <row r="289" spans="1:3" x14ac:dyDescent="0.35">
      <c r="A289" s="74">
        <v>42248</v>
      </c>
      <c r="B289" s="75">
        <f>VLOOKUP(A289,Database!A:M,MATCH($A$1,Database!$A$1:$M$1,),)</f>
        <v>218738</v>
      </c>
      <c r="C289" s="113">
        <f>(Table53514[[#This Row],[Manufacturers'' New Orders: Durable Goods]]-B288)/B288</f>
        <v>-1.7556939909363252E-2</v>
      </c>
    </row>
    <row r="290" spans="1:3" x14ac:dyDescent="0.35">
      <c r="A290" s="74">
        <v>42278</v>
      </c>
      <c r="B290" s="75">
        <f>VLOOKUP(A290,Database!A:M,MATCH($A$1,Database!$A$1:$M$1,),)</f>
        <v>226032</v>
      </c>
      <c r="C290" s="113">
        <f>(Table53514[[#This Row],[Manufacturers'' New Orders: Durable Goods]]-B289)/B289</f>
        <v>3.3345829256919236E-2</v>
      </c>
    </row>
    <row r="291" spans="1:3" x14ac:dyDescent="0.35">
      <c r="A291" s="74">
        <v>42309</v>
      </c>
      <c r="B291" s="75">
        <f>VLOOKUP(A291,Database!A:M,MATCH($A$1,Database!$A$1:$M$1,),)</f>
        <v>223223</v>
      </c>
      <c r="C291" s="113">
        <f>(Table53514[[#This Row],[Manufacturers'' New Orders: Durable Goods]]-B290)/B290</f>
        <v>-1.2427443901748426E-2</v>
      </c>
    </row>
    <row r="292" spans="1:3" x14ac:dyDescent="0.35">
      <c r="A292" s="74">
        <v>42339</v>
      </c>
      <c r="B292" s="75">
        <f>VLOOKUP(A292,Database!A:M,MATCH($A$1,Database!$A$1:$M$1,),)</f>
        <v>217474</v>
      </c>
      <c r="C292" s="113">
        <f>(Table53514[[#This Row],[Manufacturers'' New Orders: Durable Goods]]-B291)/B291</f>
        <v>-2.5754514543752213E-2</v>
      </c>
    </row>
    <row r="293" spans="1:3" x14ac:dyDescent="0.35">
      <c r="A293" s="74">
        <v>42370</v>
      </c>
      <c r="B293" s="75">
        <f>VLOOKUP(A293,Database!A:M,MATCH($A$1,Database!$A$1:$M$1,),)</f>
        <v>226905</v>
      </c>
      <c r="C293" s="113">
        <f>(Table53514[[#This Row],[Manufacturers'' New Orders: Durable Goods]]-B292)/B292</f>
        <v>4.3366103534215585E-2</v>
      </c>
    </row>
    <row r="294" spans="1:3" x14ac:dyDescent="0.35">
      <c r="A294" s="74">
        <v>42401</v>
      </c>
      <c r="B294" s="75">
        <f>VLOOKUP(A294,Database!A:M,MATCH($A$1,Database!$A$1:$M$1,),)</f>
        <v>217371</v>
      </c>
      <c r="C294" s="113">
        <f>(Table53514[[#This Row],[Manufacturers'' New Orders: Durable Goods]]-B293)/B293</f>
        <v>-4.2017584451642755E-2</v>
      </c>
    </row>
    <row r="295" spans="1:3" x14ac:dyDescent="0.35">
      <c r="A295" s="74">
        <v>42430</v>
      </c>
      <c r="B295" s="75">
        <f>VLOOKUP(A295,Database!A:M,MATCH($A$1,Database!$A$1:$M$1,),)</f>
        <v>216899</v>
      </c>
      <c r="C295" s="113">
        <f>(Table53514[[#This Row],[Manufacturers'' New Orders: Durable Goods]]-B294)/B294</f>
        <v>-2.1714028090223628E-3</v>
      </c>
    </row>
    <row r="296" spans="1:3" x14ac:dyDescent="0.35">
      <c r="A296" s="74">
        <v>42461</v>
      </c>
      <c r="B296" s="75">
        <f>VLOOKUP(A296,Database!A:M,MATCH($A$1,Database!$A$1:$M$1,),)</f>
        <v>228585</v>
      </c>
      <c r="C296" s="113">
        <f>(Table53514[[#This Row],[Manufacturers'' New Orders: Durable Goods]]-B295)/B295</f>
        <v>5.3877611238410505E-2</v>
      </c>
    </row>
    <row r="297" spans="1:3" x14ac:dyDescent="0.35">
      <c r="A297" s="74">
        <v>42491</v>
      </c>
      <c r="B297" s="75">
        <f>VLOOKUP(A297,Database!A:M,MATCH($A$1,Database!$A$1:$M$1,),)</f>
        <v>221991</v>
      </c>
      <c r="C297" s="113">
        <f>(Table53514[[#This Row],[Manufacturers'' New Orders: Durable Goods]]-B296)/B296</f>
        <v>-2.8847037207165825E-2</v>
      </c>
    </row>
    <row r="298" spans="1:3" x14ac:dyDescent="0.35">
      <c r="A298" s="74">
        <v>42522</v>
      </c>
      <c r="B298" s="75">
        <f>VLOOKUP(A298,Database!A:M,MATCH($A$1,Database!$A$1:$M$1,),)</f>
        <v>209356</v>
      </c>
      <c r="C298" s="113">
        <f>(Table53514[[#This Row],[Manufacturers'' New Orders: Durable Goods]]-B297)/B297</f>
        <v>-5.6916721849083973E-2</v>
      </c>
    </row>
    <row r="299" spans="1:3" x14ac:dyDescent="0.35">
      <c r="A299" s="74">
        <v>42552</v>
      </c>
      <c r="B299" s="75">
        <f>VLOOKUP(A299,Database!A:M,MATCH($A$1,Database!$A$1:$M$1,),)</f>
        <v>217997</v>
      </c>
      <c r="C299" s="113">
        <f>(Table53514[[#This Row],[Manufacturers'' New Orders: Durable Goods]]-B298)/B298</f>
        <v>4.1274193240222398E-2</v>
      </c>
    </row>
    <row r="300" spans="1:3" x14ac:dyDescent="0.35">
      <c r="A300" s="74">
        <v>42583</v>
      </c>
      <c r="B300" s="75">
        <f>VLOOKUP(A300,Database!A:M,MATCH($A$1,Database!$A$1:$M$1,),)</f>
        <v>219140</v>
      </c>
      <c r="C300" s="113">
        <f>(Table53514[[#This Row],[Manufacturers'' New Orders: Durable Goods]]-B299)/B299</f>
        <v>5.2431914200654134E-3</v>
      </c>
    </row>
    <row r="301" spans="1:3" x14ac:dyDescent="0.35">
      <c r="A301" s="74">
        <v>42614</v>
      </c>
      <c r="B301" s="75">
        <f>VLOOKUP(A301,Database!A:M,MATCH($A$1,Database!$A$1:$M$1,),)</f>
        <v>216058</v>
      </c>
      <c r="C301" s="113">
        <f>(Table53514[[#This Row],[Manufacturers'' New Orders: Durable Goods]]-B300)/B300</f>
        <v>-1.4064068631924796E-2</v>
      </c>
    </row>
    <row r="302" spans="1:3" x14ac:dyDescent="0.35">
      <c r="A302" s="74">
        <v>42644</v>
      </c>
      <c r="B302" s="75">
        <f>VLOOKUP(A302,Database!A:M,MATCH($A$1,Database!$A$1:$M$1,),)</f>
        <v>234217</v>
      </c>
      <c r="C302" s="113">
        <f>(Table53514[[#This Row],[Manufacturers'' New Orders: Durable Goods]]-B301)/B301</f>
        <v>8.4046876301733797E-2</v>
      </c>
    </row>
    <row r="303" spans="1:3" x14ac:dyDescent="0.35">
      <c r="A303" s="74">
        <v>42675</v>
      </c>
      <c r="B303" s="75">
        <f>VLOOKUP(A303,Database!A:M,MATCH($A$1,Database!$A$1:$M$1,),)</f>
        <v>216703</v>
      </c>
      <c r="C303" s="113">
        <f>(Table53514[[#This Row],[Manufacturers'' New Orders: Durable Goods]]-B302)/B302</f>
        <v>-7.4776809539871147E-2</v>
      </c>
    </row>
    <row r="304" spans="1:3" x14ac:dyDescent="0.35">
      <c r="A304" s="74">
        <v>42705</v>
      </c>
      <c r="B304" s="75">
        <f>VLOOKUP(A304,Database!A:M,MATCH($A$1,Database!$A$1:$M$1,),)</f>
        <v>218450</v>
      </c>
      <c r="C304" s="113">
        <f>(Table53514[[#This Row],[Manufacturers'' New Orders: Durable Goods]]-B303)/B303</f>
        <v>8.0617250338020242E-3</v>
      </c>
    </row>
    <row r="305" spans="1:3" x14ac:dyDescent="0.35">
      <c r="A305" s="74">
        <v>42736</v>
      </c>
      <c r="B305" s="75">
        <f>VLOOKUP(A305,Database!A:M,MATCH($A$1,Database!$A$1:$M$1,),)</f>
        <v>218011</v>
      </c>
      <c r="C305" s="113">
        <f>(Table53514[[#This Row],[Manufacturers'' New Orders: Durable Goods]]-B304)/B304</f>
        <v>-2.0096131837949189E-3</v>
      </c>
    </row>
    <row r="306" spans="1:3" x14ac:dyDescent="0.35">
      <c r="A306" s="74">
        <v>42767</v>
      </c>
      <c r="B306" s="75">
        <f>VLOOKUP(A306,Database!A:M,MATCH($A$1,Database!$A$1:$M$1,),)</f>
        <v>221815</v>
      </c>
      <c r="C306" s="113">
        <f>(Table53514[[#This Row],[Manufacturers'' New Orders: Durable Goods]]-B305)/B305</f>
        <v>1.7448660847388435E-2</v>
      </c>
    </row>
    <row r="307" spans="1:3" x14ac:dyDescent="0.35">
      <c r="A307" s="74">
        <v>42795</v>
      </c>
      <c r="B307" s="75">
        <f>VLOOKUP(A307,Database!A:M,MATCH($A$1,Database!$A$1:$M$1,),)</f>
        <v>221965</v>
      </c>
      <c r="C307" s="113">
        <f>(Table53514[[#This Row],[Manufacturers'' New Orders: Durable Goods]]-B306)/B306</f>
        <v>6.7623920834930008E-4</v>
      </c>
    </row>
    <row r="308" spans="1:3" x14ac:dyDescent="0.35">
      <c r="A308" s="74">
        <v>42826</v>
      </c>
      <c r="B308" s="75">
        <f>VLOOKUP(A308,Database!A:M,MATCH($A$1,Database!$A$1:$M$1,),)</f>
        <v>222025</v>
      </c>
      <c r="C308" s="113">
        <f>(Table53514[[#This Row],[Manufacturers'' New Orders: Durable Goods]]-B307)/B307</f>
        <v>2.703128871668957E-4</v>
      </c>
    </row>
    <row r="309" spans="1:3" x14ac:dyDescent="0.35">
      <c r="A309" s="74">
        <v>42856</v>
      </c>
      <c r="B309" s="75">
        <f>VLOOKUP(A309,Database!A:M,MATCH($A$1,Database!$A$1:$M$1,),)</f>
        <v>222398</v>
      </c>
      <c r="C309" s="113">
        <f>(Table53514[[#This Row],[Manufacturers'' New Orders: Durable Goods]]-B308)/B308</f>
        <v>1.6799909920054048E-3</v>
      </c>
    </row>
    <row r="310" spans="1:3" x14ac:dyDescent="0.35">
      <c r="A310" s="74">
        <v>42887</v>
      </c>
      <c r="B310" s="75">
        <f>VLOOKUP(A310,Database!A:M,MATCH($A$1,Database!$A$1:$M$1,),)</f>
        <v>238347</v>
      </c>
      <c r="C310" s="113">
        <f>(Table53514[[#This Row],[Manufacturers'' New Orders: Durable Goods]]-B309)/B309</f>
        <v>7.1713774404446082E-2</v>
      </c>
    </row>
    <row r="311" spans="1:3" x14ac:dyDescent="0.35">
      <c r="A311" s="74">
        <v>42917</v>
      </c>
      <c r="B311" s="75">
        <f>VLOOKUP(A311,Database!A:M,MATCH($A$1,Database!$A$1:$M$1,),)</f>
        <v>218978</v>
      </c>
      <c r="C311" s="113">
        <f>(Table53514[[#This Row],[Manufacturers'' New Orders: Durable Goods]]-B310)/B310</f>
        <v>-8.1263871582188993E-2</v>
      </c>
    </row>
    <row r="312" spans="1:3" x14ac:dyDescent="0.35">
      <c r="A312" s="74">
        <v>42948</v>
      </c>
      <c r="B312" s="75">
        <f>VLOOKUP(A312,Database!A:M,MATCH($A$1,Database!$A$1:$M$1,),)</f>
        <v>223602</v>
      </c>
      <c r="C312" s="113">
        <f>(Table53514[[#This Row],[Manufacturers'' New Orders: Durable Goods]]-B311)/B311</f>
        <v>2.1116276520929043E-2</v>
      </c>
    </row>
    <row r="313" spans="1:3" x14ac:dyDescent="0.35">
      <c r="A313" s="74">
        <v>42979</v>
      </c>
      <c r="B313" s="75">
        <f>VLOOKUP(A313,Database!A:M,MATCH($A$1,Database!$A$1:$M$1,),)</f>
        <v>228198</v>
      </c>
      <c r="C313" s="113">
        <f>(Table53514[[#This Row],[Manufacturers'' New Orders: Durable Goods]]-B312)/B312</f>
        <v>2.0554377867818715E-2</v>
      </c>
    </row>
    <row r="314" spans="1:3" x14ac:dyDescent="0.35">
      <c r="A314" s="74">
        <v>43009</v>
      </c>
      <c r="B314" s="75">
        <f>VLOOKUP(A314,Database!A:M,MATCH($A$1,Database!$A$1:$M$1,),)</f>
        <v>229757</v>
      </c>
      <c r="C314" s="113">
        <f>(Table53514[[#This Row],[Manufacturers'' New Orders: Durable Goods]]-B313)/B313</f>
        <v>6.8317864310817799E-3</v>
      </c>
    </row>
    <row r="315" spans="1:3" x14ac:dyDescent="0.35">
      <c r="A315" s="74">
        <v>43040</v>
      </c>
      <c r="B315" s="75">
        <f>VLOOKUP(A315,Database!A:M,MATCH($A$1,Database!$A$1:$M$1,),)</f>
        <v>229646</v>
      </c>
      <c r="C315" s="113">
        <f>(Table53514[[#This Row],[Manufacturers'' New Orders: Durable Goods]]-B314)/B314</f>
        <v>-4.8311912150663527E-4</v>
      </c>
    </row>
    <row r="316" spans="1:3" x14ac:dyDescent="0.35">
      <c r="A316" s="74">
        <v>43070</v>
      </c>
      <c r="B316" s="75">
        <f>VLOOKUP(A316,Database!A:M,MATCH($A$1,Database!$A$1:$M$1,),)</f>
        <v>239903</v>
      </c>
      <c r="C316" s="113">
        <f>(Table53514[[#This Row],[Manufacturers'' New Orders: Durable Goods]]-B315)/B315</f>
        <v>4.4664396505926511E-2</v>
      </c>
    </row>
    <row r="317" spans="1:3" x14ac:dyDescent="0.35">
      <c r="A317" s="74">
        <v>43101</v>
      </c>
      <c r="B317" s="75">
        <f>VLOOKUP(A317,Database!A:M,MATCH($A$1,Database!$A$1:$M$1,),)</f>
        <v>225906</v>
      </c>
      <c r="C317" s="113">
        <f>(Table53514[[#This Row],[Manufacturers'' New Orders: Durable Goods]]-B316)/B316</f>
        <v>-5.8344414200739464E-2</v>
      </c>
    </row>
    <row r="318" spans="1:3" x14ac:dyDescent="0.35">
      <c r="A318" s="74">
        <v>43132</v>
      </c>
      <c r="B318" s="75">
        <f>VLOOKUP(A318,Database!A:M,MATCH($A$1,Database!$A$1:$M$1,),)</f>
        <v>234140</v>
      </c>
      <c r="C318" s="113">
        <f>(Table53514[[#This Row],[Manufacturers'' New Orders: Durable Goods]]-B317)/B317</f>
        <v>3.6448788434127466E-2</v>
      </c>
    </row>
    <row r="319" spans="1:3" x14ac:dyDescent="0.35">
      <c r="A319" s="74">
        <v>43160</v>
      </c>
      <c r="B319" s="75">
        <f>VLOOKUP(A319,Database!A:M,MATCH($A$1,Database!$A$1:$M$1,),)</f>
        <v>242658</v>
      </c>
      <c r="C319" s="113">
        <f>(Table53514[[#This Row],[Manufacturers'' New Orders: Durable Goods]]-B318)/B318</f>
        <v>3.6379943623473139E-2</v>
      </c>
    </row>
    <row r="320" spans="1:3" x14ac:dyDescent="0.35">
      <c r="A320" s="74">
        <v>43191</v>
      </c>
      <c r="B320" s="75">
        <f>VLOOKUP(A320,Database!A:M,MATCH($A$1,Database!$A$1:$M$1,),)</f>
        <v>239492</v>
      </c>
      <c r="C320" s="113">
        <f>(Table53514[[#This Row],[Manufacturers'' New Orders: Durable Goods]]-B319)/B319</f>
        <v>-1.3047169267034262E-2</v>
      </c>
    </row>
    <row r="321" spans="1:3" x14ac:dyDescent="0.35">
      <c r="A321" s="74">
        <v>43221</v>
      </c>
      <c r="B321" s="75">
        <f>VLOOKUP(A321,Database!A:M,MATCH($A$1,Database!$A$1:$M$1,),)</f>
        <v>240608</v>
      </c>
      <c r="C321" s="113">
        <f>(Table53514[[#This Row],[Manufacturers'' New Orders: Durable Goods]]-B320)/B320</f>
        <v>4.6598633774823373E-3</v>
      </c>
    </row>
    <row r="322" spans="1:3" x14ac:dyDescent="0.35">
      <c r="A322" s="74">
        <v>43252</v>
      </c>
      <c r="B322" s="75">
        <f>VLOOKUP(A322,Database!A:M,MATCH($A$1,Database!$A$1:$M$1,),)</f>
        <v>243274</v>
      </c>
      <c r="C322" s="113">
        <f>(Table53514[[#This Row],[Manufacturers'' New Orders: Durable Goods]]-B321)/B321</f>
        <v>1.1080263332890012E-2</v>
      </c>
    </row>
    <row r="323" spans="1:3" x14ac:dyDescent="0.35">
      <c r="A323" s="74">
        <v>43282</v>
      </c>
      <c r="B323" s="75">
        <f>VLOOKUP(A323,Database!A:M,MATCH($A$1,Database!$A$1:$M$1,),)</f>
        <v>234585</v>
      </c>
      <c r="C323" s="113">
        <f>(Table53514[[#This Row],[Manufacturers'' New Orders: Durable Goods]]-B322)/B322</f>
        <v>-3.5716928237296219E-2</v>
      </c>
    </row>
    <row r="324" spans="1:3" x14ac:dyDescent="0.35">
      <c r="A324" s="74">
        <v>43313</v>
      </c>
      <c r="B324" s="75">
        <f>VLOOKUP(A324,Database!A:M,MATCH($A$1,Database!$A$1:$M$1,),)</f>
        <v>244108</v>
      </c>
      <c r="C324" s="113">
        <f>(Table53514[[#This Row],[Manufacturers'' New Orders: Durable Goods]]-B323)/B323</f>
        <v>4.0595093462923885E-2</v>
      </c>
    </row>
    <row r="325" spans="1:3" x14ac:dyDescent="0.35">
      <c r="A325" s="74">
        <v>43344</v>
      </c>
      <c r="B325" s="75">
        <f>VLOOKUP(A325,Database!A:M,MATCH($A$1,Database!$A$1:$M$1,),)</f>
        <v>244834</v>
      </c>
      <c r="C325" s="113">
        <f>(Table53514[[#This Row],[Manufacturers'' New Orders: Durable Goods]]-B324)/B324</f>
        <v>2.9740934340537796E-3</v>
      </c>
    </row>
    <row r="326" spans="1:3" x14ac:dyDescent="0.35">
      <c r="A326" s="74">
        <v>43374</v>
      </c>
      <c r="B326" s="75">
        <f>VLOOKUP(A326,Database!A:M,MATCH($A$1,Database!$A$1:$M$1,),)</f>
        <v>239723</v>
      </c>
      <c r="C326" s="113">
        <f>(Table53514[[#This Row],[Manufacturers'' New Orders: Durable Goods]]-B325)/B325</f>
        <v>-2.0875368617103835E-2</v>
      </c>
    </row>
    <row r="327" spans="1:3" x14ac:dyDescent="0.35">
      <c r="A327" s="74">
        <v>43405</v>
      </c>
      <c r="B327" s="75">
        <f>VLOOKUP(A327,Database!A:M,MATCH($A$1,Database!$A$1:$M$1,),)</f>
        <v>231653</v>
      </c>
      <c r="C327" s="113">
        <f>(Table53514[[#This Row],[Manufacturers'' New Orders: Durable Goods]]-B326)/B326</f>
        <v>-3.3663853697809554E-2</v>
      </c>
    </row>
    <row r="328" spans="1:3" x14ac:dyDescent="0.35">
      <c r="A328" s="74">
        <v>43435</v>
      </c>
      <c r="B328" s="75">
        <f>VLOOKUP(A328,Database!A:M,MATCH($A$1,Database!$A$1:$M$1,),)</f>
        <v>238448</v>
      </c>
      <c r="C328" s="113">
        <f>(Table53514[[#This Row],[Manufacturers'' New Orders: Durable Goods]]-B327)/B327</f>
        <v>2.9332665668046605E-2</v>
      </c>
    </row>
    <row r="329" spans="1:3" x14ac:dyDescent="0.35">
      <c r="A329" s="74">
        <v>43466</v>
      </c>
      <c r="B329" s="75">
        <f>VLOOKUP(A329,Database!A:M,MATCH($A$1,Database!$A$1:$M$1,),)</f>
        <v>229028</v>
      </c>
      <c r="C329" s="113">
        <f>(Table53514[[#This Row],[Manufacturers'' New Orders: Durable Goods]]-B328)/B328</f>
        <v>-3.9505468697577671E-2</v>
      </c>
    </row>
    <row r="330" spans="1:3" x14ac:dyDescent="0.35">
      <c r="A330" s="74">
        <v>43497</v>
      </c>
      <c r="B330" s="75">
        <f>VLOOKUP(A330,Database!A:M,MATCH($A$1,Database!$A$1:$M$1,),)</f>
        <v>223455</v>
      </c>
      <c r="C330" s="113">
        <f>(Table53514[[#This Row],[Manufacturers'' New Orders: Durable Goods]]-B329)/B329</f>
        <v>-2.4333269294584067E-2</v>
      </c>
    </row>
    <row r="331" spans="1:3" x14ac:dyDescent="0.35">
      <c r="A331" s="74">
        <v>43525</v>
      </c>
      <c r="B331" s="75">
        <f>VLOOKUP(A331,Database!A:M,MATCH($A$1,Database!$A$1:$M$1,),)</f>
        <v>233044</v>
      </c>
      <c r="C331" s="113">
        <f>(Table53514[[#This Row],[Manufacturers'' New Orders: Durable Goods]]-B330)/B330</f>
        <v>4.2912443221230223E-2</v>
      </c>
    </row>
    <row r="332" spans="1:3" x14ac:dyDescent="0.35">
      <c r="A332" s="74">
        <v>43556</v>
      </c>
      <c r="B332" s="75">
        <f>VLOOKUP(A332,Database!A:M,MATCH($A$1,Database!$A$1:$M$1,),)</f>
        <v>223929</v>
      </c>
      <c r="C332" s="113">
        <f>(Table53514[[#This Row],[Manufacturers'' New Orders: Durable Goods]]-B331)/B331</f>
        <v>-3.9112785568390519E-2</v>
      </c>
    </row>
    <row r="333" spans="1:3" x14ac:dyDescent="0.35">
      <c r="A333" s="74">
        <v>43586</v>
      </c>
      <c r="B333" s="75">
        <f>VLOOKUP(A333,Database!A:M,MATCH($A$1,Database!$A$1:$M$1,),)</f>
        <v>217479</v>
      </c>
      <c r="C333" s="113">
        <f>(Table53514[[#This Row],[Manufacturers'' New Orders: Durable Goods]]-B332)/B332</f>
        <v>-2.8803772624358615E-2</v>
      </c>
    </row>
    <row r="334" spans="1:3" x14ac:dyDescent="0.35">
      <c r="A334" s="74">
        <v>43617</v>
      </c>
      <c r="B334" s="75">
        <f>VLOOKUP(A334,Database!A:M,MATCH($A$1,Database!$A$1:$M$1,),)</f>
        <v>219553</v>
      </c>
      <c r="C334" s="113">
        <f>(Table53514[[#This Row],[Manufacturers'' New Orders: Durable Goods]]-B333)/B333</f>
        <v>9.5365529545381397E-3</v>
      </c>
    </row>
    <row r="335" spans="1:3" x14ac:dyDescent="0.35">
      <c r="A335" s="74">
        <v>43647</v>
      </c>
      <c r="B335" s="75">
        <f>VLOOKUP(A335,Database!A:M,MATCH($A$1,Database!$A$1:$M$1,),)</f>
        <v>225239</v>
      </c>
      <c r="C335" s="113">
        <f>(Table53514[[#This Row],[Manufacturers'' New Orders: Durable Goods]]-B334)/B334</f>
        <v>2.5898074724553979E-2</v>
      </c>
    </row>
    <row r="336" spans="1:3" x14ac:dyDescent="0.35">
      <c r="A336" s="74">
        <v>43678</v>
      </c>
      <c r="B336" s="75">
        <f>VLOOKUP(A336,Database!A:M,MATCH($A$1,Database!$A$1:$M$1,),)</f>
        <v>224546</v>
      </c>
      <c r="C336" s="113">
        <f>(Table53514[[#This Row],[Manufacturers'' New Orders: Durable Goods]]-B335)/B335</f>
        <v>-3.0767318270814555E-3</v>
      </c>
    </row>
    <row r="337" spans="1:3" x14ac:dyDescent="0.35">
      <c r="A337" s="74">
        <v>43709</v>
      </c>
      <c r="B337" s="75">
        <f>VLOOKUP(A337,Database!A:M,MATCH($A$1,Database!$A$1:$M$1,),)</f>
        <v>221949</v>
      </c>
      <c r="C337" s="113">
        <f>(Table53514[[#This Row],[Manufacturers'' New Orders: Durable Goods]]-B336)/B336</f>
        <v>-1.1565558950059231E-2</v>
      </c>
    </row>
    <row r="338" spans="1:3" x14ac:dyDescent="0.35">
      <c r="A338" s="74">
        <v>43739</v>
      </c>
      <c r="B338" s="75">
        <f>VLOOKUP(A338,Database!A:M,MATCH($A$1,Database!$A$1:$M$1,),)</f>
        <v>222975</v>
      </c>
      <c r="C338" s="113">
        <f>(Table53514[[#This Row],[Manufacturers'' New Orders: Durable Goods]]-B337)/B337</f>
        <v>4.6226835894732574E-3</v>
      </c>
    </row>
    <row r="339" spans="1:3" x14ac:dyDescent="0.35">
      <c r="A339" s="74">
        <v>43770</v>
      </c>
      <c r="B339" s="75">
        <f>VLOOKUP(A339,Database!A:M,MATCH($A$1,Database!$A$1:$M$1,),)</f>
        <v>212779</v>
      </c>
      <c r="C339" s="113">
        <f>(Table53514[[#This Row],[Manufacturers'' New Orders: Durable Goods]]-B338)/B338</f>
        <v>-4.5727099450611056E-2</v>
      </c>
    </row>
    <row r="340" spans="1:3" x14ac:dyDescent="0.35">
      <c r="A340" s="74">
        <v>43800</v>
      </c>
      <c r="B340" s="75">
        <f>VLOOKUP(A340,Database!A:M,MATCH($A$1,Database!$A$1:$M$1,),)</f>
        <v>215324</v>
      </c>
      <c r="C340" s="113">
        <f>(Table53514[[#This Row],[Manufacturers'' New Orders: Durable Goods]]-B339)/B339</f>
        <v>1.1960766804994853E-2</v>
      </c>
    </row>
    <row r="341" spans="1:3" x14ac:dyDescent="0.35">
      <c r="A341" s="74">
        <v>43831</v>
      </c>
      <c r="B341" s="75">
        <f>VLOOKUP(A341,Database!A:M,MATCH($A$1,Database!$A$1:$M$1,),)</f>
        <v>225551</v>
      </c>
      <c r="C341" s="113">
        <f>(Table53514[[#This Row],[Manufacturers'' New Orders: Durable Goods]]-B340)/B340</f>
        <v>4.7495866693912432E-2</v>
      </c>
    </row>
    <row r="342" spans="1:3" x14ac:dyDescent="0.35">
      <c r="A342" s="74">
        <v>43862</v>
      </c>
      <c r="B342" s="75">
        <f>VLOOKUP(A342,Database!A:M,MATCH($A$1,Database!$A$1:$M$1,),)</f>
        <v>231488</v>
      </c>
      <c r="C342" s="113">
        <f>(Table53514[[#This Row],[Manufacturers'' New Orders: Durable Goods]]-B341)/B341</f>
        <v>2.6322206507619121E-2</v>
      </c>
    </row>
    <row r="343" spans="1:3" x14ac:dyDescent="0.35">
      <c r="A343" s="74">
        <v>43891</v>
      </c>
      <c r="B343" s="75">
        <f>VLOOKUP(A343,Database!A:M,MATCH($A$1,Database!$A$1:$M$1,),)</f>
        <v>200119</v>
      </c>
      <c r="C343" s="113">
        <f>(Table53514[[#This Row],[Manufacturers'' New Orders: Durable Goods]]-B342)/B342</f>
        <v>-0.13551026403096489</v>
      </c>
    </row>
    <row r="344" spans="1:3" x14ac:dyDescent="0.35">
      <c r="A344" s="74">
        <v>43922</v>
      </c>
      <c r="B344" s="75">
        <f>VLOOKUP(A344,Database!A:M,MATCH($A$1,Database!$A$1:$M$1,),)</f>
        <v>159130</v>
      </c>
      <c r="C344" s="113">
        <f>(Table53514[[#This Row],[Manufacturers'' New Orders: Durable Goods]]-B343)/B343</f>
        <v>-0.20482313023750867</v>
      </c>
    </row>
    <row r="345" spans="1:3" x14ac:dyDescent="0.35">
      <c r="A345" s="74">
        <v>43952</v>
      </c>
      <c r="B345" s="75">
        <f>VLOOKUP(A345,Database!A:M,MATCH($A$1,Database!$A$1:$M$1,),)</f>
        <v>179384</v>
      </c>
      <c r="C345" s="113">
        <f>(Table53514[[#This Row],[Manufacturers'' New Orders: Durable Goods]]-B344)/B344</f>
        <v>0.12727958273110035</v>
      </c>
    </row>
    <row r="346" spans="1:3" x14ac:dyDescent="0.35">
      <c r="A346" s="74">
        <v>43983</v>
      </c>
      <c r="B346" s="75">
        <f>VLOOKUP(A346,Database!A:M,MATCH($A$1,Database!$A$1:$M$1,),)</f>
        <v>198774</v>
      </c>
      <c r="C346" s="113">
        <f>(Table53514[[#This Row],[Manufacturers'' New Orders: Durable Goods]]-B345)/B345</f>
        <v>0.10809213753735004</v>
      </c>
    </row>
    <row r="347" spans="1:3" x14ac:dyDescent="0.35">
      <c r="A347" s="74">
        <v>44013</v>
      </c>
      <c r="B347" s="75">
        <f>VLOOKUP(A347,Database!A:M,MATCH($A$1,Database!$A$1:$M$1,),)</f>
        <v>218041</v>
      </c>
      <c r="C347" s="113">
        <f>(Table53514[[#This Row],[Manufacturers'' New Orders: Durable Goods]]-B346)/B346</f>
        <v>9.6929175847947927E-2</v>
      </c>
    </row>
    <row r="348" spans="1:3" x14ac:dyDescent="0.35">
      <c r="A348" s="74">
        <v>44044</v>
      </c>
      <c r="B348" s="75">
        <f>VLOOKUP(A348,Database!A:M,MATCH($A$1,Database!$A$1:$M$1,),)</f>
        <v>221086</v>
      </c>
      <c r="C348" s="113">
        <f>(Table53514[[#This Row],[Manufacturers'' New Orders: Durable Goods]]-B347)/B347</f>
        <v>1.3965263413761631E-2</v>
      </c>
    </row>
    <row r="349" spans="1:3" x14ac:dyDescent="0.35">
      <c r="A349" s="74">
        <v>44075</v>
      </c>
      <c r="B349" s="75">
        <f>VLOOKUP(A349,Database!A:M,MATCH($A$1,Database!$A$1:$M$1,),)</f>
        <v>225593</v>
      </c>
      <c r="C349" s="113">
        <f>(Table53514[[#This Row],[Manufacturers'' New Orders: Durable Goods]]-B348)/B348</f>
        <v>2.038573224898908E-2</v>
      </c>
    </row>
    <row r="350" spans="1:3" x14ac:dyDescent="0.35">
      <c r="A350" s="74">
        <v>44105</v>
      </c>
      <c r="B350" s="75">
        <f>VLOOKUP(A350,Database!A:M,MATCH($A$1,Database!$A$1:$M$1,),)</f>
        <v>229735</v>
      </c>
      <c r="C350" s="113">
        <f>(Table53514[[#This Row],[Manufacturers'' New Orders: Durable Goods]]-B349)/B349</f>
        <v>1.8360498774341403E-2</v>
      </c>
    </row>
    <row r="351" spans="1:3" x14ac:dyDescent="0.35">
      <c r="A351" s="74">
        <v>44136</v>
      </c>
      <c r="B351" s="75">
        <f>VLOOKUP(A351,Database!A:M,MATCH($A$1,Database!$A$1:$M$1,),)</f>
        <v>228470</v>
      </c>
      <c r="C351" s="113">
        <f>(Table53514[[#This Row],[Manufacturers'' New Orders: Durable Goods]]-B350)/B350</f>
        <v>-5.5063442662197752E-3</v>
      </c>
    </row>
    <row r="352" spans="1:3" x14ac:dyDescent="0.35">
      <c r="A352" s="74">
        <v>44166</v>
      </c>
      <c r="B352" s="75">
        <f>VLOOKUP(A352,Database!A:M,MATCH($A$1,Database!$A$1:$M$1,),)</f>
        <v>231460</v>
      </c>
      <c r="C352" s="113">
        <f>(Table53514[[#This Row],[Manufacturers'' New Orders: Durable Goods]]-B351)/B351</f>
        <v>1.3087057381713136E-2</v>
      </c>
    </row>
    <row r="353" spans="1:3" x14ac:dyDescent="0.35">
      <c r="A353" s="74">
        <v>44197</v>
      </c>
      <c r="B353" s="75">
        <f>VLOOKUP(A353,Database!A:M,MATCH($A$1,Database!$A$1:$M$1,),)</f>
        <v>237284</v>
      </c>
      <c r="C353" s="113">
        <f>(Table53514[[#This Row],[Manufacturers'' New Orders: Durable Goods]]-B352)/B352</f>
        <v>2.5162015034995249E-2</v>
      </c>
    </row>
    <row r="354" spans="1:3" x14ac:dyDescent="0.35">
      <c r="A354" s="74">
        <v>44228</v>
      </c>
      <c r="B354" s="75">
        <f>VLOOKUP(A354,Database!A:M,MATCH($A$1,Database!$A$1:$M$1,),)</f>
        <v>237479</v>
      </c>
      <c r="C354" s="113">
        <f>(Table53514[[#This Row],[Manufacturers'' New Orders: Durable Goods]]-B353)/B353</f>
        <v>8.218000370863607E-4</v>
      </c>
    </row>
    <row r="355" spans="1:3" x14ac:dyDescent="0.35">
      <c r="A355" s="74">
        <v>44256</v>
      </c>
      <c r="B355" s="75">
        <f>VLOOKUP(A355,Database!A:M,MATCH($A$1,Database!$A$1:$M$1,),)</f>
        <v>241392</v>
      </c>
      <c r="C355" s="113">
        <f>(Table53514[[#This Row],[Manufacturers'' New Orders: Durable Goods]]-B354)/B354</f>
        <v>1.6477246409156179E-2</v>
      </c>
    </row>
    <row r="356" spans="1:3" x14ac:dyDescent="0.35">
      <c r="A356" s="74">
        <v>44287</v>
      </c>
      <c r="B356" s="75">
        <f>VLOOKUP(A356,Database!A:M,MATCH($A$1,Database!$A$1:$M$1,),)</f>
        <v>236566</v>
      </c>
      <c r="C356" s="113">
        <f>(Table53514[[#This Row],[Manufacturers'' New Orders: Durable Goods]]-B355)/B355</f>
        <v>-1.9992377543580565E-2</v>
      </c>
    </row>
    <row r="357" spans="1:3" x14ac:dyDescent="0.35">
      <c r="A357" s="74">
        <v>44317</v>
      </c>
      <c r="B357" s="75">
        <f>VLOOKUP(A357,Database!A:M,MATCH($A$1,Database!$A$1:$M$1,),)</f>
        <v>241545</v>
      </c>
      <c r="C357" s="113">
        <f>(Table53514[[#This Row],[Manufacturers'' New Orders: Durable Goods]]-B356)/B356</f>
        <v>2.1046980546655054E-2</v>
      </c>
    </row>
    <row r="358" spans="1:3" x14ac:dyDescent="0.35">
      <c r="A358" s="74">
        <v>44348</v>
      </c>
      <c r="B358" s="75">
        <f>VLOOKUP(A358,Database!A:M,MATCH($A$1,Database!$A$1:$M$1,),)</f>
        <v>245826</v>
      </c>
      <c r="C358" s="113">
        <f>(Table53514[[#This Row],[Manufacturers'' New Orders: Durable Goods]]-B357)/B357</f>
        <v>1.7723405576600633E-2</v>
      </c>
    </row>
    <row r="359" spans="1:3" x14ac:dyDescent="0.35">
      <c r="A359" s="74">
        <v>44378</v>
      </c>
      <c r="B359" s="75">
        <f>VLOOKUP(A359,Database!A:M,MATCH($A$1,Database!$A$1:$M$1,),)</f>
        <v>246741</v>
      </c>
      <c r="C359" s="113">
        <f>(Table53514[[#This Row],[Manufacturers'' New Orders: Durable Goods]]-B358)/B358</f>
        <v>3.7221449317810158E-3</v>
      </c>
    </row>
    <row r="360" spans="1:3" x14ac:dyDescent="0.35">
      <c r="A360" s="74">
        <v>44409</v>
      </c>
      <c r="B360" s="75">
        <f>VLOOKUP(A360,Database!A:M,MATCH($A$1,Database!$A$1:$M$1,),)</f>
        <v>250577</v>
      </c>
      <c r="C360" s="113">
        <f>(Table53514[[#This Row],[Manufacturers'' New Orders: Durable Goods]]-B359)/B359</f>
        <v>1.5546666342440049E-2</v>
      </c>
    </row>
    <row r="361" spans="1:3" x14ac:dyDescent="0.35">
      <c r="A361" s="74">
        <v>44440</v>
      </c>
      <c r="B361" s="75">
        <f>VLOOKUP(A361,Database!A:M,MATCH($A$1,Database!$A$1:$M$1,),)</f>
        <v>246849</v>
      </c>
      <c r="C361" s="113">
        <f>(Table53514[[#This Row],[Manufacturers'' New Orders: Durable Goods]]-B360)/B360</f>
        <v>-1.4877662355284005E-2</v>
      </c>
    </row>
    <row r="362" spans="1:3" x14ac:dyDescent="0.35">
      <c r="A362" s="74">
        <v>44470</v>
      </c>
      <c r="B362" s="75">
        <f>VLOOKUP(A362,Database!A:M,MATCH($A$1,Database!$A$1:$M$1,),)</f>
        <v>250503</v>
      </c>
      <c r="C362" s="113">
        <f>(Table53514[[#This Row],[Manufacturers'' New Orders: Durable Goods]]-B361)/B361</f>
        <v>1.4802571612605278E-2</v>
      </c>
    </row>
    <row r="363" spans="1:3" x14ac:dyDescent="0.35">
      <c r="A363" s="74">
        <v>44501</v>
      </c>
      <c r="B363" s="75">
        <f>VLOOKUP(A363,Database!A:M,MATCH($A$1,Database!$A$1:$M$1,),)</f>
        <v>254074</v>
      </c>
      <c r="C363" s="113">
        <f>(Table53514[[#This Row],[Manufacturers'' New Orders: Durable Goods]]-B362)/B362</f>
        <v>1.4255318299581243E-2</v>
      </c>
    </row>
    <row r="364" spans="1:3" x14ac:dyDescent="0.35">
      <c r="A364" s="74">
        <v>44531</v>
      </c>
      <c r="B364" s="75">
        <f>VLOOKUP(A364,Database!A:M,MATCH($A$1,Database!$A$1:$M$1,),)</f>
        <v>256464</v>
      </c>
      <c r="C364" s="113">
        <f>(Table53514[[#This Row],[Manufacturers'' New Orders: Durable Goods]]-B363)/B363</f>
        <v>9.406708281839149E-3</v>
      </c>
    </row>
    <row r="365" spans="1:3" x14ac:dyDescent="0.35">
      <c r="A365" s="74">
        <v>44562</v>
      </c>
      <c r="B365" s="75">
        <f>VLOOKUP(A365,Database!A:M,MATCH($A$1,Database!$A$1:$M$1,),)</f>
        <v>264356</v>
      </c>
      <c r="C365" s="113">
        <f>(Table53514[[#This Row],[Manufacturers'' New Orders: Durable Goods]]-B364)/B364</f>
        <v>3.0772350115415809E-2</v>
      </c>
    </row>
    <row r="366" spans="1:3" x14ac:dyDescent="0.35">
      <c r="A366" s="74">
        <v>44593</v>
      </c>
      <c r="B366" s="75">
        <f>VLOOKUP(A366,Database!A:M,MATCH($A$1,Database!$A$1:$M$1,),)</f>
        <v>262494</v>
      </c>
      <c r="C366" s="113">
        <f>(Table53514[[#This Row],[Manufacturers'' New Orders: Durable Goods]]-B365)/B365</f>
        <v>-7.0435322065699286E-3</v>
      </c>
    </row>
    <row r="367" spans="1:3" x14ac:dyDescent="0.35">
      <c r="A367" s="74">
        <v>44621</v>
      </c>
      <c r="B367" s="75">
        <f>VLOOKUP(A367,Database!A:M,MATCH($A$1,Database!$A$1:$M$1,),)</f>
        <v>264258</v>
      </c>
      <c r="C367" s="113">
        <f>(Table53514[[#This Row],[Manufacturers'' New Orders: Durable Goods]]-B366)/B366</f>
        <v>6.7201536035109378E-3</v>
      </c>
    </row>
    <row r="368" spans="1:3" x14ac:dyDescent="0.35">
      <c r="A368" s="74">
        <v>44652</v>
      </c>
      <c r="B368" s="75">
        <f>VLOOKUP(A368,Database!A:M,MATCH($A$1,Database!$A$1:$M$1,),)</f>
        <v>265376</v>
      </c>
      <c r="C368" s="113">
        <f>(Table53514[[#This Row],[Manufacturers'' New Orders: Durable Goods]]-B367)/B367</f>
        <v>4.2307139235141416E-3</v>
      </c>
    </row>
    <row r="369" spans="1:3" x14ac:dyDescent="0.35">
      <c r="A369" s="74">
        <v>44682</v>
      </c>
      <c r="B369" s="75">
        <f>VLOOKUP(A369,Database!A:M,MATCH($A$1,Database!$A$1:$M$1,),)</f>
        <v>267533</v>
      </c>
      <c r="C369" s="113">
        <f>(Table53514[[#This Row],[Manufacturers'' New Orders: Durable Goods]]-B368)/B368</f>
        <v>8.1280899553840581E-3</v>
      </c>
    </row>
    <row r="370" spans="1:3" x14ac:dyDescent="0.35">
      <c r="A370" s="74">
        <v>44713</v>
      </c>
      <c r="B370" s="75">
        <f>VLOOKUP(A370,Database!A:M,MATCH($A$1,Database!$A$1:$M$1,),)</f>
        <v>273571</v>
      </c>
      <c r="C370" s="113">
        <f>(Table53514[[#This Row],[Manufacturers'' New Orders: Durable Goods]]-B369)/B369</f>
        <v>2.2569178381732346E-2</v>
      </c>
    </row>
    <row r="371" spans="1:3" x14ac:dyDescent="0.35">
      <c r="A371" s="74">
        <v>44743</v>
      </c>
      <c r="B371" s="75">
        <f>VLOOKUP(A371,Database!A:M,MATCH($A$1,Database!$A$1:$M$1,),)</f>
        <v>273203</v>
      </c>
      <c r="C371" s="113">
        <f>(Table53514[[#This Row],[Manufacturers'' New Orders: Durable Goods]]-B370)/B370</f>
        <v>-1.345171820112512E-3</v>
      </c>
    </row>
    <row r="372" spans="1:3" x14ac:dyDescent="0.35">
      <c r="A372" s="74">
        <v>44774</v>
      </c>
      <c r="B372" s="75">
        <f>VLOOKUP(A372,Database!A:M,MATCH($A$1,Database!$A$1:$M$1,),)</f>
        <v>273841</v>
      </c>
      <c r="C372" s="113">
        <f>(Table53514[[#This Row],[Manufacturers'' New Orders: Durable Goods]]-B371)/B371</f>
        <v>2.3352598617145492E-3</v>
      </c>
    </row>
    <row r="373" spans="1:3" x14ac:dyDescent="0.35">
      <c r="A373" s="74">
        <v>44805</v>
      </c>
      <c r="B373" s="75">
        <f>VLOOKUP(A373,Database!A:M,MATCH($A$1,Database!$A$1:$M$1,),)</f>
        <v>274399</v>
      </c>
      <c r="C373" s="113">
        <f>(Table53514[[#This Row],[Manufacturers'' New Orders: Durable Goods]]-B372)/B372</f>
        <v>2.0376787990111049E-3</v>
      </c>
    </row>
    <row r="374" spans="1:3" x14ac:dyDescent="0.35">
      <c r="A374" s="74">
        <v>44835</v>
      </c>
      <c r="B374" s="75">
        <f>VLOOKUP(A374,Database!A:M,MATCH($A$1,Database!$A$1:$M$1,),)</f>
        <v>276366</v>
      </c>
      <c r="C374" s="113">
        <f>(Table53514[[#This Row],[Manufacturers'' New Orders: Durable Goods]]-B373)/B373</f>
        <v>7.1683934708216867E-3</v>
      </c>
    </row>
    <row r="375" spans="1:3" x14ac:dyDescent="0.35">
      <c r="A375" s="74">
        <v>44866</v>
      </c>
      <c r="B375" s="75">
        <f>VLOOKUP(A375,Database!A:M,MATCH($A$1,Database!$A$1:$M$1,),)</f>
        <v>270473</v>
      </c>
      <c r="C375" s="113">
        <f>(Table53514[[#This Row],[Manufacturers'' New Orders: Durable Goods]]-B374)/B374</f>
        <v>-2.132317289391604E-2</v>
      </c>
    </row>
  </sheetData>
  <conditionalFormatting sqref="B4:B5 C2:C3">
    <cfRule type="colorScale" priority="2">
      <colorScale>
        <cfvo type="min"/>
        <cfvo type="percentile" val="50"/>
        <cfvo type="max"/>
        <color rgb="FFF8696B"/>
        <color rgb="FFFFEB84"/>
        <color rgb="FF63BE7B"/>
      </colorScale>
    </cfRule>
  </conditionalFormatting>
  <conditionalFormatting sqref="C221:C375">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FF0000"/>
  </sheetPr>
  <dimension ref="A1:C375"/>
  <sheetViews>
    <sheetView zoomScale="150" zoomScaleNormal="150" workbookViewId="0">
      <pane ySplit="5" topLeftCell="A357" activePane="bottomLeft" state="frozen"/>
      <selection activeCell="Q21" sqref="Q21"/>
      <selection pane="bottomLeft" activeCell="Q21" sqref="Q21"/>
    </sheetView>
  </sheetViews>
  <sheetFormatPr defaultColWidth="8.81640625" defaultRowHeight="14.5" x14ac:dyDescent="0.35"/>
  <cols>
    <col min="1" max="1" width="10.81640625" style="68" customWidth="1"/>
    <col min="2" max="2" width="24.453125" style="69" customWidth="1"/>
    <col min="3" max="3" width="14.81640625" style="119" customWidth="1"/>
    <col min="4" max="240" width="9.1796875" style="117" customWidth="1"/>
    <col min="241" max="241" width="10.81640625" style="117" customWidth="1"/>
    <col min="242" max="242" width="18.1796875" style="117" customWidth="1"/>
    <col min="243" max="243" width="15" style="117" customWidth="1"/>
    <col min="244" max="247" width="13" style="117" customWidth="1"/>
    <col min="248" max="248" width="17.453125" style="117" customWidth="1"/>
    <col min="249" max="496" width="9.1796875" style="117" customWidth="1"/>
    <col min="497" max="497" width="10.81640625" style="117" customWidth="1"/>
    <col min="498" max="498" width="18.1796875" style="117" customWidth="1"/>
    <col min="499" max="499" width="15" style="117" customWidth="1"/>
    <col min="500" max="503" width="13" style="117" customWidth="1"/>
    <col min="504" max="504" width="17.453125" style="117" customWidth="1"/>
    <col min="505" max="752" width="9.1796875" style="117" customWidth="1"/>
    <col min="753" max="753" width="10.81640625" style="117" customWidth="1"/>
    <col min="754" max="754" width="18.1796875" style="117" customWidth="1"/>
    <col min="755" max="755" width="15" style="117" customWidth="1"/>
    <col min="756" max="759" width="13" style="117" customWidth="1"/>
    <col min="760" max="760" width="17.453125" style="117" customWidth="1"/>
    <col min="761" max="1008" width="9.1796875" style="117" customWidth="1"/>
    <col min="1009" max="1009" width="10.81640625" style="117" customWidth="1"/>
    <col min="1010" max="1010" width="18.1796875" style="117" customWidth="1"/>
    <col min="1011" max="1011" width="15" style="117" customWidth="1"/>
    <col min="1012" max="1015" width="13" style="117" customWidth="1"/>
    <col min="1016" max="1016" width="17.453125" style="117" customWidth="1"/>
    <col min="1017" max="1264" width="9.1796875" style="117" customWidth="1"/>
    <col min="1265" max="1265" width="10.81640625" style="117" customWidth="1"/>
    <col min="1266" max="1266" width="18.1796875" style="117" customWidth="1"/>
    <col min="1267" max="1267" width="15" style="117" customWidth="1"/>
    <col min="1268" max="1271" width="13" style="117" customWidth="1"/>
    <col min="1272" max="1272" width="17.453125" style="117" customWidth="1"/>
    <col min="1273" max="1520" width="9.1796875" style="117" customWidth="1"/>
    <col min="1521" max="1521" width="10.81640625" style="117" customWidth="1"/>
    <col min="1522" max="1522" width="18.1796875" style="117" customWidth="1"/>
    <col min="1523" max="1523" width="15" style="117" customWidth="1"/>
    <col min="1524" max="1527" width="13" style="117" customWidth="1"/>
    <col min="1528" max="1528" width="17.453125" style="117" customWidth="1"/>
    <col min="1529" max="1776" width="9.1796875" style="117" customWidth="1"/>
    <col min="1777" max="1777" width="10.81640625" style="117" customWidth="1"/>
    <col min="1778" max="1778" width="18.1796875" style="117" customWidth="1"/>
    <col min="1779" max="1779" width="15" style="117" customWidth="1"/>
    <col min="1780" max="1783" width="13" style="117" customWidth="1"/>
    <col min="1784" max="1784" width="17.453125" style="117" customWidth="1"/>
    <col min="1785" max="2032" width="9.1796875" style="117" customWidth="1"/>
    <col min="2033" max="2033" width="10.81640625" style="117" customWidth="1"/>
    <col min="2034" max="2034" width="18.1796875" style="117" customWidth="1"/>
    <col min="2035" max="2035" width="15" style="117" customWidth="1"/>
    <col min="2036" max="2039" width="13" style="117" customWidth="1"/>
    <col min="2040" max="2040" width="17.453125" style="117" customWidth="1"/>
    <col min="2041" max="2288" width="9.1796875" style="117" customWidth="1"/>
    <col min="2289" max="2289" width="10.81640625" style="117" customWidth="1"/>
    <col min="2290" max="2290" width="18.1796875" style="117" customWidth="1"/>
    <col min="2291" max="2291" width="15" style="117" customWidth="1"/>
    <col min="2292" max="2295" width="13" style="117" customWidth="1"/>
    <col min="2296" max="2296" width="17.453125" style="117" customWidth="1"/>
    <col min="2297" max="2544" width="9.1796875" style="117" customWidth="1"/>
    <col min="2545" max="2545" width="10.81640625" style="117" customWidth="1"/>
    <col min="2546" max="2546" width="18.1796875" style="117" customWidth="1"/>
    <col min="2547" max="2547" width="15" style="117" customWidth="1"/>
    <col min="2548" max="2551" width="13" style="117" customWidth="1"/>
    <col min="2552" max="2552" width="17.453125" style="117" customWidth="1"/>
    <col min="2553" max="2800" width="9.1796875" style="117" customWidth="1"/>
    <col min="2801" max="2801" width="10.81640625" style="117" customWidth="1"/>
    <col min="2802" max="2802" width="18.1796875" style="117" customWidth="1"/>
    <col min="2803" max="2803" width="15" style="117" customWidth="1"/>
    <col min="2804" max="2807" width="13" style="117" customWidth="1"/>
    <col min="2808" max="2808" width="17.453125" style="117" customWidth="1"/>
    <col min="2809" max="3056" width="9.1796875" style="117" customWidth="1"/>
    <col min="3057" max="3057" width="10.81640625" style="117" customWidth="1"/>
    <col min="3058" max="3058" width="18.1796875" style="117" customWidth="1"/>
    <col min="3059" max="3059" width="15" style="117" customWidth="1"/>
    <col min="3060" max="3063" width="13" style="117" customWidth="1"/>
    <col min="3064" max="3064" width="17.453125" style="117" customWidth="1"/>
    <col min="3065" max="3312" width="9.1796875" style="117" customWidth="1"/>
    <col min="3313" max="3313" width="10.81640625" style="117" customWidth="1"/>
    <col min="3314" max="3314" width="18.1796875" style="117" customWidth="1"/>
    <col min="3315" max="3315" width="15" style="117" customWidth="1"/>
    <col min="3316" max="3319" width="13" style="117" customWidth="1"/>
    <col min="3320" max="3320" width="17.453125" style="117" customWidth="1"/>
    <col min="3321" max="3568" width="9.1796875" style="117" customWidth="1"/>
    <col min="3569" max="3569" width="10.81640625" style="117" customWidth="1"/>
    <col min="3570" max="3570" width="18.1796875" style="117" customWidth="1"/>
    <col min="3571" max="3571" width="15" style="117" customWidth="1"/>
    <col min="3572" max="3575" width="13" style="117" customWidth="1"/>
    <col min="3576" max="3576" width="17.453125" style="117" customWidth="1"/>
    <col min="3577" max="3824" width="9.1796875" style="117" customWidth="1"/>
    <col min="3825" max="3825" width="10.81640625" style="117" customWidth="1"/>
    <col min="3826" max="3826" width="18.1796875" style="117" customWidth="1"/>
    <col min="3827" max="3827" width="15" style="117" customWidth="1"/>
    <col min="3828" max="3831" width="13" style="117" customWidth="1"/>
    <col min="3832" max="3832" width="17.453125" style="117" customWidth="1"/>
    <col min="3833" max="4080" width="9.1796875" style="117" customWidth="1"/>
    <col min="4081" max="4081" width="10.81640625" style="117" customWidth="1"/>
    <col min="4082" max="4082" width="18.1796875" style="117" customWidth="1"/>
    <col min="4083" max="4083" width="15" style="117" customWidth="1"/>
    <col min="4084" max="4087" width="13" style="117" customWidth="1"/>
    <col min="4088" max="4088" width="17.453125" style="117" customWidth="1"/>
    <col min="4089" max="4336" width="9.1796875" style="117" customWidth="1"/>
    <col min="4337" max="4337" width="10.81640625" style="117" customWidth="1"/>
    <col min="4338" max="4338" width="18.1796875" style="117" customWidth="1"/>
    <col min="4339" max="4339" width="15" style="117" customWidth="1"/>
    <col min="4340" max="4343" width="13" style="117" customWidth="1"/>
    <col min="4344" max="4344" width="17.453125" style="117" customWidth="1"/>
    <col min="4345" max="4592" width="9.1796875" style="117" customWidth="1"/>
    <col min="4593" max="4593" width="10.81640625" style="117" customWidth="1"/>
    <col min="4594" max="4594" width="18.1796875" style="117" customWidth="1"/>
    <col min="4595" max="4595" width="15" style="117" customWidth="1"/>
    <col min="4596" max="4599" width="13" style="117" customWidth="1"/>
    <col min="4600" max="4600" width="17.453125" style="117" customWidth="1"/>
    <col min="4601" max="4848" width="9.1796875" style="117" customWidth="1"/>
    <col min="4849" max="4849" width="10.81640625" style="117" customWidth="1"/>
    <col min="4850" max="4850" width="18.1796875" style="117" customWidth="1"/>
    <col min="4851" max="4851" width="15" style="117" customWidth="1"/>
    <col min="4852" max="4855" width="13" style="117" customWidth="1"/>
    <col min="4856" max="4856" width="17.453125" style="117" customWidth="1"/>
    <col min="4857" max="5104" width="9.1796875" style="117" customWidth="1"/>
    <col min="5105" max="5105" width="10.81640625" style="117" customWidth="1"/>
    <col min="5106" max="5106" width="18.1796875" style="117" customWidth="1"/>
    <col min="5107" max="5107" width="15" style="117" customWidth="1"/>
    <col min="5108" max="5111" width="13" style="117" customWidth="1"/>
    <col min="5112" max="5112" width="17.453125" style="117" customWidth="1"/>
    <col min="5113" max="5360" width="9.1796875" style="117" customWidth="1"/>
    <col min="5361" max="5361" width="10.81640625" style="117" customWidth="1"/>
    <col min="5362" max="5362" width="18.1796875" style="117" customWidth="1"/>
    <col min="5363" max="5363" width="15" style="117" customWidth="1"/>
    <col min="5364" max="5367" width="13" style="117" customWidth="1"/>
    <col min="5368" max="5368" width="17.453125" style="117" customWidth="1"/>
    <col min="5369" max="5616" width="9.1796875" style="117" customWidth="1"/>
    <col min="5617" max="5617" width="10.81640625" style="117" customWidth="1"/>
    <col min="5618" max="5618" width="18.1796875" style="117" customWidth="1"/>
    <col min="5619" max="5619" width="15" style="117" customWidth="1"/>
    <col min="5620" max="5623" width="13" style="117" customWidth="1"/>
    <col min="5624" max="5624" width="17.453125" style="117" customWidth="1"/>
    <col min="5625" max="5872" width="9.1796875" style="117" customWidth="1"/>
    <col min="5873" max="5873" width="10.81640625" style="117" customWidth="1"/>
    <col min="5874" max="5874" width="18.1796875" style="117" customWidth="1"/>
    <col min="5875" max="5875" width="15" style="117" customWidth="1"/>
    <col min="5876" max="5879" width="13" style="117" customWidth="1"/>
    <col min="5880" max="5880" width="17.453125" style="117" customWidth="1"/>
    <col min="5881" max="6128" width="9.1796875" style="117" customWidth="1"/>
    <col min="6129" max="6129" width="10.81640625" style="117" customWidth="1"/>
    <col min="6130" max="6130" width="18.1796875" style="117" customWidth="1"/>
    <col min="6131" max="6131" width="15" style="117" customWidth="1"/>
    <col min="6132" max="6135" width="13" style="117" customWidth="1"/>
    <col min="6136" max="6136" width="17.453125" style="117" customWidth="1"/>
    <col min="6137" max="6384" width="9.1796875" style="117" customWidth="1"/>
    <col min="6385" max="6385" width="10.81640625" style="117" customWidth="1"/>
    <col min="6386" max="6386" width="18.1796875" style="117" customWidth="1"/>
    <col min="6387" max="6387" width="15" style="117" customWidth="1"/>
    <col min="6388" max="6391" width="13" style="117" customWidth="1"/>
    <col min="6392" max="6392" width="17.453125" style="117" customWidth="1"/>
    <col min="6393" max="6640" width="9.1796875" style="117" customWidth="1"/>
    <col min="6641" max="6641" width="10.81640625" style="117" customWidth="1"/>
    <col min="6642" max="6642" width="18.1796875" style="117" customWidth="1"/>
    <col min="6643" max="6643" width="15" style="117" customWidth="1"/>
    <col min="6644" max="6647" width="13" style="117" customWidth="1"/>
    <col min="6648" max="6648" width="17.453125" style="117" customWidth="1"/>
    <col min="6649" max="6896" width="9.1796875" style="117" customWidth="1"/>
    <col min="6897" max="6897" width="10.81640625" style="117" customWidth="1"/>
    <col min="6898" max="6898" width="18.1796875" style="117" customWidth="1"/>
    <col min="6899" max="6899" width="15" style="117" customWidth="1"/>
    <col min="6900" max="6903" width="13" style="117" customWidth="1"/>
    <col min="6904" max="6904" width="17.453125" style="117" customWidth="1"/>
    <col min="6905" max="7152" width="9.1796875" style="117" customWidth="1"/>
    <col min="7153" max="7153" width="10.81640625" style="117" customWidth="1"/>
    <col min="7154" max="7154" width="18.1796875" style="117" customWidth="1"/>
    <col min="7155" max="7155" width="15" style="117" customWidth="1"/>
    <col min="7156" max="7159" width="13" style="117" customWidth="1"/>
    <col min="7160" max="7160" width="17.453125" style="117" customWidth="1"/>
    <col min="7161" max="7408" width="9.1796875" style="117" customWidth="1"/>
    <col min="7409" max="7409" width="10.81640625" style="117" customWidth="1"/>
    <col min="7410" max="7410" width="18.1796875" style="117" customWidth="1"/>
    <col min="7411" max="7411" width="15" style="117" customWidth="1"/>
    <col min="7412" max="7415" width="13" style="117" customWidth="1"/>
    <col min="7416" max="7416" width="17.453125" style="117" customWidth="1"/>
    <col min="7417" max="7664" width="9.1796875" style="117" customWidth="1"/>
    <col min="7665" max="7665" width="10.81640625" style="117" customWidth="1"/>
    <col min="7666" max="7666" width="18.1796875" style="117" customWidth="1"/>
    <col min="7667" max="7667" width="15" style="117" customWidth="1"/>
    <col min="7668" max="7671" width="13" style="117" customWidth="1"/>
    <col min="7672" max="7672" width="17.453125" style="117" customWidth="1"/>
    <col min="7673" max="7920" width="9.1796875" style="117" customWidth="1"/>
    <col min="7921" max="7921" width="10.81640625" style="117" customWidth="1"/>
    <col min="7922" max="7922" width="18.1796875" style="117" customWidth="1"/>
    <col min="7923" max="7923" width="15" style="117" customWidth="1"/>
    <col min="7924" max="7927" width="13" style="117" customWidth="1"/>
    <col min="7928" max="7928" width="17.453125" style="117" customWidth="1"/>
    <col min="7929" max="8176" width="9.1796875" style="117" customWidth="1"/>
    <col min="8177" max="8177" width="10.81640625" style="117" customWidth="1"/>
    <col min="8178" max="8178" width="18.1796875" style="117" customWidth="1"/>
    <col min="8179" max="8179" width="15" style="117" customWidth="1"/>
    <col min="8180" max="8183" width="13" style="117" customWidth="1"/>
    <col min="8184" max="8184" width="17.453125" style="117" customWidth="1"/>
    <col min="8185" max="8432" width="9.1796875" style="117" customWidth="1"/>
    <col min="8433" max="8433" width="10.81640625" style="117" customWidth="1"/>
    <col min="8434" max="8434" width="18.1796875" style="117" customWidth="1"/>
    <col min="8435" max="8435" width="15" style="117" customWidth="1"/>
    <col min="8436" max="8439" width="13" style="117" customWidth="1"/>
    <col min="8440" max="8440" width="17.453125" style="117" customWidth="1"/>
    <col min="8441" max="8688" width="9.1796875" style="117" customWidth="1"/>
    <col min="8689" max="8689" width="10.81640625" style="117" customWidth="1"/>
    <col min="8690" max="8690" width="18.1796875" style="117" customWidth="1"/>
    <col min="8691" max="8691" width="15" style="117" customWidth="1"/>
    <col min="8692" max="8695" width="13" style="117" customWidth="1"/>
    <col min="8696" max="8696" width="17.453125" style="117" customWidth="1"/>
    <col min="8697" max="8944" width="9.1796875" style="117" customWidth="1"/>
    <col min="8945" max="8945" width="10.81640625" style="117" customWidth="1"/>
    <col min="8946" max="8946" width="18.1796875" style="117" customWidth="1"/>
    <col min="8947" max="8947" width="15" style="117" customWidth="1"/>
    <col min="8948" max="8951" width="13" style="117" customWidth="1"/>
    <col min="8952" max="8952" width="17.453125" style="117" customWidth="1"/>
    <col min="8953" max="9200" width="9.1796875" style="117" customWidth="1"/>
    <col min="9201" max="9201" width="10.81640625" style="117" customWidth="1"/>
    <col min="9202" max="9202" width="18.1796875" style="117" customWidth="1"/>
    <col min="9203" max="9203" width="15" style="117" customWidth="1"/>
    <col min="9204" max="9207" width="13" style="117" customWidth="1"/>
    <col min="9208" max="9208" width="17.453125" style="117" customWidth="1"/>
    <col min="9209" max="9456" width="9.1796875" style="117" customWidth="1"/>
    <col min="9457" max="9457" width="10.81640625" style="117" customWidth="1"/>
    <col min="9458" max="9458" width="18.1796875" style="117" customWidth="1"/>
    <col min="9459" max="9459" width="15" style="117" customWidth="1"/>
    <col min="9460" max="9463" width="13" style="117" customWidth="1"/>
    <col min="9464" max="9464" width="17.453125" style="117" customWidth="1"/>
    <col min="9465" max="9712" width="9.1796875" style="117" customWidth="1"/>
    <col min="9713" max="9713" width="10.81640625" style="117" customWidth="1"/>
    <col min="9714" max="9714" width="18.1796875" style="117" customWidth="1"/>
    <col min="9715" max="9715" width="15" style="117" customWidth="1"/>
    <col min="9716" max="9719" width="13" style="117" customWidth="1"/>
    <col min="9720" max="9720" width="17.453125" style="117" customWidth="1"/>
    <col min="9721" max="9968" width="9.1796875" style="117" customWidth="1"/>
    <col min="9969" max="9969" width="10.81640625" style="117" customWidth="1"/>
    <col min="9970" max="9970" width="18.1796875" style="117" customWidth="1"/>
    <col min="9971" max="9971" width="15" style="117" customWidth="1"/>
    <col min="9972" max="9975" width="13" style="117" customWidth="1"/>
    <col min="9976" max="9976" width="17.453125" style="117" customWidth="1"/>
    <col min="9977" max="10224" width="9.1796875" style="117" customWidth="1"/>
    <col min="10225" max="10225" width="10.81640625" style="117" customWidth="1"/>
    <col min="10226" max="10226" width="18.1796875" style="117" customWidth="1"/>
    <col min="10227" max="10227" width="15" style="117" customWidth="1"/>
    <col min="10228" max="10231" width="13" style="117" customWidth="1"/>
    <col min="10232" max="10232" width="17.453125" style="117" customWidth="1"/>
    <col min="10233" max="10480" width="9.1796875" style="117" customWidth="1"/>
    <col min="10481" max="10481" width="10.81640625" style="117" customWidth="1"/>
    <col min="10482" max="10482" width="18.1796875" style="117" customWidth="1"/>
    <col min="10483" max="10483" width="15" style="117" customWidth="1"/>
    <col min="10484" max="10487" width="13" style="117" customWidth="1"/>
    <col min="10488" max="10488" width="17.453125" style="117" customWidth="1"/>
    <col min="10489" max="10736" width="9.1796875" style="117" customWidth="1"/>
    <col min="10737" max="10737" width="10.81640625" style="117" customWidth="1"/>
    <col min="10738" max="10738" width="18.1796875" style="117" customWidth="1"/>
    <col min="10739" max="10739" width="15" style="117" customWidth="1"/>
    <col min="10740" max="10743" width="13" style="117" customWidth="1"/>
    <col min="10744" max="10744" width="17.453125" style="117" customWidth="1"/>
    <col min="10745" max="10992" width="9.1796875" style="117" customWidth="1"/>
    <col min="10993" max="10993" width="10.81640625" style="117" customWidth="1"/>
    <col min="10994" max="10994" width="18.1796875" style="117" customWidth="1"/>
    <col min="10995" max="10995" width="15" style="117" customWidth="1"/>
    <col min="10996" max="10999" width="13" style="117" customWidth="1"/>
    <col min="11000" max="11000" width="17.453125" style="117" customWidth="1"/>
    <col min="11001" max="11248" width="9.1796875" style="117" customWidth="1"/>
    <col min="11249" max="11249" width="10.81640625" style="117" customWidth="1"/>
    <col min="11250" max="11250" width="18.1796875" style="117" customWidth="1"/>
    <col min="11251" max="11251" width="15" style="117" customWidth="1"/>
    <col min="11252" max="11255" width="13" style="117" customWidth="1"/>
    <col min="11256" max="11256" width="17.453125" style="117" customWidth="1"/>
    <col min="11257" max="11504" width="9.1796875" style="117" customWidth="1"/>
    <col min="11505" max="11505" width="10.81640625" style="117" customWidth="1"/>
    <col min="11506" max="11506" width="18.1796875" style="117" customWidth="1"/>
    <col min="11507" max="11507" width="15" style="117" customWidth="1"/>
    <col min="11508" max="11511" width="13" style="117" customWidth="1"/>
    <col min="11512" max="11512" width="17.453125" style="117" customWidth="1"/>
    <col min="11513" max="11760" width="9.1796875" style="117" customWidth="1"/>
    <col min="11761" max="11761" width="10.81640625" style="117" customWidth="1"/>
    <col min="11762" max="11762" width="18.1796875" style="117" customWidth="1"/>
    <col min="11763" max="11763" width="15" style="117" customWidth="1"/>
    <col min="11764" max="11767" width="13" style="117" customWidth="1"/>
    <col min="11768" max="11768" width="17.453125" style="117" customWidth="1"/>
    <col min="11769" max="12016" width="9.1796875" style="117" customWidth="1"/>
    <col min="12017" max="12017" width="10.81640625" style="117" customWidth="1"/>
    <col min="12018" max="12018" width="18.1796875" style="117" customWidth="1"/>
    <col min="12019" max="12019" width="15" style="117" customWidth="1"/>
    <col min="12020" max="12023" width="13" style="117" customWidth="1"/>
    <col min="12024" max="12024" width="17.453125" style="117" customWidth="1"/>
    <col min="12025" max="12272" width="9.1796875" style="117" customWidth="1"/>
    <col min="12273" max="12273" width="10.81640625" style="117" customWidth="1"/>
    <col min="12274" max="12274" width="18.1796875" style="117" customWidth="1"/>
    <col min="12275" max="12275" width="15" style="117" customWidth="1"/>
    <col min="12276" max="12279" width="13" style="117" customWidth="1"/>
    <col min="12280" max="12280" width="17.453125" style="117" customWidth="1"/>
    <col min="12281" max="12528" width="9.1796875" style="117" customWidth="1"/>
    <col min="12529" max="12529" width="10.81640625" style="117" customWidth="1"/>
    <col min="12530" max="12530" width="18.1796875" style="117" customWidth="1"/>
    <col min="12531" max="12531" width="15" style="117" customWidth="1"/>
    <col min="12532" max="12535" width="13" style="117" customWidth="1"/>
    <col min="12536" max="12536" width="17.453125" style="117" customWidth="1"/>
    <col min="12537" max="12784" width="9.1796875" style="117" customWidth="1"/>
    <col min="12785" max="12785" width="10.81640625" style="117" customWidth="1"/>
    <col min="12786" max="12786" width="18.1796875" style="117" customWidth="1"/>
    <col min="12787" max="12787" width="15" style="117" customWidth="1"/>
    <col min="12788" max="12791" width="13" style="117" customWidth="1"/>
    <col min="12792" max="12792" width="17.453125" style="117" customWidth="1"/>
    <col min="12793" max="13040" width="9.1796875" style="117" customWidth="1"/>
    <col min="13041" max="13041" width="10.81640625" style="117" customWidth="1"/>
    <col min="13042" max="13042" width="18.1796875" style="117" customWidth="1"/>
    <col min="13043" max="13043" width="15" style="117" customWidth="1"/>
    <col min="13044" max="13047" width="13" style="117" customWidth="1"/>
    <col min="13048" max="13048" width="17.453125" style="117" customWidth="1"/>
    <col min="13049" max="13296" width="9.1796875" style="117" customWidth="1"/>
    <col min="13297" max="13297" width="10.81640625" style="117" customWidth="1"/>
    <col min="13298" max="13298" width="18.1796875" style="117" customWidth="1"/>
    <col min="13299" max="13299" width="15" style="117" customWidth="1"/>
    <col min="13300" max="13303" width="13" style="117" customWidth="1"/>
    <col min="13304" max="13304" width="17.453125" style="117" customWidth="1"/>
    <col min="13305" max="13552" width="9.1796875" style="117" customWidth="1"/>
    <col min="13553" max="13553" width="10.81640625" style="117" customWidth="1"/>
    <col min="13554" max="13554" width="18.1796875" style="117" customWidth="1"/>
    <col min="13555" max="13555" width="15" style="117" customWidth="1"/>
    <col min="13556" max="13559" width="13" style="117" customWidth="1"/>
    <col min="13560" max="13560" width="17.453125" style="117" customWidth="1"/>
    <col min="13561" max="13808" width="9.1796875" style="117" customWidth="1"/>
    <col min="13809" max="13809" width="10.81640625" style="117" customWidth="1"/>
    <col min="13810" max="13810" width="18.1796875" style="117" customWidth="1"/>
    <col min="13811" max="13811" width="15" style="117" customWidth="1"/>
    <col min="13812" max="13815" width="13" style="117" customWidth="1"/>
    <col min="13816" max="13816" width="17.453125" style="117" customWidth="1"/>
    <col min="13817" max="14064" width="9.1796875" style="117" customWidth="1"/>
    <col min="14065" max="14065" width="10.81640625" style="117" customWidth="1"/>
    <col min="14066" max="14066" width="18.1796875" style="117" customWidth="1"/>
    <col min="14067" max="14067" width="15" style="117" customWidth="1"/>
    <col min="14068" max="14071" width="13" style="117" customWidth="1"/>
    <col min="14072" max="14072" width="17.453125" style="117" customWidth="1"/>
    <col min="14073" max="14320" width="9.1796875" style="117" customWidth="1"/>
    <col min="14321" max="14321" width="10.81640625" style="117" customWidth="1"/>
    <col min="14322" max="14322" width="18.1796875" style="117" customWidth="1"/>
    <col min="14323" max="14323" width="15" style="117" customWidth="1"/>
    <col min="14324" max="14327" width="13" style="117" customWidth="1"/>
    <col min="14328" max="14328" width="17.453125" style="117" customWidth="1"/>
    <col min="14329" max="14576" width="9.1796875" style="117" customWidth="1"/>
    <col min="14577" max="14577" width="10.81640625" style="117" customWidth="1"/>
    <col min="14578" max="14578" width="18.1796875" style="117" customWidth="1"/>
    <col min="14579" max="14579" width="15" style="117" customWidth="1"/>
    <col min="14580" max="14583" width="13" style="117" customWidth="1"/>
    <col min="14584" max="14584" width="17.453125" style="117" customWidth="1"/>
    <col min="14585" max="14832" width="9.1796875" style="117" customWidth="1"/>
    <col min="14833" max="14833" width="10.81640625" style="117" customWidth="1"/>
    <col min="14834" max="14834" width="18.1796875" style="117" customWidth="1"/>
    <col min="14835" max="14835" width="15" style="117" customWidth="1"/>
    <col min="14836" max="14839" width="13" style="117" customWidth="1"/>
    <col min="14840" max="14840" width="17.453125" style="117" customWidth="1"/>
    <col min="14841" max="15088" width="9.1796875" style="117" customWidth="1"/>
    <col min="15089" max="15089" width="10.81640625" style="117" customWidth="1"/>
    <col min="15090" max="15090" width="18.1796875" style="117" customWidth="1"/>
    <col min="15091" max="15091" width="15" style="117" customWidth="1"/>
    <col min="15092" max="15095" width="13" style="117" customWidth="1"/>
    <col min="15096" max="15096" width="17.453125" style="117" customWidth="1"/>
    <col min="15097" max="15344" width="9.1796875" style="117" customWidth="1"/>
    <col min="15345" max="15345" width="10.81640625" style="117" customWidth="1"/>
    <col min="15346" max="15346" width="18.1796875" style="117" customWidth="1"/>
    <col min="15347" max="15347" width="15" style="117" customWidth="1"/>
    <col min="15348" max="15351" width="13" style="117" customWidth="1"/>
    <col min="15352" max="15352" width="17.453125" style="117" customWidth="1"/>
    <col min="15353" max="15600" width="9.1796875" style="117" customWidth="1"/>
    <col min="15601" max="15601" width="10.81640625" style="117" customWidth="1"/>
    <col min="15602" max="15602" width="18.1796875" style="117" customWidth="1"/>
    <col min="15603" max="15603" width="15" style="117" customWidth="1"/>
    <col min="15604" max="15607" width="13" style="117" customWidth="1"/>
    <col min="15608" max="15608" width="17.453125" style="117" customWidth="1"/>
    <col min="15609" max="15856" width="9.1796875" style="117" customWidth="1"/>
    <col min="15857" max="15857" width="10.81640625" style="117" customWidth="1"/>
    <col min="15858" max="15858" width="18.1796875" style="117" customWidth="1"/>
    <col min="15859" max="15859" width="15" style="117" customWidth="1"/>
    <col min="15860" max="15863" width="13" style="117" customWidth="1"/>
    <col min="15864" max="15864" width="17.453125" style="117" customWidth="1"/>
    <col min="15865" max="16112" width="9.1796875" style="117" customWidth="1"/>
    <col min="16113" max="16113" width="10.81640625" style="117" customWidth="1"/>
    <col min="16114" max="16114" width="18.1796875" style="117" customWidth="1"/>
    <col min="16115" max="16115" width="15" style="117" customWidth="1"/>
    <col min="16116" max="16119" width="13" style="117" customWidth="1"/>
    <col min="16120" max="16120" width="17.453125" style="117" customWidth="1"/>
    <col min="16121" max="16384" width="9.1796875" style="117" customWidth="1"/>
  </cols>
  <sheetData>
    <row r="1" spans="1:3" x14ac:dyDescent="0.35">
      <c r="A1" s="68" t="s">
        <v>21</v>
      </c>
      <c r="B1" s="69" t="s">
        <v>111</v>
      </c>
      <c r="C1" s="70"/>
    </row>
    <row r="2" spans="1:3" x14ac:dyDescent="0.35">
      <c r="A2" s="68" t="s">
        <v>112</v>
      </c>
      <c r="B2" s="68"/>
      <c r="C2" s="69"/>
    </row>
    <row r="3" spans="1:3" x14ac:dyDescent="0.35">
      <c r="B3" s="68"/>
      <c r="C3" s="69"/>
    </row>
    <row r="4" spans="1:3" ht="16" customHeight="1" thickBot="1" x14ac:dyDescent="0.4"/>
    <row r="5" spans="1:3" ht="68.25" customHeight="1" x14ac:dyDescent="0.35">
      <c r="A5" s="72" t="s">
        <v>109</v>
      </c>
      <c r="B5" s="73" t="s">
        <v>113</v>
      </c>
      <c r="C5" s="111" t="s">
        <v>110</v>
      </c>
    </row>
    <row r="6" spans="1:3" x14ac:dyDescent="0.35">
      <c r="A6" s="74">
        <v>33635</v>
      </c>
      <c r="B6" s="75">
        <f>VLOOKUP(A6,Database!A:M,MATCH($A$1,Database!$A$1:$M$1,),)</f>
        <v>33857</v>
      </c>
      <c r="C6" s="112"/>
    </row>
    <row r="7" spans="1:3" x14ac:dyDescent="0.35">
      <c r="A7" s="74">
        <v>33664</v>
      </c>
      <c r="B7" s="75">
        <f>VLOOKUP(A7,Database!A:M,MATCH($A$1,Database!$A$1:$M$1,),)</f>
        <v>35258</v>
      </c>
      <c r="C7" s="113">
        <f>(Table535[[#This Row],[New Orders - Nondefense Capital Goods Excluding Aircraft]]-B6)/B6</f>
        <v>4.1379921434267657E-2</v>
      </c>
    </row>
    <row r="8" spans="1:3" x14ac:dyDescent="0.35">
      <c r="A8" s="74">
        <v>33695</v>
      </c>
      <c r="B8" s="75">
        <f>VLOOKUP(A8,Database!A:M,MATCH($A$1,Database!$A$1:$M$1,),)</f>
        <v>35992</v>
      </c>
      <c r="C8" s="113">
        <f>(Table535[[#This Row],[New Orders - Nondefense Capital Goods Excluding Aircraft]]-B7)/B7</f>
        <v>2.0817970389698792E-2</v>
      </c>
    </row>
    <row r="9" spans="1:3" x14ac:dyDescent="0.35">
      <c r="A9" s="74">
        <v>33725</v>
      </c>
      <c r="B9" s="75">
        <f>VLOOKUP(A9,Database!A:M,MATCH($A$1,Database!$A$1:$M$1,),)</f>
        <v>36811</v>
      </c>
      <c r="C9" s="113">
        <f>(Table535[[#This Row],[New Orders - Nondefense Capital Goods Excluding Aircraft]]-B8)/B8</f>
        <v>2.2755056679262059E-2</v>
      </c>
    </row>
    <row r="10" spans="1:3" x14ac:dyDescent="0.35">
      <c r="A10" s="74">
        <v>33756</v>
      </c>
      <c r="B10" s="75">
        <f>VLOOKUP(A10,Database!A:M,MATCH($A$1,Database!$A$1:$M$1,),)</f>
        <v>36666</v>
      </c>
      <c r="C10" s="113">
        <f>(Table535[[#This Row],[New Orders - Nondefense Capital Goods Excluding Aircraft]]-B9)/B9</f>
        <v>-3.9390399608812583E-3</v>
      </c>
    </row>
    <row r="11" spans="1:3" x14ac:dyDescent="0.35">
      <c r="A11" s="74">
        <v>33786</v>
      </c>
      <c r="B11" s="75">
        <f>VLOOKUP(A11,Database!A:M,MATCH($A$1,Database!$A$1:$M$1,),)</f>
        <v>36629</v>
      </c>
      <c r="C11" s="113">
        <f>(Table535[[#This Row],[New Orders - Nondefense Capital Goods Excluding Aircraft]]-B10)/B10</f>
        <v>-1.009109256531937E-3</v>
      </c>
    </row>
    <row r="12" spans="1:3" x14ac:dyDescent="0.35">
      <c r="A12" s="74">
        <v>33817</v>
      </c>
      <c r="B12" s="75">
        <f>VLOOKUP(A12,Database!A:M,MATCH($A$1,Database!$A$1:$M$1,),)</f>
        <v>36131</v>
      </c>
      <c r="C12" s="113">
        <f>(Table535[[#This Row],[New Orders - Nondefense Capital Goods Excluding Aircraft]]-B11)/B11</f>
        <v>-1.3595784760708728E-2</v>
      </c>
    </row>
    <row r="13" spans="1:3" x14ac:dyDescent="0.35">
      <c r="A13" s="74">
        <v>33848</v>
      </c>
      <c r="B13" s="75">
        <f>VLOOKUP(A13,Database!A:M,MATCH($A$1,Database!$A$1:$M$1,),)</f>
        <v>37629</v>
      </c>
      <c r="C13" s="113">
        <f>(Table535[[#This Row],[New Orders - Nondefense Capital Goods Excluding Aircraft]]-B12)/B12</f>
        <v>4.146024189753951E-2</v>
      </c>
    </row>
    <row r="14" spans="1:3" x14ac:dyDescent="0.35">
      <c r="A14" s="74">
        <v>33878</v>
      </c>
      <c r="B14" s="75">
        <f>VLOOKUP(A14,Database!A:M,MATCH($A$1,Database!$A$1:$M$1,),)</f>
        <v>36668</v>
      </c>
      <c r="C14" s="113">
        <f>(Table535[[#This Row],[New Orders - Nondefense Capital Goods Excluding Aircraft]]-B13)/B13</f>
        <v>-2.553881314943262E-2</v>
      </c>
    </row>
    <row r="15" spans="1:3" x14ac:dyDescent="0.35">
      <c r="A15" s="74">
        <v>33909</v>
      </c>
      <c r="B15" s="75">
        <f>VLOOKUP(A15,Database!A:M,MATCH($A$1,Database!$A$1:$M$1,),)</f>
        <v>37573</v>
      </c>
      <c r="C15" s="113">
        <f>(Table535[[#This Row],[New Orders - Nondefense Capital Goods Excluding Aircraft]]-B14)/B14</f>
        <v>2.4680920693792952E-2</v>
      </c>
    </row>
    <row r="16" spans="1:3" x14ac:dyDescent="0.35">
      <c r="A16" s="74">
        <v>33939</v>
      </c>
      <c r="B16" s="75">
        <f>VLOOKUP(A16,Database!A:M,MATCH($A$1,Database!$A$1:$M$1,),)</f>
        <v>38374</v>
      </c>
      <c r="C16" s="113">
        <f>(Table535[[#This Row],[New Orders - Nondefense Capital Goods Excluding Aircraft]]-B15)/B15</f>
        <v>2.1318499986692573E-2</v>
      </c>
    </row>
    <row r="17" spans="1:3" x14ac:dyDescent="0.35">
      <c r="A17" s="74">
        <v>33970</v>
      </c>
      <c r="B17" s="75">
        <f>VLOOKUP(A17,Database!A:M,MATCH($A$1,Database!$A$1:$M$1,),)</f>
        <v>37041</v>
      </c>
      <c r="C17" s="113">
        <f>(Table535[[#This Row],[New Orders - Nondefense Capital Goods Excluding Aircraft]]-B16)/B16</f>
        <v>-3.4737061552092566E-2</v>
      </c>
    </row>
    <row r="18" spans="1:3" x14ac:dyDescent="0.35">
      <c r="A18" s="74">
        <v>34001</v>
      </c>
      <c r="B18" s="75">
        <f>VLOOKUP(A18,Database!A:M,MATCH($A$1,Database!$A$1:$M$1,),)</f>
        <v>36962</v>
      </c>
      <c r="C18" s="113">
        <f>(Table535[[#This Row],[New Orders - Nondefense Capital Goods Excluding Aircraft]]-B17)/B17</f>
        <v>-2.1327717934181041E-3</v>
      </c>
    </row>
    <row r="19" spans="1:3" x14ac:dyDescent="0.35">
      <c r="A19" s="74">
        <v>34029</v>
      </c>
      <c r="B19" s="75">
        <f>VLOOKUP(A19,Database!A:M,MATCH($A$1,Database!$A$1:$M$1,),)</f>
        <v>36895</v>
      </c>
      <c r="C19" s="113">
        <f>(Table535[[#This Row],[New Orders - Nondefense Capital Goods Excluding Aircraft]]-B18)/B18</f>
        <v>-1.8126724744332017E-3</v>
      </c>
    </row>
    <row r="20" spans="1:3" x14ac:dyDescent="0.35">
      <c r="A20" s="74">
        <v>34060</v>
      </c>
      <c r="B20" s="75">
        <f>VLOOKUP(A20,Database!A:M,MATCH($A$1,Database!$A$1:$M$1,),)</f>
        <v>37729</v>
      </c>
      <c r="C20" s="113">
        <f>(Table535[[#This Row],[New Orders - Nondefense Capital Goods Excluding Aircraft]]-B19)/B19</f>
        <v>2.2604688982246917E-2</v>
      </c>
    </row>
    <row r="21" spans="1:3" x14ac:dyDescent="0.35">
      <c r="A21" s="74">
        <v>34090</v>
      </c>
      <c r="B21" s="75">
        <f>VLOOKUP(A21,Database!A:M,MATCH($A$1,Database!$A$1:$M$1,),)</f>
        <v>37869</v>
      </c>
      <c r="C21" s="113">
        <f>(Table535[[#This Row],[New Orders - Nondefense Capital Goods Excluding Aircraft]]-B20)/B20</f>
        <v>3.7106734872379339E-3</v>
      </c>
    </row>
    <row r="22" spans="1:3" x14ac:dyDescent="0.35">
      <c r="A22" s="74">
        <v>34121</v>
      </c>
      <c r="B22" s="75">
        <f>VLOOKUP(A22,Database!A:M,MATCH($A$1,Database!$A$1:$M$1,),)</f>
        <v>38381</v>
      </c>
      <c r="C22" s="113">
        <f>(Table535[[#This Row],[New Orders - Nondefense Capital Goods Excluding Aircraft]]-B21)/B21</f>
        <v>1.3520293643877577E-2</v>
      </c>
    </row>
    <row r="23" spans="1:3" x14ac:dyDescent="0.35">
      <c r="A23" s="74">
        <v>34151</v>
      </c>
      <c r="B23" s="75">
        <f>VLOOKUP(A23,Database!A:M,MATCH($A$1,Database!$A$1:$M$1,),)</f>
        <v>38915</v>
      </c>
      <c r="C23" s="113">
        <f>(Table535[[#This Row],[New Orders - Nondefense Capital Goods Excluding Aircraft]]-B22)/B22</f>
        <v>1.3913134102811286E-2</v>
      </c>
    </row>
    <row r="24" spans="1:3" x14ac:dyDescent="0.35">
      <c r="A24" s="74">
        <v>34182</v>
      </c>
      <c r="B24" s="75">
        <f>VLOOKUP(A24,Database!A:M,MATCH($A$1,Database!$A$1:$M$1,),)</f>
        <v>39309</v>
      </c>
      <c r="C24" s="113">
        <f>(Table535[[#This Row],[New Orders - Nondefense Capital Goods Excluding Aircraft]]-B23)/B23</f>
        <v>1.0124630605165103E-2</v>
      </c>
    </row>
    <row r="25" spans="1:3" x14ac:dyDescent="0.35">
      <c r="A25" s="74">
        <v>34213</v>
      </c>
      <c r="B25" s="75">
        <f>VLOOKUP(A25,Database!A:M,MATCH($A$1,Database!$A$1:$M$1,),)</f>
        <v>39307</v>
      </c>
      <c r="C25" s="113">
        <f>(Table535[[#This Row],[New Orders - Nondefense Capital Goods Excluding Aircraft]]-B24)/B24</f>
        <v>-5.0878933577552216E-5</v>
      </c>
    </row>
    <row r="26" spans="1:3" x14ac:dyDescent="0.35">
      <c r="A26" s="74">
        <v>34243</v>
      </c>
      <c r="B26" s="75">
        <f>VLOOKUP(A26,Database!A:M,MATCH($A$1,Database!$A$1:$M$1,),)</f>
        <v>40550</v>
      </c>
      <c r="C26" s="113">
        <f>(Table535[[#This Row],[New Orders - Nondefense Capital Goods Excluding Aircraft]]-B25)/B25</f>
        <v>3.1622866156155394E-2</v>
      </c>
    </row>
    <row r="27" spans="1:3" x14ac:dyDescent="0.35">
      <c r="A27" s="74">
        <v>34274</v>
      </c>
      <c r="B27" s="75">
        <f>VLOOKUP(A27,Database!A:M,MATCH($A$1,Database!$A$1:$M$1,),)</f>
        <v>40301</v>
      </c>
      <c r="C27" s="113">
        <f>(Table535[[#This Row],[New Orders - Nondefense Capital Goods Excluding Aircraft]]-B26)/B26</f>
        <v>-6.1405672009864362E-3</v>
      </c>
    </row>
    <row r="28" spans="1:3" x14ac:dyDescent="0.35">
      <c r="A28" s="74">
        <v>34304</v>
      </c>
      <c r="B28" s="75">
        <f>VLOOKUP(A28,Database!A:M,MATCH($A$1,Database!$A$1:$M$1,),)</f>
        <v>43296</v>
      </c>
      <c r="C28" s="113">
        <f>(Table535[[#This Row],[New Orders - Nondefense Capital Goods Excluding Aircraft]]-B27)/B27</f>
        <v>7.4315773802138899E-2</v>
      </c>
    </row>
    <row r="29" spans="1:3" x14ac:dyDescent="0.35">
      <c r="A29" s="74">
        <v>34335</v>
      </c>
      <c r="B29" s="75">
        <f>VLOOKUP(A29,Database!A:M,MATCH($A$1,Database!$A$1:$M$1,),)</f>
        <v>39801</v>
      </c>
      <c r="C29" s="113">
        <f>(Table535[[#This Row],[New Orders - Nondefense Capital Goods Excluding Aircraft]]-B28)/B28</f>
        <v>-8.0723392461197335E-2</v>
      </c>
    </row>
    <row r="30" spans="1:3" x14ac:dyDescent="0.35">
      <c r="A30" s="74">
        <v>34366</v>
      </c>
      <c r="B30" s="75">
        <f>VLOOKUP(A30,Database!A:M,MATCH($A$1,Database!$A$1:$M$1,),)</f>
        <v>41736</v>
      </c>
      <c r="C30" s="113">
        <f>(Table535[[#This Row],[New Orders - Nondefense Capital Goods Excluding Aircraft]]-B29)/B29</f>
        <v>4.8616868922891382E-2</v>
      </c>
    </row>
    <row r="31" spans="1:3" x14ac:dyDescent="0.35">
      <c r="A31" s="74">
        <v>34394</v>
      </c>
      <c r="B31" s="75">
        <f>VLOOKUP(A31,Database!A:M,MATCH($A$1,Database!$A$1:$M$1,),)</f>
        <v>41245</v>
      </c>
      <c r="C31" s="113">
        <f>(Table535[[#This Row],[New Orders - Nondefense Capital Goods Excluding Aircraft]]-B30)/B30</f>
        <v>-1.1764423998466552E-2</v>
      </c>
    </row>
    <row r="32" spans="1:3" x14ac:dyDescent="0.35">
      <c r="A32" s="74">
        <v>34425</v>
      </c>
      <c r="B32" s="75">
        <f>VLOOKUP(A32,Database!A:M,MATCH($A$1,Database!$A$1:$M$1,),)</f>
        <v>42992</v>
      </c>
      <c r="C32" s="113">
        <f>(Table535[[#This Row],[New Orders - Nondefense Capital Goods Excluding Aircraft]]-B31)/B31</f>
        <v>4.2356649290823133E-2</v>
      </c>
    </row>
    <row r="33" spans="1:3" x14ac:dyDescent="0.35">
      <c r="A33" s="74">
        <v>34455</v>
      </c>
      <c r="B33" s="75">
        <f>VLOOKUP(A33,Database!A:M,MATCH($A$1,Database!$A$1:$M$1,),)</f>
        <v>42849</v>
      </c>
      <c r="C33" s="113">
        <f>(Table535[[#This Row],[New Orders - Nondefense Capital Goods Excluding Aircraft]]-B32)/B32</f>
        <v>-3.3262002232973577E-3</v>
      </c>
    </row>
    <row r="34" spans="1:3" x14ac:dyDescent="0.35">
      <c r="A34" s="74">
        <v>34486</v>
      </c>
      <c r="B34" s="75">
        <f>VLOOKUP(A34,Database!A:M,MATCH($A$1,Database!$A$1:$M$1,),)</f>
        <v>44555</v>
      </c>
      <c r="C34" s="113">
        <f>(Table535[[#This Row],[New Orders - Nondefense Capital Goods Excluding Aircraft]]-B33)/B33</f>
        <v>3.9814231370627083E-2</v>
      </c>
    </row>
    <row r="35" spans="1:3" x14ac:dyDescent="0.35">
      <c r="A35" s="74">
        <v>34516</v>
      </c>
      <c r="B35" s="75">
        <f>VLOOKUP(A35,Database!A:M,MATCH($A$1,Database!$A$1:$M$1,),)</f>
        <v>44016</v>
      </c>
      <c r="C35" s="113">
        <f>(Table535[[#This Row],[New Orders - Nondefense Capital Goods Excluding Aircraft]]-B34)/B34</f>
        <v>-1.2097407698350354E-2</v>
      </c>
    </row>
    <row r="36" spans="1:3" x14ac:dyDescent="0.35">
      <c r="A36" s="74">
        <v>34547</v>
      </c>
      <c r="B36" s="75">
        <f>VLOOKUP(A36,Database!A:M,MATCH($A$1,Database!$A$1:$M$1,),)</f>
        <v>44406</v>
      </c>
      <c r="C36" s="113">
        <f>(Table535[[#This Row],[New Orders - Nondefense Capital Goods Excluding Aircraft]]-B35)/B35</f>
        <v>8.8604143947655402E-3</v>
      </c>
    </row>
    <row r="37" spans="1:3" x14ac:dyDescent="0.35">
      <c r="A37" s="74">
        <v>34578</v>
      </c>
      <c r="B37" s="75">
        <f>VLOOKUP(A37,Database!A:M,MATCH($A$1,Database!$A$1:$M$1,),)</f>
        <v>44507</v>
      </c>
      <c r="C37" s="113">
        <f>(Table535[[#This Row],[New Orders - Nondefense Capital Goods Excluding Aircraft]]-B36)/B36</f>
        <v>2.274467414313381E-3</v>
      </c>
    </row>
    <row r="38" spans="1:3" x14ac:dyDescent="0.35">
      <c r="A38" s="74">
        <v>34608</v>
      </c>
      <c r="B38" s="75">
        <f>VLOOKUP(A38,Database!A:M,MATCH($A$1,Database!$A$1:$M$1,),)</f>
        <v>45959</v>
      </c>
      <c r="C38" s="113">
        <f>(Table535[[#This Row],[New Orders - Nondefense Capital Goods Excluding Aircraft]]-B37)/B37</f>
        <v>3.2624081605140763E-2</v>
      </c>
    </row>
    <row r="39" spans="1:3" x14ac:dyDescent="0.35">
      <c r="A39" s="74">
        <v>34639</v>
      </c>
      <c r="B39" s="75">
        <f>VLOOKUP(A39,Database!A:M,MATCH($A$1,Database!$A$1:$M$1,),)</f>
        <v>45942</v>
      </c>
      <c r="C39" s="113">
        <f>(Table535[[#This Row],[New Orders - Nondefense Capital Goods Excluding Aircraft]]-B38)/B38</f>
        <v>-3.698949063295546E-4</v>
      </c>
    </row>
    <row r="40" spans="1:3" x14ac:dyDescent="0.35">
      <c r="A40" s="74">
        <v>34669</v>
      </c>
      <c r="B40" s="75">
        <f>VLOOKUP(A40,Database!A:M,MATCH($A$1,Database!$A$1:$M$1,),)</f>
        <v>46186</v>
      </c>
      <c r="C40" s="113">
        <f>(Table535[[#This Row],[New Orders - Nondefense Capital Goods Excluding Aircraft]]-B39)/B39</f>
        <v>5.3110443602803533E-3</v>
      </c>
    </row>
    <row r="41" spans="1:3" x14ac:dyDescent="0.35">
      <c r="A41" s="74">
        <v>34700</v>
      </c>
      <c r="B41" s="75">
        <f>VLOOKUP(A41,Database!A:M,MATCH($A$1,Database!$A$1:$M$1,),)</f>
        <v>47317</v>
      </c>
      <c r="C41" s="113">
        <f>(Table535[[#This Row],[New Orders - Nondefense Capital Goods Excluding Aircraft]]-B40)/B40</f>
        <v>2.4487940068419003E-2</v>
      </c>
    </row>
    <row r="42" spans="1:3" x14ac:dyDescent="0.35">
      <c r="A42" s="74">
        <v>34731</v>
      </c>
      <c r="B42" s="75">
        <f>VLOOKUP(A42,Database!A:M,MATCH($A$1,Database!$A$1:$M$1,),)</f>
        <v>46200</v>
      </c>
      <c r="C42" s="113">
        <f>(Table535[[#This Row],[New Orders - Nondefense Capital Goods Excluding Aircraft]]-B41)/B41</f>
        <v>-2.3606737536192066E-2</v>
      </c>
    </row>
    <row r="43" spans="1:3" x14ac:dyDescent="0.35">
      <c r="A43" s="74">
        <v>34759</v>
      </c>
      <c r="B43" s="75">
        <f>VLOOKUP(A43,Database!A:M,MATCH($A$1,Database!$A$1:$M$1,),)</f>
        <v>46095</v>
      </c>
      <c r="C43" s="113">
        <f>(Table535[[#This Row],[New Orders - Nondefense Capital Goods Excluding Aircraft]]-B42)/B42</f>
        <v>-2.2727272727272726E-3</v>
      </c>
    </row>
    <row r="44" spans="1:3" x14ac:dyDescent="0.35">
      <c r="A44" s="74">
        <v>34790</v>
      </c>
      <c r="B44" s="75">
        <f>VLOOKUP(A44,Database!A:M,MATCH($A$1,Database!$A$1:$M$1,),)</f>
        <v>46776</v>
      </c>
      <c r="C44" s="113">
        <f>(Table535[[#This Row],[New Orders - Nondefense Capital Goods Excluding Aircraft]]-B43)/B43</f>
        <v>1.4773836641718191E-2</v>
      </c>
    </row>
    <row r="45" spans="1:3" x14ac:dyDescent="0.35">
      <c r="A45" s="74">
        <v>34820</v>
      </c>
      <c r="B45" s="75">
        <f>VLOOKUP(A45,Database!A:M,MATCH($A$1,Database!$A$1:$M$1,),)</f>
        <v>48401</v>
      </c>
      <c r="C45" s="113">
        <f>(Table535[[#This Row],[New Orders - Nondefense Capital Goods Excluding Aircraft]]-B44)/B44</f>
        <v>3.4740037626133057E-2</v>
      </c>
    </row>
    <row r="46" spans="1:3" x14ac:dyDescent="0.35">
      <c r="A46" s="74">
        <v>34851</v>
      </c>
      <c r="B46" s="75">
        <f>VLOOKUP(A46,Database!A:M,MATCH($A$1,Database!$A$1:$M$1,),)</f>
        <v>47970</v>
      </c>
      <c r="C46" s="113">
        <f>(Table535[[#This Row],[New Orders - Nondefense Capital Goods Excluding Aircraft]]-B45)/B45</f>
        <v>-8.9047746947377125E-3</v>
      </c>
    </row>
    <row r="47" spans="1:3" x14ac:dyDescent="0.35">
      <c r="A47" s="74">
        <v>34881</v>
      </c>
      <c r="B47" s="75">
        <f>VLOOKUP(A47,Database!A:M,MATCH($A$1,Database!$A$1:$M$1,),)</f>
        <v>45962</v>
      </c>
      <c r="C47" s="113">
        <f>(Table535[[#This Row],[New Orders - Nondefense Capital Goods Excluding Aircraft]]-B46)/B46</f>
        <v>-4.1859495518032107E-2</v>
      </c>
    </row>
    <row r="48" spans="1:3" x14ac:dyDescent="0.35">
      <c r="A48" s="74">
        <v>34912</v>
      </c>
      <c r="B48" s="75">
        <f>VLOOKUP(A48,Database!A:M,MATCH($A$1,Database!$A$1:$M$1,),)</f>
        <v>47502</v>
      </c>
      <c r="C48" s="113">
        <f>(Table535[[#This Row],[New Orders - Nondefense Capital Goods Excluding Aircraft]]-B47)/B47</f>
        <v>3.350593968930856E-2</v>
      </c>
    </row>
    <row r="49" spans="1:3" x14ac:dyDescent="0.35">
      <c r="A49" s="74">
        <v>34943</v>
      </c>
      <c r="B49" s="75">
        <f>VLOOKUP(A49,Database!A:M,MATCH($A$1,Database!$A$1:$M$1,),)</f>
        <v>49431</v>
      </c>
      <c r="C49" s="113">
        <f>(Table535[[#This Row],[New Orders - Nondefense Capital Goods Excluding Aircraft]]-B48)/B48</f>
        <v>4.0608816470885434E-2</v>
      </c>
    </row>
    <row r="50" spans="1:3" x14ac:dyDescent="0.35">
      <c r="A50" s="74">
        <v>34973</v>
      </c>
      <c r="B50" s="75">
        <f>VLOOKUP(A50,Database!A:M,MATCH($A$1,Database!$A$1:$M$1,),)</f>
        <v>50283</v>
      </c>
      <c r="C50" s="113">
        <f>(Table535[[#This Row],[New Orders - Nondefense Capital Goods Excluding Aircraft]]-B49)/B49</f>
        <v>1.723614735692177E-2</v>
      </c>
    </row>
    <row r="51" spans="1:3" x14ac:dyDescent="0.35">
      <c r="A51" s="74">
        <v>35004</v>
      </c>
      <c r="B51" s="75">
        <f>VLOOKUP(A51,Database!A:M,MATCH($A$1,Database!$A$1:$M$1,),)</f>
        <v>49798</v>
      </c>
      <c r="C51" s="113">
        <f>(Table535[[#This Row],[New Orders - Nondefense Capital Goods Excluding Aircraft]]-B50)/B50</f>
        <v>-9.6454069964003741E-3</v>
      </c>
    </row>
    <row r="52" spans="1:3" x14ac:dyDescent="0.35">
      <c r="A52" s="74">
        <v>35034</v>
      </c>
      <c r="B52" s="75">
        <f>VLOOKUP(A52,Database!A:M,MATCH($A$1,Database!$A$1:$M$1,),)</f>
        <v>51221</v>
      </c>
      <c r="C52" s="113">
        <f>(Table535[[#This Row],[New Orders - Nondefense Capital Goods Excluding Aircraft]]-B51)/B51</f>
        <v>2.85754447969798E-2</v>
      </c>
    </row>
    <row r="53" spans="1:3" x14ac:dyDescent="0.35">
      <c r="A53" s="74">
        <v>35065</v>
      </c>
      <c r="B53" s="75">
        <f>VLOOKUP(A53,Database!A:M,MATCH($A$1,Database!$A$1:$M$1,),)</f>
        <v>47931</v>
      </c>
      <c r="C53" s="113">
        <f>(Table535[[#This Row],[New Orders - Nondefense Capital Goods Excluding Aircraft]]-B52)/B52</f>
        <v>-6.4231467562132716E-2</v>
      </c>
    </row>
    <row r="54" spans="1:3" x14ac:dyDescent="0.35">
      <c r="A54" s="74">
        <v>35096</v>
      </c>
      <c r="B54" s="75">
        <f>VLOOKUP(A54,Database!A:M,MATCH($A$1,Database!$A$1:$M$1,),)</f>
        <v>49183</v>
      </c>
      <c r="C54" s="113">
        <f>(Table535[[#This Row],[New Orders - Nondefense Capital Goods Excluding Aircraft]]-B53)/B53</f>
        <v>2.6120882101354031E-2</v>
      </c>
    </row>
    <row r="55" spans="1:3" x14ac:dyDescent="0.35">
      <c r="A55" s="74">
        <v>35125</v>
      </c>
      <c r="B55" s="75">
        <f>VLOOKUP(A55,Database!A:M,MATCH($A$1,Database!$A$1:$M$1,),)</f>
        <v>49780</v>
      </c>
      <c r="C55" s="113">
        <f>(Table535[[#This Row],[New Orders - Nondefense Capital Goods Excluding Aircraft]]-B54)/B54</f>
        <v>1.2138340483500397E-2</v>
      </c>
    </row>
    <row r="56" spans="1:3" x14ac:dyDescent="0.35">
      <c r="A56" s="74">
        <v>35156</v>
      </c>
      <c r="B56" s="75">
        <f>VLOOKUP(A56,Database!A:M,MATCH($A$1,Database!$A$1:$M$1,),)</f>
        <v>48102</v>
      </c>
      <c r="C56" s="113">
        <f>(Table535[[#This Row],[New Orders - Nondefense Capital Goods Excluding Aircraft]]-B55)/B55</f>
        <v>-3.3708316593009241E-2</v>
      </c>
    </row>
    <row r="57" spans="1:3" x14ac:dyDescent="0.35">
      <c r="A57" s="74">
        <v>35186</v>
      </c>
      <c r="B57" s="75">
        <f>VLOOKUP(A57,Database!A:M,MATCH($A$1,Database!$A$1:$M$1,),)</f>
        <v>50505</v>
      </c>
      <c r="C57" s="113">
        <f>(Table535[[#This Row],[New Orders - Nondefense Capital Goods Excluding Aircraft]]-B56)/B56</f>
        <v>4.9956342771610325E-2</v>
      </c>
    </row>
    <row r="58" spans="1:3" x14ac:dyDescent="0.35">
      <c r="A58" s="74">
        <v>35217</v>
      </c>
      <c r="B58" s="75">
        <f>VLOOKUP(A58,Database!A:M,MATCH($A$1,Database!$A$1:$M$1,),)</f>
        <v>51556</v>
      </c>
      <c r="C58" s="113">
        <f>(Table535[[#This Row],[New Orders - Nondefense Capital Goods Excluding Aircraft]]-B57)/B57</f>
        <v>2.0809820809820811E-2</v>
      </c>
    </row>
    <row r="59" spans="1:3" x14ac:dyDescent="0.35">
      <c r="A59" s="74">
        <v>35247</v>
      </c>
      <c r="B59" s="75">
        <f>VLOOKUP(A59,Database!A:M,MATCH($A$1,Database!$A$1:$M$1,),)</f>
        <v>51047</v>
      </c>
      <c r="C59" s="113">
        <f>(Table535[[#This Row],[New Orders - Nondefense Capital Goods Excluding Aircraft]]-B58)/B58</f>
        <v>-9.8727597175886413E-3</v>
      </c>
    </row>
    <row r="60" spans="1:3" x14ac:dyDescent="0.35">
      <c r="A60" s="74">
        <v>35278</v>
      </c>
      <c r="B60" s="75">
        <f>VLOOKUP(A60,Database!A:M,MATCH($A$1,Database!$A$1:$M$1,),)</f>
        <v>50780</v>
      </c>
      <c r="C60" s="113">
        <f>(Table535[[#This Row],[New Orders - Nondefense Capital Goods Excluding Aircraft]]-B59)/B59</f>
        <v>-5.2304738770153E-3</v>
      </c>
    </row>
    <row r="61" spans="1:3" x14ac:dyDescent="0.35">
      <c r="A61" s="74">
        <v>35309</v>
      </c>
      <c r="B61" s="75">
        <f>VLOOKUP(A61,Database!A:M,MATCH($A$1,Database!$A$1:$M$1,),)</f>
        <v>49824</v>
      </c>
      <c r="C61" s="113">
        <f>(Table535[[#This Row],[New Orders - Nondefense Capital Goods Excluding Aircraft]]-B60)/B60</f>
        <v>-1.8826309570697124E-2</v>
      </c>
    </row>
    <row r="62" spans="1:3" x14ac:dyDescent="0.35">
      <c r="A62" s="74">
        <v>35339</v>
      </c>
      <c r="B62" s="75">
        <f>VLOOKUP(A62,Database!A:M,MATCH($A$1,Database!$A$1:$M$1,),)</f>
        <v>52556</v>
      </c>
      <c r="C62" s="113">
        <f>(Table535[[#This Row],[New Orders - Nondefense Capital Goods Excluding Aircraft]]-B61)/B61</f>
        <v>5.4833012202954397E-2</v>
      </c>
    </row>
    <row r="63" spans="1:3" x14ac:dyDescent="0.35">
      <c r="A63" s="74">
        <v>35370</v>
      </c>
      <c r="B63" s="75">
        <f>VLOOKUP(A63,Database!A:M,MATCH($A$1,Database!$A$1:$M$1,),)</f>
        <v>52664</v>
      </c>
      <c r="C63" s="113">
        <f>(Table535[[#This Row],[New Orders - Nondefense Capital Goods Excluding Aircraft]]-B62)/B62</f>
        <v>2.0549509095060506E-3</v>
      </c>
    </row>
    <row r="64" spans="1:3" x14ac:dyDescent="0.35">
      <c r="A64" s="74">
        <v>35400</v>
      </c>
      <c r="B64" s="75">
        <f>VLOOKUP(A64,Database!A:M,MATCH($A$1,Database!$A$1:$M$1,),)</f>
        <v>50765</v>
      </c>
      <c r="C64" s="113">
        <f>(Table535[[#This Row],[New Orders - Nondefense Capital Goods Excluding Aircraft]]-B63)/B63</f>
        <v>-3.6058787786723376E-2</v>
      </c>
    </row>
    <row r="65" spans="1:3" x14ac:dyDescent="0.35">
      <c r="A65" s="74">
        <v>35431</v>
      </c>
      <c r="B65" s="75">
        <f>VLOOKUP(A65,Database!A:M,MATCH($A$1,Database!$A$1:$M$1,),)</f>
        <v>51958</v>
      </c>
      <c r="C65" s="113">
        <f>(Table535[[#This Row],[New Orders - Nondefense Capital Goods Excluding Aircraft]]-B64)/B64</f>
        <v>2.3500443218753077E-2</v>
      </c>
    </row>
    <row r="66" spans="1:3" x14ac:dyDescent="0.35">
      <c r="A66" s="74">
        <v>35462</v>
      </c>
      <c r="B66" s="75">
        <f>VLOOKUP(A66,Database!A:M,MATCH($A$1,Database!$A$1:$M$1,),)</f>
        <v>54285</v>
      </c>
      <c r="C66" s="113">
        <f>(Table535[[#This Row],[New Orders - Nondefense Capital Goods Excluding Aircraft]]-B65)/B65</f>
        <v>4.4786173447784752E-2</v>
      </c>
    </row>
    <row r="67" spans="1:3" x14ac:dyDescent="0.35">
      <c r="A67" s="74">
        <v>35490</v>
      </c>
      <c r="B67" s="75">
        <f>VLOOKUP(A67,Database!A:M,MATCH($A$1,Database!$A$1:$M$1,),)</f>
        <v>54195</v>
      </c>
      <c r="C67" s="113">
        <f>(Table535[[#This Row],[New Orders - Nondefense Capital Goods Excluding Aircraft]]-B66)/B66</f>
        <v>-1.6579165515335729E-3</v>
      </c>
    </row>
    <row r="68" spans="1:3" x14ac:dyDescent="0.35">
      <c r="A68" s="74">
        <v>35521</v>
      </c>
      <c r="B68" s="75">
        <f>VLOOKUP(A68,Database!A:M,MATCH($A$1,Database!$A$1:$M$1,),)</f>
        <v>55044</v>
      </c>
      <c r="C68" s="113">
        <f>(Table535[[#This Row],[New Orders - Nondefense Capital Goods Excluding Aircraft]]-B67)/B67</f>
        <v>1.566565181289787E-2</v>
      </c>
    </row>
    <row r="69" spans="1:3" x14ac:dyDescent="0.35">
      <c r="A69" s="74">
        <v>35551</v>
      </c>
      <c r="B69" s="75">
        <f>VLOOKUP(A69,Database!A:M,MATCH($A$1,Database!$A$1:$M$1,),)</f>
        <v>53924</v>
      </c>
      <c r="C69" s="113">
        <f>(Table535[[#This Row],[New Orders - Nondefense Capital Goods Excluding Aircraft]]-B68)/B68</f>
        <v>-2.0347358476854881E-2</v>
      </c>
    </row>
    <row r="70" spans="1:3" x14ac:dyDescent="0.35">
      <c r="A70" s="74">
        <v>35582</v>
      </c>
      <c r="B70" s="75">
        <f>VLOOKUP(A70,Database!A:M,MATCH($A$1,Database!$A$1:$M$1,),)</f>
        <v>55972</v>
      </c>
      <c r="C70" s="113">
        <f>(Table535[[#This Row],[New Orders - Nondefense Capital Goods Excluding Aircraft]]-B69)/B69</f>
        <v>3.7979378384392852E-2</v>
      </c>
    </row>
    <row r="71" spans="1:3" x14ac:dyDescent="0.35">
      <c r="A71" s="74">
        <v>35612</v>
      </c>
      <c r="B71" s="75">
        <f>VLOOKUP(A71,Database!A:M,MATCH($A$1,Database!$A$1:$M$1,),)</f>
        <v>58969</v>
      </c>
      <c r="C71" s="113">
        <f>(Table535[[#This Row],[New Orders - Nondefense Capital Goods Excluding Aircraft]]-B70)/B70</f>
        <v>5.3544629457585938E-2</v>
      </c>
    </row>
    <row r="72" spans="1:3" x14ac:dyDescent="0.35">
      <c r="A72" s="74">
        <v>35643</v>
      </c>
      <c r="B72" s="75">
        <f>VLOOKUP(A72,Database!A:M,MATCH($A$1,Database!$A$1:$M$1,),)</f>
        <v>58232</v>
      </c>
      <c r="C72" s="113">
        <f>(Table535[[#This Row],[New Orders - Nondefense Capital Goods Excluding Aircraft]]-B71)/B71</f>
        <v>-1.2498092217945022E-2</v>
      </c>
    </row>
    <row r="73" spans="1:3" x14ac:dyDescent="0.35">
      <c r="A73" s="74">
        <v>35674</v>
      </c>
      <c r="B73" s="75">
        <f>VLOOKUP(A73,Database!A:M,MATCH($A$1,Database!$A$1:$M$1,),)</f>
        <v>60143</v>
      </c>
      <c r="C73" s="113">
        <f>(Table535[[#This Row],[New Orders - Nondefense Capital Goods Excluding Aircraft]]-B72)/B72</f>
        <v>3.2817007830745981E-2</v>
      </c>
    </row>
    <row r="74" spans="1:3" x14ac:dyDescent="0.35">
      <c r="A74" s="74">
        <v>35704</v>
      </c>
      <c r="B74" s="75">
        <f>VLOOKUP(A74,Database!A:M,MATCH($A$1,Database!$A$1:$M$1,),)</f>
        <v>57582</v>
      </c>
      <c r="C74" s="113">
        <f>(Table535[[#This Row],[New Orders - Nondefense Capital Goods Excluding Aircraft]]-B73)/B73</f>
        <v>-4.2581846598939196E-2</v>
      </c>
    </row>
    <row r="75" spans="1:3" x14ac:dyDescent="0.35">
      <c r="A75" s="74">
        <v>35735</v>
      </c>
      <c r="B75" s="75">
        <f>VLOOKUP(A75,Database!A:M,MATCH($A$1,Database!$A$1:$M$1,),)</f>
        <v>57967</v>
      </c>
      <c r="C75" s="113">
        <f>(Table535[[#This Row],[New Orders - Nondefense Capital Goods Excluding Aircraft]]-B74)/B74</f>
        <v>6.686117189399465E-3</v>
      </c>
    </row>
    <row r="76" spans="1:3" x14ac:dyDescent="0.35">
      <c r="A76" s="74">
        <v>35765</v>
      </c>
      <c r="B76" s="75">
        <f>VLOOKUP(A76,Database!A:M,MATCH($A$1,Database!$A$1:$M$1,),)</f>
        <v>58401</v>
      </c>
      <c r="C76" s="113">
        <f>(Table535[[#This Row],[New Orders - Nondefense Capital Goods Excluding Aircraft]]-B75)/B75</f>
        <v>7.4870184760294648E-3</v>
      </c>
    </row>
    <row r="77" spans="1:3" x14ac:dyDescent="0.35">
      <c r="A77" s="74">
        <v>35796</v>
      </c>
      <c r="B77" s="75">
        <f>VLOOKUP(A77,Database!A:M,MATCH($A$1,Database!$A$1:$M$1,),)</f>
        <v>56811</v>
      </c>
      <c r="C77" s="113">
        <f>(Table535[[#This Row],[New Orders - Nondefense Capital Goods Excluding Aircraft]]-B76)/B76</f>
        <v>-2.7225561206143729E-2</v>
      </c>
    </row>
    <row r="78" spans="1:3" x14ac:dyDescent="0.35">
      <c r="A78" s="74">
        <v>35827</v>
      </c>
      <c r="B78" s="75">
        <f>VLOOKUP(A78,Database!A:M,MATCH($A$1,Database!$A$1:$M$1,),)</f>
        <v>59362</v>
      </c>
      <c r="C78" s="113">
        <f>(Table535[[#This Row],[New Orders - Nondefense Capital Goods Excluding Aircraft]]-B77)/B77</f>
        <v>4.4903275774057838E-2</v>
      </c>
    </row>
    <row r="79" spans="1:3" x14ac:dyDescent="0.35">
      <c r="A79" s="74">
        <v>35855</v>
      </c>
      <c r="B79" s="75">
        <f>VLOOKUP(A79,Database!A:M,MATCH($A$1,Database!$A$1:$M$1,),)</f>
        <v>57672</v>
      </c>
      <c r="C79" s="113">
        <f>(Table535[[#This Row],[New Orders - Nondefense Capital Goods Excluding Aircraft]]-B78)/B78</f>
        <v>-2.8469391193019104E-2</v>
      </c>
    </row>
    <row r="80" spans="1:3" x14ac:dyDescent="0.35">
      <c r="A80" s="74">
        <v>35886</v>
      </c>
      <c r="B80" s="75">
        <f>VLOOKUP(A80,Database!A:M,MATCH($A$1,Database!$A$1:$M$1,),)</f>
        <v>55909</v>
      </c>
      <c r="C80" s="113">
        <f>(Table535[[#This Row],[New Orders - Nondefense Capital Goods Excluding Aircraft]]-B79)/B79</f>
        <v>-3.0569427105007631E-2</v>
      </c>
    </row>
    <row r="81" spans="1:3" x14ac:dyDescent="0.35">
      <c r="A81" s="74">
        <v>35916</v>
      </c>
      <c r="B81" s="75">
        <f>VLOOKUP(A81,Database!A:M,MATCH($A$1,Database!$A$1:$M$1,),)</f>
        <v>58575</v>
      </c>
      <c r="C81" s="113">
        <f>(Table535[[#This Row],[New Orders - Nondefense Capital Goods Excluding Aircraft]]-B80)/B80</f>
        <v>4.7684630381512813E-2</v>
      </c>
    </row>
    <row r="82" spans="1:3" x14ac:dyDescent="0.35">
      <c r="A82" s="74">
        <v>35947</v>
      </c>
      <c r="B82" s="75">
        <f>VLOOKUP(A82,Database!A:M,MATCH($A$1,Database!$A$1:$M$1,),)</f>
        <v>59020</v>
      </c>
      <c r="C82" s="113">
        <f>(Table535[[#This Row],[New Orders - Nondefense Capital Goods Excluding Aircraft]]-B81)/B81</f>
        <v>7.5970977379428081E-3</v>
      </c>
    </row>
    <row r="83" spans="1:3" x14ac:dyDescent="0.35">
      <c r="A83" s="74">
        <v>35977</v>
      </c>
      <c r="B83" s="75">
        <f>VLOOKUP(A83,Database!A:M,MATCH($A$1,Database!$A$1:$M$1,),)</f>
        <v>56670</v>
      </c>
      <c r="C83" s="113">
        <f>(Table535[[#This Row],[New Orders - Nondefense Capital Goods Excluding Aircraft]]-B82)/B82</f>
        <v>-3.981701118264995E-2</v>
      </c>
    </row>
    <row r="84" spans="1:3" x14ac:dyDescent="0.35">
      <c r="A84" s="74">
        <v>36008</v>
      </c>
      <c r="B84" s="75">
        <f>VLOOKUP(A84,Database!A:M,MATCH($A$1,Database!$A$1:$M$1,),)</f>
        <v>57658</v>
      </c>
      <c r="C84" s="113">
        <f>(Table535[[#This Row],[New Orders - Nondefense Capital Goods Excluding Aircraft]]-B83)/B83</f>
        <v>1.7434268572436917E-2</v>
      </c>
    </row>
    <row r="85" spans="1:3" x14ac:dyDescent="0.35">
      <c r="A85" s="74">
        <v>36039</v>
      </c>
      <c r="B85" s="75">
        <f>VLOOKUP(A85,Database!A:M,MATCH($A$1,Database!$A$1:$M$1,),)</f>
        <v>60257</v>
      </c>
      <c r="C85" s="113">
        <f>(Table535[[#This Row],[New Orders - Nondefense Capital Goods Excluding Aircraft]]-B84)/B84</f>
        <v>4.5076138610427002E-2</v>
      </c>
    </row>
    <row r="86" spans="1:3" x14ac:dyDescent="0.35">
      <c r="A86" s="74">
        <v>36069</v>
      </c>
      <c r="B86" s="75">
        <f>VLOOKUP(A86,Database!A:M,MATCH($A$1,Database!$A$1:$M$1,),)</f>
        <v>56319</v>
      </c>
      <c r="C86" s="113">
        <f>(Table535[[#This Row],[New Orders - Nondefense Capital Goods Excluding Aircraft]]-B85)/B85</f>
        <v>-6.5353402924141588E-2</v>
      </c>
    </row>
    <row r="87" spans="1:3" x14ac:dyDescent="0.35">
      <c r="A87" s="74">
        <v>36100</v>
      </c>
      <c r="B87" s="75">
        <f>VLOOKUP(A87,Database!A:M,MATCH($A$1,Database!$A$1:$M$1,),)</f>
        <v>58162</v>
      </c>
      <c r="C87" s="113">
        <f>(Table535[[#This Row],[New Orders - Nondefense Capital Goods Excluding Aircraft]]-B86)/B86</f>
        <v>3.2724302633214367E-2</v>
      </c>
    </row>
    <row r="88" spans="1:3" x14ac:dyDescent="0.35">
      <c r="A88" s="74">
        <v>36130</v>
      </c>
      <c r="B88" s="75">
        <f>VLOOKUP(A88,Database!A:M,MATCH($A$1,Database!$A$1:$M$1,),)</f>
        <v>60818</v>
      </c>
      <c r="C88" s="113">
        <f>(Table535[[#This Row],[New Orders - Nondefense Capital Goods Excluding Aircraft]]-B87)/B87</f>
        <v>4.566555482961384E-2</v>
      </c>
    </row>
    <row r="89" spans="1:3" x14ac:dyDescent="0.35">
      <c r="A89" s="74">
        <v>36161</v>
      </c>
      <c r="B89" s="75">
        <f>VLOOKUP(A89,Database!A:M,MATCH($A$1,Database!$A$1:$M$1,),)</f>
        <v>57160</v>
      </c>
      <c r="C89" s="113">
        <f>(Table535[[#This Row],[New Orders - Nondefense Capital Goods Excluding Aircraft]]-B88)/B88</f>
        <v>-6.0146667105133347E-2</v>
      </c>
    </row>
    <row r="90" spans="1:3" x14ac:dyDescent="0.35">
      <c r="A90" s="74">
        <v>36192</v>
      </c>
      <c r="B90" s="75">
        <f>VLOOKUP(A90,Database!A:M,MATCH($A$1,Database!$A$1:$M$1,),)</f>
        <v>58576</v>
      </c>
      <c r="C90" s="113">
        <f>(Table535[[#This Row],[New Orders - Nondefense Capital Goods Excluding Aircraft]]-B89)/B89</f>
        <v>2.4772568229531142E-2</v>
      </c>
    </row>
    <row r="91" spans="1:3" x14ac:dyDescent="0.35">
      <c r="A91" s="74">
        <v>36220</v>
      </c>
      <c r="B91" s="75">
        <f>VLOOKUP(A91,Database!A:M,MATCH($A$1,Database!$A$1:$M$1,),)</f>
        <v>59657</v>
      </c>
      <c r="C91" s="113">
        <f>(Table535[[#This Row],[New Orders - Nondefense Capital Goods Excluding Aircraft]]-B90)/B90</f>
        <v>1.8454657197487026E-2</v>
      </c>
    </row>
    <row r="92" spans="1:3" x14ac:dyDescent="0.35">
      <c r="A92" s="74">
        <v>36251</v>
      </c>
      <c r="B92" s="75">
        <f>VLOOKUP(A92,Database!A:M,MATCH($A$1,Database!$A$1:$M$1,),)</f>
        <v>58929</v>
      </c>
      <c r="C92" s="113">
        <f>(Table535[[#This Row],[New Orders - Nondefense Capital Goods Excluding Aircraft]]-B91)/B91</f>
        <v>-1.220309435606886E-2</v>
      </c>
    </row>
    <row r="93" spans="1:3" x14ac:dyDescent="0.35">
      <c r="A93" s="74">
        <v>36281</v>
      </c>
      <c r="B93" s="75">
        <f>VLOOKUP(A93,Database!A:M,MATCH($A$1,Database!$A$1:$M$1,),)</f>
        <v>59814</v>
      </c>
      <c r="C93" s="113">
        <f>(Table535[[#This Row],[New Orders - Nondefense Capital Goods Excluding Aircraft]]-B92)/B92</f>
        <v>1.5018072595835666E-2</v>
      </c>
    </row>
    <row r="94" spans="1:3" x14ac:dyDescent="0.35">
      <c r="A94" s="74">
        <v>36312</v>
      </c>
      <c r="B94" s="75">
        <f>VLOOKUP(A94,Database!A:M,MATCH($A$1,Database!$A$1:$M$1,),)</f>
        <v>59045</v>
      </c>
      <c r="C94" s="113">
        <f>(Table535[[#This Row],[New Orders - Nondefense Capital Goods Excluding Aircraft]]-B93)/B93</f>
        <v>-1.2856521884508643E-2</v>
      </c>
    </row>
    <row r="95" spans="1:3" x14ac:dyDescent="0.35">
      <c r="A95" s="74">
        <v>36342</v>
      </c>
      <c r="B95" s="75">
        <f>VLOOKUP(A95,Database!A:M,MATCH($A$1,Database!$A$1:$M$1,),)</f>
        <v>62074</v>
      </c>
      <c r="C95" s="113">
        <f>(Table535[[#This Row],[New Orders - Nondefense Capital Goods Excluding Aircraft]]-B94)/B94</f>
        <v>5.1299856042001865E-2</v>
      </c>
    </row>
    <row r="96" spans="1:3" x14ac:dyDescent="0.35">
      <c r="A96" s="74">
        <v>36373</v>
      </c>
      <c r="B96" s="75">
        <f>VLOOKUP(A96,Database!A:M,MATCH($A$1,Database!$A$1:$M$1,),)</f>
        <v>61732</v>
      </c>
      <c r="C96" s="113">
        <f>(Table535[[#This Row],[New Orders - Nondefense Capital Goods Excluding Aircraft]]-B95)/B95</f>
        <v>-5.5095531140251959E-3</v>
      </c>
    </row>
    <row r="97" spans="1:3" x14ac:dyDescent="0.35">
      <c r="A97" s="74">
        <v>36404</v>
      </c>
      <c r="B97" s="75">
        <f>VLOOKUP(A97,Database!A:M,MATCH($A$1,Database!$A$1:$M$1,),)</f>
        <v>63231</v>
      </c>
      <c r="C97" s="113">
        <f>(Table535[[#This Row],[New Orders - Nondefense Capital Goods Excluding Aircraft]]-B96)/B96</f>
        <v>2.4282381908896519E-2</v>
      </c>
    </row>
    <row r="98" spans="1:3" x14ac:dyDescent="0.35">
      <c r="A98" s="74">
        <v>36434</v>
      </c>
      <c r="B98" s="75">
        <f>VLOOKUP(A98,Database!A:M,MATCH($A$1,Database!$A$1:$M$1,),)</f>
        <v>61451</v>
      </c>
      <c r="C98" s="113">
        <f>(Table535[[#This Row],[New Orders - Nondefense Capital Goods Excluding Aircraft]]-B97)/B97</f>
        <v>-2.815074884154924E-2</v>
      </c>
    </row>
    <row r="99" spans="1:3" x14ac:dyDescent="0.35">
      <c r="A99" s="74">
        <v>36465</v>
      </c>
      <c r="B99" s="75">
        <f>VLOOKUP(A99,Database!A:M,MATCH($A$1,Database!$A$1:$M$1,),)</f>
        <v>61849</v>
      </c>
      <c r="C99" s="113">
        <f>(Table535[[#This Row],[New Orders - Nondefense Capital Goods Excluding Aircraft]]-B98)/B98</f>
        <v>6.4767050170054189E-3</v>
      </c>
    </row>
    <row r="100" spans="1:3" x14ac:dyDescent="0.35">
      <c r="A100" s="74">
        <v>36495</v>
      </c>
      <c r="B100" s="75">
        <f>VLOOKUP(A100,Database!A:M,MATCH($A$1,Database!$A$1:$M$1,),)</f>
        <v>65451</v>
      </c>
      <c r="C100" s="113">
        <f>(Table535[[#This Row],[New Orders - Nondefense Capital Goods Excluding Aircraft]]-B99)/B99</f>
        <v>5.8238613397144659E-2</v>
      </c>
    </row>
    <row r="101" spans="1:3" x14ac:dyDescent="0.35">
      <c r="A101" s="74">
        <v>36526</v>
      </c>
      <c r="B101" s="75">
        <f>VLOOKUP(A101,Database!A:M,MATCH($A$1,Database!$A$1:$M$1,),)</f>
        <v>63975</v>
      </c>
      <c r="C101" s="113">
        <f>(Table535[[#This Row],[New Orders - Nondefense Capital Goods Excluding Aircraft]]-B100)/B100</f>
        <v>-2.2551221524499242E-2</v>
      </c>
    </row>
    <row r="102" spans="1:3" x14ac:dyDescent="0.35">
      <c r="A102" s="74">
        <v>36557</v>
      </c>
      <c r="B102" s="75">
        <f>VLOOKUP(A102,Database!A:M,MATCH($A$1,Database!$A$1:$M$1,),)</f>
        <v>58497</v>
      </c>
      <c r="C102" s="113">
        <f>(Table535[[#This Row],[New Orders - Nondefense Capital Goods Excluding Aircraft]]-B101)/B101</f>
        <v>-8.5627198124267292E-2</v>
      </c>
    </row>
    <row r="103" spans="1:3" x14ac:dyDescent="0.35">
      <c r="A103" s="74">
        <v>36586</v>
      </c>
      <c r="B103" s="75">
        <f>VLOOKUP(A103,Database!A:M,MATCH($A$1,Database!$A$1:$M$1,),)</f>
        <v>63642</v>
      </c>
      <c r="C103" s="113">
        <f>(Table535[[#This Row],[New Orders - Nondefense Capital Goods Excluding Aircraft]]-B102)/B102</f>
        <v>8.7953228370685671E-2</v>
      </c>
    </row>
    <row r="104" spans="1:3" x14ac:dyDescent="0.35">
      <c r="A104" s="74">
        <v>36617</v>
      </c>
      <c r="B104" s="75">
        <f>VLOOKUP(A104,Database!A:M,MATCH($A$1,Database!$A$1:$M$1,),)</f>
        <v>64414</v>
      </c>
      <c r="C104" s="113">
        <f>(Table535[[#This Row],[New Orders - Nondefense Capital Goods Excluding Aircraft]]-B103)/B103</f>
        <v>1.2130354168630779E-2</v>
      </c>
    </row>
    <row r="105" spans="1:3" x14ac:dyDescent="0.35">
      <c r="A105" s="74">
        <v>36647</v>
      </c>
      <c r="B105" s="75">
        <f>VLOOKUP(A105,Database!A:M,MATCH($A$1,Database!$A$1:$M$1,),)</f>
        <v>63753</v>
      </c>
      <c r="C105" s="113">
        <f>(Table535[[#This Row],[New Orders - Nondefense Capital Goods Excluding Aircraft]]-B104)/B104</f>
        <v>-1.0261744341292265E-2</v>
      </c>
    </row>
    <row r="106" spans="1:3" x14ac:dyDescent="0.35">
      <c r="A106" s="74">
        <v>36678</v>
      </c>
      <c r="B106" s="75">
        <f>VLOOKUP(A106,Database!A:M,MATCH($A$1,Database!$A$1:$M$1,),)</f>
        <v>68292</v>
      </c>
      <c r="C106" s="113">
        <f>(Table535[[#This Row],[New Orders - Nondefense Capital Goods Excluding Aircraft]]-B105)/B105</f>
        <v>7.119664956943203E-2</v>
      </c>
    </row>
    <row r="107" spans="1:3" x14ac:dyDescent="0.35">
      <c r="A107" s="74">
        <v>36708</v>
      </c>
      <c r="B107" s="75">
        <f>VLOOKUP(A107,Database!A:M,MATCH($A$1,Database!$A$1:$M$1,),)</f>
        <v>63581</v>
      </c>
      <c r="C107" s="113">
        <f>(Table535[[#This Row],[New Orders - Nondefense Capital Goods Excluding Aircraft]]-B106)/B106</f>
        <v>-6.8983189831898314E-2</v>
      </c>
    </row>
    <row r="108" spans="1:3" x14ac:dyDescent="0.35">
      <c r="A108" s="74">
        <v>36739</v>
      </c>
      <c r="B108" s="75">
        <f>VLOOKUP(A108,Database!A:M,MATCH($A$1,Database!$A$1:$M$1,),)</f>
        <v>64759</v>
      </c>
      <c r="C108" s="113">
        <f>(Table535[[#This Row],[New Orders - Nondefense Capital Goods Excluding Aircraft]]-B107)/B107</f>
        <v>1.8527547537786446E-2</v>
      </c>
    </row>
    <row r="109" spans="1:3" x14ac:dyDescent="0.35">
      <c r="A109" s="74">
        <v>36770</v>
      </c>
      <c r="B109" s="75">
        <f>VLOOKUP(A109,Database!A:M,MATCH($A$1,Database!$A$1:$M$1,),)</f>
        <v>66733</v>
      </c>
      <c r="C109" s="113">
        <f>(Table535[[#This Row],[New Orders - Nondefense Capital Goods Excluding Aircraft]]-B108)/B108</f>
        <v>3.0482249571488134E-2</v>
      </c>
    </row>
    <row r="110" spans="1:3" x14ac:dyDescent="0.35">
      <c r="A110" s="74">
        <v>36800</v>
      </c>
      <c r="B110" s="75">
        <f>VLOOKUP(A110,Database!A:M,MATCH($A$1,Database!$A$1:$M$1,),)</f>
        <v>63580</v>
      </c>
      <c r="C110" s="113">
        <f>(Table535[[#This Row],[New Orders - Nondefense Capital Goods Excluding Aircraft]]-B109)/B109</f>
        <v>-4.724798825168957E-2</v>
      </c>
    </row>
    <row r="111" spans="1:3" x14ac:dyDescent="0.35">
      <c r="A111" s="74">
        <v>36831</v>
      </c>
      <c r="B111" s="75">
        <f>VLOOKUP(A111,Database!A:M,MATCH($A$1,Database!$A$1:$M$1,),)</f>
        <v>62569</v>
      </c>
      <c r="C111" s="113">
        <f>(Table535[[#This Row],[New Orders - Nondefense Capital Goods Excluding Aircraft]]-B110)/B110</f>
        <v>-1.5901226800880779E-2</v>
      </c>
    </row>
    <row r="112" spans="1:3" x14ac:dyDescent="0.35">
      <c r="A112" s="74">
        <v>36861</v>
      </c>
      <c r="B112" s="75">
        <f>VLOOKUP(A112,Database!A:M,MATCH($A$1,Database!$A$1:$M$1,),)</f>
        <v>62554</v>
      </c>
      <c r="C112" s="113">
        <f>(Table535[[#This Row],[New Orders - Nondefense Capital Goods Excluding Aircraft]]-B111)/B111</f>
        <v>-2.3973533219325864E-4</v>
      </c>
    </row>
    <row r="113" spans="1:3" x14ac:dyDescent="0.35">
      <c r="A113" s="74">
        <v>36892</v>
      </c>
      <c r="B113" s="75">
        <f>VLOOKUP(A113,Database!A:M,MATCH($A$1,Database!$A$1:$M$1,),)</f>
        <v>60808</v>
      </c>
      <c r="C113" s="113">
        <f>(Table535[[#This Row],[New Orders - Nondefense Capital Goods Excluding Aircraft]]-B112)/B112</f>
        <v>-2.7911884132109856E-2</v>
      </c>
    </row>
    <row r="114" spans="1:3" x14ac:dyDescent="0.35">
      <c r="A114" s="74">
        <v>36923</v>
      </c>
      <c r="B114" s="75">
        <f>VLOOKUP(A114,Database!A:M,MATCH($A$1,Database!$A$1:$M$1,),)</f>
        <v>60697</v>
      </c>
      <c r="C114" s="113">
        <f>(Table535[[#This Row],[New Orders - Nondefense Capital Goods Excluding Aircraft]]-B113)/B113</f>
        <v>-1.82541770819629E-3</v>
      </c>
    </row>
    <row r="115" spans="1:3" x14ac:dyDescent="0.35">
      <c r="A115" s="74">
        <v>36951</v>
      </c>
      <c r="B115" s="75">
        <f>VLOOKUP(A115,Database!A:M,MATCH($A$1,Database!$A$1:$M$1,),)</f>
        <v>58146</v>
      </c>
      <c r="C115" s="113">
        <f>(Table535[[#This Row],[New Orders - Nondefense Capital Goods Excluding Aircraft]]-B114)/B114</f>
        <v>-4.2028436331284905E-2</v>
      </c>
    </row>
    <row r="116" spans="1:3" x14ac:dyDescent="0.35">
      <c r="A116" s="74">
        <v>36982</v>
      </c>
      <c r="B116" s="75">
        <f>VLOOKUP(A116,Database!A:M,MATCH($A$1,Database!$A$1:$M$1,),)</f>
        <v>54841</v>
      </c>
      <c r="C116" s="113">
        <f>(Table535[[#This Row],[New Orders - Nondefense Capital Goods Excluding Aircraft]]-B115)/B115</f>
        <v>-5.6839679427647644E-2</v>
      </c>
    </row>
    <row r="117" spans="1:3" x14ac:dyDescent="0.35">
      <c r="A117" s="74">
        <v>37012</v>
      </c>
      <c r="B117" s="75">
        <f>VLOOKUP(A117,Database!A:M,MATCH($A$1,Database!$A$1:$M$1,),)</f>
        <v>56599</v>
      </c>
      <c r="C117" s="113">
        <f>(Table535[[#This Row],[New Orders - Nondefense Capital Goods Excluding Aircraft]]-B116)/B116</f>
        <v>3.2056308236538357E-2</v>
      </c>
    </row>
    <row r="118" spans="1:3" x14ac:dyDescent="0.35">
      <c r="A118" s="74">
        <v>37043</v>
      </c>
      <c r="B118" s="75">
        <f>VLOOKUP(A118,Database!A:M,MATCH($A$1,Database!$A$1:$M$1,),)</f>
        <v>55428</v>
      </c>
      <c r="C118" s="113">
        <f>(Table535[[#This Row],[New Orders - Nondefense Capital Goods Excluding Aircraft]]-B117)/B117</f>
        <v>-2.0689411473700948E-2</v>
      </c>
    </row>
    <row r="119" spans="1:3" x14ac:dyDescent="0.35">
      <c r="A119" s="74">
        <v>37073</v>
      </c>
      <c r="B119" s="75">
        <f>VLOOKUP(A119,Database!A:M,MATCH($A$1,Database!$A$1:$M$1,),)</f>
        <v>53436</v>
      </c>
      <c r="C119" s="113">
        <f>(Table535[[#This Row],[New Orders - Nondefense Capital Goods Excluding Aircraft]]-B118)/B118</f>
        <v>-3.5938514830049798E-2</v>
      </c>
    </row>
    <row r="120" spans="1:3" x14ac:dyDescent="0.35">
      <c r="A120" s="74">
        <v>37104</v>
      </c>
      <c r="B120" s="75">
        <f>VLOOKUP(A120,Database!A:M,MATCH($A$1,Database!$A$1:$M$1,),)</f>
        <v>54169</v>
      </c>
      <c r="C120" s="113">
        <f>(Table535[[#This Row],[New Orders - Nondefense Capital Goods Excluding Aircraft]]-B119)/B119</f>
        <v>1.3717344112583277E-2</v>
      </c>
    </row>
    <row r="121" spans="1:3" x14ac:dyDescent="0.35">
      <c r="A121" s="74">
        <v>37135</v>
      </c>
      <c r="B121" s="75">
        <f>VLOOKUP(A121,Database!A:M,MATCH($A$1,Database!$A$1:$M$1,),)</f>
        <v>50735</v>
      </c>
      <c r="C121" s="113">
        <f>(Table535[[#This Row],[New Orders - Nondefense Capital Goods Excluding Aircraft]]-B120)/B120</f>
        <v>-6.339419225017999E-2</v>
      </c>
    </row>
    <row r="122" spans="1:3" x14ac:dyDescent="0.35">
      <c r="A122" s="74">
        <v>37165</v>
      </c>
      <c r="B122" s="75">
        <f>VLOOKUP(A122,Database!A:M,MATCH($A$1,Database!$A$1:$M$1,),)</f>
        <v>49736</v>
      </c>
      <c r="C122" s="113">
        <f>(Table535[[#This Row],[New Orders - Nondefense Capital Goods Excluding Aircraft]]-B121)/B121</f>
        <v>-1.9690548930718439E-2</v>
      </c>
    </row>
    <row r="123" spans="1:3" x14ac:dyDescent="0.35">
      <c r="A123" s="74">
        <v>37196</v>
      </c>
      <c r="B123" s="75">
        <f>VLOOKUP(A123,Database!A:M,MATCH($A$1,Database!$A$1:$M$1,),)</f>
        <v>51335</v>
      </c>
      <c r="C123" s="113">
        <f>(Table535[[#This Row],[New Orders - Nondefense Capital Goods Excluding Aircraft]]-B122)/B122</f>
        <v>3.2149750683609458E-2</v>
      </c>
    </row>
    <row r="124" spans="1:3" x14ac:dyDescent="0.35">
      <c r="A124" s="74">
        <v>37226</v>
      </c>
      <c r="B124" s="75">
        <f>VLOOKUP(A124,Database!A:M,MATCH($A$1,Database!$A$1:$M$1,),)</f>
        <v>51290</v>
      </c>
      <c r="C124" s="113">
        <f>(Table535[[#This Row],[New Orders - Nondefense Capital Goods Excluding Aircraft]]-B123)/B123</f>
        <v>-8.7659491574948868E-4</v>
      </c>
    </row>
    <row r="125" spans="1:3" x14ac:dyDescent="0.35">
      <c r="A125" s="74">
        <v>37257</v>
      </c>
      <c r="B125" s="75">
        <f>VLOOKUP(A125,Database!A:M,MATCH($A$1,Database!$A$1:$M$1,),)</f>
        <v>47643</v>
      </c>
      <c r="C125" s="113">
        <f>(Table535[[#This Row],[New Orders - Nondefense Capital Goods Excluding Aircraft]]-B124)/B124</f>
        <v>-7.1105478650809129E-2</v>
      </c>
    </row>
    <row r="126" spans="1:3" x14ac:dyDescent="0.35">
      <c r="A126" s="74">
        <v>37288</v>
      </c>
      <c r="B126" s="75">
        <f>VLOOKUP(A126,Database!A:M,MATCH($A$1,Database!$A$1:$M$1,),)</f>
        <v>50422</v>
      </c>
      <c r="C126" s="113">
        <f>(Table535[[#This Row],[New Orders - Nondefense Capital Goods Excluding Aircraft]]-B125)/B125</f>
        <v>5.8329660180928992E-2</v>
      </c>
    </row>
    <row r="127" spans="1:3" x14ac:dyDescent="0.35">
      <c r="A127" s="74">
        <v>37316</v>
      </c>
      <c r="B127" s="75">
        <f>VLOOKUP(A127,Database!A:M,MATCH($A$1,Database!$A$1:$M$1,),)</f>
        <v>47371</v>
      </c>
      <c r="C127" s="113">
        <f>(Table535[[#This Row],[New Orders - Nondefense Capital Goods Excluding Aircraft]]-B126)/B126</f>
        <v>-6.0509301495379003E-2</v>
      </c>
    </row>
    <row r="128" spans="1:3" x14ac:dyDescent="0.35">
      <c r="A128" s="74">
        <v>37347</v>
      </c>
      <c r="B128" s="75">
        <f>VLOOKUP(A128,Database!A:M,MATCH($A$1,Database!$A$1:$M$1,),)</f>
        <v>49964</v>
      </c>
      <c r="C128" s="113">
        <f>(Table535[[#This Row],[New Orders - Nondefense Capital Goods Excluding Aircraft]]-B127)/B127</f>
        <v>5.4738130923983025E-2</v>
      </c>
    </row>
    <row r="129" spans="1:3" x14ac:dyDescent="0.35">
      <c r="A129" s="74">
        <v>37377</v>
      </c>
      <c r="B129" s="75">
        <f>VLOOKUP(A129,Database!A:M,MATCH($A$1,Database!$A$1:$M$1,),)</f>
        <v>50680</v>
      </c>
      <c r="C129" s="113">
        <f>(Table535[[#This Row],[New Orders - Nondefense Capital Goods Excluding Aircraft]]-B128)/B128</f>
        <v>1.4330317828836762E-2</v>
      </c>
    </row>
    <row r="130" spans="1:3" x14ac:dyDescent="0.35">
      <c r="A130" s="74">
        <v>37408</v>
      </c>
      <c r="B130" s="75">
        <f>VLOOKUP(A130,Database!A:M,MATCH($A$1,Database!$A$1:$M$1,),)</f>
        <v>48847</v>
      </c>
      <c r="C130" s="113">
        <f>(Table535[[#This Row],[New Orders - Nondefense Capital Goods Excluding Aircraft]]-B129)/B129</f>
        <v>-3.6168113654301497E-2</v>
      </c>
    </row>
    <row r="131" spans="1:3" x14ac:dyDescent="0.35">
      <c r="A131" s="74">
        <v>37438</v>
      </c>
      <c r="B131" s="75">
        <f>VLOOKUP(A131,Database!A:M,MATCH($A$1,Database!$A$1:$M$1,),)</f>
        <v>49531</v>
      </c>
      <c r="C131" s="113">
        <f>(Table535[[#This Row],[New Orders - Nondefense Capital Goods Excluding Aircraft]]-B130)/B130</f>
        <v>1.4002907036256064E-2</v>
      </c>
    </row>
    <row r="132" spans="1:3" x14ac:dyDescent="0.35">
      <c r="A132" s="74">
        <v>37469</v>
      </c>
      <c r="B132" s="75">
        <f>VLOOKUP(A132,Database!A:M,MATCH($A$1,Database!$A$1:$M$1,),)</f>
        <v>51112</v>
      </c>
      <c r="C132" s="113">
        <f>(Table535[[#This Row],[New Orders - Nondefense Capital Goods Excluding Aircraft]]-B131)/B131</f>
        <v>3.1919404009610144E-2</v>
      </c>
    </row>
    <row r="133" spans="1:3" x14ac:dyDescent="0.35">
      <c r="A133" s="74">
        <v>37500</v>
      </c>
      <c r="B133" s="75">
        <f>VLOOKUP(A133,Database!A:M,MATCH($A$1,Database!$A$1:$M$1,),)</f>
        <v>48089</v>
      </c>
      <c r="C133" s="113">
        <f>(Table535[[#This Row],[New Orders - Nondefense Capital Goods Excluding Aircraft]]-B132)/B132</f>
        <v>-5.914462357176397E-2</v>
      </c>
    </row>
    <row r="134" spans="1:3" x14ac:dyDescent="0.35">
      <c r="A134" s="74">
        <v>37530</v>
      </c>
      <c r="B134" s="75">
        <f>VLOOKUP(A134,Database!A:M,MATCH($A$1,Database!$A$1:$M$1,),)</f>
        <v>49106</v>
      </c>
      <c r="C134" s="113">
        <f>(Table535[[#This Row],[New Orders - Nondefense Capital Goods Excluding Aircraft]]-B133)/B133</f>
        <v>2.1148287550167399E-2</v>
      </c>
    </row>
    <row r="135" spans="1:3" x14ac:dyDescent="0.35">
      <c r="A135" s="74">
        <v>37561</v>
      </c>
      <c r="B135" s="75">
        <f>VLOOKUP(A135,Database!A:M,MATCH($A$1,Database!$A$1:$M$1,),)</f>
        <v>49620</v>
      </c>
      <c r="C135" s="113">
        <f>(Table535[[#This Row],[New Orders - Nondefense Capital Goods Excluding Aircraft]]-B134)/B134</f>
        <v>1.046715269009897E-2</v>
      </c>
    </row>
    <row r="136" spans="1:3" x14ac:dyDescent="0.35">
      <c r="A136" s="74">
        <v>37591</v>
      </c>
      <c r="B136" s="75">
        <f>VLOOKUP(A136,Database!A:M,MATCH($A$1,Database!$A$1:$M$1,),)</f>
        <v>48744</v>
      </c>
      <c r="C136" s="113">
        <f>(Table535[[#This Row],[New Orders - Nondefense Capital Goods Excluding Aircraft]]-B135)/B135</f>
        <v>-1.7654171704957679E-2</v>
      </c>
    </row>
    <row r="137" spans="1:3" x14ac:dyDescent="0.35">
      <c r="A137" s="74">
        <v>37622</v>
      </c>
      <c r="B137" s="75">
        <f>VLOOKUP(A137,Database!A:M,MATCH($A$1,Database!$A$1:$M$1,),)</f>
        <v>48896</v>
      </c>
      <c r="C137" s="113">
        <f>(Table535[[#This Row],[New Orders - Nondefense Capital Goods Excluding Aircraft]]-B136)/B136</f>
        <v>3.1183325127195141E-3</v>
      </c>
    </row>
    <row r="138" spans="1:3" x14ac:dyDescent="0.35">
      <c r="A138" s="74">
        <v>37653</v>
      </c>
      <c r="B138" s="75">
        <f>VLOOKUP(A138,Database!A:M,MATCH($A$1,Database!$A$1:$M$1,),)</f>
        <v>49128</v>
      </c>
      <c r="C138" s="113">
        <f>(Table535[[#This Row],[New Orders - Nondefense Capital Goods Excluding Aircraft]]-B137)/B137</f>
        <v>4.744764397905759E-3</v>
      </c>
    </row>
    <row r="139" spans="1:3" x14ac:dyDescent="0.35">
      <c r="A139" s="74">
        <v>37681</v>
      </c>
      <c r="B139" s="75">
        <f>VLOOKUP(A139,Database!A:M,MATCH($A$1,Database!$A$1:$M$1,),)</f>
        <v>51757</v>
      </c>
      <c r="C139" s="113">
        <f>(Table535[[#This Row],[New Orders - Nondefense Capital Goods Excluding Aircraft]]-B138)/B138</f>
        <v>5.3513271454160558E-2</v>
      </c>
    </row>
    <row r="140" spans="1:3" x14ac:dyDescent="0.35">
      <c r="A140" s="74">
        <v>37712</v>
      </c>
      <c r="B140" s="75">
        <f>VLOOKUP(A140,Database!A:M,MATCH($A$1,Database!$A$1:$M$1,),)</f>
        <v>49199</v>
      </c>
      <c r="C140" s="113">
        <f>(Table535[[#This Row],[New Orders - Nondefense Capital Goods Excluding Aircraft]]-B139)/B139</f>
        <v>-4.9423266418069052E-2</v>
      </c>
    </row>
    <row r="141" spans="1:3" x14ac:dyDescent="0.35">
      <c r="A141" s="74">
        <v>37742</v>
      </c>
      <c r="B141" s="75">
        <f>VLOOKUP(A141,Database!A:M,MATCH($A$1,Database!$A$1:$M$1,),)</f>
        <v>50849</v>
      </c>
      <c r="C141" s="113">
        <f>(Table535[[#This Row],[New Orders - Nondefense Capital Goods Excluding Aircraft]]-B140)/B140</f>
        <v>3.3537267017622309E-2</v>
      </c>
    </row>
    <row r="142" spans="1:3" x14ac:dyDescent="0.35">
      <c r="A142" s="74">
        <v>37773</v>
      </c>
      <c r="B142" s="75">
        <f>VLOOKUP(A142,Database!A:M,MATCH($A$1,Database!$A$1:$M$1,),)</f>
        <v>49941</v>
      </c>
      <c r="C142" s="113">
        <f>(Table535[[#This Row],[New Orders - Nondefense Capital Goods Excluding Aircraft]]-B141)/B141</f>
        <v>-1.7856791677319121E-2</v>
      </c>
    </row>
    <row r="143" spans="1:3" x14ac:dyDescent="0.35">
      <c r="A143" s="74">
        <v>37803</v>
      </c>
      <c r="B143" s="75">
        <f>VLOOKUP(A143,Database!A:M,MATCH($A$1,Database!$A$1:$M$1,),)</f>
        <v>49408</v>
      </c>
      <c r="C143" s="113">
        <f>(Table535[[#This Row],[New Orders - Nondefense Capital Goods Excluding Aircraft]]-B142)/B142</f>
        <v>-1.0672593660519413E-2</v>
      </c>
    </row>
    <row r="144" spans="1:3" x14ac:dyDescent="0.35">
      <c r="A144" s="74">
        <v>37834</v>
      </c>
      <c r="B144" s="75">
        <f>VLOOKUP(A144,Database!A:M,MATCH($A$1,Database!$A$1:$M$1,),)</f>
        <v>50447</v>
      </c>
      <c r="C144" s="113">
        <f>(Table535[[#This Row],[New Orders - Nondefense Capital Goods Excluding Aircraft]]-B143)/B143</f>
        <v>2.102898316062176E-2</v>
      </c>
    </row>
    <row r="145" spans="1:3" x14ac:dyDescent="0.35">
      <c r="A145" s="74">
        <v>37865</v>
      </c>
      <c r="B145" s="75">
        <f>VLOOKUP(A145,Database!A:M,MATCH($A$1,Database!$A$1:$M$1,),)</f>
        <v>51971</v>
      </c>
      <c r="C145" s="113">
        <f>(Table535[[#This Row],[New Orders - Nondefense Capital Goods Excluding Aircraft]]-B144)/B144</f>
        <v>3.0209923285824728E-2</v>
      </c>
    </row>
    <row r="146" spans="1:3" x14ac:dyDescent="0.35">
      <c r="A146" s="74">
        <v>37895</v>
      </c>
      <c r="B146" s="75">
        <f>VLOOKUP(A146,Database!A:M,MATCH($A$1,Database!$A$1:$M$1,),)</f>
        <v>51088</v>
      </c>
      <c r="C146" s="113">
        <f>(Table535[[#This Row],[New Orders - Nondefense Capital Goods Excluding Aircraft]]-B145)/B145</f>
        <v>-1.6990244559465857E-2</v>
      </c>
    </row>
    <row r="147" spans="1:3" x14ac:dyDescent="0.35">
      <c r="A147" s="74">
        <v>37926</v>
      </c>
      <c r="B147" s="75">
        <f>VLOOKUP(A147,Database!A:M,MATCH($A$1,Database!$A$1:$M$1,),)</f>
        <v>52318</v>
      </c>
      <c r="C147" s="113">
        <f>(Table535[[#This Row],[New Orders - Nondefense Capital Goods Excluding Aircraft]]-B146)/B146</f>
        <v>2.4076103977450674E-2</v>
      </c>
    </row>
    <row r="148" spans="1:3" x14ac:dyDescent="0.35">
      <c r="A148" s="74">
        <v>37956</v>
      </c>
      <c r="B148" s="75">
        <f>VLOOKUP(A148,Database!A:M,MATCH($A$1,Database!$A$1:$M$1,),)</f>
        <v>53325</v>
      </c>
      <c r="C148" s="113">
        <f>(Table535[[#This Row],[New Orders - Nondefense Capital Goods Excluding Aircraft]]-B147)/B147</f>
        <v>1.9247677663519248E-2</v>
      </c>
    </row>
    <row r="149" spans="1:3" x14ac:dyDescent="0.35">
      <c r="A149" s="74">
        <v>37987</v>
      </c>
      <c r="B149" s="75">
        <f>VLOOKUP(A149,Database!A:M,MATCH($A$1,Database!$A$1:$M$1,),)</f>
        <v>50190</v>
      </c>
      <c r="C149" s="113">
        <f>(Table535[[#This Row],[New Orders - Nondefense Capital Goods Excluding Aircraft]]-B148)/B148</f>
        <v>-5.8790436005625876E-2</v>
      </c>
    </row>
    <row r="150" spans="1:3" x14ac:dyDescent="0.35">
      <c r="A150" s="74">
        <v>38018</v>
      </c>
      <c r="B150" s="75">
        <f>VLOOKUP(A150,Database!A:M,MATCH($A$1,Database!$A$1:$M$1,),)</f>
        <v>51210</v>
      </c>
      <c r="C150" s="113">
        <f>(Table535[[#This Row],[New Orders - Nondefense Capital Goods Excluding Aircraft]]-B149)/B149</f>
        <v>2.0322773460848775E-2</v>
      </c>
    </row>
    <row r="151" spans="1:3" x14ac:dyDescent="0.35">
      <c r="A151" s="74">
        <v>38047</v>
      </c>
      <c r="B151" s="75">
        <f>VLOOKUP(A151,Database!A:M,MATCH($A$1,Database!$A$1:$M$1,),)</f>
        <v>54995</v>
      </c>
      <c r="C151" s="113">
        <f>(Table535[[#This Row],[New Orders - Nondefense Capital Goods Excluding Aircraft]]-B150)/B150</f>
        <v>7.3911345440343681E-2</v>
      </c>
    </row>
    <row r="152" spans="1:3" x14ac:dyDescent="0.35">
      <c r="A152" s="74">
        <v>38078</v>
      </c>
      <c r="B152" s="75">
        <f>VLOOKUP(A152,Database!A:M,MATCH($A$1,Database!$A$1:$M$1,),)</f>
        <v>52065</v>
      </c>
      <c r="C152" s="113">
        <f>(Table535[[#This Row],[New Orders - Nondefense Capital Goods Excluding Aircraft]]-B151)/B151</f>
        <v>-5.3277570688244388E-2</v>
      </c>
    </row>
    <row r="153" spans="1:3" x14ac:dyDescent="0.35">
      <c r="A153" s="74">
        <v>38108</v>
      </c>
      <c r="B153" s="75">
        <f>VLOOKUP(A153,Database!A:M,MATCH($A$1,Database!$A$1:$M$1,),)</f>
        <v>52405</v>
      </c>
      <c r="C153" s="113">
        <f>(Table535[[#This Row],[New Orders - Nondefense Capital Goods Excluding Aircraft]]-B152)/B152</f>
        <v>6.5302986651301258E-3</v>
      </c>
    </row>
    <row r="154" spans="1:3" x14ac:dyDescent="0.35">
      <c r="A154" s="74">
        <v>38139</v>
      </c>
      <c r="B154" s="75">
        <f>VLOOKUP(A154,Database!A:M,MATCH($A$1,Database!$A$1:$M$1,),)</f>
        <v>53213</v>
      </c>
      <c r="C154" s="113">
        <f>(Table535[[#This Row],[New Orders - Nondefense Capital Goods Excluding Aircraft]]-B153)/B153</f>
        <v>1.541837610914989E-2</v>
      </c>
    </row>
    <row r="155" spans="1:3" x14ac:dyDescent="0.35">
      <c r="A155" s="74">
        <v>38169</v>
      </c>
      <c r="B155" s="75">
        <f>VLOOKUP(A155,Database!A:M,MATCH($A$1,Database!$A$1:$M$1,),)</f>
        <v>53699</v>
      </c>
      <c r="C155" s="113">
        <f>(Table535[[#This Row],[New Orders - Nondefense Capital Goods Excluding Aircraft]]-B154)/B154</f>
        <v>9.1331065717024044E-3</v>
      </c>
    </row>
    <row r="156" spans="1:3" x14ac:dyDescent="0.35">
      <c r="A156" s="74">
        <v>38200</v>
      </c>
      <c r="B156" s="75">
        <f>VLOOKUP(A156,Database!A:M,MATCH($A$1,Database!$A$1:$M$1,),)</f>
        <v>51950</v>
      </c>
      <c r="C156" s="113">
        <f>(Table535[[#This Row],[New Orders - Nondefense Capital Goods Excluding Aircraft]]-B155)/B155</f>
        <v>-3.2570438928099223E-2</v>
      </c>
    </row>
    <row r="157" spans="1:3" x14ac:dyDescent="0.35">
      <c r="A157" s="74">
        <v>38231</v>
      </c>
      <c r="B157" s="75">
        <f>VLOOKUP(A157,Database!A:M,MATCH($A$1,Database!$A$1:$M$1,),)</f>
        <v>56227</v>
      </c>
      <c r="C157" s="113">
        <f>(Table535[[#This Row],[New Orders - Nondefense Capital Goods Excluding Aircraft]]-B156)/B156</f>
        <v>8.232916265640039E-2</v>
      </c>
    </row>
    <row r="158" spans="1:3" x14ac:dyDescent="0.35">
      <c r="A158" s="74">
        <v>38261</v>
      </c>
      <c r="B158" s="75">
        <f>VLOOKUP(A158,Database!A:M,MATCH($A$1,Database!$A$1:$M$1,),)</f>
        <v>53948</v>
      </c>
      <c r="C158" s="113">
        <f>(Table535[[#This Row],[New Orders - Nondefense Capital Goods Excluding Aircraft]]-B157)/B157</f>
        <v>-4.0532128692620982E-2</v>
      </c>
    </row>
    <row r="159" spans="1:3" x14ac:dyDescent="0.35">
      <c r="A159" s="74">
        <v>38292</v>
      </c>
      <c r="B159" s="75">
        <f>VLOOKUP(A159,Database!A:M,MATCH($A$1,Database!$A$1:$M$1,),)</f>
        <v>55318</v>
      </c>
      <c r="C159" s="113">
        <f>(Table535[[#This Row],[New Orders - Nondefense Capital Goods Excluding Aircraft]]-B158)/B158</f>
        <v>2.5394824645955365E-2</v>
      </c>
    </row>
    <row r="160" spans="1:3" x14ac:dyDescent="0.35">
      <c r="A160" s="74">
        <v>38322</v>
      </c>
      <c r="B160" s="75">
        <f>VLOOKUP(A160,Database!A:M,MATCH($A$1,Database!$A$1:$M$1,),)</f>
        <v>56631</v>
      </c>
      <c r="C160" s="113">
        <f>(Table535[[#This Row],[New Orders - Nondefense Capital Goods Excluding Aircraft]]-B159)/B159</f>
        <v>2.3735492967930871E-2</v>
      </c>
    </row>
    <row r="161" spans="1:3" x14ac:dyDescent="0.35">
      <c r="A161" s="74">
        <v>38353</v>
      </c>
      <c r="B161" s="75">
        <f>VLOOKUP(A161,Database!A:M,MATCH($A$1,Database!$A$1:$M$1,),)</f>
        <v>57884</v>
      </c>
      <c r="C161" s="113">
        <f>(Table535[[#This Row],[New Orders - Nondefense Capital Goods Excluding Aircraft]]-B160)/B160</f>
        <v>2.2125690876021967E-2</v>
      </c>
    </row>
    <row r="162" spans="1:3" x14ac:dyDescent="0.35">
      <c r="A162" s="74">
        <v>38384</v>
      </c>
      <c r="B162" s="75">
        <f>VLOOKUP(A162,Database!A:M,MATCH($A$1,Database!$A$1:$M$1,),)</f>
        <v>57580</v>
      </c>
      <c r="C162" s="113">
        <f>(Table535[[#This Row],[New Orders - Nondefense Capital Goods Excluding Aircraft]]-B161)/B161</f>
        <v>-5.2518830764978234E-3</v>
      </c>
    </row>
    <row r="163" spans="1:3" x14ac:dyDescent="0.35">
      <c r="A163" s="74">
        <v>38412</v>
      </c>
      <c r="B163" s="75">
        <f>VLOOKUP(A163,Database!A:M,MATCH($A$1,Database!$A$1:$M$1,),)</f>
        <v>56576</v>
      </c>
      <c r="C163" s="113">
        <f>(Table535[[#This Row],[New Orders - Nondefense Capital Goods Excluding Aircraft]]-B162)/B162</f>
        <v>-1.7436609934004862E-2</v>
      </c>
    </row>
    <row r="164" spans="1:3" x14ac:dyDescent="0.35">
      <c r="A164" s="74">
        <v>38443</v>
      </c>
      <c r="B164" s="75">
        <f>VLOOKUP(A164,Database!A:M,MATCH($A$1,Database!$A$1:$M$1,),)</f>
        <v>58138</v>
      </c>
      <c r="C164" s="113">
        <f>(Table535[[#This Row],[New Orders - Nondefense Capital Goods Excluding Aircraft]]-B163)/B163</f>
        <v>2.7608880090497737E-2</v>
      </c>
    </row>
    <row r="165" spans="1:3" x14ac:dyDescent="0.35">
      <c r="A165" s="74">
        <v>38473</v>
      </c>
      <c r="B165" s="75">
        <f>VLOOKUP(A165,Database!A:M,MATCH($A$1,Database!$A$1:$M$1,),)</f>
        <v>57105</v>
      </c>
      <c r="C165" s="113">
        <f>(Table535[[#This Row],[New Orders - Nondefense Capital Goods Excluding Aircraft]]-B164)/B164</f>
        <v>-1.7768069077023635E-2</v>
      </c>
    </row>
    <row r="166" spans="1:3" x14ac:dyDescent="0.35">
      <c r="A166" s="74">
        <v>38504</v>
      </c>
      <c r="B166" s="75">
        <f>VLOOKUP(A166,Database!A:M,MATCH($A$1,Database!$A$1:$M$1,),)</f>
        <v>58903</v>
      </c>
      <c r="C166" s="113">
        <f>(Table535[[#This Row],[New Orders - Nondefense Capital Goods Excluding Aircraft]]-B165)/B165</f>
        <v>3.1485859381840467E-2</v>
      </c>
    </row>
    <row r="167" spans="1:3" x14ac:dyDescent="0.35">
      <c r="A167" s="74">
        <v>38534</v>
      </c>
      <c r="B167" s="75">
        <f>VLOOKUP(A167,Database!A:M,MATCH($A$1,Database!$A$1:$M$1,),)</f>
        <v>57606</v>
      </c>
      <c r="C167" s="113">
        <f>(Table535[[#This Row],[New Orders - Nondefense Capital Goods Excluding Aircraft]]-B166)/B166</f>
        <v>-2.2019251990560752E-2</v>
      </c>
    </row>
    <row r="168" spans="1:3" x14ac:dyDescent="0.35">
      <c r="A168" s="74">
        <v>38565</v>
      </c>
      <c r="B168" s="75">
        <f>VLOOKUP(A168,Database!A:M,MATCH($A$1,Database!$A$1:$M$1,),)</f>
        <v>60352</v>
      </c>
      <c r="C168" s="113">
        <f>(Table535[[#This Row],[New Orders - Nondefense Capital Goods Excluding Aircraft]]-B167)/B167</f>
        <v>4.7668645627191614E-2</v>
      </c>
    </row>
    <row r="169" spans="1:3" x14ac:dyDescent="0.35">
      <c r="A169" s="74">
        <v>38596</v>
      </c>
      <c r="B169" s="75">
        <f>VLOOKUP(A169,Database!A:M,MATCH($A$1,Database!$A$1:$M$1,),)</f>
        <v>58344</v>
      </c>
      <c r="C169" s="113">
        <f>(Table535[[#This Row],[New Orders - Nondefense Capital Goods Excluding Aircraft]]-B168)/B168</f>
        <v>-3.3271474019088018E-2</v>
      </c>
    </row>
    <row r="170" spans="1:3" x14ac:dyDescent="0.35">
      <c r="A170" s="74">
        <v>38626</v>
      </c>
      <c r="B170" s="75">
        <f>VLOOKUP(A170,Database!A:M,MATCH($A$1,Database!$A$1:$M$1,),)</f>
        <v>59751</v>
      </c>
      <c r="C170" s="113">
        <f>(Table535[[#This Row],[New Orders - Nondefense Capital Goods Excluding Aircraft]]-B169)/B169</f>
        <v>2.4115590292060882E-2</v>
      </c>
    </row>
    <row r="171" spans="1:3" x14ac:dyDescent="0.35">
      <c r="A171" s="74">
        <v>38657</v>
      </c>
      <c r="B171" s="75">
        <f>VLOOKUP(A171,Database!A:M,MATCH($A$1,Database!$A$1:$M$1,),)</f>
        <v>60459</v>
      </c>
      <c r="C171" s="113">
        <f>(Table535[[#This Row],[New Orders - Nondefense Capital Goods Excluding Aircraft]]-B170)/B170</f>
        <v>1.1849174072400461E-2</v>
      </c>
    </row>
    <row r="172" spans="1:3" x14ac:dyDescent="0.35">
      <c r="A172" s="74">
        <v>38687</v>
      </c>
      <c r="B172" s="75">
        <f>VLOOKUP(A172,Database!A:M,MATCH($A$1,Database!$A$1:$M$1,),)</f>
        <v>61271</v>
      </c>
      <c r="C172" s="113">
        <f>(Table535[[#This Row],[New Orders - Nondefense Capital Goods Excluding Aircraft]]-B171)/B171</f>
        <v>1.3430589324997105E-2</v>
      </c>
    </row>
    <row r="173" spans="1:3" x14ac:dyDescent="0.35">
      <c r="A173" s="74">
        <v>38718</v>
      </c>
      <c r="B173" s="75">
        <f>VLOOKUP(A173,Database!A:M,MATCH($A$1,Database!$A$1:$M$1,),)</f>
        <v>62469</v>
      </c>
      <c r="C173" s="113">
        <f>(Table535[[#This Row],[New Orders - Nondefense Capital Goods Excluding Aircraft]]-B172)/B172</f>
        <v>1.9552479966052454E-2</v>
      </c>
    </row>
    <row r="174" spans="1:3" x14ac:dyDescent="0.35">
      <c r="A174" s="74">
        <v>38749</v>
      </c>
      <c r="B174" s="75">
        <f>VLOOKUP(A174,Database!A:M,MATCH($A$1,Database!$A$1:$M$1,),)</f>
        <v>62592</v>
      </c>
      <c r="C174" s="113">
        <f>(Table535[[#This Row],[New Orders - Nondefense Capital Goods Excluding Aircraft]]-B173)/B173</f>
        <v>1.9689766123997502E-3</v>
      </c>
    </row>
    <row r="175" spans="1:3" x14ac:dyDescent="0.35">
      <c r="A175" s="74">
        <v>38777</v>
      </c>
      <c r="B175" s="75">
        <f>VLOOKUP(A175,Database!A:M,MATCH($A$1,Database!$A$1:$M$1,),)</f>
        <v>65096</v>
      </c>
      <c r="C175" s="113">
        <f>(Table535[[#This Row],[New Orders - Nondefense Capital Goods Excluding Aircraft]]-B174)/B174</f>
        <v>4.000511247443763E-2</v>
      </c>
    </row>
    <row r="176" spans="1:3" x14ac:dyDescent="0.35">
      <c r="A176" s="74">
        <v>38808</v>
      </c>
      <c r="B176" s="75">
        <f>VLOOKUP(A176,Database!A:M,MATCH($A$1,Database!$A$1:$M$1,),)</f>
        <v>63272</v>
      </c>
      <c r="C176" s="113">
        <f>(Table535[[#This Row],[New Orders - Nondefense Capital Goods Excluding Aircraft]]-B175)/B175</f>
        <v>-2.802015484822416E-2</v>
      </c>
    </row>
    <row r="177" spans="1:3" x14ac:dyDescent="0.35">
      <c r="A177" s="74">
        <v>38838</v>
      </c>
      <c r="B177" s="75">
        <f>VLOOKUP(A177,Database!A:M,MATCH($A$1,Database!$A$1:$M$1,),)</f>
        <v>64145</v>
      </c>
      <c r="C177" s="113">
        <f>(Table535[[#This Row],[New Orders - Nondefense Capital Goods Excluding Aircraft]]-B176)/B176</f>
        <v>1.3797572385889493E-2</v>
      </c>
    </row>
    <row r="178" spans="1:3" x14ac:dyDescent="0.35">
      <c r="A178" s="74">
        <v>38869</v>
      </c>
      <c r="B178" s="75">
        <f>VLOOKUP(A178,Database!A:M,MATCH($A$1,Database!$A$1:$M$1,),)</f>
        <v>63601</v>
      </c>
      <c r="C178" s="113">
        <f>(Table535[[#This Row],[New Orders - Nondefense Capital Goods Excluding Aircraft]]-B177)/B177</f>
        <v>-8.4807857198534575E-3</v>
      </c>
    </row>
    <row r="179" spans="1:3" x14ac:dyDescent="0.35">
      <c r="A179" s="74">
        <v>38899</v>
      </c>
      <c r="B179" s="75">
        <f>VLOOKUP(A179,Database!A:M,MATCH($A$1,Database!$A$1:$M$1,),)</f>
        <v>63922</v>
      </c>
      <c r="C179" s="113">
        <f>(Table535[[#This Row],[New Orders - Nondefense Capital Goods Excluding Aircraft]]-B178)/B178</f>
        <v>5.047090454552601E-3</v>
      </c>
    </row>
    <row r="180" spans="1:3" x14ac:dyDescent="0.35">
      <c r="A180" s="74">
        <v>38930</v>
      </c>
      <c r="B180" s="75">
        <f>VLOOKUP(A180,Database!A:M,MATCH($A$1,Database!$A$1:$M$1,),)</f>
        <v>64379</v>
      </c>
      <c r="C180" s="113">
        <f>(Table535[[#This Row],[New Orders - Nondefense Capital Goods Excluding Aircraft]]-B179)/B179</f>
        <v>7.1493382559994993E-3</v>
      </c>
    </row>
    <row r="181" spans="1:3" x14ac:dyDescent="0.35">
      <c r="A181" s="74">
        <v>38961</v>
      </c>
      <c r="B181" s="75">
        <f>VLOOKUP(A181,Database!A:M,MATCH($A$1,Database!$A$1:$M$1,),)</f>
        <v>66981</v>
      </c>
      <c r="C181" s="113">
        <f>(Table535[[#This Row],[New Orders - Nondefense Capital Goods Excluding Aircraft]]-B180)/B180</f>
        <v>4.0416906133987789E-2</v>
      </c>
    </row>
    <row r="182" spans="1:3" x14ac:dyDescent="0.35">
      <c r="A182" s="74">
        <v>38991</v>
      </c>
      <c r="B182" s="75">
        <f>VLOOKUP(A182,Database!A:M,MATCH($A$1,Database!$A$1:$M$1,),)</f>
        <v>66492</v>
      </c>
      <c r="C182" s="113">
        <f>(Table535[[#This Row],[New Orders - Nondefense Capital Goods Excluding Aircraft]]-B181)/B181</f>
        <v>-7.3005777757871636E-3</v>
      </c>
    </row>
    <row r="183" spans="1:3" x14ac:dyDescent="0.35">
      <c r="A183" s="74">
        <v>39022</v>
      </c>
      <c r="B183" s="75">
        <f>VLOOKUP(A183,Database!A:M,MATCH($A$1,Database!$A$1:$M$1,),)</f>
        <v>66484</v>
      </c>
      <c r="C183" s="113">
        <f>(Table535[[#This Row],[New Orders - Nondefense Capital Goods Excluding Aircraft]]-B182)/B182</f>
        <v>-1.2031522589183661E-4</v>
      </c>
    </row>
    <row r="184" spans="1:3" x14ac:dyDescent="0.35">
      <c r="A184" s="74">
        <v>39052</v>
      </c>
      <c r="B184" s="75">
        <f>VLOOKUP(A184,Database!A:M,MATCH($A$1,Database!$A$1:$M$1,),)</f>
        <v>65935</v>
      </c>
      <c r="C184" s="113">
        <f>(Table535[[#This Row],[New Orders - Nondefense Capital Goods Excluding Aircraft]]-B183)/B183</f>
        <v>-8.257625894952169E-3</v>
      </c>
    </row>
    <row r="185" spans="1:3" x14ac:dyDescent="0.35">
      <c r="A185" s="74">
        <v>39083</v>
      </c>
      <c r="B185" s="75">
        <f>VLOOKUP(A185,Database!A:M,MATCH($A$1,Database!$A$1:$M$1,),)</f>
        <v>64155</v>
      </c>
      <c r="C185" s="113">
        <f>(Table535[[#This Row],[New Orders - Nondefense Capital Goods Excluding Aircraft]]-B184)/B184</f>
        <v>-2.6996284219306894E-2</v>
      </c>
    </row>
    <row r="186" spans="1:3" x14ac:dyDescent="0.35">
      <c r="A186" s="74">
        <v>39114</v>
      </c>
      <c r="B186" s="75">
        <f>VLOOKUP(A186,Database!A:M,MATCH($A$1,Database!$A$1:$M$1,),)</f>
        <v>63735</v>
      </c>
      <c r="C186" s="113">
        <f>(Table535[[#This Row],[New Orders - Nondefense Capital Goods Excluding Aircraft]]-B185)/B185</f>
        <v>-6.5466448445171853E-3</v>
      </c>
    </row>
    <row r="187" spans="1:3" x14ac:dyDescent="0.35">
      <c r="A187" s="74">
        <v>39142</v>
      </c>
      <c r="B187" s="75">
        <f>VLOOKUP(A187,Database!A:M,MATCH($A$1,Database!$A$1:$M$1,),)</f>
        <v>66936</v>
      </c>
      <c r="C187" s="113">
        <f>(Table535[[#This Row],[New Orders - Nondefense Capital Goods Excluding Aircraft]]-B186)/B186</f>
        <v>5.0223582019298656E-2</v>
      </c>
    </row>
    <row r="188" spans="1:3" x14ac:dyDescent="0.35">
      <c r="A188" s="74">
        <v>39173</v>
      </c>
      <c r="B188" s="75">
        <f>VLOOKUP(A188,Database!A:M,MATCH($A$1,Database!$A$1:$M$1,),)</f>
        <v>66118</v>
      </c>
      <c r="C188" s="113">
        <f>(Table535[[#This Row],[New Orders - Nondefense Capital Goods Excluding Aircraft]]-B187)/B187</f>
        <v>-1.2220628660212741E-2</v>
      </c>
    </row>
    <row r="189" spans="1:3" x14ac:dyDescent="0.35">
      <c r="A189" s="74">
        <v>39203</v>
      </c>
      <c r="B189" s="75">
        <f>VLOOKUP(A189,Database!A:M,MATCH($A$1,Database!$A$1:$M$1,),)</f>
        <v>64975</v>
      </c>
      <c r="C189" s="113">
        <f>(Table535[[#This Row],[New Orders - Nondefense Capital Goods Excluding Aircraft]]-B188)/B188</f>
        <v>-1.7287274267219214E-2</v>
      </c>
    </row>
    <row r="190" spans="1:3" x14ac:dyDescent="0.35">
      <c r="A190" s="74">
        <v>39234</v>
      </c>
      <c r="B190" s="75">
        <f>VLOOKUP(A190,Database!A:M,MATCH($A$1,Database!$A$1:$M$1,),)</f>
        <v>64874</v>
      </c>
      <c r="C190" s="113">
        <f>(Table535[[#This Row],[New Orders - Nondefense Capital Goods Excluding Aircraft]]-B189)/B189</f>
        <v>-1.5544440169295883E-3</v>
      </c>
    </row>
    <row r="191" spans="1:3" x14ac:dyDescent="0.35">
      <c r="A191" s="74">
        <v>39264</v>
      </c>
      <c r="B191" s="75">
        <f>VLOOKUP(A191,Database!A:M,MATCH($A$1,Database!$A$1:$M$1,),)</f>
        <v>64902</v>
      </c>
      <c r="C191" s="113">
        <f>(Table535[[#This Row],[New Orders - Nondefense Capital Goods Excluding Aircraft]]-B190)/B190</f>
        <v>4.3160588217159418E-4</v>
      </c>
    </row>
    <row r="192" spans="1:3" x14ac:dyDescent="0.35">
      <c r="A192" s="74">
        <v>39295</v>
      </c>
      <c r="B192" s="75">
        <f>VLOOKUP(A192,Database!A:M,MATCH($A$1,Database!$A$1:$M$1,),)</f>
        <v>66265</v>
      </c>
      <c r="C192" s="113">
        <f>(Table535[[#This Row],[New Orders - Nondefense Capital Goods Excluding Aircraft]]-B191)/B191</f>
        <v>2.100089365504915E-2</v>
      </c>
    </row>
    <row r="193" spans="1:3" x14ac:dyDescent="0.35">
      <c r="A193" s="74">
        <v>39326</v>
      </c>
      <c r="B193" s="75">
        <f>VLOOKUP(A193,Database!A:M,MATCH($A$1,Database!$A$1:$M$1,),)</f>
        <v>65393</v>
      </c>
      <c r="C193" s="113">
        <f>(Table535[[#This Row],[New Orders - Nondefense Capital Goods Excluding Aircraft]]-B192)/B192</f>
        <v>-1.3159284690258809E-2</v>
      </c>
    </row>
    <row r="194" spans="1:3" x14ac:dyDescent="0.35">
      <c r="A194" s="74">
        <v>39356</v>
      </c>
      <c r="B194" s="75">
        <f>VLOOKUP(A194,Database!A:M,MATCH($A$1,Database!$A$1:$M$1,),)</f>
        <v>64974</v>
      </c>
      <c r="C194" s="113">
        <f>(Table535[[#This Row],[New Orders - Nondefense Capital Goods Excluding Aircraft]]-B193)/B193</f>
        <v>-6.4074136375453028E-3</v>
      </c>
    </row>
    <row r="195" spans="1:3" x14ac:dyDescent="0.35">
      <c r="A195" s="74">
        <v>39387</v>
      </c>
      <c r="B195" s="75">
        <f>VLOOKUP(A195,Database!A:M,MATCH($A$1,Database!$A$1:$M$1,),)</f>
        <v>65466</v>
      </c>
      <c r="C195" s="113">
        <f>(Table535[[#This Row],[New Orders - Nondefense Capital Goods Excluding Aircraft]]-B194)/B194</f>
        <v>7.5722596731000093E-3</v>
      </c>
    </row>
    <row r="196" spans="1:3" x14ac:dyDescent="0.35">
      <c r="A196" s="74">
        <v>39417</v>
      </c>
      <c r="B196" s="75">
        <f>VLOOKUP(A196,Database!A:M,MATCH($A$1,Database!$A$1:$M$1,),)</f>
        <v>68096</v>
      </c>
      <c r="C196" s="113">
        <f>(Table535[[#This Row],[New Orders - Nondefense Capital Goods Excluding Aircraft]]-B195)/B195</f>
        <v>4.0173525188647544E-2</v>
      </c>
    </row>
    <row r="197" spans="1:3" x14ac:dyDescent="0.35">
      <c r="A197" s="74">
        <v>39448</v>
      </c>
      <c r="B197" s="75">
        <f>VLOOKUP(A197,Database!A:M,MATCH($A$1,Database!$A$1:$M$1,),)</f>
        <v>68408</v>
      </c>
      <c r="C197" s="113">
        <f>(Table535[[#This Row],[New Orders - Nondefense Capital Goods Excluding Aircraft]]-B196)/B196</f>
        <v>4.5817669172932328E-3</v>
      </c>
    </row>
    <row r="198" spans="1:3" x14ac:dyDescent="0.35">
      <c r="A198" s="74">
        <v>39479</v>
      </c>
      <c r="B198" s="75">
        <f>VLOOKUP(A198,Database!A:M,MATCH($A$1,Database!$A$1:$M$1,),)</f>
        <v>66568</v>
      </c>
      <c r="C198" s="113">
        <f>(Table535[[#This Row],[New Orders - Nondefense Capital Goods Excluding Aircraft]]-B197)/B197</f>
        <v>-2.6897438896035551E-2</v>
      </c>
    </row>
    <row r="199" spans="1:3" x14ac:dyDescent="0.35">
      <c r="A199" s="74">
        <v>39508</v>
      </c>
      <c r="B199" s="75">
        <f>VLOOKUP(A199,Database!A:M,MATCH($A$1,Database!$A$1:$M$1,),)</f>
        <v>66526</v>
      </c>
      <c r="C199" s="113">
        <f>(Table535[[#This Row],[New Orders - Nondefense Capital Goods Excluding Aircraft]]-B198)/B198</f>
        <v>-6.3093378199735606E-4</v>
      </c>
    </row>
    <row r="200" spans="1:3" x14ac:dyDescent="0.35">
      <c r="A200" s="74">
        <v>39539</v>
      </c>
      <c r="B200" s="75">
        <f>VLOOKUP(A200,Database!A:M,MATCH($A$1,Database!$A$1:$M$1,),)</f>
        <v>69373</v>
      </c>
      <c r="C200" s="113">
        <f>(Table535[[#This Row],[New Orders - Nondefense Capital Goods Excluding Aircraft]]-B199)/B199</f>
        <v>4.2795298078946574E-2</v>
      </c>
    </row>
    <row r="201" spans="1:3" x14ac:dyDescent="0.35">
      <c r="A201" s="74">
        <v>39569</v>
      </c>
      <c r="B201" s="75">
        <f>VLOOKUP(A201,Database!A:M,MATCH($A$1,Database!$A$1:$M$1,),)</f>
        <v>68443</v>
      </c>
      <c r="C201" s="113">
        <f>(Table535[[#This Row],[New Orders - Nondefense Capital Goods Excluding Aircraft]]-B200)/B200</f>
        <v>-1.340579187868479E-2</v>
      </c>
    </row>
    <row r="202" spans="1:3" x14ac:dyDescent="0.35">
      <c r="A202" s="74">
        <v>39600</v>
      </c>
      <c r="B202" s="75">
        <f>VLOOKUP(A202,Database!A:M,MATCH($A$1,Database!$A$1:$M$1,),)</f>
        <v>67754</v>
      </c>
      <c r="C202" s="113">
        <f>(Table535[[#This Row],[New Orders - Nondefense Capital Goods Excluding Aircraft]]-B201)/B201</f>
        <v>-1.0066770889645398E-2</v>
      </c>
    </row>
    <row r="203" spans="1:3" x14ac:dyDescent="0.35">
      <c r="A203" s="74">
        <v>39630</v>
      </c>
      <c r="B203" s="75">
        <f>VLOOKUP(A203,Database!A:M,MATCH($A$1,Database!$A$1:$M$1,),)</f>
        <v>67856</v>
      </c>
      <c r="C203" s="113">
        <f>(Table535[[#This Row],[New Orders - Nondefense Capital Goods Excluding Aircraft]]-B202)/B202</f>
        <v>1.50544617291968E-3</v>
      </c>
    </row>
    <row r="204" spans="1:3" x14ac:dyDescent="0.35">
      <c r="A204" s="74">
        <v>39661</v>
      </c>
      <c r="B204" s="75">
        <f>VLOOKUP(A204,Database!A:M,MATCH($A$1,Database!$A$1:$M$1,),)</f>
        <v>66142</v>
      </c>
      <c r="C204" s="113">
        <f>(Table535[[#This Row],[New Orders - Nondefense Capital Goods Excluding Aircraft]]-B203)/B203</f>
        <v>-2.5259372789436452E-2</v>
      </c>
    </row>
    <row r="205" spans="1:3" x14ac:dyDescent="0.35">
      <c r="A205" s="74">
        <v>39692</v>
      </c>
      <c r="B205" s="75">
        <f>VLOOKUP(A205,Database!A:M,MATCH($A$1,Database!$A$1:$M$1,),)</f>
        <v>63854</v>
      </c>
      <c r="C205" s="113">
        <f>(Table535[[#This Row],[New Orders - Nondefense Capital Goods Excluding Aircraft]]-B204)/B204</f>
        <v>-3.459224093616764E-2</v>
      </c>
    </row>
    <row r="206" spans="1:3" x14ac:dyDescent="0.35">
      <c r="A206" s="74">
        <v>39722</v>
      </c>
      <c r="B206" s="75">
        <f>VLOOKUP(A206,Database!A:M,MATCH($A$1,Database!$A$1:$M$1,),)</f>
        <v>59330</v>
      </c>
      <c r="C206" s="113">
        <f>(Table535[[#This Row],[New Orders - Nondefense Capital Goods Excluding Aircraft]]-B205)/B205</f>
        <v>-7.0849124565414853E-2</v>
      </c>
    </row>
    <row r="207" spans="1:3" x14ac:dyDescent="0.35">
      <c r="A207" s="74">
        <v>39753</v>
      </c>
      <c r="B207" s="75">
        <f>VLOOKUP(A207,Database!A:M,MATCH($A$1,Database!$A$1:$M$1,),)</f>
        <v>60759</v>
      </c>
      <c r="C207" s="113">
        <f>(Table535[[#This Row],[New Orders - Nondefense Capital Goods Excluding Aircraft]]-B206)/B206</f>
        <v>2.4085622787797068E-2</v>
      </c>
    </row>
    <row r="208" spans="1:3" x14ac:dyDescent="0.35">
      <c r="A208" s="74">
        <v>39783</v>
      </c>
      <c r="B208" s="75">
        <f>VLOOKUP(A208,Database!A:M,MATCH($A$1,Database!$A$1:$M$1,),)</f>
        <v>55512</v>
      </c>
      <c r="C208" s="113">
        <f>(Table535[[#This Row],[New Orders - Nondefense Capital Goods Excluding Aircraft]]-B207)/B207</f>
        <v>-8.6357576655310325E-2</v>
      </c>
    </row>
    <row r="209" spans="1:3" x14ac:dyDescent="0.35">
      <c r="A209" s="74">
        <v>39814</v>
      </c>
      <c r="B209" s="75">
        <f>VLOOKUP(A209,Database!A:M,MATCH($A$1,Database!$A$1:$M$1,),)</f>
        <v>49530</v>
      </c>
      <c r="C209" s="113">
        <f>(Table535[[#This Row],[New Orders - Nondefense Capital Goods Excluding Aircraft]]-B208)/B208</f>
        <v>-0.10776048421962819</v>
      </c>
    </row>
    <row r="210" spans="1:3" x14ac:dyDescent="0.35">
      <c r="A210" s="74">
        <v>39845</v>
      </c>
      <c r="B210" s="75">
        <f>VLOOKUP(A210,Database!A:M,MATCH($A$1,Database!$A$1:$M$1,),)</f>
        <v>50163</v>
      </c>
      <c r="C210" s="113">
        <f>(Table535[[#This Row],[New Orders - Nondefense Capital Goods Excluding Aircraft]]-B209)/B209</f>
        <v>1.2780133252574197E-2</v>
      </c>
    </row>
    <row r="211" spans="1:3" x14ac:dyDescent="0.35">
      <c r="A211" s="74">
        <v>39873</v>
      </c>
      <c r="B211" s="75">
        <f>VLOOKUP(A211,Database!A:M,MATCH($A$1,Database!$A$1:$M$1,),)</f>
        <v>49254</v>
      </c>
      <c r="C211" s="113">
        <f>(Table535[[#This Row],[New Orders - Nondefense Capital Goods Excluding Aircraft]]-B210)/B210</f>
        <v>-1.812092578195084E-2</v>
      </c>
    </row>
    <row r="212" spans="1:3" x14ac:dyDescent="0.35">
      <c r="A212" s="74">
        <v>39904</v>
      </c>
      <c r="B212" s="75">
        <f>VLOOKUP(A212,Database!A:M,MATCH($A$1,Database!$A$1:$M$1,),)</f>
        <v>47096</v>
      </c>
      <c r="C212" s="113">
        <f>(Table535[[#This Row],[New Orders - Nondefense Capital Goods Excluding Aircraft]]-B211)/B211</f>
        <v>-4.3813700410118978E-2</v>
      </c>
    </row>
    <row r="213" spans="1:3" x14ac:dyDescent="0.35">
      <c r="A213" s="74">
        <v>39934</v>
      </c>
      <c r="B213" s="75">
        <f>VLOOKUP(A213,Database!A:M,MATCH($A$1,Database!$A$1:$M$1,),)</f>
        <v>48652</v>
      </c>
      <c r="C213" s="113">
        <f>(Table535[[#This Row],[New Orders - Nondefense Capital Goods Excluding Aircraft]]-B212)/B212</f>
        <v>3.3038899269577031E-2</v>
      </c>
    </row>
    <row r="214" spans="1:3" x14ac:dyDescent="0.35">
      <c r="A214" s="74">
        <v>39965</v>
      </c>
      <c r="B214" s="75">
        <f>VLOOKUP(A214,Database!A:M,MATCH($A$1,Database!$A$1:$M$1,),)</f>
        <v>50533</v>
      </c>
      <c r="C214" s="113">
        <f>(Table535[[#This Row],[New Orders - Nondefense Capital Goods Excluding Aircraft]]-B213)/B213</f>
        <v>3.8662336594590153E-2</v>
      </c>
    </row>
    <row r="215" spans="1:3" x14ac:dyDescent="0.35">
      <c r="A215" s="74">
        <v>39995</v>
      </c>
      <c r="B215" s="75">
        <f>VLOOKUP(A215,Database!A:M,MATCH($A$1,Database!$A$1:$M$1,),)</f>
        <v>50984</v>
      </c>
      <c r="C215" s="113">
        <f>(Table535[[#This Row],[New Orders - Nondefense Capital Goods Excluding Aircraft]]-B214)/B214</f>
        <v>8.9248609819325992E-3</v>
      </c>
    </row>
    <row r="216" spans="1:3" x14ac:dyDescent="0.35">
      <c r="A216" s="74">
        <v>40026</v>
      </c>
      <c r="B216" s="75">
        <f>VLOOKUP(A216,Database!A:M,MATCH($A$1,Database!$A$1:$M$1,),)</f>
        <v>49900</v>
      </c>
      <c r="C216" s="113">
        <f>(Table535[[#This Row],[New Orders - Nondefense Capital Goods Excluding Aircraft]]-B215)/B215</f>
        <v>-2.1261572257963282E-2</v>
      </c>
    </row>
    <row r="217" spans="1:3" x14ac:dyDescent="0.35">
      <c r="A217" s="74">
        <v>40057</v>
      </c>
      <c r="B217" s="75">
        <f>VLOOKUP(A217,Database!A:M,MATCH($A$1,Database!$A$1:$M$1,),)</f>
        <v>53034</v>
      </c>
      <c r="C217" s="113">
        <f>(Table535[[#This Row],[New Orders - Nondefense Capital Goods Excluding Aircraft]]-B216)/B216</f>
        <v>6.2805611222444893E-2</v>
      </c>
    </row>
    <row r="218" spans="1:3" x14ac:dyDescent="0.35">
      <c r="A218" s="74">
        <v>40087</v>
      </c>
      <c r="B218" s="75">
        <f>VLOOKUP(A218,Database!A:M,MATCH($A$1,Database!$A$1:$M$1,),)</f>
        <v>51978</v>
      </c>
      <c r="C218" s="113">
        <f>(Table535[[#This Row],[New Orders - Nondefense Capital Goods Excluding Aircraft]]-B217)/B217</f>
        <v>-1.9911754723384998E-2</v>
      </c>
    </row>
    <row r="219" spans="1:3" x14ac:dyDescent="0.35">
      <c r="A219" s="74">
        <v>40118</v>
      </c>
      <c r="B219" s="75">
        <f>VLOOKUP(A219,Database!A:M,MATCH($A$1,Database!$A$1:$M$1,),)</f>
        <v>52771</v>
      </c>
      <c r="C219" s="113">
        <f>(Table535[[#This Row],[New Orders - Nondefense Capital Goods Excluding Aircraft]]-B218)/B218</f>
        <v>1.5256454653892032E-2</v>
      </c>
    </row>
    <row r="220" spans="1:3" x14ac:dyDescent="0.35">
      <c r="A220" s="74">
        <v>40148</v>
      </c>
      <c r="B220" s="75">
        <f>VLOOKUP(A220,Database!A:M,MATCH($A$1,Database!$A$1:$M$1,),)</f>
        <v>54616</v>
      </c>
      <c r="C220" s="113">
        <f>(Table535[[#This Row],[New Orders - Nondefense Capital Goods Excluding Aircraft]]-B219)/B219</f>
        <v>3.4962384643080477E-2</v>
      </c>
    </row>
    <row r="221" spans="1:3" x14ac:dyDescent="0.35">
      <c r="A221" s="74">
        <v>40179</v>
      </c>
      <c r="B221" s="75">
        <f>VLOOKUP(A221,Database!A:M,MATCH($A$1,Database!$A$1:$M$1,),)</f>
        <v>52331</v>
      </c>
      <c r="C221" s="113">
        <f>(Table535[[#This Row],[New Orders - Nondefense Capital Goods Excluding Aircraft]]-B220)/B220</f>
        <v>-4.183755675992383E-2</v>
      </c>
    </row>
    <row r="222" spans="1:3" x14ac:dyDescent="0.35">
      <c r="A222" s="74">
        <v>40210</v>
      </c>
      <c r="B222" s="75">
        <f>VLOOKUP(A222,Database!A:M,MATCH($A$1,Database!$A$1:$M$1,),)</f>
        <v>53488</v>
      </c>
      <c r="C222" s="113">
        <f>(Table535[[#This Row],[New Orders - Nondefense Capital Goods Excluding Aircraft]]-B221)/B221</f>
        <v>2.2109266018230111E-2</v>
      </c>
    </row>
    <row r="223" spans="1:3" x14ac:dyDescent="0.35">
      <c r="A223" s="74">
        <v>40238</v>
      </c>
      <c r="B223" s="75">
        <f>VLOOKUP(A223,Database!A:M,MATCH($A$1,Database!$A$1:$M$1,),)</f>
        <v>56487</v>
      </c>
      <c r="C223" s="113">
        <f>(Table535[[#This Row],[New Orders - Nondefense Capital Goods Excluding Aircraft]]-B222)/B222</f>
        <v>5.6068650912354176E-2</v>
      </c>
    </row>
    <row r="224" spans="1:3" x14ac:dyDescent="0.35">
      <c r="A224" s="74">
        <v>40269</v>
      </c>
      <c r="B224" s="75">
        <f>VLOOKUP(A224,Database!A:M,MATCH($A$1,Database!$A$1:$M$1,),)</f>
        <v>52283</v>
      </c>
      <c r="C224" s="113">
        <f>(Table535[[#This Row],[New Orders - Nondefense Capital Goods Excluding Aircraft]]-B223)/B223</f>
        <v>-7.4424203799104222E-2</v>
      </c>
    </row>
    <row r="225" spans="1:3" x14ac:dyDescent="0.35">
      <c r="A225" s="74">
        <v>40299</v>
      </c>
      <c r="B225" s="75">
        <f>VLOOKUP(A225,Database!A:M,MATCH($A$1,Database!$A$1:$M$1,),)</f>
        <v>57262</v>
      </c>
      <c r="C225" s="113">
        <f>(Table535[[#This Row],[New Orders - Nondefense Capital Goods Excluding Aircraft]]-B224)/B224</f>
        <v>9.5231719679436916E-2</v>
      </c>
    </row>
    <row r="226" spans="1:3" x14ac:dyDescent="0.35">
      <c r="A226" s="74">
        <v>40330</v>
      </c>
      <c r="B226" s="75">
        <f>VLOOKUP(A226,Database!A:M,MATCH($A$1,Database!$A$1:$M$1,),)</f>
        <v>59605</v>
      </c>
      <c r="C226" s="113">
        <f>(Table535[[#This Row],[New Orders - Nondefense Capital Goods Excluding Aircraft]]-B225)/B225</f>
        <v>4.0917187663721141E-2</v>
      </c>
    </row>
    <row r="227" spans="1:3" x14ac:dyDescent="0.35">
      <c r="A227" s="74">
        <v>40360</v>
      </c>
      <c r="B227" s="75">
        <f>VLOOKUP(A227,Database!A:M,MATCH($A$1,Database!$A$1:$M$1,),)</f>
        <v>56474</v>
      </c>
      <c r="C227" s="113">
        <f>(Table535[[#This Row],[New Orders - Nondefense Capital Goods Excluding Aircraft]]-B226)/B226</f>
        <v>-5.2529150239073903E-2</v>
      </c>
    </row>
    <row r="228" spans="1:3" x14ac:dyDescent="0.35">
      <c r="A228" s="74">
        <v>40391</v>
      </c>
      <c r="B228" s="75">
        <f>VLOOKUP(A228,Database!A:M,MATCH($A$1,Database!$A$1:$M$1,),)</f>
        <v>58224</v>
      </c>
      <c r="C228" s="113">
        <f>(Table535[[#This Row],[New Orders - Nondefense Capital Goods Excluding Aircraft]]-B227)/B227</f>
        <v>3.098771115911747E-2</v>
      </c>
    </row>
    <row r="229" spans="1:3" x14ac:dyDescent="0.35">
      <c r="A229" s="74">
        <v>40422</v>
      </c>
      <c r="B229" s="75">
        <f>VLOOKUP(A229,Database!A:M,MATCH($A$1,Database!$A$1:$M$1,),)</f>
        <v>60134</v>
      </c>
      <c r="C229" s="113">
        <f>(Table535[[#This Row],[New Orders - Nondefense Capital Goods Excluding Aircraft]]-B228)/B228</f>
        <v>3.2804341852157186E-2</v>
      </c>
    </row>
    <row r="230" spans="1:3" x14ac:dyDescent="0.35">
      <c r="A230" s="74">
        <v>40452</v>
      </c>
      <c r="B230" s="75">
        <f>VLOOKUP(A230,Database!A:M,MATCH($A$1,Database!$A$1:$M$1,),)</f>
        <v>57479</v>
      </c>
      <c r="C230" s="113">
        <f>(Table535[[#This Row],[New Orders - Nondefense Capital Goods Excluding Aircraft]]-B229)/B229</f>
        <v>-4.415139521734792E-2</v>
      </c>
    </row>
    <row r="231" spans="1:3" x14ac:dyDescent="0.35">
      <c r="A231" s="74">
        <v>40483</v>
      </c>
      <c r="B231" s="75">
        <f>VLOOKUP(A231,Database!A:M,MATCH($A$1,Database!$A$1:$M$1,),)</f>
        <v>60405</v>
      </c>
      <c r="C231" s="113">
        <f>(Table535[[#This Row],[New Orders - Nondefense Capital Goods Excluding Aircraft]]-B230)/B230</f>
        <v>5.090554811322396E-2</v>
      </c>
    </row>
    <row r="232" spans="1:3" x14ac:dyDescent="0.35">
      <c r="A232" s="74">
        <v>40513</v>
      </c>
      <c r="B232" s="75">
        <f>VLOOKUP(A232,Database!A:M,MATCH($A$1,Database!$A$1:$M$1,),)</f>
        <v>61939</v>
      </c>
      <c r="C232" s="113">
        <f>(Table535[[#This Row],[New Orders - Nondefense Capital Goods Excluding Aircraft]]-B231)/B231</f>
        <v>2.5395248737687278E-2</v>
      </c>
    </row>
    <row r="233" spans="1:3" x14ac:dyDescent="0.35">
      <c r="A233" s="74">
        <v>40544</v>
      </c>
      <c r="B233" s="75">
        <f>VLOOKUP(A233,Database!A:M,MATCH($A$1,Database!$A$1:$M$1,),)</f>
        <v>60963</v>
      </c>
      <c r="C233" s="113">
        <f>(Table535[[#This Row],[New Orders - Nondefense Capital Goods Excluding Aircraft]]-B232)/B232</f>
        <v>-1.5757438770403139E-2</v>
      </c>
    </row>
    <row r="234" spans="1:3" x14ac:dyDescent="0.35">
      <c r="A234" s="74">
        <v>40575</v>
      </c>
      <c r="B234" s="75">
        <f>VLOOKUP(A234,Database!A:M,MATCH($A$1,Database!$A$1:$M$1,),)</f>
        <v>59078</v>
      </c>
      <c r="C234" s="113">
        <f>(Table535[[#This Row],[New Orders - Nondefense Capital Goods Excluding Aircraft]]-B233)/B233</f>
        <v>-3.0920394337549006E-2</v>
      </c>
    </row>
    <row r="235" spans="1:3" x14ac:dyDescent="0.35">
      <c r="A235" s="74">
        <v>40603</v>
      </c>
      <c r="B235" s="75">
        <f>VLOOKUP(A235,Database!A:M,MATCH($A$1,Database!$A$1:$M$1,),)</f>
        <v>62497</v>
      </c>
      <c r="C235" s="113">
        <f>(Table535[[#This Row],[New Orders - Nondefense Capital Goods Excluding Aircraft]]-B234)/B234</f>
        <v>5.787264294661295E-2</v>
      </c>
    </row>
    <row r="236" spans="1:3" x14ac:dyDescent="0.35">
      <c r="A236" s="74">
        <v>40634</v>
      </c>
      <c r="B236" s="75">
        <f>VLOOKUP(A236,Database!A:M,MATCH($A$1,Database!$A$1:$M$1,),)</f>
        <v>61562</v>
      </c>
      <c r="C236" s="113">
        <f>(Table535[[#This Row],[New Orders - Nondefense Capital Goods Excluding Aircraft]]-B235)/B235</f>
        <v>-1.4960718114469494E-2</v>
      </c>
    </row>
    <row r="237" spans="1:3" x14ac:dyDescent="0.35">
      <c r="A237" s="74">
        <v>40664</v>
      </c>
      <c r="B237" s="75">
        <f>VLOOKUP(A237,Database!A:M,MATCH($A$1,Database!$A$1:$M$1,),)</f>
        <v>63711</v>
      </c>
      <c r="C237" s="113">
        <f>(Table535[[#This Row],[New Orders - Nondefense Capital Goods Excluding Aircraft]]-B236)/B236</f>
        <v>3.4907897729118613E-2</v>
      </c>
    </row>
    <row r="238" spans="1:3" x14ac:dyDescent="0.35">
      <c r="A238" s="74">
        <v>40695</v>
      </c>
      <c r="B238" s="75">
        <f>VLOOKUP(A238,Database!A:M,MATCH($A$1,Database!$A$1:$M$1,),)</f>
        <v>63751</v>
      </c>
      <c r="C238" s="113">
        <f>(Table535[[#This Row],[New Orders - Nondefense Capital Goods Excluding Aircraft]]-B237)/B237</f>
        <v>6.2783506772770797E-4</v>
      </c>
    </row>
    <row r="239" spans="1:3" x14ac:dyDescent="0.35">
      <c r="A239" s="74">
        <v>40725</v>
      </c>
      <c r="B239" s="75">
        <f>VLOOKUP(A239,Database!A:M,MATCH($A$1,Database!$A$1:$M$1,),)</f>
        <v>64756</v>
      </c>
      <c r="C239" s="113">
        <f>(Table535[[#This Row],[New Orders - Nondefense Capital Goods Excluding Aircraft]]-B238)/B238</f>
        <v>1.5764458596727895E-2</v>
      </c>
    </row>
    <row r="240" spans="1:3" x14ac:dyDescent="0.35">
      <c r="A240" s="74">
        <v>40756</v>
      </c>
      <c r="B240" s="75">
        <f>VLOOKUP(A240,Database!A:M,MATCH($A$1,Database!$A$1:$M$1,),)</f>
        <v>64464</v>
      </c>
      <c r="C240" s="113">
        <f>(Table535[[#This Row],[New Orders - Nondefense Capital Goods Excluding Aircraft]]-B239)/B239</f>
        <v>-4.5092346655136208E-3</v>
      </c>
    </row>
    <row r="241" spans="1:3" x14ac:dyDescent="0.35">
      <c r="A241" s="74">
        <v>40787</v>
      </c>
      <c r="B241" s="75">
        <f>VLOOKUP(A241,Database!A:M,MATCH($A$1,Database!$A$1:$M$1,),)</f>
        <v>65581</v>
      </c>
      <c r="C241" s="113">
        <f>(Table535[[#This Row],[New Orders - Nondefense Capital Goods Excluding Aircraft]]-B240)/B240</f>
        <v>1.7327500620501365E-2</v>
      </c>
    </row>
    <row r="242" spans="1:3" x14ac:dyDescent="0.35">
      <c r="A242" s="74">
        <v>40817</v>
      </c>
      <c r="B242" s="75">
        <f>VLOOKUP(A242,Database!A:M,MATCH($A$1,Database!$A$1:$M$1,),)</f>
        <v>67427</v>
      </c>
      <c r="C242" s="113">
        <f>(Table535[[#This Row],[New Orders - Nondefense Capital Goods Excluding Aircraft]]-B241)/B241</f>
        <v>2.8148396639270521E-2</v>
      </c>
    </row>
    <row r="243" spans="1:3" x14ac:dyDescent="0.35">
      <c r="A243" s="74">
        <v>40848</v>
      </c>
      <c r="B243" s="75">
        <f>VLOOKUP(A243,Database!A:M,MATCH($A$1,Database!$A$1:$M$1,),)</f>
        <v>64660</v>
      </c>
      <c r="C243" s="113">
        <f>(Table535[[#This Row],[New Orders - Nondefense Capital Goods Excluding Aircraft]]-B242)/B242</f>
        <v>-4.1036973319293457E-2</v>
      </c>
    </row>
    <row r="244" spans="1:3" x14ac:dyDescent="0.35">
      <c r="A244" s="74">
        <v>40878</v>
      </c>
      <c r="B244" s="75">
        <f>VLOOKUP(A244,Database!A:M,MATCH($A$1,Database!$A$1:$M$1,),)</f>
        <v>68881</v>
      </c>
      <c r="C244" s="113">
        <f>(Table535[[#This Row],[New Orders - Nondefense Capital Goods Excluding Aircraft]]-B243)/B243</f>
        <v>6.527992576554284E-2</v>
      </c>
    </row>
    <row r="245" spans="1:3" x14ac:dyDescent="0.35">
      <c r="A245" s="74">
        <v>40909</v>
      </c>
      <c r="B245" s="75">
        <f>VLOOKUP(A245,Database!A:M,MATCH($A$1,Database!$A$1:$M$1,),)</f>
        <v>67658</v>
      </c>
      <c r="C245" s="113">
        <f>(Table535[[#This Row],[New Orders - Nondefense Capital Goods Excluding Aircraft]]-B244)/B244</f>
        <v>-1.7755259069990273E-2</v>
      </c>
    </row>
    <row r="246" spans="1:3" x14ac:dyDescent="0.35">
      <c r="A246" s="74">
        <v>40940</v>
      </c>
      <c r="B246" s="75">
        <f>VLOOKUP(A246,Database!A:M,MATCH($A$1,Database!$A$1:$M$1,),)</f>
        <v>69902</v>
      </c>
      <c r="C246" s="113">
        <f>(Table535[[#This Row],[New Orders - Nondefense Capital Goods Excluding Aircraft]]-B245)/B245</f>
        <v>3.3166809542108842E-2</v>
      </c>
    </row>
    <row r="247" spans="1:3" x14ac:dyDescent="0.35">
      <c r="A247" s="74">
        <v>40969</v>
      </c>
      <c r="B247" s="75">
        <f>VLOOKUP(A247,Database!A:M,MATCH($A$1,Database!$A$1:$M$1,),)</f>
        <v>69522</v>
      </c>
      <c r="C247" s="113">
        <f>(Table535[[#This Row],[New Orders - Nondefense Capital Goods Excluding Aircraft]]-B246)/B246</f>
        <v>-5.4361820834883121E-3</v>
      </c>
    </row>
    <row r="248" spans="1:3" x14ac:dyDescent="0.35">
      <c r="A248" s="74">
        <v>41000</v>
      </c>
      <c r="B248" s="75">
        <f>VLOOKUP(A248,Database!A:M,MATCH($A$1,Database!$A$1:$M$1,),)</f>
        <v>67518</v>
      </c>
      <c r="C248" s="113">
        <f>(Table535[[#This Row],[New Orders - Nondefense Capital Goods Excluding Aircraft]]-B247)/B247</f>
        <v>-2.8825407784586175E-2</v>
      </c>
    </row>
    <row r="249" spans="1:3" x14ac:dyDescent="0.35">
      <c r="A249" s="74">
        <v>41030</v>
      </c>
      <c r="B249" s="75">
        <f>VLOOKUP(A249,Database!A:M,MATCH($A$1,Database!$A$1:$M$1,),)</f>
        <v>69183</v>
      </c>
      <c r="C249" s="113">
        <f>(Table535[[#This Row],[New Orders - Nondefense Capital Goods Excluding Aircraft]]-B248)/B248</f>
        <v>2.4660090642495334E-2</v>
      </c>
    </row>
    <row r="250" spans="1:3" x14ac:dyDescent="0.35">
      <c r="A250" s="74">
        <v>41061</v>
      </c>
      <c r="B250" s="75">
        <f>VLOOKUP(A250,Database!A:M,MATCH($A$1,Database!$A$1:$M$1,),)</f>
        <v>67129</v>
      </c>
      <c r="C250" s="113">
        <f>(Table535[[#This Row],[New Orders - Nondefense Capital Goods Excluding Aircraft]]-B249)/B249</f>
        <v>-2.9689374557333448E-2</v>
      </c>
    </row>
    <row r="251" spans="1:3" x14ac:dyDescent="0.35">
      <c r="A251" s="74">
        <v>41091</v>
      </c>
      <c r="B251" s="75">
        <f>VLOOKUP(A251,Database!A:M,MATCH($A$1,Database!$A$1:$M$1,),)</f>
        <v>65294</v>
      </c>
      <c r="C251" s="113">
        <f>(Table535[[#This Row],[New Orders - Nondefense Capital Goods Excluding Aircraft]]-B250)/B250</f>
        <v>-2.7335428801263238E-2</v>
      </c>
    </row>
    <row r="252" spans="1:3" x14ac:dyDescent="0.35">
      <c r="A252" s="74">
        <v>41122</v>
      </c>
      <c r="B252" s="75">
        <f>VLOOKUP(A252,Database!A:M,MATCH($A$1,Database!$A$1:$M$1,),)</f>
        <v>63721</v>
      </c>
      <c r="C252" s="113">
        <f>(Table535[[#This Row],[New Orders - Nondefense Capital Goods Excluding Aircraft]]-B251)/B251</f>
        <v>-2.4091034398260176E-2</v>
      </c>
    </row>
    <row r="253" spans="1:3" x14ac:dyDescent="0.35">
      <c r="A253" s="74">
        <v>41153</v>
      </c>
      <c r="B253" s="75">
        <f>VLOOKUP(A253,Database!A:M,MATCH($A$1,Database!$A$1:$M$1,),)</f>
        <v>63976</v>
      </c>
      <c r="C253" s="113">
        <f>(Table535[[#This Row],[New Orders - Nondefense Capital Goods Excluding Aircraft]]-B252)/B252</f>
        <v>4.0018204359630266E-3</v>
      </c>
    </row>
    <row r="254" spans="1:3" x14ac:dyDescent="0.35">
      <c r="A254" s="74">
        <v>41183</v>
      </c>
      <c r="B254" s="75">
        <f>VLOOKUP(A254,Database!A:M,MATCH($A$1,Database!$A$1:$M$1,),)</f>
        <v>65937</v>
      </c>
      <c r="C254" s="113">
        <f>(Table535[[#This Row],[New Orders - Nondefense Capital Goods Excluding Aircraft]]-B253)/B253</f>
        <v>3.0652119544829312E-2</v>
      </c>
    </row>
    <row r="255" spans="1:3" x14ac:dyDescent="0.35">
      <c r="A255" s="74">
        <v>41214</v>
      </c>
      <c r="B255" s="75">
        <f>VLOOKUP(A255,Database!A:M,MATCH($A$1,Database!$A$1:$M$1,),)</f>
        <v>66473</v>
      </c>
      <c r="C255" s="113">
        <f>(Table535[[#This Row],[New Orders - Nondefense Capital Goods Excluding Aircraft]]-B254)/B254</f>
        <v>8.1289715940973967E-3</v>
      </c>
    </row>
    <row r="256" spans="1:3" x14ac:dyDescent="0.35">
      <c r="A256" s="74">
        <v>41244</v>
      </c>
      <c r="B256" s="75">
        <f>VLOOKUP(A256,Database!A:M,MATCH($A$1,Database!$A$1:$M$1,),)</f>
        <v>66630</v>
      </c>
      <c r="C256" s="113">
        <f>(Table535[[#This Row],[New Orders - Nondefense Capital Goods Excluding Aircraft]]-B255)/B255</f>
        <v>2.3618612068057707E-3</v>
      </c>
    </row>
    <row r="257" spans="1:3" x14ac:dyDescent="0.35">
      <c r="A257" s="74">
        <v>41275</v>
      </c>
      <c r="B257" s="75">
        <f>VLOOKUP(A257,Database!A:M,MATCH($A$1,Database!$A$1:$M$1,),)</f>
        <v>69758</v>
      </c>
      <c r="C257" s="113">
        <f>(Table535[[#This Row],[New Orders - Nondefense Capital Goods Excluding Aircraft]]-B256)/B256</f>
        <v>4.6945820201110613E-2</v>
      </c>
    </row>
    <row r="258" spans="1:3" x14ac:dyDescent="0.35">
      <c r="A258" s="74">
        <v>41306</v>
      </c>
      <c r="B258" s="75">
        <f>VLOOKUP(A258,Database!A:M,MATCH($A$1,Database!$A$1:$M$1,),)</f>
        <v>66190</v>
      </c>
      <c r="C258" s="113">
        <f>(Table535[[#This Row],[New Orders - Nondefense Capital Goods Excluding Aircraft]]-B257)/B257</f>
        <v>-5.1148255397230426E-2</v>
      </c>
    </row>
    <row r="259" spans="1:3" x14ac:dyDescent="0.35">
      <c r="A259" s="74">
        <v>41334</v>
      </c>
      <c r="B259" s="75">
        <f>VLOOKUP(A259,Database!A:M,MATCH($A$1,Database!$A$1:$M$1,),)</f>
        <v>66275</v>
      </c>
      <c r="C259" s="113">
        <f>(Table535[[#This Row],[New Orders - Nondefense Capital Goods Excluding Aircraft]]-B258)/B258</f>
        <v>1.2841819005892129E-3</v>
      </c>
    </row>
    <row r="260" spans="1:3" x14ac:dyDescent="0.35">
      <c r="A260" s="74">
        <v>41365</v>
      </c>
      <c r="B260" s="75">
        <f>VLOOKUP(A260,Database!A:M,MATCH($A$1,Database!$A$1:$M$1,),)</f>
        <v>67553</v>
      </c>
      <c r="C260" s="113">
        <f>(Table535[[#This Row],[New Orders - Nondefense Capital Goods Excluding Aircraft]]-B259)/B259</f>
        <v>1.9283289324783102E-2</v>
      </c>
    </row>
    <row r="261" spans="1:3" x14ac:dyDescent="0.35">
      <c r="A261" s="74">
        <v>41395</v>
      </c>
      <c r="B261" s="75">
        <f>VLOOKUP(A261,Database!A:M,MATCH($A$1,Database!$A$1:$M$1,),)</f>
        <v>69186</v>
      </c>
      <c r="C261" s="113">
        <f>(Table535[[#This Row],[New Orders - Nondefense Capital Goods Excluding Aircraft]]-B260)/B260</f>
        <v>2.4173611830710703E-2</v>
      </c>
    </row>
    <row r="262" spans="1:3" x14ac:dyDescent="0.35">
      <c r="A262" s="74">
        <v>41426</v>
      </c>
      <c r="B262" s="75">
        <f>VLOOKUP(A262,Database!A:M,MATCH($A$1,Database!$A$1:$M$1,),)</f>
        <v>69443</v>
      </c>
      <c r="C262" s="113">
        <f>(Table535[[#This Row],[New Orders - Nondefense Capital Goods Excluding Aircraft]]-B261)/B261</f>
        <v>3.714624345965947E-3</v>
      </c>
    </row>
    <row r="263" spans="1:3" x14ac:dyDescent="0.35">
      <c r="A263" s="74">
        <v>41456</v>
      </c>
      <c r="B263" s="75">
        <f>VLOOKUP(A263,Database!A:M,MATCH($A$1,Database!$A$1:$M$1,),)</f>
        <v>66557</v>
      </c>
      <c r="C263" s="113">
        <f>(Table535[[#This Row],[New Orders - Nondefense Capital Goods Excluding Aircraft]]-B262)/B262</f>
        <v>-4.1559264432700201E-2</v>
      </c>
    </row>
    <row r="264" spans="1:3" x14ac:dyDescent="0.35">
      <c r="A264" s="74">
        <v>41487</v>
      </c>
      <c r="B264" s="75">
        <f>VLOOKUP(A264,Database!A:M,MATCH($A$1,Database!$A$1:$M$1,),)</f>
        <v>65935</v>
      </c>
      <c r="C264" s="113">
        <f>(Table535[[#This Row],[New Orders - Nondefense Capital Goods Excluding Aircraft]]-B263)/B263</f>
        <v>-9.3453731388133485E-3</v>
      </c>
    </row>
    <row r="265" spans="1:3" x14ac:dyDescent="0.35">
      <c r="A265" s="74">
        <v>41518</v>
      </c>
      <c r="B265" s="75">
        <f>VLOOKUP(A265,Database!A:M,MATCH($A$1,Database!$A$1:$M$1,),)</f>
        <v>66636</v>
      </c>
      <c r="C265" s="113">
        <f>(Table535[[#This Row],[New Orders - Nondefense Capital Goods Excluding Aircraft]]-B264)/B264</f>
        <v>1.0631682717828165E-2</v>
      </c>
    </row>
    <row r="266" spans="1:3" x14ac:dyDescent="0.35">
      <c r="A266" s="74">
        <v>41548</v>
      </c>
      <c r="B266" s="75">
        <f>VLOOKUP(A266,Database!A:M,MATCH($A$1,Database!$A$1:$M$1,),)</f>
        <v>64799</v>
      </c>
      <c r="C266" s="113">
        <f>(Table535[[#This Row],[New Orders - Nondefense Capital Goods Excluding Aircraft]]-B265)/B265</f>
        <v>-2.7567681133321326E-2</v>
      </c>
    </row>
    <row r="267" spans="1:3" x14ac:dyDescent="0.35">
      <c r="A267" s="74">
        <v>41579</v>
      </c>
      <c r="B267" s="75">
        <f>VLOOKUP(A267,Database!A:M,MATCH($A$1,Database!$A$1:$M$1,),)</f>
        <v>68592</v>
      </c>
      <c r="C267" s="113">
        <f>(Table535[[#This Row],[New Orders - Nondefense Capital Goods Excluding Aircraft]]-B266)/B266</f>
        <v>5.8534853932931064E-2</v>
      </c>
    </row>
    <row r="268" spans="1:3" x14ac:dyDescent="0.35">
      <c r="A268" s="74">
        <v>41609</v>
      </c>
      <c r="B268" s="75">
        <f>VLOOKUP(A268,Database!A:M,MATCH($A$1,Database!$A$1:$M$1,),)</f>
        <v>67496</v>
      </c>
      <c r="C268" s="113">
        <f>(Table535[[#This Row],[New Orders - Nondefense Capital Goods Excluding Aircraft]]-B267)/B267</f>
        <v>-1.5978539771401911E-2</v>
      </c>
    </row>
    <row r="269" spans="1:3" x14ac:dyDescent="0.35">
      <c r="A269" s="74">
        <v>41640</v>
      </c>
      <c r="B269" s="75">
        <f>VLOOKUP(A269,Database!A:M,MATCH($A$1,Database!$A$1:$M$1,),)</f>
        <v>68106</v>
      </c>
      <c r="C269" s="113">
        <f>(Table535[[#This Row],[New Orders - Nondefense Capital Goods Excluding Aircraft]]-B268)/B268</f>
        <v>9.0375725968946316E-3</v>
      </c>
    </row>
    <row r="270" spans="1:3" x14ac:dyDescent="0.35">
      <c r="A270" s="74">
        <v>41671</v>
      </c>
      <c r="B270" s="75">
        <f>VLOOKUP(A270,Database!A:M,MATCH($A$1,Database!$A$1:$M$1,),)</f>
        <v>67227</v>
      </c>
      <c r="C270" s="113">
        <f>(Table535[[#This Row],[New Orders - Nondefense Capital Goods Excluding Aircraft]]-B269)/B269</f>
        <v>-1.2906351863271959E-2</v>
      </c>
    </row>
    <row r="271" spans="1:3" x14ac:dyDescent="0.35">
      <c r="A271" s="74">
        <v>41699</v>
      </c>
      <c r="B271" s="75">
        <f>VLOOKUP(A271,Database!A:M,MATCH($A$1,Database!$A$1:$M$1,),)</f>
        <v>68502</v>
      </c>
      <c r="C271" s="113">
        <f>(Table535[[#This Row],[New Orders - Nondefense Capital Goods Excluding Aircraft]]-B270)/B270</f>
        <v>1.8965594180909456E-2</v>
      </c>
    </row>
    <row r="272" spans="1:3" x14ac:dyDescent="0.35">
      <c r="A272" s="74">
        <v>41730</v>
      </c>
      <c r="B272" s="75">
        <f>VLOOKUP(A272,Database!A:M,MATCH($A$1,Database!$A$1:$M$1,),)</f>
        <v>66341</v>
      </c>
      <c r="C272" s="113">
        <f>(Table535[[#This Row],[New Orders - Nondefense Capital Goods Excluding Aircraft]]-B271)/B271</f>
        <v>-3.1546524189074769E-2</v>
      </c>
    </row>
    <row r="273" spans="1:3" x14ac:dyDescent="0.35">
      <c r="A273" s="74">
        <v>41760</v>
      </c>
      <c r="B273" s="75">
        <f>VLOOKUP(A273,Database!A:M,MATCH($A$1,Database!$A$1:$M$1,),)</f>
        <v>65817</v>
      </c>
      <c r="C273" s="113">
        <f>(Table535[[#This Row],[New Orders - Nondefense Capital Goods Excluding Aircraft]]-B272)/B272</f>
        <v>-7.8985845857011509E-3</v>
      </c>
    </row>
    <row r="274" spans="1:3" x14ac:dyDescent="0.35">
      <c r="A274" s="74">
        <v>41791</v>
      </c>
      <c r="B274" s="75">
        <f>VLOOKUP(A274,Database!A:M,MATCH($A$1,Database!$A$1:$M$1,),)</f>
        <v>69872</v>
      </c>
      <c r="C274" s="113">
        <f>(Table535[[#This Row],[New Orders - Nondefense Capital Goods Excluding Aircraft]]-B273)/B273</f>
        <v>6.1610222282996792E-2</v>
      </c>
    </row>
    <row r="275" spans="1:3" x14ac:dyDescent="0.35">
      <c r="A275" s="74">
        <v>41821</v>
      </c>
      <c r="B275" s="75">
        <f>VLOOKUP(A275,Database!A:M,MATCH($A$1,Database!$A$1:$M$1,),)</f>
        <v>67931</v>
      </c>
      <c r="C275" s="113">
        <f>(Table535[[#This Row],[New Orders - Nondefense Capital Goods Excluding Aircraft]]-B274)/B274</f>
        <v>-2.7779367987176552E-2</v>
      </c>
    </row>
    <row r="276" spans="1:3" x14ac:dyDescent="0.35">
      <c r="A276" s="74">
        <v>41852</v>
      </c>
      <c r="B276" s="75">
        <f>VLOOKUP(A276,Database!A:M,MATCH($A$1,Database!$A$1:$M$1,),)</f>
        <v>68554</v>
      </c>
      <c r="C276" s="113">
        <f>(Table535[[#This Row],[New Orders - Nondefense Capital Goods Excluding Aircraft]]-B275)/B275</f>
        <v>9.1710706452135249E-3</v>
      </c>
    </row>
    <row r="277" spans="1:3" x14ac:dyDescent="0.35">
      <c r="A277" s="74">
        <v>41883</v>
      </c>
      <c r="B277" s="75">
        <f>VLOOKUP(A277,Database!A:M,MATCH($A$1,Database!$A$1:$M$1,),)</f>
        <v>69426</v>
      </c>
      <c r="C277" s="113">
        <f>(Table535[[#This Row],[New Orders - Nondefense Capital Goods Excluding Aircraft]]-B276)/B276</f>
        <v>1.2719899641158794E-2</v>
      </c>
    </row>
    <row r="278" spans="1:3" x14ac:dyDescent="0.35">
      <c r="A278" s="74">
        <v>41913</v>
      </c>
      <c r="B278" s="75">
        <f>VLOOKUP(A278,Database!A:M,MATCH($A$1,Database!$A$1:$M$1,),)</f>
        <v>65645</v>
      </c>
      <c r="C278" s="113">
        <f>(Table535[[#This Row],[New Orders - Nondefense Capital Goods Excluding Aircraft]]-B277)/B277</f>
        <v>-5.4460864805692392E-2</v>
      </c>
    </row>
    <row r="279" spans="1:3" x14ac:dyDescent="0.35">
      <c r="A279" s="74">
        <v>41944</v>
      </c>
      <c r="B279" s="75">
        <f>VLOOKUP(A279,Database!A:M,MATCH($A$1,Database!$A$1:$M$1,),)</f>
        <v>63854</v>
      </c>
      <c r="C279" s="113">
        <f>(Table535[[#This Row],[New Orders - Nondefense Capital Goods Excluding Aircraft]]-B278)/B278</f>
        <v>-2.7283113717724121E-2</v>
      </c>
    </row>
    <row r="280" spans="1:3" x14ac:dyDescent="0.35">
      <c r="A280" s="74">
        <v>41974</v>
      </c>
      <c r="B280" s="75">
        <f>VLOOKUP(A280,Database!A:M,MATCH($A$1,Database!$A$1:$M$1,),)</f>
        <v>65875</v>
      </c>
      <c r="C280" s="113">
        <f>(Table535[[#This Row],[New Orders - Nondefense Capital Goods Excluding Aircraft]]-B279)/B279</f>
        <v>3.1650327309174053E-2</v>
      </c>
    </row>
    <row r="281" spans="1:3" x14ac:dyDescent="0.35">
      <c r="A281" s="74">
        <v>42005</v>
      </c>
      <c r="B281" s="75">
        <f>VLOOKUP(A281,Database!A:M,MATCH($A$1,Database!$A$1:$M$1,),)</f>
        <v>64666</v>
      </c>
      <c r="C281" s="113">
        <f>(Table535[[#This Row],[New Orders - Nondefense Capital Goods Excluding Aircraft]]-B280)/B280</f>
        <v>-1.8352941176470589E-2</v>
      </c>
    </row>
    <row r="282" spans="1:3" x14ac:dyDescent="0.35">
      <c r="A282" s="74">
        <v>42036</v>
      </c>
      <c r="B282" s="75">
        <f>VLOOKUP(A282,Database!A:M,MATCH($A$1,Database!$A$1:$M$1,),)</f>
        <v>64257</v>
      </c>
      <c r="C282" s="113">
        <f>(Table535[[#This Row],[New Orders - Nondefense Capital Goods Excluding Aircraft]]-B281)/B281</f>
        <v>-6.3248074722419816E-3</v>
      </c>
    </row>
    <row r="283" spans="1:3" x14ac:dyDescent="0.35">
      <c r="A283" s="74">
        <v>42064</v>
      </c>
      <c r="B283" s="75">
        <f>VLOOKUP(A283,Database!A:M,MATCH($A$1,Database!$A$1:$M$1,),)</f>
        <v>64721</v>
      </c>
      <c r="C283" s="113">
        <f>(Table535[[#This Row],[New Orders - Nondefense Capital Goods Excluding Aircraft]]-B282)/B282</f>
        <v>7.2210031591888818E-3</v>
      </c>
    </row>
    <row r="284" spans="1:3" x14ac:dyDescent="0.35">
      <c r="A284" s="74">
        <v>42095</v>
      </c>
      <c r="B284" s="75">
        <f>VLOOKUP(A284,Database!A:M,MATCH($A$1,Database!$A$1:$M$1,),)</f>
        <v>64152</v>
      </c>
      <c r="C284" s="113">
        <f>(Table535[[#This Row],[New Orders - Nondefense Capital Goods Excluding Aircraft]]-B283)/B283</f>
        <v>-8.7915823303100996E-3</v>
      </c>
    </row>
    <row r="285" spans="1:3" x14ac:dyDescent="0.35">
      <c r="A285" s="74">
        <v>42125</v>
      </c>
      <c r="B285" s="75">
        <f>VLOOKUP(A285,Database!A:M,MATCH($A$1,Database!$A$1:$M$1,),)</f>
        <v>62533</v>
      </c>
      <c r="C285" s="113">
        <f>(Table535[[#This Row],[New Orders - Nondefense Capital Goods Excluding Aircraft]]-B284)/B284</f>
        <v>-2.5236937273974309E-2</v>
      </c>
    </row>
    <row r="286" spans="1:3" x14ac:dyDescent="0.35">
      <c r="A286" s="74">
        <v>42156</v>
      </c>
      <c r="B286" s="75">
        <f>VLOOKUP(A286,Database!A:M,MATCH($A$1,Database!$A$1:$M$1,),)</f>
        <v>63930</v>
      </c>
      <c r="C286" s="113">
        <f>(Table535[[#This Row],[New Orders - Nondefense Capital Goods Excluding Aircraft]]-B285)/B285</f>
        <v>2.2340204372091537E-2</v>
      </c>
    </row>
    <row r="287" spans="1:3" x14ac:dyDescent="0.35">
      <c r="A287" s="74">
        <v>42186</v>
      </c>
      <c r="B287" s="75">
        <f>VLOOKUP(A287,Database!A:M,MATCH($A$1,Database!$A$1:$M$1,),)</f>
        <v>63774</v>
      </c>
      <c r="C287" s="113">
        <f>(Table535[[#This Row],[New Orders - Nondefense Capital Goods Excluding Aircraft]]-B286)/B286</f>
        <v>-2.4401689347724074E-3</v>
      </c>
    </row>
    <row r="288" spans="1:3" x14ac:dyDescent="0.35">
      <c r="A288" s="74">
        <v>42217</v>
      </c>
      <c r="B288" s="75">
        <f>VLOOKUP(A288,Database!A:M,MATCH($A$1,Database!$A$1:$M$1,),)</f>
        <v>63370</v>
      </c>
      <c r="C288" s="113">
        <f>(Table535[[#This Row],[New Orders - Nondefense Capital Goods Excluding Aircraft]]-B287)/B287</f>
        <v>-6.3348700097218304E-3</v>
      </c>
    </row>
    <row r="289" spans="1:3" x14ac:dyDescent="0.35">
      <c r="A289" s="74">
        <v>42248</v>
      </c>
      <c r="B289" s="75">
        <f>VLOOKUP(A289,Database!A:M,MATCH($A$1,Database!$A$1:$M$1,),)</f>
        <v>63318</v>
      </c>
      <c r="C289" s="113">
        <f>(Table535[[#This Row],[New Orders - Nondefense Capital Goods Excluding Aircraft]]-B288)/B288</f>
        <v>-8.2057756035979173E-4</v>
      </c>
    </row>
    <row r="290" spans="1:3" x14ac:dyDescent="0.35">
      <c r="A290" s="74">
        <v>42278</v>
      </c>
      <c r="B290" s="75">
        <f>VLOOKUP(A290,Database!A:M,MATCH($A$1,Database!$A$1:$M$1,),)</f>
        <v>63051</v>
      </c>
      <c r="C290" s="113">
        <f>(Table535[[#This Row],[New Orders - Nondefense Capital Goods Excluding Aircraft]]-B289)/B289</f>
        <v>-4.216810385672321E-3</v>
      </c>
    </row>
    <row r="291" spans="1:3" x14ac:dyDescent="0.35">
      <c r="A291" s="74">
        <v>42309</v>
      </c>
      <c r="B291" s="75">
        <f>VLOOKUP(A291,Database!A:M,MATCH($A$1,Database!$A$1:$M$1,),)</f>
        <v>62049</v>
      </c>
      <c r="C291" s="113">
        <f>(Table535[[#This Row],[New Orders - Nondefense Capital Goods Excluding Aircraft]]-B290)/B290</f>
        <v>-1.5891897035732978E-2</v>
      </c>
    </row>
    <row r="292" spans="1:3" x14ac:dyDescent="0.35">
      <c r="A292" s="74">
        <v>42339</v>
      </c>
      <c r="B292" s="75">
        <f>VLOOKUP(A292,Database!A:M,MATCH($A$1,Database!$A$1:$M$1,),)</f>
        <v>60165</v>
      </c>
      <c r="C292" s="113">
        <f>(Table535[[#This Row],[New Orders - Nondefense Capital Goods Excluding Aircraft]]-B291)/B291</f>
        <v>-3.0363100130541991E-2</v>
      </c>
    </row>
    <row r="293" spans="1:3" x14ac:dyDescent="0.35">
      <c r="A293" s="74">
        <v>42370</v>
      </c>
      <c r="B293" s="75">
        <f>VLOOKUP(A293,Database!A:M,MATCH($A$1,Database!$A$1:$M$1,),)</f>
        <v>61709</v>
      </c>
      <c r="C293" s="113">
        <f>(Table535[[#This Row],[New Orders - Nondefense Capital Goods Excluding Aircraft]]-B292)/B292</f>
        <v>2.5662760741294772E-2</v>
      </c>
    </row>
    <row r="294" spans="1:3" x14ac:dyDescent="0.35">
      <c r="A294" s="74">
        <v>42401</v>
      </c>
      <c r="B294" s="75">
        <f>VLOOKUP(A294,Database!A:M,MATCH($A$1,Database!$A$1:$M$1,),)</f>
        <v>61077</v>
      </c>
      <c r="C294" s="113">
        <f>(Table535[[#This Row],[New Orders - Nondefense Capital Goods Excluding Aircraft]]-B293)/B293</f>
        <v>-1.0241617916349317E-2</v>
      </c>
    </row>
    <row r="295" spans="1:3" x14ac:dyDescent="0.35">
      <c r="A295" s="74">
        <v>42430</v>
      </c>
      <c r="B295" s="75">
        <f>VLOOKUP(A295,Database!A:M,MATCH($A$1,Database!$A$1:$M$1,),)</f>
        <v>60564</v>
      </c>
      <c r="C295" s="113">
        <f>(Table535[[#This Row],[New Orders - Nondefense Capital Goods Excluding Aircraft]]-B294)/B294</f>
        <v>-8.3992337541136594E-3</v>
      </c>
    </row>
    <row r="296" spans="1:3" x14ac:dyDescent="0.35">
      <c r="A296" s="74">
        <v>42461</v>
      </c>
      <c r="B296" s="75">
        <f>VLOOKUP(A296,Database!A:M,MATCH($A$1,Database!$A$1:$M$1,),)</f>
        <v>60970</v>
      </c>
      <c r="C296" s="113">
        <f>(Table535[[#This Row],[New Orders - Nondefense Capital Goods Excluding Aircraft]]-B295)/B295</f>
        <v>6.7036523347202958E-3</v>
      </c>
    </row>
    <row r="297" spans="1:3" x14ac:dyDescent="0.35">
      <c r="A297" s="74">
        <v>42491</v>
      </c>
      <c r="B297" s="75">
        <f>VLOOKUP(A297,Database!A:M,MATCH($A$1,Database!$A$1:$M$1,),)</f>
        <v>59565</v>
      </c>
      <c r="C297" s="113">
        <f>(Table535[[#This Row],[New Orders - Nondefense Capital Goods Excluding Aircraft]]-B296)/B296</f>
        <v>-2.3044120059045433E-2</v>
      </c>
    </row>
    <row r="298" spans="1:3" x14ac:dyDescent="0.35">
      <c r="A298" s="74">
        <v>42522</v>
      </c>
      <c r="B298" s="75">
        <f>VLOOKUP(A298,Database!A:M,MATCH($A$1,Database!$A$1:$M$1,),)</f>
        <v>59505</v>
      </c>
      <c r="C298" s="113">
        <f>(Table535[[#This Row],[New Orders - Nondefense Capital Goods Excluding Aircraft]]-B297)/B297</f>
        <v>-1.007302946361118E-3</v>
      </c>
    </row>
    <row r="299" spans="1:3" x14ac:dyDescent="0.35">
      <c r="A299" s="74">
        <v>42552</v>
      </c>
      <c r="B299" s="75">
        <f>VLOOKUP(A299,Database!A:M,MATCH($A$1,Database!$A$1:$M$1,),)</f>
        <v>59899</v>
      </c>
      <c r="C299" s="113">
        <f>(Table535[[#This Row],[New Orders - Nondefense Capital Goods Excluding Aircraft]]-B298)/B298</f>
        <v>6.6212923283757667E-3</v>
      </c>
    </row>
    <row r="300" spans="1:3" x14ac:dyDescent="0.35">
      <c r="A300" s="74">
        <v>42583</v>
      </c>
      <c r="B300" s="75">
        <f>VLOOKUP(A300,Database!A:M,MATCH($A$1,Database!$A$1:$M$1,),)</f>
        <v>61743</v>
      </c>
      <c r="C300" s="113">
        <f>(Table535[[#This Row],[New Orders - Nondefense Capital Goods Excluding Aircraft]]-B299)/B299</f>
        <v>3.0785155010935074E-2</v>
      </c>
    </row>
    <row r="301" spans="1:3" x14ac:dyDescent="0.35">
      <c r="A301" s="74">
        <v>42614</v>
      </c>
      <c r="B301" s="75">
        <f>VLOOKUP(A301,Database!A:M,MATCH($A$1,Database!$A$1:$M$1,),)</f>
        <v>59290</v>
      </c>
      <c r="C301" s="113">
        <f>(Table535[[#This Row],[New Orders - Nondefense Capital Goods Excluding Aircraft]]-B300)/B300</f>
        <v>-3.972920007126314E-2</v>
      </c>
    </row>
    <row r="302" spans="1:3" x14ac:dyDescent="0.35">
      <c r="A302" s="74">
        <v>42644</v>
      </c>
      <c r="B302" s="75">
        <f>VLOOKUP(A302,Database!A:M,MATCH($A$1,Database!$A$1:$M$1,),)</f>
        <v>59413</v>
      </c>
      <c r="C302" s="113">
        <f>(Table535[[#This Row],[New Orders - Nondefense Capital Goods Excluding Aircraft]]-B301)/B301</f>
        <v>2.0745488277955811E-3</v>
      </c>
    </row>
    <row r="303" spans="1:3" x14ac:dyDescent="0.35">
      <c r="A303" s="74">
        <v>42675</v>
      </c>
      <c r="B303" s="75">
        <f>VLOOKUP(A303,Database!A:M,MATCH($A$1,Database!$A$1:$M$1,),)</f>
        <v>59262</v>
      </c>
      <c r="C303" s="113">
        <f>(Table535[[#This Row],[New Orders - Nondefense Capital Goods Excluding Aircraft]]-B302)/B302</f>
        <v>-2.5415313146954369E-3</v>
      </c>
    </row>
    <row r="304" spans="1:3" x14ac:dyDescent="0.35">
      <c r="A304" s="74">
        <v>42705</v>
      </c>
      <c r="B304" s="75">
        <f>VLOOKUP(A304,Database!A:M,MATCH($A$1,Database!$A$1:$M$1,),)</f>
        <v>59355</v>
      </c>
      <c r="C304" s="113">
        <f>(Table535[[#This Row],[New Orders - Nondefense Capital Goods Excluding Aircraft]]-B303)/B303</f>
        <v>1.5693024197630859E-3</v>
      </c>
    </row>
    <row r="305" spans="1:3" x14ac:dyDescent="0.35">
      <c r="A305" s="74">
        <v>42736</v>
      </c>
      <c r="B305" s="75">
        <f>VLOOKUP(A305,Database!A:M,MATCH($A$1,Database!$A$1:$M$1,),)</f>
        <v>60689</v>
      </c>
      <c r="C305" s="113">
        <f>(Table535[[#This Row],[New Orders - Nondefense Capital Goods Excluding Aircraft]]-B304)/B304</f>
        <v>2.2474938926796393E-2</v>
      </c>
    </row>
    <row r="306" spans="1:3" x14ac:dyDescent="0.35">
      <c r="A306" s="74">
        <v>42767</v>
      </c>
      <c r="B306" s="75">
        <f>VLOOKUP(A306,Database!A:M,MATCH($A$1,Database!$A$1:$M$1,),)</f>
        <v>60752</v>
      </c>
      <c r="C306" s="113">
        <f>(Table535[[#This Row],[New Orders - Nondefense Capital Goods Excluding Aircraft]]-B305)/B305</f>
        <v>1.0380793883570333E-3</v>
      </c>
    </row>
    <row r="307" spans="1:3" x14ac:dyDescent="0.35">
      <c r="A307" s="74">
        <v>42795</v>
      </c>
      <c r="B307" s="75">
        <f>VLOOKUP(A307,Database!A:M,MATCH($A$1,Database!$A$1:$M$1,),)</f>
        <v>61176</v>
      </c>
      <c r="C307" s="113">
        <f>(Table535[[#This Row],[New Orders - Nondefense Capital Goods Excluding Aircraft]]-B306)/B306</f>
        <v>6.9791941006057409E-3</v>
      </c>
    </row>
    <row r="308" spans="1:3" x14ac:dyDescent="0.35">
      <c r="A308" s="74">
        <v>42826</v>
      </c>
      <c r="B308" s="75">
        <f>VLOOKUP(A308,Database!A:M,MATCH($A$1,Database!$A$1:$M$1,),)</f>
        <v>61339</v>
      </c>
      <c r="C308" s="113">
        <f>(Table535[[#This Row],[New Orders - Nondefense Capital Goods Excluding Aircraft]]-B307)/B307</f>
        <v>2.6644435726428666E-3</v>
      </c>
    </row>
    <row r="309" spans="1:3" x14ac:dyDescent="0.35">
      <c r="A309" s="74">
        <v>42856</v>
      </c>
      <c r="B309" s="75">
        <f>VLOOKUP(A309,Database!A:M,MATCH($A$1,Database!$A$1:$M$1,),)</f>
        <v>61398</v>
      </c>
      <c r="C309" s="113">
        <f>(Table535[[#This Row],[New Orders - Nondefense Capital Goods Excluding Aircraft]]-B308)/B308</f>
        <v>9.6186765353201067E-4</v>
      </c>
    </row>
    <row r="310" spans="1:3" x14ac:dyDescent="0.35">
      <c r="A310" s="74">
        <v>42887</v>
      </c>
      <c r="B310" s="75">
        <f>VLOOKUP(A310,Database!A:M,MATCH($A$1,Database!$A$1:$M$1,),)</f>
        <v>60227</v>
      </c>
      <c r="C310" s="113">
        <f>(Table535[[#This Row],[New Orders - Nondefense Capital Goods Excluding Aircraft]]-B309)/B309</f>
        <v>-1.907228248477149E-2</v>
      </c>
    </row>
    <row r="311" spans="1:3" x14ac:dyDescent="0.35">
      <c r="A311" s="74">
        <v>42917</v>
      </c>
      <c r="B311" s="75">
        <f>VLOOKUP(A311,Database!A:M,MATCH($A$1,Database!$A$1:$M$1,),)</f>
        <v>61403</v>
      </c>
      <c r="C311" s="113">
        <f>(Table535[[#This Row],[New Orders - Nondefense Capital Goods Excluding Aircraft]]-B310)/B310</f>
        <v>1.9526126156042971E-2</v>
      </c>
    </row>
    <row r="312" spans="1:3" x14ac:dyDescent="0.35">
      <c r="A312" s="74">
        <v>42948</v>
      </c>
      <c r="B312" s="75">
        <f>VLOOKUP(A312,Database!A:M,MATCH($A$1,Database!$A$1:$M$1,),)</f>
        <v>61643</v>
      </c>
      <c r="C312" s="113">
        <f>(Table535[[#This Row],[New Orders - Nondefense Capital Goods Excluding Aircraft]]-B311)/B311</f>
        <v>3.9086038141458888E-3</v>
      </c>
    </row>
    <row r="313" spans="1:3" x14ac:dyDescent="0.35">
      <c r="A313" s="74">
        <v>42979</v>
      </c>
      <c r="B313" s="75">
        <f>VLOOKUP(A313,Database!A:M,MATCH($A$1,Database!$A$1:$M$1,),)</f>
        <v>63497</v>
      </c>
      <c r="C313" s="113">
        <f>(Table535[[#This Row],[New Orders - Nondefense Capital Goods Excluding Aircraft]]-B312)/B312</f>
        <v>3.0076407702415521E-2</v>
      </c>
    </row>
    <row r="314" spans="1:3" x14ac:dyDescent="0.35">
      <c r="A314" s="74">
        <v>43009</v>
      </c>
      <c r="B314" s="75">
        <f>VLOOKUP(A314,Database!A:M,MATCH($A$1,Database!$A$1:$M$1,),)</f>
        <v>63980</v>
      </c>
      <c r="C314" s="113">
        <f>(Table535[[#This Row],[New Orders - Nondefense Capital Goods Excluding Aircraft]]-B313)/B313</f>
        <v>7.6066585822952264E-3</v>
      </c>
    </row>
    <row r="315" spans="1:3" x14ac:dyDescent="0.35">
      <c r="A315" s="74">
        <v>43040</v>
      </c>
      <c r="B315" s="75">
        <f>VLOOKUP(A315,Database!A:M,MATCH($A$1,Database!$A$1:$M$1,),)</f>
        <v>63558</v>
      </c>
      <c r="C315" s="113">
        <f>(Table535[[#This Row],[New Orders - Nondefense Capital Goods Excluding Aircraft]]-B314)/B314</f>
        <v>-6.5958111909971869E-3</v>
      </c>
    </row>
    <row r="316" spans="1:3" x14ac:dyDescent="0.35">
      <c r="A316" s="74">
        <v>43070</v>
      </c>
      <c r="B316" s="75">
        <f>VLOOKUP(A316,Database!A:M,MATCH($A$1,Database!$A$1:$M$1,),)</f>
        <v>63745</v>
      </c>
      <c r="C316" s="113">
        <f>(Table535[[#This Row],[New Orders - Nondefense Capital Goods Excluding Aircraft]]-B315)/B315</f>
        <v>2.9421945309795776E-3</v>
      </c>
    </row>
    <row r="317" spans="1:3" x14ac:dyDescent="0.35">
      <c r="A317" s="74">
        <v>43101</v>
      </c>
      <c r="B317" s="75">
        <f>VLOOKUP(A317,Database!A:M,MATCH($A$1,Database!$A$1:$M$1,),)</f>
        <v>63816</v>
      </c>
      <c r="C317" s="113">
        <f>(Table535[[#This Row],[New Orders - Nondefense Capital Goods Excluding Aircraft]]-B316)/B316</f>
        <v>1.1138128480665151E-3</v>
      </c>
    </row>
    <row r="318" spans="1:3" x14ac:dyDescent="0.35">
      <c r="A318" s="74">
        <v>43132</v>
      </c>
      <c r="B318" s="75">
        <f>VLOOKUP(A318,Database!A:M,MATCH($A$1,Database!$A$1:$M$1,),)</f>
        <v>65257</v>
      </c>
      <c r="C318" s="113">
        <f>(Table535[[#This Row],[New Orders - Nondefense Capital Goods Excluding Aircraft]]-B317)/B317</f>
        <v>2.258054406418453E-2</v>
      </c>
    </row>
    <row r="319" spans="1:3" x14ac:dyDescent="0.35">
      <c r="A319" s="74">
        <v>43160</v>
      </c>
      <c r="B319" s="75">
        <f>VLOOKUP(A319,Database!A:M,MATCH($A$1,Database!$A$1:$M$1,),)</f>
        <v>64073</v>
      </c>
      <c r="C319" s="113">
        <f>(Table535[[#This Row],[New Orders - Nondefense Capital Goods Excluding Aircraft]]-B318)/B318</f>
        <v>-1.8143647424797339E-2</v>
      </c>
    </row>
    <row r="320" spans="1:3" x14ac:dyDescent="0.35">
      <c r="A320" s="74">
        <v>43191</v>
      </c>
      <c r="B320" s="75">
        <f>VLOOKUP(A320,Database!A:M,MATCH($A$1,Database!$A$1:$M$1,),)</f>
        <v>65444</v>
      </c>
      <c r="C320" s="113">
        <f>(Table535[[#This Row],[New Orders - Nondefense Capital Goods Excluding Aircraft]]-B319)/B319</f>
        <v>2.1397468512477955E-2</v>
      </c>
    </row>
    <row r="321" spans="1:3" x14ac:dyDescent="0.35">
      <c r="A321" s="74">
        <v>43221</v>
      </c>
      <c r="B321" s="75">
        <f>VLOOKUP(A321,Database!A:M,MATCH($A$1,Database!$A$1:$M$1,),)</f>
        <v>66748</v>
      </c>
      <c r="C321" s="113">
        <f>(Table535[[#This Row],[New Orders - Nondefense Capital Goods Excluding Aircraft]]-B320)/B320</f>
        <v>1.9925432430780515E-2</v>
      </c>
    </row>
    <row r="322" spans="1:3" x14ac:dyDescent="0.35">
      <c r="A322" s="74">
        <v>43252</v>
      </c>
      <c r="B322" s="75">
        <f>VLOOKUP(A322,Database!A:M,MATCH($A$1,Database!$A$1:$M$1,),)</f>
        <v>67678</v>
      </c>
      <c r="C322" s="113">
        <f>(Table535[[#This Row],[New Orders - Nondefense Capital Goods Excluding Aircraft]]-B321)/B321</f>
        <v>1.3933001737879787E-2</v>
      </c>
    </row>
    <row r="323" spans="1:3" x14ac:dyDescent="0.35">
      <c r="A323" s="74">
        <v>43282</v>
      </c>
      <c r="B323" s="75">
        <f>VLOOKUP(A323,Database!A:M,MATCH($A$1,Database!$A$1:$M$1,),)</f>
        <v>68406</v>
      </c>
      <c r="C323" s="113">
        <f>(Table535[[#This Row],[New Orders - Nondefense Capital Goods Excluding Aircraft]]-B322)/B322</f>
        <v>1.0756819054936612E-2</v>
      </c>
    </row>
    <row r="324" spans="1:3" x14ac:dyDescent="0.35">
      <c r="A324" s="74">
        <v>43313</v>
      </c>
      <c r="B324" s="75">
        <f>VLOOKUP(A324,Database!A:M,MATCH($A$1,Database!$A$1:$M$1,),)</f>
        <v>67270</v>
      </c>
      <c r="C324" s="113">
        <f>(Table535[[#This Row],[New Orders - Nondefense Capital Goods Excluding Aircraft]]-B323)/B323</f>
        <v>-1.660673040376575E-2</v>
      </c>
    </row>
    <row r="325" spans="1:3" x14ac:dyDescent="0.35">
      <c r="A325" s="74">
        <v>43344</v>
      </c>
      <c r="B325" s="75">
        <f>VLOOKUP(A325,Database!A:M,MATCH($A$1,Database!$A$1:$M$1,),)</f>
        <v>67127</v>
      </c>
      <c r="C325" s="113">
        <f>(Table535[[#This Row],[New Orders - Nondefense Capital Goods Excluding Aircraft]]-B324)/B324</f>
        <v>-2.1257618552103464E-3</v>
      </c>
    </row>
    <row r="326" spans="1:3" x14ac:dyDescent="0.35">
      <c r="A326" s="74">
        <v>43374</v>
      </c>
      <c r="B326" s="75">
        <f>VLOOKUP(A326,Database!A:M,MATCH($A$1,Database!$A$1:$M$1,),)</f>
        <v>67931</v>
      </c>
      <c r="C326" s="113">
        <f>(Table535[[#This Row],[New Orders - Nondefense Capital Goods Excluding Aircraft]]-B325)/B325</f>
        <v>1.1977296765831931E-2</v>
      </c>
    </row>
    <row r="327" spans="1:3" x14ac:dyDescent="0.35">
      <c r="A327" s="74">
        <v>43405</v>
      </c>
      <c r="B327" s="75">
        <f>VLOOKUP(A327,Database!A:M,MATCH($A$1,Database!$A$1:$M$1,),)</f>
        <v>65255</v>
      </c>
      <c r="C327" s="113">
        <f>(Table535[[#This Row],[New Orders - Nondefense Capital Goods Excluding Aircraft]]-B326)/B326</f>
        <v>-3.9392913397417968E-2</v>
      </c>
    </row>
    <row r="328" spans="1:3" x14ac:dyDescent="0.35">
      <c r="A328" s="74">
        <v>43435</v>
      </c>
      <c r="B328" s="75">
        <f>VLOOKUP(A328,Database!A:M,MATCH($A$1,Database!$A$1:$M$1,),)</f>
        <v>65773</v>
      </c>
      <c r="C328" s="113">
        <f>(Table535[[#This Row],[New Orders - Nondefense Capital Goods Excluding Aircraft]]-B327)/B327</f>
        <v>7.9380890353229639E-3</v>
      </c>
    </row>
    <row r="329" spans="1:3" x14ac:dyDescent="0.35">
      <c r="A329" s="74">
        <v>43466</v>
      </c>
      <c r="B329" s="75">
        <f>VLOOKUP(A329,Database!A:M,MATCH($A$1,Database!$A$1:$M$1,),)</f>
        <v>67110</v>
      </c>
      <c r="C329" s="113">
        <f>(Table535[[#This Row],[New Orders - Nondefense Capital Goods Excluding Aircraft]]-B328)/B328</f>
        <v>2.0327490003496877E-2</v>
      </c>
    </row>
    <row r="330" spans="1:3" x14ac:dyDescent="0.35">
      <c r="A330" s="74">
        <v>43497</v>
      </c>
      <c r="B330" s="75">
        <f>VLOOKUP(A330,Database!A:M,MATCH($A$1,Database!$A$1:$M$1,),)</f>
        <v>66772</v>
      </c>
      <c r="C330" s="113">
        <f>(Table535[[#This Row],[New Orders - Nondefense Capital Goods Excluding Aircraft]]-B329)/B329</f>
        <v>-5.0365072269408437E-3</v>
      </c>
    </row>
    <row r="331" spans="1:3" x14ac:dyDescent="0.35">
      <c r="A331" s="74">
        <v>43525</v>
      </c>
      <c r="B331" s="75">
        <f>VLOOKUP(A331,Database!A:M,MATCH($A$1,Database!$A$1:$M$1,),)</f>
        <v>67615</v>
      </c>
      <c r="C331" s="113">
        <f>(Table535[[#This Row],[New Orders - Nondefense Capital Goods Excluding Aircraft]]-B330)/B330</f>
        <v>1.2625052417180854E-2</v>
      </c>
    </row>
    <row r="332" spans="1:3" x14ac:dyDescent="0.35">
      <c r="A332" s="74">
        <v>43556</v>
      </c>
      <c r="B332" s="75">
        <f>VLOOKUP(A332,Database!A:M,MATCH($A$1,Database!$A$1:$M$1,),)</f>
        <v>67038</v>
      </c>
      <c r="C332" s="113">
        <f>(Table535[[#This Row],[New Orders - Nondefense Capital Goods Excluding Aircraft]]-B331)/B331</f>
        <v>-8.5336094061968498E-3</v>
      </c>
    </row>
    <row r="333" spans="1:3" x14ac:dyDescent="0.35">
      <c r="A333" s="74">
        <v>43586</v>
      </c>
      <c r="B333" s="75">
        <f>VLOOKUP(A333,Database!A:M,MATCH($A$1,Database!$A$1:$M$1,),)</f>
        <v>66680</v>
      </c>
      <c r="C333" s="113">
        <f>(Table535[[#This Row],[New Orders - Nondefense Capital Goods Excluding Aircraft]]-B332)/B332</f>
        <v>-5.3402547808705514E-3</v>
      </c>
    </row>
    <row r="334" spans="1:3" x14ac:dyDescent="0.35">
      <c r="A334" s="74">
        <v>43617</v>
      </c>
      <c r="B334" s="75">
        <f>VLOOKUP(A334,Database!A:M,MATCH($A$1,Database!$A$1:$M$1,),)</f>
        <v>66243</v>
      </c>
      <c r="C334" s="113">
        <f>(Table535[[#This Row],[New Orders - Nondefense Capital Goods Excluding Aircraft]]-B333)/B333</f>
        <v>-6.5536892621475707E-3</v>
      </c>
    </row>
    <row r="335" spans="1:3" x14ac:dyDescent="0.35">
      <c r="A335" s="74">
        <v>43647</v>
      </c>
      <c r="B335" s="75">
        <f>VLOOKUP(A335,Database!A:M,MATCH($A$1,Database!$A$1:$M$1,),)</f>
        <v>65872</v>
      </c>
      <c r="C335" s="113">
        <f>(Table535[[#This Row],[New Orders - Nondefense Capital Goods Excluding Aircraft]]-B334)/B334</f>
        <v>-5.6005917606388603E-3</v>
      </c>
    </row>
    <row r="336" spans="1:3" x14ac:dyDescent="0.35">
      <c r="A336" s="74">
        <v>43678</v>
      </c>
      <c r="B336" s="75">
        <f>VLOOKUP(A336,Database!A:M,MATCH($A$1,Database!$A$1:$M$1,),)</f>
        <v>65829</v>
      </c>
      <c r="C336" s="113">
        <f>(Table535[[#This Row],[New Orders - Nondefense Capital Goods Excluding Aircraft]]-B335)/B335</f>
        <v>-6.5278115132377942E-4</v>
      </c>
    </row>
    <row r="337" spans="1:3" x14ac:dyDescent="0.35">
      <c r="A337" s="74">
        <v>43709</v>
      </c>
      <c r="B337" s="75">
        <f>VLOOKUP(A337,Database!A:M,MATCH($A$1,Database!$A$1:$M$1,),)</f>
        <v>65203</v>
      </c>
      <c r="C337" s="113">
        <f>(Table535[[#This Row],[New Orders - Nondefense Capital Goods Excluding Aircraft]]-B336)/B336</f>
        <v>-9.5094867003904047E-3</v>
      </c>
    </row>
    <row r="338" spans="1:3" x14ac:dyDescent="0.35">
      <c r="A338" s="74">
        <v>43739</v>
      </c>
      <c r="B338" s="75">
        <f>VLOOKUP(A338,Database!A:M,MATCH($A$1,Database!$A$1:$M$1,),)</f>
        <v>65207</v>
      </c>
      <c r="C338" s="113">
        <f>(Table535[[#This Row],[New Orders - Nondefense Capital Goods Excluding Aircraft]]-B337)/B337</f>
        <v>6.1346870542766432E-5</v>
      </c>
    </row>
    <row r="339" spans="1:3" x14ac:dyDescent="0.35">
      <c r="A339" s="74">
        <v>43770</v>
      </c>
      <c r="B339" s="75">
        <f>VLOOKUP(A339,Database!A:M,MATCH($A$1,Database!$A$1:$M$1,),)</f>
        <v>63805</v>
      </c>
      <c r="C339" s="113">
        <f>(Table535[[#This Row],[New Orders - Nondefense Capital Goods Excluding Aircraft]]-B338)/B338</f>
        <v>-2.1500759120953273E-2</v>
      </c>
    </row>
    <row r="340" spans="1:3" x14ac:dyDescent="0.35">
      <c r="A340" s="74">
        <v>43800</v>
      </c>
      <c r="B340" s="75">
        <f>VLOOKUP(A340,Database!A:M,MATCH($A$1,Database!$A$1:$M$1,),)</f>
        <v>62950</v>
      </c>
      <c r="C340" s="113">
        <f>(Table535[[#This Row],[New Orders - Nondefense Capital Goods Excluding Aircraft]]-B339)/B339</f>
        <v>-1.3400203745787948E-2</v>
      </c>
    </row>
    <row r="341" spans="1:3" x14ac:dyDescent="0.35">
      <c r="A341" s="74">
        <v>43831</v>
      </c>
      <c r="B341" s="75">
        <f>VLOOKUP(A341,Database!A:M,MATCH($A$1,Database!$A$1:$M$1,),)</f>
        <v>62298</v>
      </c>
      <c r="C341" s="113">
        <f>(Table535[[#This Row],[New Orders - Nondefense Capital Goods Excluding Aircraft]]-B340)/B340</f>
        <v>-1.0357426528991263E-2</v>
      </c>
    </row>
    <row r="342" spans="1:3" x14ac:dyDescent="0.35">
      <c r="A342" s="74">
        <v>43862</v>
      </c>
      <c r="B342" s="75">
        <f>VLOOKUP(A342,Database!A:M,MATCH($A$1,Database!$A$1:$M$1,),)</f>
        <v>61245</v>
      </c>
      <c r="C342" s="113">
        <f>(Table535[[#This Row],[New Orders - Nondefense Capital Goods Excluding Aircraft]]-B341)/B341</f>
        <v>-1.6902629297890784E-2</v>
      </c>
    </row>
    <row r="343" spans="1:3" x14ac:dyDescent="0.35">
      <c r="A343" s="74">
        <v>43891</v>
      </c>
      <c r="B343" s="75">
        <f>VLOOKUP(A343,Database!A:M,MATCH($A$1,Database!$A$1:$M$1,),)</f>
        <v>60715</v>
      </c>
      <c r="C343" s="113">
        <f>(Table535[[#This Row],[New Orders - Nondefense Capital Goods Excluding Aircraft]]-B342)/B342</f>
        <v>-8.6537676545024086E-3</v>
      </c>
    </row>
    <row r="344" spans="1:3" x14ac:dyDescent="0.35">
      <c r="A344" s="74">
        <v>43922</v>
      </c>
      <c r="B344" s="75">
        <f>VLOOKUP(A344,Database!A:M,MATCH($A$1,Database!$A$1:$M$1,),)</f>
        <v>55545</v>
      </c>
      <c r="C344" s="113">
        <f>(Table535[[#This Row],[New Orders - Nondefense Capital Goods Excluding Aircraft]]-B343)/B343</f>
        <v>-8.5151939388948369E-2</v>
      </c>
    </row>
    <row r="345" spans="1:3" x14ac:dyDescent="0.35">
      <c r="A345" s="74">
        <v>43952</v>
      </c>
      <c r="B345" s="75">
        <f>VLOOKUP(A345,Database!A:M,MATCH($A$1,Database!$A$1:$M$1,),)</f>
        <v>56463</v>
      </c>
      <c r="C345" s="113">
        <f>(Table535[[#This Row],[New Orders - Nondefense Capital Goods Excluding Aircraft]]-B344)/B344</f>
        <v>1.652714015662976E-2</v>
      </c>
    </row>
    <row r="346" spans="1:3" x14ac:dyDescent="0.35">
      <c r="A346" s="74">
        <v>43983</v>
      </c>
      <c r="B346" s="75">
        <f>VLOOKUP(A346,Database!A:M,MATCH($A$1,Database!$A$1:$M$1,),)</f>
        <v>58548</v>
      </c>
      <c r="C346" s="113">
        <f>(Table535[[#This Row],[New Orders - Nondefense Capital Goods Excluding Aircraft]]-B345)/B345</f>
        <v>3.6926837043727748E-2</v>
      </c>
    </row>
    <row r="347" spans="1:3" x14ac:dyDescent="0.35">
      <c r="A347" s="74">
        <v>44013</v>
      </c>
      <c r="B347" s="75">
        <f>VLOOKUP(A347,Database!A:M,MATCH($A$1,Database!$A$1:$M$1,),)</f>
        <v>60095</v>
      </c>
      <c r="C347" s="113">
        <f>(Table535[[#This Row],[New Orders - Nondefense Capital Goods Excluding Aircraft]]-B346)/B346</f>
        <v>2.6422764227642278E-2</v>
      </c>
    </row>
    <row r="348" spans="1:3" x14ac:dyDescent="0.35">
      <c r="A348" s="74">
        <v>44044</v>
      </c>
      <c r="B348" s="75">
        <f>VLOOKUP(A348,Database!A:M,MATCH($A$1,Database!$A$1:$M$1,),)</f>
        <v>60687</v>
      </c>
      <c r="C348" s="113">
        <f>(Table535[[#This Row],[New Orders - Nondefense Capital Goods Excluding Aircraft]]-B347)/B347</f>
        <v>9.8510691405274981E-3</v>
      </c>
    </row>
    <row r="349" spans="1:3" x14ac:dyDescent="0.35">
      <c r="A349" s="74">
        <v>44075</v>
      </c>
      <c r="B349" s="75">
        <f>VLOOKUP(A349,Database!A:M,MATCH($A$1,Database!$A$1:$M$1,),)</f>
        <v>62159</v>
      </c>
      <c r="C349" s="113">
        <f>(Table535[[#This Row],[New Orders - Nondefense Capital Goods Excluding Aircraft]]-B348)/B348</f>
        <v>2.4255606637335839E-2</v>
      </c>
    </row>
    <row r="350" spans="1:3" x14ac:dyDescent="0.35">
      <c r="A350" s="74">
        <v>44105</v>
      </c>
      <c r="B350" s="75">
        <f>VLOOKUP(A350,Database!A:M,MATCH($A$1,Database!$A$1:$M$1,),)</f>
        <v>62801</v>
      </c>
      <c r="C350" s="113">
        <f>(Table535[[#This Row],[New Orders - Nondefense Capital Goods Excluding Aircraft]]-B349)/B349</f>
        <v>1.0328351485706011E-2</v>
      </c>
    </row>
    <row r="351" spans="1:3" x14ac:dyDescent="0.35">
      <c r="A351" s="74">
        <v>44136</v>
      </c>
      <c r="B351" s="75">
        <f>VLOOKUP(A351,Database!A:M,MATCH($A$1,Database!$A$1:$M$1,),)</f>
        <v>62967</v>
      </c>
      <c r="C351" s="113">
        <f>(Table535[[#This Row],[New Orders - Nondefense Capital Goods Excluding Aircraft]]-B350)/B350</f>
        <v>2.6432700116240187E-3</v>
      </c>
    </row>
    <row r="352" spans="1:3" x14ac:dyDescent="0.35">
      <c r="A352" s="74">
        <v>44166</v>
      </c>
      <c r="B352" s="75">
        <f>VLOOKUP(A352,Database!A:M,MATCH($A$1,Database!$A$1:$M$1,),)</f>
        <v>63944</v>
      </c>
      <c r="C352" s="113">
        <f>(Table535[[#This Row],[New Orders - Nondefense Capital Goods Excluding Aircraft]]-B351)/B351</f>
        <v>1.551606397001604E-2</v>
      </c>
    </row>
    <row r="353" spans="1:3" x14ac:dyDescent="0.35">
      <c r="A353" s="74">
        <v>44197</v>
      </c>
      <c r="B353" s="75">
        <f>VLOOKUP(A353,Database!A:M,MATCH($A$1,Database!$A$1:$M$1,),)</f>
        <v>64750</v>
      </c>
      <c r="C353" s="113">
        <f>(Table535[[#This Row],[New Orders - Nondefense Capital Goods Excluding Aircraft]]-B352)/B352</f>
        <v>1.2604779181784062E-2</v>
      </c>
    </row>
    <row r="354" spans="1:3" x14ac:dyDescent="0.35">
      <c r="A354" s="74">
        <v>44228</v>
      </c>
      <c r="B354" s="75">
        <f>VLOOKUP(A354,Database!A:M,MATCH($A$1,Database!$A$1:$M$1,),)</f>
        <v>64562</v>
      </c>
      <c r="C354" s="113">
        <f>(Table535[[#This Row],[New Orders - Nondefense Capital Goods Excluding Aircraft]]-B353)/B353</f>
        <v>-2.9034749034749035E-3</v>
      </c>
    </row>
    <row r="355" spans="1:3" x14ac:dyDescent="0.35">
      <c r="A355" s="74">
        <v>44256</v>
      </c>
      <c r="B355" s="75">
        <f>VLOOKUP(A355,Database!A:M,MATCH($A$1,Database!$A$1:$M$1,),)</f>
        <v>65886</v>
      </c>
      <c r="C355" s="113">
        <f>(Table535[[#This Row],[New Orders - Nondefense Capital Goods Excluding Aircraft]]-B354)/B354</f>
        <v>2.0507419224931073E-2</v>
      </c>
    </row>
    <row r="356" spans="1:3" x14ac:dyDescent="0.35">
      <c r="A356" s="74">
        <v>44287</v>
      </c>
      <c r="B356" s="75">
        <f>VLOOKUP(A356,Database!A:M,MATCH($A$1,Database!$A$1:$M$1,),)</f>
        <v>67955</v>
      </c>
      <c r="C356" s="113">
        <f>(Table535[[#This Row],[New Orders - Nondefense Capital Goods Excluding Aircraft]]-B355)/B355</f>
        <v>3.1402725920529402E-2</v>
      </c>
    </row>
    <row r="357" spans="1:3" x14ac:dyDescent="0.35">
      <c r="A357" s="74">
        <v>44317</v>
      </c>
      <c r="B357" s="75">
        <f>VLOOKUP(A357,Database!A:M,MATCH($A$1,Database!$A$1:$M$1,),)</f>
        <v>66882</v>
      </c>
      <c r="C357" s="113">
        <f>(Table535[[#This Row],[New Orders - Nondefense Capital Goods Excluding Aircraft]]-B356)/B356</f>
        <v>-1.5789860937385033E-2</v>
      </c>
    </row>
    <row r="358" spans="1:3" x14ac:dyDescent="0.35">
      <c r="A358" s="74">
        <v>44348</v>
      </c>
      <c r="B358" s="75">
        <f>VLOOKUP(A358,Database!A:M,MATCH($A$1,Database!$A$1:$M$1,),)</f>
        <v>68158</v>
      </c>
      <c r="C358" s="113">
        <f>(Table535[[#This Row],[New Orders - Nondefense Capital Goods Excluding Aircraft]]-B357)/B357</f>
        <v>1.9078376842797763E-2</v>
      </c>
    </row>
    <row r="359" spans="1:3" x14ac:dyDescent="0.35">
      <c r="A359" s="74">
        <v>44378</v>
      </c>
      <c r="B359" s="75">
        <f>VLOOKUP(A359,Database!A:M,MATCH($A$1,Database!$A$1:$M$1,),)</f>
        <v>68660</v>
      </c>
      <c r="C359" s="113">
        <f>(Table535[[#This Row],[New Orders - Nondefense Capital Goods Excluding Aircraft]]-B358)/B358</f>
        <v>7.365239590363567E-3</v>
      </c>
    </row>
    <row r="360" spans="1:3" x14ac:dyDescent="0.35">
      <c r="A360" s="74">
        <v>44409</v>
      </c>
      <c r="B360" s="75">
        <f>VLOOKUP(A360,Database!A:M,MATCH($A$1,Database!$A$1:$M$1,),)</f>
        <v>69530</v>
      </c>
      <c r="C360" s="113">
        <f>(Table535[[#This Row],[New Orders - Nondefense Capital Goods Excluding Aircraft]]-B359)/B359</f>
        <v>1.2671133119720361E-2</v>
      </c>
    </row>
    <row r="361" spans="1:3" x14ac:dyDescent="0.35">
      <c r="A361" s="74">
        <v>44440</v>
      </c>
      <c r="B361" s="75">
        <f>VLOOKUP(A361,Database!A:M,MATCH($A$1,Database!$A$1:$M$1,),)</f>
        <v>69298</v>
      </c>
      <c r="C361" s="113">
        <f>(Table535[[#This Row],[New Orders - Nondefense Capital Goods Excluding Aircraft]]-B360)/B360</f>
        <v>-3.3366891989069468E-3</v>
      </c>
    </row>
    <row r="362" spans="1:3" x14ac:dyDescent="0.35">
      <c r="A362" s="74">
        <v>44470</v>
      </c>
      <c r="B362" s="75">
        <f>VLOOKUP(A362,Database!A:M,MATCH($A$1,Database!$A$1:$M$1,),)</f>
        <v>70632</v>
      </c>
      <c r="C362" s="113">
        <f>(Table535[[#This Row],[New Orders - Nondefense Capital Goods Excluding Aircraft]]-B361)/B361</f>
        <v>1.9250194810817051E-2</v>
      </c>
    </row>
    <row r="363" spans="1:3" x14ac:dyDescent="0.35">
      <c r="A363" s="74">
        <v>44501</v>
      </c>
      <c r="B363" s="75">
        <f>VLOOKUP(A363,Database!A:M,MATCH($A$1,Database!$A$1:$M$1,),)</f>
        <v>71135</v>
      </c>
      <c r="C363" s="113">
        <f>(Table535[[#This Row],[New Orders - Nondefense Capital Goods Excluding Aircraft]]-B362)/B362</f>
        <v>7.1214180541397665E-3</v>
      </c>
    </row>
    <row r="364" spans="1:3" x14ac:dyDescent="0.35">
      <c r="A364" s="74">
        <v>44531</v>
      </c>
      <c r="B364" s="75">
        <f>VLOOKUP(A364,Database!A:M,MATCH($A$1,Database!$A$1:$M$1,),)</f>
        <v>71199</v>
      </c>
      <c r="C364" s="113">
        <f>(Table535[[#This Row],[New Orders - Nondefense Capital Goods Excluding Aircraft]]-B363)/B363</f>
        <v>8.9969775778449431E-4</v>
      </c>
    </row>
    <row r="365" spans="1:3" x14ac:dyDescent="0.35">
      <c r="A365" s="74">
        <v>44562</v>
      </c>
      <c r="B365" s="75">
        <f>VLOOKUP(A365,Database!A:M,MATCH($A$1,Database!$A$1:$M$1,),)</f>
        <v>72217</v>
      </c>
      <c r="C365" s="113">
        <f>(Table535[[#This Row],[New Orders - Nondefense Capital Goods Excluding Aircraft]]-B364)/B364</f>
        <v>1.4297953622944143E-2</v>
      </c>
    </row>
    <row r="366" spans="1:3" x14ac:dyDescent="0.35">
      <c r="A366" s="74">
        <v>44593</v>
      </c>
      <c r="B366" s="75">
        <f>VLOOKUP(A366,Database!A:M,MATCH($A$1,Database!$A$1:$M$1,),)</f>
        <v>72038</v>
      </c>
      <c r="C366" s="113">
        <f>(Table535[[#This Row],[New Orders - Nondefense Capital Goods Excluding Aircraft]]-B365)/B365</f>
        <v>-2.4786407632551894E-3</v>
      </c>
    </row>
    <row r="367" spans="1:3" x14ac:dyDescent="0.35">
      <c r="A367" s="74">
        <v>44621</v>
      </c>
      <c r="B367" s="75">
        <f>VLOOKUP(A367,Database!A:M,MATCH($A$1,Database!$A$1:$M$1,),)</f>
        <v>72857</v>
      </c>
      <c r="C367" s="113">
        <f>(Table535[[#This Row],[New Orders - Nondefense Capital Goods Excluding Aircraft]]-B366)/B366</f>
        <v>1.1368999694605624E-2</v>
      </c>
    </row>
    <row r="368" spans="1:3" x14ac:dyDescent="0.35">
      <c r="A368" s="74">
        <v>44652</v>
      </c>
      <c r="B368" s="75">
        <f>VLOOKUP(A368,Database!A:M,MATCH($A$1,Database!$A$1:$M$1,),)</f>
        <v>73115</v>
      </c>
      <c r="C368" s="113">
        <f>(Table535[[#This Row],[New Orders - Nondefense Capital Goods Excluding Aircraft]]-B367)/B367</f>
        <v>3.5411834140851258E-3</v>
      </c>
    </row>
    <row r="369" spans="1:3" x14ac:dyDescent="0.35">
      <c r="A369" s="74">
        <v>44682</v>
      </c>
      <c r="B369" s="75">
        <f>VLOOKUP(A369,Database!A:M,MATCH($A$1,Database!$A$1:$M$1,),)</f>
        <v>73477</v>
      </c>
      <c r="C369" s="113">
        <f>(Table535[[#This Row],[New Orders - Nondefense Capital Goods Excluding Aircraft]]-B368)/B368</f>
        <v>4.9511044245366884E-3</v>
      </c>
    </row>
    <row r="370" spans="1:3" x14ac:dyDescent="0.35">
      <c r="A370" s="74">
        <v>44713</v>
      </c>
      <c r="B370" s="75">
        <f>VLOOKUP(A370,Database!A:M,MATCH($A$1,Database!$A$1:$M$1,),)</f>
        <v>74190</v>
      </c>
      <c r="C370" s="113">
        <f>(Table535[[#This Row],[New Orders - Nondefense Capital Goods Excluding Aircraft]]-B369)/B369</f>
        <v>9.7037168093416989E-3</v>
      </c>
    </row>
    <row r="371" spans="1:3" x14ac:dyDescent="0.35">
      <c r="A371" s="74">
        <v>44743</v>
      </c>
      <c r="B371" s="75">
        <f>VLOOKUP(A371,Database!A:M,MATCH($A$1,Database!$A$1:$M$1,),)</f>
        <v>74709</v>
      </c>
      <c r="C371" s="113">
        <f>(Table535[[#This Row],[New Orders - Nondefense Capital Goods Excluding Aircraft]]-B370)/B370</f>
        <v>6.9955519611807522E-3</v>
      </c>
    </row>
    <row r="372" spans="1:3" x14ac:dyDescent="0.35">
      <c r="A372" s="74">
        <v>44774</v>
      </c>
      <c r="B372" s="75">
        <f>VLOOKUP(A372,Database!A:M,MATCH($A$1,Database!$A$1:$M$1,),)</f>
        <v>75379</v>
      </c>
      <c r="C372" s="113">
        <f>(Table535[[#This Row],[New Orders - Nondefense Capital Goods Excluding Aircraft]]-B371)/B371</f>
        <v>8.968129676478068E-3</v>
      </c>
    </row>
    <row r="373" spans="1:3" x14ac:dyDescent="0.35">
      <c r="A373" s="74">
        <v>44805</v>
      </c>
      <c r="B373" s="75">
        <f>VLOOKUP(A373,Database!A:M,MATCH($A$1,Database!$A$1:$M$1,),)</f>
        <v>74819</v>
      </c>
      <c r="C373" s="113">
        <f>(Table535[[#This Row],[New Orders - Nondefense Capital Goods Excluding Aircraft]]-B372)/B372</f>
        <v>-7.4291248225633131E-3</v>
      </c>
    </row>
    <row r="374" spans="1:3" x14ac:dyDescent="0.35">
      <c r="A374" s="74">
        <v>44835</v>
      </c>
      <c r="B374" s="75">
        <f>VLOOKUP(A374,Database!A:M,MATCH($A$1,Database!$A$1:$M$1,),)</f>
        <v>75055</v>
      </c>
      <c r="C374" s="113">
        <f>(Table535[[#This Row],[New Orders - Nondefense Capital Goods Excluding Aircraft]]-B373)/B373</f>
        <v>3.1542789933038397E-3</v>
      </c>
    </row>
    <row r="375" spans="1:3" x14ac:dyDescent="0.35">
      <c r="A375" s="74">
        <v>44866</v>
      </c>
      <c r="B375" s="75">
        <f>VLOOKUP(A375,Database!A:M,MATCH($A$1,Database!$A$1:$M$1,),)</f>
        <v>75124</v>
      </c>
      <c r="C375" s="113">
        <f>(Table535[[#This Row],[New Orders - Nondefense Capital Goods Excluding Aircraft]]-B374)/B374</f>
        <v>9.1932582772633401E-4</v>
      </c>
    </row>
  </sheetData>
  <conditionalFormatting sqref="B4:B5 C2:C3">
    <cfRule type="colorScale" priority="2">
      <colorScale>
        <cfvo type="min"/>
        <cfvo type="percentile" val="50"/>
        <cfvo type="max"/>
        <color rgb="FFF8696B"/>
        <color rgb="FFFFEB84"/>
        <color rgb="FF63BE7B"/>
      </colorScale>
    </cfRule>
  </conditionalFormatting>
  <conditionalFormatting sqref="C221:C375">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E375"/>
  <sheetViews>
    <sheetView zoomScale="130" zoomScaleNormal="130" workbookViewId="0">
      <pane ySplit="5" topLeftCell="A355" activePane="bottomLeft" state="frozen"/>
      <selection pane="bottomLeft" activeCell="AF366" sqref="AF366"/>
    </sheetView>
  </sheetViews>
  <sheetFormatPr defaultColWidth="8.81640625" defaultRowHeight="14.5" x14ac:dyDescent="0.35"/>
  <cols>
    <col min="1" max="1" width="10.81640625" style="68" customWidth="1"/>
    <col min="2" max="2" width="24.453125" style="69" customWidth="1"/>
    <col min="3" max="3" width="14.81640625" style="119" customWidth="1"/>
    <col min="4" max="240" width="9.1796875" style="117" customWidth="1"/>
    <col min="241" max="241" width="10.81640625" style="117" customWidth="1"/>
    <col min="242" max="242" width="18.1796875" style="117" customWidth="1"/>
    <col min="243" max="243" width="15" style="117" customWidth="1"/>
    <col min="244" max="247" width="13" style="117" customWidth="1"/>
    <col min="248" max="248" width="17.453125" style="117" customWidth="1"/>
    <col min="249" max="496" width="9.1796875" style="117" customWidth="1"/>
    <col min="497" max="497" width="10.81640625" style="117" customWidth="1"/>
    <col min="498" max="498" width="18.1796875" style="117" customWidth="1"/>
    <col min="499" max="499" width="15" style="117" customWidth="1"/>
    <col min="500" max="503" width="13" style="117" customWidth="1"/>
    <col min="504" max="504" width="17.453125" style="117" customWidth="1"/>
    <col min="505" max="752" width="9.1796875" style="117" customWidth="1"/>
    <col min="753" max="753" width="10.81640625" style="117" customWidth="1"/>
    <col min="754" max="754" width="18.1796875" style="117" customWidth="1"/>
    <col min="755" max="755" width="15" style="117" customWidth="1"/>
    <col min="756" max="759" width="13" style="117" customWidth="1"/>
    <col min="760" max="760" width="17.453125" style="117" customWidth="1"/>
    <col min="761" max="1008" width="9.1796875" style="117" customWidth="1"/>
    <col min="1009" max="1009" width="10.81640625" style="117" customWidth="1"/>
    <col min="1010" max="1010" width="18.1796875" style="117" customWidth="1"/>
    <col min="1011" max="1011" width="15" style="117" customWidth="1"/>
    <col min="1012" max="1015" width="13" style="117" customWidth="1"/>
    <col min="1016" max="1016" width="17.453125" style="117" customWidth="1"/>
    <col min="1017" max="1264" width="9.1796875" style="117" customWidth="1"/>
    <col min="1265" max="1265" width="10.81640625" style="117" customWidth="1"/>
    <col min="1266" max="1266" width="18.1796875" style="117" customWidth="1"/>
    <col min="1267" max="1267" width="15" style="117" customWidth="1"/>
    <col min="1268" max="1271" width="13" style="117" customWidth="1"/>
    <col min="1272" max="1272" width="17.453125" style="117" customWidth="1"/>
    <col min="1273" max="1520" width="9.1796875" style="117" customWidth="1"/>
    <col min="1521" max="1521" width="10.81640625" style="117" customWidth="1"/>
    <col min="1522" max="1522" width="18.1796875" style="117" customWidth="1"/>
    <col min="1523" max="1523" width="15" style="117" customWidth="1"/>
    <col min="1524" max="1527" width="13" style="117" customWidth="1"/>
    <col min="1528" max="1528" width="17.453125" style="117" customWidth="1"/>
    <col min="1529" max="1776" width="9.1796875" style="117" customWidth="1"/>
    <col min="1777" max="1777" width="10.81640625" style="117" customWidth="1"/>
    <col min="1778" max="1778" width="18.1796875" style="117" customWidth="1"/>
    <col min="1779" max="1779" width="15" style="117" customWidth="1"/>
    <col min="1780" max="1783" width="13" style="117" customWidth="1"/>
    <col min="1784" max="1784" width="17.453125" style="117" customWidth="1"/>
    <col min="1785" max="2032" width="9.1796875" style="117" customWidth="1"/>
    <col min="2033" max="2033" width="10.81640625" style="117" customWidth="1"/>
    <col min="2034" max="2034" width="18.1796875" style="117" customWidth="1"/>
    <col min="2035" max="2035" width="15" style="117" customWidth="1"/>
    <col min="2036" max="2039" width="13" style="117" customWidth="1"/>
    <col min="2040" max="2040" width="17.453125" style="117" customWidth="1"/>
    <col min="2041" max="2288" width="9.1796875" style="117" customWidth="1"/>
    <col min="2289" max="2289" width="10.81640625" style="117" customWidth="1"/>
    <col min="2290" max="2290" width="18.1796875" style="117" customWidth="1"/>
    <col min="2291" max="2291" width="15" style="117" customWidth="1"/>
    <col min="2292" max="2295" width="13" style="117" customWidth="1"/>
    <col min="2296" max="2296" width="17.453125" style="117" customWidth="1"/>
    <col min="2297" max="2544" width="9.1796875" style="117" customWidth="1"/>
    <col min="2545" max="2545" width="10.81640625" style="117" customWidth="1"/>
    <col min="2546" max="2546" width="18.1796875" style="117" customWidth="1"/>
    <col min="2547" max="2547" width="15" style="117" customWidth="1"/>
    <col min="2548" max="2551" width="13" style="117" customWidth="1"/>
    <col min="2552" max="2552" width="17.453125" style="117" customWidth="1"/>
    <col min="2553" max="2800" width="9.1796875" style="117" customWidth="1"/>
    <col min="2801" max="2801" width="10.81640625" style="117" customWidth="1"/>
    <col min="2802" max="2802" width="18.1796875" style="117" customWidth="1"/>
    <col min="2803" max="2803" width="15" style="117" customWidth="1"/>
    <col min="2804" max="2807" width="13" style="117" customWidth="1"/>
    <col min="2808" max="2808" width="17.453125" style="117" customWidth="1"/>
    <col min="2809" max="3056" width="9.1796875" style="117" customWidth="1"/>
    <col min="3057" max="3057" width="10.81640625" style="117" customWidth="1"/>
    <col min="3058" max="3058" width="18.1796875" style="117" customWidth="1"/>
    <col min="3059" max="3059" width="15" style="117" customWidth="1"/>
    <col min="3060" max="3063" width="13" style="117" customWidth="1"/>
    <col min="3064" max="3064" width="17.453125" style="117" customWidth="1"/>
    <col min="3065" max="3312" width="9.1796875" style="117" customWidth="1"/>
    <col min="3313" max="3313" width="10.81640625" style="117" customWidth="1"/>
    <col min="3314" max="3314" width="18.1796875" style="117" customWidth="1"/>
    <col min="3315" max="3315" width="15" style="117" customWidth="1"/>
    <col min="3316" max="3319" width="13" style="117" customWidth="1"/>
    <col min="3320" max="3320" width="17.453125" style="117" customWidth="1"/>
    <col min="3321" max="3568" width="9.1796875" style="117" customWidth="1"/>
    <col min="3569" max="3569" width="10.81640625" style="117" customWidth="1"/>
    <col min="3570" max="3570" width="18.1796875" style="117" customWidth="1"/>
    <col min="3571" max="3571" width="15" style="117" customWidth="1"/>
    <col min="3572" max="3575" width="13" style="117" customWidth="1"/>
    <col min="3576" max="3576" width="17.453125" style="117" customWidth="1"/>
    <col min="3577" max="3824" width="9.1796875" style="117" customWidth="1"/>
    <col min="3825" max="3825" width="10.81640625" style="117" customWidth="1"/>
    <col min="3826" max="3826" width="18.1796875" style="117" customWidth="1"/>
    <col min="3827" max="3827" width="15" style="117" customWidth="1"/>
    <col min="3828" max="3831" width="13" style="117" customWidth="1"/>
    <col min="3832" max="3832" width="17.453125" style="117" customWidth="1"/>
    <col min="3833" max="4080" width="9.1796875" style="117" customWidth="1"/>
    <col min="4081" max="4081" width="10.81640625" style="117" customWidth="1"/>
    <col min="4082" max="4082" width="18.1796875" style="117" customWidth="1"/>
    <col min="4083" max="4083" width="15" style="117" customWidth="1"/>
    <col min="4084" max="4087" width="13" style="117" customWidth="1"/>
    <col min="4088" max="4088" width="17.453125" style="117" customWidth="1"/>
    <col min="4089" max="4336" width="9.1796875" style="117" customWidth="1"/>
    <col min="4337" max="4337" width="10.81640625" style="117" customWidth="1"/>
    <col min="4338" max="4338" width="18.1796875" style="117" customWidth="1"/>
    <col min="4339" max="4339" width="15" style="117" customWidth="1"/>
    <col min="4340" max="4343" width="13" style="117" customWidth="1"/>
    <col min="4344" max="4344" width="17.453125" style="117" customWidth="1"/>
    <col min="4345" max="4592" width="9.1796875" style="117" customWidth="1"/>
    <col min="4593" max="4593" width="10.81640625" style="117" customWidth="1"/>
    <col min="4594" max="4594" width="18.1796875" style="117" customWidth="1"/>
    <col min="4595" max="4595" width="15" style="117" customWidth="1"/>
    <col min="4596" max="4599" width="13" style="117" customWidth="1"/>
    <col min="4600" max="4600" width="17.453125" style="117" customWidth="1"/>
    <col min="4601" max="4848" width="9.1796875" style="117" customWidth="1"/>
    <col min="4849" max="4849" width="10.81640625" style="117" customWidth="1"/>
    <col min="4850" max="4850" width="18.1796875" style="117" customWidth="1"/>
    <col min="4851" max="4851" width="15" style="117" customWidth="1"/>
    <col min="4852" max="4855" width="13" style="117" customWidth="1"/>
    <col min="4856" max="4856" width="17.453125" style="117" customWidth="1"/>
    <col min="4857" max="5104" width="9.1796875" style="117" customWidth="1"/>
    <col min="5105" max="5105" width="10.81640625" style="117" customWidth="1"/>
    <col min="5106" max="5106" width="18.1796875" style="117" customWidth="1"/>
    <col min="5107" max="5107" width="15" style="117" customWidth="1"/>
    <col min="5108" max="5111" width="13" style="117" customWidth="1"/>
    <col min="5112" max="5112" width="17.453125" style="117" customWidth="1"/>
    <col min="5113" max="5360" width="9.1796875" style="117" customWidth="1"/>
    <col min="5361" max="5361" width="10.81640625" style="117" customWidth="1"/>
    <col min="5362" max="5362" width="18.1796875" style="117" customWidth="1"/>
    <col min="5363" max="5363" width="15" style="117" customWidth="1"/>
    <col min="5364" max="5367" width="13" style="117" customWidth="1"/>
    <col min="5368" max="5368" width="17.453125" style="117" customWidth="1"/>
    <col min="5369" max="5616" width="9.1796875" style="117" customWidth="1"/>
    <col min="5617" max="5617" width="10.81640625" style="117" customWidth="1"/>
    <col min="5618" max="5618" width="18.1796875" style="117" customWidth="1"/>
    <col min="5619" max="5619" width="15" style="117" customWidth="1"/>
    <col min="5620" max="5623" width="13" style="117" customWidth="1"/>
    <col min="5624" max="5624" width="17.453125" style="117" customWidth="1"/>
    <col min="5625" max="5872" width="9.1796875" style="117" customWidth="1"/>
    <col min="5873" max="5873" width="10.81640625" style="117" customWidth="1"/>
    <col min="5874" max="5874" width="18.1796875" style="117" customWidth="1"/>
    <col min="5875" max="5875" width="15" style="117" customWidth="1"/>
    <col min="5876" max="5879" width="13" style="117" customWidth="1"/>
    <col min="5880" max="5880" width="17.453125" style="117" customWidth="1"/>
    <col min="5881" max="6128" width="9.1796875" style="117" customWidth="1"/>
    <col min="6129" max="6129" width="10.81640625" style="117" customWidth="1"/>
    <col min="6130" max="6130" width="18.1796875" style="117" customWidth="1"/>
    <col min="6131" max="6131" width="15" style="117" customWidth="1"/>
    <col min="6132" max="6135" width="13" style="117" customWidth="1"/>
    <col min="6136" max="6136" width="17.453125" style="117" customWidth="1"/>
    <col min="6137" max="6384" width="9.1796875" style="117" customWidth="1"/>
    <col min="6385" max="6385" width="10.81640625" style="117" customWidth="1"/>
    <col min="6386" max="6386" width="18.1796875" style="117" customWidth="1"/>
    <col min="6387" max="6387" width="15" style="117" customWidth="1"/>
    <col min="6388" max="6391" width="13" style="117" customWidth="1"/>
    <col min="6392" max="6392" width="17.453125" style="117" customWidth="1"/>
    <col min="6393" max="6640" width="9.1796875" style="117" customWidth="1"/>
    <col min="6641" max="6641" width="10.81640625" style="117" customWidth="1"/>
    <col min="6642" max="6642" width="18.1796875" style="117" customWidth="1"/>
    <col min="6643" max="6643" width="15" style="117" customWidth="1"/>
    <col min="6644" max="6647" width="13" style="117" customWidth="1"/>
    <col min="6648" max="6648" width="17.453125" style="117" customWidth="1"/>
    <col min="6649" max="6896" width="9.1796875" style="117" customWidth="1"/>
    <col min="6897" max="6897" width="10.81640625" style="117" customWidth="1"/>
    <col min="6898" max="6898" width="18.1796875" style="117" customWidth="1"/>
    <col min="6899" max="6899" width="15" style="117" customWidth="1"/>
    <col min="6900" max="6903" width="13" style="117" customWidth="1"/>
    <col min="6904" max="6904" width="17.453125" style="117" customWidth="1"/>
    <col min="6905" max="7152" width="9.1796875" style="117" customWidth="1"/>
    <col min="7153" max="7153" width="10.81640625" style="117" customWidth="1"/>
    <col min="7154" max="7154" width="18.1796875" style="117" customWidth="1"/>
    <col min="7155" max="7155" width="15" style="117" customWidth="1"/>
    <col min="7156" max="7159" width="13" style="117" customWidth="1"/>
    <col min="7160" max="7160" width="17.453125" style="117" customWidth="1"/>
    <col min="7161" max="7408" width="9.1796875" style="117" customWidth="1"/>
    <col min="7409" max="7409" width="10.81640625" style="117" customWidth="1"/>
    <col min="7410" max="7410" width="18.1796875" style="117" customWidth="1"/>
    <col min="7411" max="7411" width="15" style="117" customWidth="1"/>
    <col min="7412" max="7415" width="13" style="117" customWidth="1"/>
    <col min="7416" max="7416" width="17.453125" style="117" customWidth="1"/>
    <col min="7417" max="7664" width="9.1796875" style="117" customWidth="1"/>
    <col min="7665" max="7665" width="10.81640625" style="117" customWidth="1"/>
    <col min="7666" max="7666" width="18.1796875" style="117" customWidth="1"/>
    <col min="7667" max="7667" width="15" style="117" customWidth="1"/>
    <col min="7668" max="7671" width="13" style="117" customWidth="1"/>
    <col min="7672" max="7672" width="17.453125" style="117" customWidth="1"/>
    <col min="7673" max="7920" width="9.1796875" style="117" customWidth="1"/>
    <col min="7921" max="7921" width="10.81640625" style="117" customWidth="1"/>
    <col min="7922" max="7922" width="18.1796875" style="117" customWidth="1"/>
    <col min="7923" max="7923" width="15" style="117" customWidth="1"/>
    <col min="7924" max="7927" width="13" style="117" customWidth="1"/>
    <col min="7928" max="7928" width="17.453125" style="117" customWidth="1"/>
    <col min="7929" max="8176" width="9.1796875" style="117" customWidth="1"/>
    <col min="8177" max="8177" width="10.81640625" style="117" customWidth="1"/>
    <col min="8178" max="8178" width="18.1796875" style="117" customWidth="1"/>
    <col min="8179" max="8179" width="15" style="117" customWidth="1"/>
    <col min="8180" max="8183" width="13" style="117" customWidth="1"/>
    <col min="8184" max="8184" width="17.453125" style="117" customWidth="1"/>
    <col min="8185" max="8432" width="9.1796875" style="117" customWidth="1"/>
    <col min="8433" max="8433" width="10.81640625" style="117" customWidth="1"/>
    <col min="8434" max="8434" width="18.1796875" style="117" customWidth="1"/>
    <col min="8435" max="8435" width="15" style="117" customWidth="1"/>
    <col min="8436" max="8439" width="13" style="117" customWidth="1"/>
    <col min="8440" max="8440" width="17.453125" style="117" customWidth="1"/>
    <col min="8441" max="8688" width="9.1796875" style="117" customWidth="1"/>
    <col min="8689" max="8689" width="10.81640625" style="117" customWidth="1"/>
    <col min="8690" max="8690" width="18.1796875" style="117" customWidth="1"/>
    <col min="8691" max="8691" width="15" style="117" customWidth="1"/>
    <col min="8692" max="8695" width="13" style="117" customWidth="1"/>
    <col min="8696" max="8696" width="17.453125" style="117" customWidth="1"/>
    <col min="8697" max="8944" width="9.1796875" style="117" customWidth="1"/>
    <col min="8945" max="8945" width="10.81640625" style="117" customWidth="1"/>
    <col min="8946" max="8946" width="18.1796875" style="117" customWidth="1"/>
    <col min="8947" max="8947" width="15" style="117" customWidth="1"/>
    <col min="8948" max="8951" width="13" style="117" customWidth="1"/>
    <col min="8952" max="8952" width="17.453125" style="117" customWidth="1"/>
    <col min="8953" max="9200" width="9.1796875" style="117" customWidth="1"/>
    <col min="9201" max="9201" width="10.81640625" style="117" customWidth="1"/>
    <col min="9202" max="9202" width="18.1796875" style="117" customWidth="1"/>
    <col min="9203" max="9203" width="15" style="117" customWidth="1"/>
    <col min="9204" max="9207" width="13" style="117" customWidth="1"/>
    <col min="9208" max="9208" width="17.453125" style="117" customWidth="1"/>
    <col min="9209" max="9456" width="9.1796875" style="117" customWidth="1"/>
    <col min="9457" max="9457" width="10.81640625" style="117" customWidth="1"/>
    <col min="9458" max="9458" width="18.1796875" style="117" customWidth="1"/>
    <col min="9459" max="9459" width="15" style="117" customWidth="1"/>
    <col min="9460" max="9463" width="13" style="117" customWidth="1"/>
    <col min="9464" max="9464" width="17.453125" style="117" customWidth="1"/>
    <col min="9465" max="9712" width="9.1796875" style="117" customWidth="1"/>
    <col min="9713" max="9713" width="10.81640625" style="117" customWidth="1"/>
    <col min="9714" max="9714" width="18.1796875" style="117" customWidth="1"/>
    <col min="9715" max="9715" width="15" style="117" customWidth="1"/>
    <col min="9716" max="9719" width="13" style="117" customWidth="1"/>
    <col min="9720" max="9720" width="17.453125" style="117" customWidth="1"/>
    <col min="9721" max="9968" width="9.1796875" style="117" customWidth="1"/>
    <col min="9969" max="9969" width="10.81640625" style="117" customWidth="1"/>
    <col min="9970" max="9970" width="18.1796875" style="117" customWidth="1"/>
    <col min="9971" max="9971" width="15" style="117" customWidth="1"/>
    <col min="9972" max="9975" width="13" style="117" customWidth="1"/>
    <col min="9976" max="9976" width="17.453125" style="117" customWidth="1"/>
    <col min="9977" max="10224" width="9.1796875" style="117" customWidth="1"/>
    <col min="10225" max="10225" width="10.81640625" style="117" customWidth="1"/>
    <col min="10226" max="10226" width="18.1796875" style="117" customWidth="1"/>
    <col min="10227" max="10227" width="15" style="117" customWidth="1"/>
    <col min="10228" max="10231" width="13" style="117" customWidth="1"/>
    <col min="10232" max="10232" width="17.453125" style="117" customWidth="1"/>
    <col min="10233" max="10480" width="9.1796875" style="117" customWidth="1"/>
    <col min="10481" max="10481" width="10.81640625" style="117" customWidth="1"/>
    <col min="10482" max="10482" width="18.1796875" style="117" customWidth="1"/>
    <col min="10483" max="10483" width="15" style="117" customWidth="1"/>
    <col min="10484" max="10487" width="13" style="117" customWidth="1"/>
    <col min="10488" max="10488" width="17.453125" style="117" customWidth="1"/>
    <col min="10489" max="10736" width="9.1796875" style="117" customWidth="1"/>
    <col min="10737" max="10737" width="10.81640625" style="117" customWidth="1"/>
    <col min="10738" max="10738" width="18.1796875" style="117" customWidth="1"/>
    <col min="10739" max="10739" width="15" style="117" customWidth="1"/>
    <col min="10740" max="10743" width="13" style="117" customWidth="1"/>
    <col min="10744" max="10744" width="17.453125" style="117" customWidth="1"/>
    <col min="10745" max="10992" width="9.1796875" style="117" customWidth="1"/>
    <col min="10993" max="10993" width="10.81640625" style="117" customWidth="1"/>
    <col min="10994" max="10994" width="18.1796875" style="117" customWidth="1"/>
    <col min="10995" max="10995" width="15" style="117" customWidth="1"/>
    <col min="10996" max="10999" width="13" style="117" customWidth="1"/>
    <col min="11000" max="11000" width="17.453125" style="117" customWidth="1"/>
    <col min="11001" max="11248" width="9.1796875" style="117" customWidth="1"/>
    <col min="11249" max="11249" width="10.81640625" style="117" customWidth="1"/>
    <col min="11250" max="11250" width="18.1796875" style="117" customWidth="1"/>
    <col min="11251" max="11251" width="15" style="117" customWidth="1"/>
    <col min="11252" max="11255" width="13" style="117" customWidth="1"/>
    <col min="11256" max="11256" width="17.453125" style="117" customWidth="1"/>
    <col min="11257" max="11504" width="9.1796875" style="117" customWidth="1"/>
    <col min="11505" max="11505" width="10.81640625" style="117" customWidth="1"/>
    <col min="11506" max="11506" width="18.1796875" style="117" customWidth="1"/>
    <col min="11507" max="11507" width="15" style="117" customWidth="1"/>
    <col min="11508" max="11511" width="13" style="117" customWidth="1"/>
    <col min="11512" max="11512" width="17.453125" style="117" customWidth="1"/>
    <col min="11513" max="11760" width="9.1796875" style="117" customWidth="1"/>
    <col min="11761" max="11761" width="10.81640625" style="117" customWidth="1"/>
    <col min="11762" max="11762" width="18.1796875" style="117" customWidth="1"/>
    <col min="11763" max="11763" width="15" style="117" customWidth="1"/>
    <col min="11764" max="11767" width="13" style="117" customWidth="1"/>
    <col min="11768" max="11768" width="17.453125" style="117" customWidth="1"/>
    <col min="11769" max="12016" width="9.1796875" style="117" customWidth="1"/>
    <col min="12017" max="12017" width="10.81640625" style="117" customWidth="1"/>
    <col min="12018" max="12018" width="18.1796875" style="117" customWidth="1"/>
    <col min="12019" max="12019" width="15" style="117" customWidth="1"/>
    <col min="12020" max="12023" width="13" style="117" customWidth="1"/>
    <col min="12024" max="12024" width="17.453125" style="117" customWidth="1"/>
    <col min="12025" max="12272" width="9.1796875" style="117" customWidth="1"/>
    <col min="12273" max="12273" width="10.81640625" style="117" customWidth="1"/>
    <col min="12274" max="12274" width="18.1796875" style="117" customWidth="1"/>
    <col min="12275" max="12275" width="15" style="117" customWidth="1"/>
    <col min="12276" max="12279" width="13" style="117" customWidth="1"/>
    <col min="12280" max="12280" width="17.453125" style="117" customWidth="1"/>
    <col min="12281" max="12528" width="9.1796875" style="117" customWidth="1"/>
    <col min="12529" max="12529" width="10.81640625" style="117" customWidth="1"/>
    <col min="12530" max="12530" width="18.1796875" style="117" customWidth="1"/>
    <col min="12531" max="12531" width="15" style="117" customWidth="1"/>
    <col min="12532" max="12535" width="13" style="117" customWidth="1"/>
    <col min="12536" max="12536" width="17.453125" style="117" customWidth="1"/>
    <col min="12537" max="12784" width="9.1796875" style="117" customWidth="1"/>
    <col min="12785" max="12785" width="10.81640625" style="117" customWidth="1"/>
    <col min="12786" max="12786" width="18.1796875" style="117" customWidth="1"/>
    <col min="12787" max="12787" width="15" style="117" customWidth="1"/>
    <col min="12788" max="12791" width="13" style="117" customWidth="1"/>
    <col min="12792" max="12792" width="17.453125" style="117" customWidth="1"/>
    <col min="12793" max="13040" width="9.1796875" style="117" customWidth="1"/>
    <col min="13041" max="13041" width="10.81640625" style="117" customWidth="1"/>
    <col min="13042" max="13042" width="18.1796875" style="117" customWidth="1"/>
    <col min="13043" max="13043" width="15" style="117" customWidth="1"/>
    <col min="13044" max="13047" width="13" style="117" customWidth="1"/>
    <col min="13048" max="13048" width="17.453125" style="117" customWidth="1"/>
    <col min="13049" max="13296" width="9.1796875" style="117" customWidth="1"/>
    <col min="13297" max="13297" width="10.81640625" style="117" customWidth="1"/>
    <col min="13298" max="13298" width="18.1796875" style="117" customWidth="1"/>
    <col min="13299" max="13299" width="15" style="117" customWidth="1"/>
    <col min="13300" max="13303" width="13" style="117" customWidth="1"/>
    <col min="13304" max="13304" width="17.453125" style="117" customWidth="1"/>
    <col min="13305" max="13552" width="9.1796875" style="117" customWidth="1"/>
    <col min="13553" max="13553" width="10.81640625" style="117" customWidth="1"/>
    <col min="13554" max="13554" width="18.1796875" style="117" customWidth="1"/>
    <col min="13555" max="13555" width="15" style="117" customWidth="1"/>
    <col min="13556" max="13559" width="13" style="117" customWidth="1"/>
    <col min="13560" max="13560" width="17.453125" style="117" customWidth="1"/>
    <col min="13561" max="13808" width="9.1796875" style="117" customWidth="1"/>
    <col min="13809" max="13809" width="10.81640625" style="117" customWidth="1"/>
    <col min="13810" max="13810" width="18.1796875" style="117" customWidth="1"/>
    <col min="13811" max="13811" width="15" style="117" customWidth="1"/>
    <col min="13812" max="13815" width="13" style="117" customWidth="1"/>
    <col min="13816" max="13816" width="17.453125" style="117" customWidth="1"/>
    <col min="13817" max="14064" width="9.1796875" style="117" customWidth="1"/>
    <col min="14065" max="14065" width="10.81640625" style="117" customWidth="1"/>
    <col min="14066" max="14066" width="18.1796875" style="117" customWidth="1"/>
    <col min="14067" max="14067" width="15" style="117" customWidth="1"/>
    <col min="14068" max="14071" width="13" style="117" customWidth="1"/>
    <col min="14072" max="14072" width="17.453125" style="117" customWidth="1"/>
    <col min="14073" max="14320" width="9.1796875" style="117" customWidth="1"/>
    <col min="14321" max="14321" width="10.81640625" style="117" customWidth="1"/>
    <col min="14322" max="14322" width="18.1796875" style="117" customWidth="1"/>
    <col min="14323" max="14323" width="15" style="117" customWidth="1"/>
    <col min="14324" max="14327" width="13" style="117" customWidth="1"/>
    <col min="14328" max="14328" width="17.453125" style="117" customWidth="1"/>
    <col min="14329" max="14576" width="9.1796875" style="117" customWidth="1"/>
    <col min="14577" max="14577" width="10.81640625" style="117" customWidth="1"/>
    <col min="14578" max="14578" width="18.1796875" style="117" customWidth="1"/>
    <col min="14579" max="14579" width="15" style="117" customWidth="1"/>
    <col min="14580" max="14583" width="13" style="117" customWidth="1"/>
    <col min="14584" max="14584" width="17.453125" style="117" customWidth="1"/>
    <col min="14585" max="14832" width="9.1796875" style="117" customWidth="1"/>
    <col min="14833" max="14833" width="10.81640625" style="117" customWidth="1"/>
    <col min="14834" max="14834" width="18.1796875" style="117" customWidth="1"/>
    <col min="14835" max="14835" width="15" style="117" customWidth="1"/>
    <col min="14836" max="14839" width="13" style="117" customWidth="1"/>
    <col min="14840" max="14840" width="17.453125" style="117" customWidth="1"/>
    <col min="14841" max="15088" width="9.1796875" style="117" customWidth="1"/>
    <col min="15089" max="15089" width="10.81640625" style="117" customWidth="1"/>
    <col min="15090" max="15090" width="18.1796875" style="117" customWidth="1"/>
    <col min="15091" max="15091" width="15" style="117" customWidth="1"/>
    <col min="15092" max="15095" width="13" style="117" customWidth="1"/>
    <col min="15096" max="15096" width="17.453125" style="117" customWidth="1"/>
    <col min="15097" max="15344" width="9.1796875" style="117" customWidth="1"/>
    <col min="15345" max="15345" width="10.81640625" style="117" customWidth="1"/>
    <col min="15346" max="15346" width="18.1796875" style="117" customWidth="1"/>
    <col min="15347" max="15347" width="15" style="117" customWidth="1"/>
    <col min="15348" max="15351" width="13" style="117" customWidth="1"/>
    <col min="15352" max="15352" width="17.453125" style="117" customWidth="1"/>
    <col min="15353" max="15600" width="9.1796875" style="117" customWidth="1"/>
    <col min="15601" max="15601" width="10.81640625" style="117" customWidth="1"/>
    <col min="15602" max="15602" width="18.1796875" style="117" customWidth="1"/>
    <col min="15603" max="15603" width="15" style="117" customWidth="1"/>
    <col min="15604" max="15607" width="13" style="117" customWidth="1"/>
    <col min="15608" max="15608" width="17.453125" style="117" customWidth="1"/>
    <col min="15609" max="15856" width="9.1796875" style="117" customWidth="1"/>
    <col min="15857" max="15857" width="10.81640625" style="117" customWidth="1"/>
    <col min="15858" max="15858" width="18.1796875" style="117" customWidth="1"/>
    <col min="15859" max="15859" width="15" style="117" customWidth="1"/>
    <col min="15860" max="15863" width="13" style="117" customWidth="1"/>
    <col min="15864" max="15864" width="17.453125" style="117" customWidth="1"/>
    <col min="15865" max="16112" width="9.1796875" style="117" customWidth="1"/>
    <col min="16113" max="16113" width="10.81640625" style="117" customWidth="1"/>
    <col min="16114" max="16114" width="18.1796875" style="117" customWidth="1"/>
    <col min="16115" max="16115" width="15" style="117" customWidth="1"/>
    <col min="16116" max="16119" width="13" style="117" customWidth="1"/>
    <col min="16120" max="16120" width="17.453125" style="117" customWidth="1"/>
    <col min="16121" max="16384" width="9.1796875" style="117" customWidth="1"/>
  </cols>
  <sheetData>
    <row r="1" spans="1:5" x14ac:dyDescent="0.35">
      <c r="A1" s="1" t="s">
        <v>17</v>
      </c>
      <c r="B1" s="139" t="s">
        <v>13</v>
      </c>
      <c r="C1" s="146"/>
      <c r="D1" s="128"/>
      <c r="E1" s="128"/>
    </row>
    <row r="2" spans="1:5" ht="15" customHeight="1" x14ac:dyDescent="0.35">
      <c r="A2" s="71"/>
      <c r="B2" s="68"/>
      <c r="C2" s="69"/>
    </row>
    <row r="3" spans="1:5" x14ac:dyDescent="0.35">
      <c r="B3" s="68"/>
      <c r="C3" s="69"/>
    </row>
    <row r="4" spans="1:5" ht="16" customHeight="1" thickBot="1" x14ac:dyDescent="0.4"/>
    <row r="5" spans="1:5" ht="68.25" customHeight="1" x14ac:dyDescent="0.35">
      <c r="A5" s="72" t="s">
        <v>109</v>
      </c>
      <c r="B5" s="73" t="s">
        <v>13</v>
      </c>
      <c r="C5" s="111" t="s">
        <v>110</v>
      </c>
    </row>
    <row r="6" spans="1:5" x14ac:dyDescent="0.35">
      <c r="A6" s="74">
        <v>33635</v>
      </c>
      <c r="B6" s="75">
        <f>VLOOKUP(A6,Database!A:M,MATCH($A$1,Database!$A$1:$M$1,),)</f>
        <v>82931</v>
      </c>
      <c r="C6" s="112"/>
    </row>
    <row r="7" spans="1:5" x14ac:dyDescent="0.35">
      <c r="A7" s="74">
        <v>33664</v>
      </c>
      <c r="B7" s="75">
        <f>VLOOKUP(A7,Database!A:M,MATCH($A$1,Database!$A$1:$M$1,),)</f>
        <v>85725</v>
      </c>
      <c r="C7" s="113">
        <f>(Table5351415[[#This Row],[New Orders ex Transport]]-B6)/B6</f>
        <v>3.3690658499234305E-2</v>
      </c>
    </row>
    <row r="8" spans="1:5" x14ac:dyDescent="0.35">
      <c r="A8" s="74">
        <v>33695</v>
      </c>
      <c r="B8" s="75">
        <f>VLOOKUP(A8,Database!A:M,MATCH($A$1,Database!$A$1:$M$1,),)</f>
        <v>86604</v>
      </c>
      <c r="C8" s="113">
        <f>(Table5351415[[#This Row],[New Orders ex Transport]]-B7)/B7</f>
        <v>1.0253718285214349E-2</v>
      </c>
    </row>
    <row r="9" spans="1:5" x14ac:dyDescent="0.35">
      <c r="A9" s="74">
        <v>33725</v>
      </c>
      <c r="B9" s="75">
        <f>VLOOKUP(A9,Database!A:M,MATCH($A$1,Database!$A$1:$M$1,),)</f>
        <v>88340</v>
      </c>
      <c r="C9" s="113">
        <f>(Table5351415[[#This Row],[New Orders ex Transport]]-B8)/B8</f>
        <v>2.0045263498221791E-2</v>
      </c>
    </row>
    <row r="10" spans="1:5" x14ac:dyDescent="0.35">
      <c r="A10" s="74">
        <v>33756</v>
      </c>
      <c r="B10" s="75">
        <f>VLOOKUP(A10,Database!A:M,MATCH($A$1,Database!$A$1:$M$1,),)</f>
        <v>88219</v>
      </c>
      <c r="C10" s="113">
        <f>(Table5351415[[#This Row],[New Orders ex Transport]]-B9)/B9</f>
        <v>-1.3697079465700701E-3</v>
      </c>
    </row>
    <row r="11" spans="1:5" x14ac:dyDescent="0.35">
      <c r="A11" s="74">
        <v>33786</v>
      </c>
      <c r="B11" s="75">
        <f>VLOOKUP(A11,Database!A:M,MATCH($A$1,Database!$A$1:$M$1,),)</f>
        <v>87727</v>
      </c>
      <c r="C11" s="113">
        <f>(Table5351415[[#This Row],[New Orders ex Transport]]-B10)/B10</f>
        <v>-5.5770298915199671E-3</v>
      </c>
    </row>
    <row r="12" spans="1:5" x14ac:dyDescent="0.35">
      <c r="A12" s="74">
        <v>33817</v>
      </c>
      <c r="B12" s="75">
        <f>VLOOKUP(A12,Database!A:M,MATCH($A$1,Database!$A$1:$M$1,),)</f>
        <v>87497</v>
      </c>
      <c r="C12" s="113">
        <f>(Table5351415[[#This Row],[New Orders ex Transport]]-B11)/B11</f>
        <v>-2.6217698086108041E-3</v>
      </c>
    </row>
    <row r="13" spans="1:5" x14ac:dyDescent="0.35">
      <c r="A13" s="74">
        <v>33848</v>
      </c>
      <c r="B13" s="75">
        <f>VLOOKUP(A13,Database!A:M,MATCH($A$1,Database!$A$1:$M$1,),)</f>
        <v>88681</v>
      </c>
      <c r="C13" s="113">
        <f>(Table5351415[[#This Row],[New Orders ex Transport]]-B12)/B12</f>
        <v>1.3531892522029326E-2</v>
      </c>
    </row>
    <row r="14" spans="1:5" x14ac:dyDescent="0.35">
      <c r="A14" s="74">
        <v>33878</v>
      </c>
      <c r="B14" s="75">
        <f>VLOOKUP(A14,Database!A:M,MATCH($A$1,Database!$A$1:$M$1,),)</f>
        <v>87064</v>
      </c>
      <c r="C14" s="113">
        <f>(Table5351415[[#This Row],[New Orders ex Transport]]-B13)/B13</f>
        <v>-1.8233894520810544E-2</v>
      </c>
    </row>
    <row r="15" spans="1:5" x14ac:dyDescent="0.35">
      <c r="A15" s="74">
        <v>33909</v>
      </c>
      <c r="B15" s="75">
        <f>VLOOKUP(A15,Database!A:M,MATCH($A$1,Database!$A$1:$M$1,),)</f>
        <v>89497</v>
      </c>
      <c r="C15" s="113">
        <f>(Table5351415[[#This Row],[New Orders ex Transport]]-B14)/B14</f>
        <v>2.7944960029403658E-2</v>
      </c>
    </row>
    <row r="16" spans="1:5" x14ac:dyDescent="0.35">
      <c r="A16" s="74">
        <v>33939</v>
      </c>
      <c r="B16" s="75">
        <f>VLOOKUP(A16,Database!A:M,MATCH($A$1,Database!$A$1:$M$1,),)</f>
        <v>91359</v>
      </c>
      <c r="C16" s="113">
        <f>(Table5351415[[#This Row],[New Orders ex Transport]]-B15)/B15</f>
        <v>2.0805166653630847E-2</v>
      </c>
    </row>
    <row r="17" spans="1:3" x14ac:dyDescent="0.35">
      <c r="A17" s="74">
        <v>33970</v>
      </c>
      <c r="B17" s="75">
        <f>VLOOKUP(A17,Database!A:M,MATCH($A$1,Database!$A$1:$M$1,),)</f>
        <v>91074</v>
      </c>
      <c r="C17" s="113">
        <f>(Table5351415[[#This Row],[New Orders ex Transport]]-B16)/B16</f>
        <v>-3.1195612911699999E-3</v>
      </c>
    </row>
    <row r="18" spans="1:3" x14ac:dyDescent="0.35">
      <c r="A18" s="74">
        <v>34001</v>
      </c>
      <c r="B18" s="75">
        <f>VLOOKUP(A18,Database!A:M,MATCH($A$1,Database!$A$1:$M$1,),)</f>
        <v>90448</v>
      </c>
      <c r="C18" s="113">
        <f>(Table5351415[[#This Row],[New Orders ex Transport]]-B17)/B17</f>
        <v>-6.8735314140149772E-3</v>
      </c>
    </row>
    <row r="19" spans="1:3" x14ac:dyDescent="0.35">
      <c r="A19" s="74">
        <v>34029</v>
      </c>
      <c r="B19" s="75">
        <f>VLOOKUP(A19,Database!A:M,MATCH($A$1,Database!$A$1:$M$1,),)</f>
        <v>91923</v>
      </c>
      <c r="C19" s="113">
        <f>(Table5351415[[#This Row],[New Orders ex Transport]]-B18)/B18</f>
        <v>1.6307712718910312E-2</v>
      </c>
    </row>
    <row r="20" spans="1:3" x14ac:dyDescent="0.35">
      <c r="A20" s="74">
        <v>34060</v>
      </c>
      <c r="B20" s="75">
        <f>VLOOKUP(A20,Database!A:M,MATCH($A$1,Database!$A$1:$M$1,),)</f>
        <v>91700</v>
      </c>
      <c r="C20" s="113">
        <f>(Table5351415[[#This Row],[New Orders ex Transport]]-B19)/B19</f>
        <v>-2.4259434526723452E-3</v>
      </c>
    </row>
    <row r="21" spans="1:3" x14ac:dyDescent="0.35">
      <c r="A21" s="74">
        <v>34090</v>
      </c>
      <c r="B21" s="75">
        <f>VLOOKUP(A21,Database!A:M,MATCH($A$1,Database!$A$1:$M$1,),)</f>
        <v>91493</v>
      </c>
      <c r="C21" s="113">
        <f>(Table5351415[[#This Row],[New Orders ex Transport]]-B20)/B20</f>
        <v>-2.2573609596510361E-3</v>
      </c>
    </row>
    <row r="22" spans="1:3" x14ac:dyDescent="0.35">
      <c r="A22" s="74">
        <v>34121</v>
      </c>
      <c r="B22" s="75">
        <f>VLOOKUP(A22,Database!A:M,MATCH($A$1,Database!$A$1:$M$1,),)</f>
        <v>91139</v>
      </c>
      <c r="C22" s="113">
        <f>(Table5351415[[#This Row],[New Orders ex Transport]]-B21)/B21</f>
        <v>-3.8691484594449849E-3</v>
      </c>
    </row>
    <row r="23" spans="1:3" x14ac:dyDescent="0.35">
      <c r="A23" s="74">
        <v>34151</v>
      </c>
      <c r="B23" s="75">
        <f>VLOOKUP(A23,Database!A:M,MATCH($A$1,Database!$A$1:$M$1,),)</f>
        <v>92496</v>
      </c>
      <c r="C23" s="113">
        <f>(Table5351415[[#This Row],[New Orders ex Transport]]-B22)/B22</f>
        <v>1.4889344846882235E-2</v>
      </c>
    </row>
    <row r="24" spans="1:3" x14ac:dyDescent="0.35">
      <c r="A24" s="74">
        <v>34182</v>
      </c>
      <c r="B24" s="75">
        <f>VLOOKUP(A24,Database!A:M,MATCH($A$1,Database!$A$1:$M$1,),)</f>
        <v>93424</v>
      </c>
      <c r="C24" s="113">
        <f>(Table5351415[[#This Row],[New Orders ex Transport]]-B23)/B23</f>
        <v>1.003286628610967E-2</v>
      </c>
    </row>
    <row r="25" spans="1:3" x14ac:dyDescent="0.35">
      <c r="A25" s="74">
        <v>34213</v>
      </c>
      <c r="B25" s="75">
        <f>VLOOKUP(A25,Database!A:M,MATCH($A$1,Database!$A$1:$M$1,),)</f>
        <v>94082</v>
      </c>
      <c r="C25" s="113">
        <f>(Table5351415[[#This Row],[New Orders ex Transport]]-B24)/B24</f>
        <v>7.0431580750128448E-3</v>
      </c>
    </row>
    <row r="26" spans="1:3" x14ac:dyDescent="0.35">
      <c r="A26" s="74">
        <v>34243</v>
      </c>
      <c r="B26" s="75">
        <f>VLOOKUP(A26,Database!A:M,MATCH($A$1,Database!$A$1:$M$1,),)</f>
        <v>96033</v>
      </c>
      <c r="C26" s="113">
        <f>(Table5351415[[#This Row],[New Orders ex Transport]]-B25)/B25</f>
        <v>2.0737229225569184E-2</v>
      </c>
    </row>
    <row r="27" spans="1:3" x14ac:dyDescent="0.35">
      <c r="A27" s="74">
        <v>34274</v>
      </c>
      <c r="B27" s="75">
        <f>VLOOKUP(A27,Database!A:M,MATCH($A$1,Database!$A$1:$M$1,),)</f>
        <v>94450</v>
      </c>
      <c r="C27" s="113">
        <f>(Table5351415[[#This Row],[New Orders ex Transport]]-B26)/B26</f>
        <v>-1.6483916986869098E-2</v>
      </c>
    </row>
    <row r="28" spans="1:3" x14ac:dyDescent="0.35">
      <c r="A28" s="74">
        <v>34304</v>
      </c>
      <c r="B28" s="75">
        <f>VLOOKUP(A28,Database!A:M,MATCH($A$1,Database!$A$1:$M$1,),)</f>
        <v>97857</v>
      </c>
      <c r="C28" s="113">
        <f>(Table5351415[[#This Row],[New Orders ex Transport]]-B27)/B27</f>
        <v>3.6071995764955005E-2</v>
      </c>
    </row>
    <row r="29" spans="1:3" x14ac:dyDescent="0.35">
      <c r="A29" s="74">
        <v>34335</v>
      </c>
      <c r="B29" s="75">
        <f>VLOOKUP(A29,Database!A:M,MATCH($A$1,Database!$A$1:$M$1,),)</f>
        <v>97250</v>
      </c>
      <c r="C29" s="113">
        <f>(Table5351415[[#This Row],[New Orders ex Transport]]-B28)/B28</f>
        <v>-6.2029287633996542E-3</v>
      </c>
    </row>
    <row r="30" spans="1:3" x14ac:dyDescent="0.35">
      <c r="A30" s="74">
        <v>34366</v>
      </c>
      <c r="B30" s="75">
        <f>VLOOKUP(A30,Database!A:M,MATCH($A$1,Database!$A$1:$M$1,),)</f>
        <v>98720</v>
      </c>
      <c r="C30" s="113">
        <f>(Table5351415[[#This Row],[New Orders ex Transport]]-B29)/B29</f>
        <v>1.5115681233933162E-2</v>
      </c>
    </row>
    <row r="31" spans="1:3" x14ac:dyDescent="0.35">
      <c r="A31" s="74">
        <v>34394</v>
      </c>
      <c r="B31" s="75">
        <f>VLOOKUP(A31,Database!A:M,MATCH($A$1,Database!$A$1:$M$1,),)</f>
        <v>98497</v>
      </c>
      <c r="C31" s="113">
        <f>(Table5351415[[#This Row],[New Orders ex Transport]]-B30)/B30</f>
        <v>-2.2589141004862238E-3</v>
      </c>
    </row>
    <row r="32" spans="1:3" x14ac:dyDescent="0.35">
      <c r="A32" s="74">
        <v>34425</v>
      </c>
      <c r="B32" s="75">
        <f>VLOOKUP(A32,Database!A:M,MATCH($A$1,Database!$A$1:$M$1,),)</f>
        <v>101101</v>
      </c>
      <c r="C32" s="113">
        <f>(Table5351415[[#This Row],[New Orders ex Transport]]-B31)/B31</f>
        <v>2.6437353421931632E-2</v>
      </c>
    </row>
    <row r="33" spans="1:3" x14ac:dyDescent="0.35">
      <c r="A33" s="74">
        <v>34455</v>
      </c>
      <c r="B33" s="75">
        <f>VLOOKUP(A33,Database!A:M,MATCH($A$1,Database!$A$1:$M$1,),)</f>
        <v>102623</v>
      </c>
      <c r="C33" s="113">
        <f>(Table5351415[[#This Row],[New Orders ex Transport]]-B32)/B32</f>
        <v>1.5054252678015054E-2</v>
      </c>
    </row>
    <row r="34" spans="1:3" x14ac:dyDescent="0.35">
      <c r="A34" s="74">
        <v>34486</v>
      </c>
      <c r="B34" s="75">
        <f>VLOOKUP(A34,Database!A:M,MATCH($A$1,Database!$A$1:$M$1,),)</f>
        <v>104475</v>
      </c>
      <c r="C34" s="113">
        <f>(Table5351415[[#This Row],[New Orders ex Transport]]-B33)/B33</f>
        <v>1.8046636718864192E-2</v>
      </c>
    </row>
    <row r="35" spans="1:3" x14ac:dyDescent="0.35">
      <c r="A35" s="74">
        <v>34516</v>
      </c>
      <c r="B35" s="75">
        <f>VLOOKUP(A35,Database!A:M,MATCH($A$1,Database!$A$1:$M$1,),)</f>
        <v>104841</v>
      </c>
      <c r="C35" s="113">
        <f>(Table5351415[[#This Row],[New Orders ex Transport]]-B34)/B34</f>
        <v>3.5032304379038048E-3</v>
      </c>
    </row>
    <row r="36" spans="1:3" x14ac:dyDescent="0.35">
      <c r="A36" s="74">
        <v>34547</v>
      </c>
      <c r="B36" s="75">
        <f>VLOOKUP(A36,Database!A:M,MATCH($A$1,Database!$A$1:$M$1,),)</f>
        <v>103904</v>
      </c>
      <c r="C36" s="113">
        <f>(Table5351415[[#This Row],[New Orders ex Transport]]-B35)/B35</f>
        <v>-8.9373432149636115E-3</v>
      </c>
    </row>
    <row r="37" spans="1:3" x14ac:dyDescent="0.35">
      <c r="A37" s="74">
        <v>34578</v>
      </c>
      <c r="B37" s="75">
        <f>VLOOKUP(A37,Database!A:M,MATCH($A$1,Database!$A$1:$M$1,),)</f>
        <v>104826</v>
      </c>
      <c r="C37" s="113">
        <f>(Table5351415[[#This Row],[New Orders ex Transport]]-B36)/B36</f>
        <v>8.8735756082537719E-3</v>
      </c>
    </row>
    <row r="38" spans="1:3" x14ac:dyDescent="0.35">
      <c r="A38" s="74">
        <v>34608</v>
      </c>
      <c r="B38" s="75">
        <f>VLOOKUP(A38,Database!A:M,MATCH($A$1,Database!$A$1:$M$1,),)</f>
        <v>107955</v>
      </c>
      <c r="C38" s="113">
        <f>(Table5351415[[#This Row],[New Orders ex Transport]]-B37)/B37</f>
        <v>2.9849464827428309E-2</v>
      </c>
    </row>
    <row r="39" spans="1:3" x14ac:dyDescent="0.35">
      <c r="A39" s="74">
        <v>34639</v>
      </c>
      <c r="B39" s="75">
        <f>VLOOKUP(A39,Database!A:M,MATCH($A$1,Database!$A$1:$M$1,),)</f>
        <v>107142</v>
      </c>
      <c r="C39" s="113">
        <f>(Table5351415[[#This Row],[New Orders ex Transport]]-B38)/B38</f>
        <v>-7.5309156593024867E-3</v>
      </c>
    </row>
    <row r="40" spans="1:3" x14ac:dyDescent="0.35">
      <c r="A40" s="74">
        <v>34669</v>
      </c>
      <c r="B40" s="75">
        <f>VLOOKUP(A40,Database!A:M,MATCH($A$1,Database!$A$1:$M$1,),)</f>
        <v>109357</v>
      </c>
      <c r="C40" s="113">
        <f>(Table5351415[[#This Row],[New Orders ex Transport]]-B39)/B39</f>
        <v>2.0673498721323104E-2</v>
      </c>
    </row>
    <row r="41" spans="1:3" x14ac:dyDescent="0.35">
      <c r="A41" s="74">
        <v>34700</v>
      </c>
      <c r="B41" s="75">
        <f>VLOOKUP(A41,Database!A:M,MATCH($A$1,Database!$A$1:$M$1,),)</f>
        <v>111899</v>
      </c>
      <c r="C41" s="113">
        <f>(Table5351415[[#This Row],[New Orders ex Transport]]-B40)/B40</f>
        <v>2.3244968314785518E-2</v>
      </c>
    </row>
    <row r="42" spans="1:3" x14ac:dyDescent="0.35">
      <c r="A42" s="74">
        <v>34731</v>
      </c>
      <c r="B42" s="75">
        <f>VLOOKUP(A42,Database!A:M,MATCH($A$1,Database!$A$1:$M$1,),)</f>
        <v>109484</v>
      </c>
      <c r="C42" s="113">
        <f>(Table5351415[[#This Row],[New Orders ex Transport]]-B41)/B41</f>
        <v>-2.1581962305293165E-2</v>
      </c>
    </row>
    <row r="43" spans="1:3" x14ac:dyDescent="0.35">
      <c r="A43" s="74">
        <v>34759</v>
      </c>
      <c r="B43" s="75">
        <f>VLOOKUP(A43,Database!A:M,MATCH($A$1,Database!$A$1:$M$1,),)</f>
        <v>109712</v>
      </c>
      <c r="C43" s="113">
        <f>(Table5351415[[#This Row],[New Orders ex Transport]]-B42)/B42</f>
        <v>2.0824960724854773E-3</v>
      </c>
    </row>
    <row r="44" spans="1:3" x14ac:dyDescent="0.35">
      <c r="A44" s="74">
        <v>34790</v>
      </c>
      <c r="B44" s="75">
        <f>VLOOKUP(A44,Database!A:M,MATCH($A$1,Database!$A$1:$M$1,),)</f>
        <v>110480</v>
      </c>
      <c r="C44" s="113">
        <f>(Table5351415[[#This Row],[New Orders ex Transport]]-B43)/B43</f>
        <v>7.0001458363715911E-3</v>
      </c>
    </row>
    <row r="45" spans="1:3" x14ac:dyDescent="0.35">
      <c r="A45" s="74">
        <v>34820</v>
      </c>
      <c r="B45" s="75">
        <f>VLOOKUP(A45,Database!A:M,MATCH($A$1,Database!$A$1:$M$1,),)</f>
        <v>111794</v>
      </c>
      <c r="C45" s="113">
        <f>(Table5351415[[#This Row],[New Orders ex Transport]]-B44)/B44</f>
        <v>1.1893555394641564E-2</v>
      </c>
    </row>
    <row r="46" spans="1:3" x14ac:dyDescent="0.35">
      <c r="A46" s="74">
        <v>34851</v>
      </c>
      <c r="B46" s="75">
        <f>VLOOKUP(A46,Database!A:M,MATCH($A$1,Database!$A$1:$M$1,),)</f>
        <v>109440</v>
      </c>
      <c r="C46" s="113">
        <f>(Table5351415[[#This Row],[New Orders ex Transport]]-B45)/B45</f>
        <v>-2.1056586221085211E-2</v>
      </c>
    </row>
    <row r="47" spans="1:3" x14ac:dyDescent="0.35">
      <c r="A47" s="74">
        <v>34881</v>
      </c>
      <c r="B47" s="75">
        <f>VLOOKUP(A47,Database!A:M,MATCH($A$1,Database!$A$1:$M$1,),)</f>
        <v>108990</v>
      </c>
      <c r="C47" s="113">
        <f>(Table5351415[[#This Row],[New Orders ex Transport]]-B46)/B46</f>
        <v>-4.1118421052631577E-3</v>
      </c>
    </row>
    <row r="48" spans="1:3" x14ac:dyDescent="0.35">
      <c r="A48" s="74">
        <v>34912</v>
      </c>
      <c r="B48" s="75">
        <f>VLOOKUP(A48,Database!A:M,MATCH($A$1,Database!$A$1:$M$1,),)</f>
        <v>112316</v>
      </c>
      <c r="C48" s="113">
        <f>(Table5351415[[#This Row],[New Orders ex Transport]]-B47)/B47</f>
        <v>3.0516561152399303E-2</v>
      </c>
    </row>
    <row r="49" spans="1:3" x14ac:dyDescent="0.35">
      <c r="A49" s="74">
        <v>34943</v>
      </c>
      <c r="B49" s="75">
        <f>VLOOKUP(A49,Database!A:M,MATCH($A$1,Database!$A$1:$M$1,),)</f>
        <v>113019</v>
      </c>
      <c r="C49" s="113">
        <f>(Table5351415[[#This Row],[New Orders ex Transport]]-B48)/B48</f>
        <v>6.2591260372520385E-3</v>
      </c>
    </row>
    <row r="50" spans="1:3" x14ac:dyDescent="0.35">
      <c r="A50" s="74">
        <v>34973</v>
      </c>
      <c r="B50" s="75">
        <f>VLOOKUP(A50,Database!A:M,MATCH($A$1,Database!$A$1:$M$1,),)</f>
        <v>115650</v>
      </c>
      <c r="C50" s="113">
        <f>(Table5351415[[#This Row],[New Orders ex Transport]]-B49)/B49</f>
        <v>2.3279271626894592E-2</v>
      </c>
    </row>
    <row r="51" spans="1:3" x14ac:dyDescent="0.35">
      <c r="A51" s="74">
        <v>35004</v>
      </c>
      <c r="B51" s="75">
        <f>VLOOKUP(A51,Database!A:M,MATCH($A$1,Database!$A$1:$M$1,),)</f>
        <v>113473</v>
      </c>
      <c r="C51" s="113">
        <f>(Table5351415[[#This Row],[New Orders ex Transport]]-B50)/B50</f>
        <v>-1.882403804582793E-2</v>
      </c>
    </row>
    <row r="52" spans="1:3" x14ac:dyDescent="0.35">
      <c r="A52" s="74">
        <v>35034</v>
      </c>
      <c r="B52" s="75">
        <f>VLOOKUP(A52,Database!A:M,MATCH($A$1,Database!$A$1:$M$1,),)</f>
        <v>116432</v>
      </c>
      <c r="C52" s="113">
        <f>(Table5351415[[#This Row],[New Orders ex Transport]]-B51)/B51</f>
        <v>2.6076687846448055E-2</v>
      </c>
    </row>
    <row r="53" spans="1:3" x14ac:dyDescent="0.35">
      <c r="A53" s="74">
        <v>35065</v>
      </c>
      <c r="B53" s="75">
        <f>VLOOKUP(A53,Database!A:M,MATCH($A$1,Database!$A$1:$M$1,),)</f>
        <v>112070</v>
      </c>
      <c r="C53" s="113">
        <f>(Table5351415[[#This Row],[New Orders ex Transport]]-B52)/B52</f>
        <v>-3.7463927442627457E-2</v>
      </c>
    </row>
    <row r="54" spans="1:3" x14ac:dyDescent="0.35">
      <c r="A54" s="74">
        <v>35096</v>
      </c>
      <c r="B54" s="75">
        <f>VLOOKUP(A54,Database!A:M,MATCH($A$1,Database!$A$1:$M$1,),)</f>
        <v>110398</v>
      </c>
      <c r="C54" s="113">
        <f>(Table5351415[[#This Row],[New Orders ex Transport]]-B53)/B53</f>
        <v>-1.4919246899259392E-2</v>
      </c>
    </row>
    <row r="55" spans="1:3" x14ac:dyDescent="0.35">
      <c r="A55" s="74">
        <v>35125</v>
      </c>
      <c r="B55" s="75">
        <f>VLOOKUP(A55,Database!A:M,MATCH($A$1,Database!$A$1:$M$1,),)</f>
        <v>114653</v>
      </c>
      <c r="C55" s="113">
        <f>(Table5351415[[#This Row],[New Orders ex Transport]]-B54)/B54</f>
        <v>3.8542364897914815E-2</v>
      </c>
    </row>
    <row r="56" spans="1:3" x14ac:dyDescent="0.35">
      <c r="A56" s="74">
        <v>35156</v>
      </c>
      <c r="B56" s="75">
        <f>VLOOKUP(A56,Database!A:M,MATCH($A$1,Database!$A$1:$M$1,),)</f>
        <v>113802</v>
      </c>
      <c r="C56" s="113">
        <f>(Table5351415[[#This Row],[New Orders ex Transport]]-B55)/B55</f>
        <v>-7.4223962739745145E-3</v>
      </c>
    </row>
    <row r="57" spans="1:3" x14ac:dyDescent="0.35">
      <c r="A57" s="74">
        <v>35186</v>
      </c>
      <c r="B57" s="75">
        <f>VLOOKUP(A57,Database!A:M,MATCH($A$1,Database!$A$1:$M$1,),)</f>
        <v>117175</v>
      </c>
      <c r="C57" s="113">
        <f>(Table5351415[[#This Row],[New Orders ex Transport]]-B56)/B56</f>
        <v>2.9639197905133478E-2</v>
      </c>
    </row>
    <row r="58" spans="1:3" x14ac:dyDescent="0.35">
      <c r="A58" s="74">
        <v>35217</v>
      </c>
      <c r="B58" s="75">
        <f>VLOOKUP(A58,Database!A:M,MATCH($A$1,Database!$A$1:$M$1,),)</f>
        <v>117889</v>
      </c>
      <c r="C58" s="113">
        <f>(Table5351415[[#This Row],[New Orders ex Transport]]-B57)/B57</f>
        <v>6.0934499679965864E-3</v>
      </c>
    </row>
    <row r="59" spans="1:3" x14ac:dyDescent="0.35">
      <c r="A59" s="74">
        <v>35247</v>
      </c>
      <c r="B59" s="75">
        <f>VLOOKUP(A59,Database!A:M,MATCH($A$1,Database!$A$1:$M$1,),)</f>
        <v>116598</v>
      </c>
      <c r="C59" s="113">
        <f>(Table5351415[[#This Row],[New Orders ex Transport]]-B58)/B58</f>
        <v>-1.0950979311046832E-2</v>
      </c>
    </row>
    <row r="60" spans="1:3" x14ac:dyDescent="0.35">
      <c r="A60" s="74">
        <v>35278</v>
      </c>
      <c r="B60" s="75">
        <f>VLOOKUP(A60,Database!A:M,MATCH($A$1,Database!$A$1:$M$1,),)</f>
        <v>117708</v>
      </c>
      <c r="C60" s="113">
        <f>(Table5351415[[#This Row],[New Orders ex Transport]]-B59)/B59</f>
        <v>9.5198888488653328E-3</v>
      </c>
    </row>
    <row r="61" spans="1:3" x14ac:dyDescent="0.35">
      <c r="A61" s="74">
        <v>35309</v>
      </c>
      <c r="B61" s="75">
        <f>VLOOKUP(A61,Database!A:M,MATCH($A$1,Database!$A$1:$M$1,),)</f>
        <v>116336</v>
      </c>
      <c r="C61" s="113">
        <f>(Table5351415[[#This Row],[New Orders ex Transport]]-B60)/B60</f>
        <v>-1.1655962211574404E-2</v>
      </c>
    </row>
    <row r="62" spans="1:3" x14ac:dyDescent="0.35">
      <c r="A62" s="74">
        <v>35339</v>
      </c>
      <c r="B62" s="75">
        <f>VLOOKUP(A62,Database!A:M,MATCH($A$1,Database!$A$1:$M$1,),)</f>
        <v>119499</v>
      </c>
      <c r="C62" s="113">
        <f>(Table5351415[[#This Row],[New Orders ex Transport]]-B61)/B61</f>
        <v>2.7188488516022555E-2</v>
      </c>
    </row>
    <row r="63" spans="1:3" x14ac:dyDescent="0.35">
      <c r="A63" s="74">
        <v>35370</v>
      </c>
      <c r="B63" s="75">
        <f>VLOOKUP(A63,Database!A:M,MATCH($A$1,Database!$A$1:$M$1,),)</f>
        <v>119569</v>
      </c>
      <c r="C63" s="113">
        <f>(Table5351415[[#This Row],[New Orders ex Transport]]-B62)/B62</f>
        <v>5.8577896049339328E-4</v>
      </c>
    </row>
    <row r="64" spans="1:3" x14ac:dyDescent="0.35">
      <c r="A64" s="74">
        <v>35400</v>
      </c>
      <c r="B64" s="75">
        <f>VLOOKUP(A64,Database!A:M,MATCH($A$1,Database!$A$1:$M$1,),)</f>
        <v>116695</v>
      </c>
      <c r="C64" s="113">
        <f>(Table5351415[[#This Row],[New Orders ex Transport]]-B63)/B63</f>
        <v>-2.4036330486999137E-2</v>
      </c>
    </row>
    <row r="65" spans="1:3" x14ac:dyDescent="0.35">
      <c r="A65" s="74">
        <v>35431</v>
      </c>
      <c r="B65" s="75">
        <f>VLOOKUP(A65,Database!A:M,MATCH($A$1,Database!$A$1:$M$1,),)</f>
        <v>118690</v>
      </c>
      <c r="C65" s="113">
        <f>(Table5351415[[#This Row],[New Orders ex Transport]]-B64)/B64</f>
        <v>1.7095848151163291E-2</v>
      </c>
    </row>
    <row r="66" spans="1:3" x14ac:dyDescent="0.35">
      <c r="A66" s="74">
        <v>35462</v>
      </c>
      <c r="B66" s="75">
        <f>VLOOKUP(A66,Database!A:M,MATCH($A$1,Database!$A$1:$M$1,),)</f>
        <v>123490</v>
      </c>
      <c r="C66" s="113">
        <f>(Table5351415[[#This Row],[New Orders ex Transport]]-B65)/B65</f>
        <v>4.0441486224618753E-2</v>
      </c>
    </row>
    <row r="67" spans="1:3" x14ac:dyDescent="0.35">
      <c r="A67" s="74">
        <v>35490</v>
      </c>
      <c r="B67" s="75">
        <f>VLOOKUP(A67,Database!A:M,MATCH($A$1,Database!$A$1:$M$1,),)</f>
        <v>123185</v>
      </c>
      <c r="C67" s="113">
        <f>(Table5351415[[#This Row],[New Orders ex Transport]]-B66)/B66</f>
        <v>-2.469835614219775E-3</v>
      </c>
    </row>
    <row r="68" spans="1:3" x14ac:dyDescent="0.35">
      <c r="A68" s="74">
        <v>35521</v>
      </c>
      <c r="B68" s="75">
        <f>VLOOKUP(A68,Database!A:M,MATCH($A$1,Database!$A$1:$M$1,),)</f>
        <v>125909</v>
      </c>
      <c r="C68" s="113">
        <f>(Table5351415[[#This Row],[New Orders ex Transport]]-B67)/B67</f>
        <v>2.2113081949912732E-2</v>
      </c>
    </row>
    <row r="69" spans="1:3" x14ac:dyDescent="0.35">
      <c r="A69" s="74">
        <v>35551</v>
      </c>
      <c r="B69" s="75">
        <f>VLOOKUP(A69,Database!A:M,MATCH($A$1,Database!$A$1:$M$1,),)</f>
        <v>122860</v>
      </c>
      <c r="C69" s="113">
        <f>(Table5351415[[#This Row],[New Orders ex Transport]]-B68)/B68</f>
        <v>-2.4215901960940044E-2</v>
      </c>
    </row>
    <row r="70" spans="1:3" x14ac:dyDescent="0.35">
      <c r="A70" s="74">
        <v>35582</v>
      </c>
      <c r="B70" s="75">
        <f>VLOOKUP(A70,Database!A:M,MATCH($A$1,Database!$A$1:$M$1,),)</f>
        <v>126457</v>
      </c>
      <c r="C70" s="113">
        <f>(Table5351415[[#This Row],[New Orders ex Transport]]-B69)/B69</f>
        <v>2.9277226111020675E-2</v>
      </c>
    </row>
    <row r="71" spans="1:3" x14ac:dyDescent="0.35">
      <c r="A71" s="74">
        <v>35612</v>
      </c>
      <c r="B71" s="75">
        <f>VLOOKUP(A71,Database!A:M,MATCH($A$1,Database!$A$1:$M$1,),)</f>
        <v>128937</v>
      </c>
      <c r="C71" s="113">
        <f>(Table5351415[[#This Row],[New Orders ex Transport]]-B70)/B70</f>
        <v>1.9611409411894952E-2</v>
      </c>
    </row>
    <row r="72" spans="1:3" x14ac:dyDescent="0.35">
      <c r="A72" s="74">
        <v>35643</v>
      </c>
      <c r="B72" s="75">
        <f>VLOOKUP(A72,Database!A:M,MATCH($A$1,Database!$A$1:$M$1,),)</f>
        <v>127817</v>
      </c>
      <c r="C72" s="113">
        <f>(Table5351415[[#This Row],[New Orders ex Transport]]-B71)/B71</f>
        <v>-8.6864127442084112E-3</v>
      </c>
    </row>
    <row r="73" spans="1:3" x14ac:dyDescent="0.35">
      <c r="A73" s="74">
        <v>35674</v>
      </c>
      <c r="B73" s="75">
        <f>VLOOKUP(A73,Database!A:M,MATCH($A$1,Database!$A$1:$M$1,),)</f>
        <v>130673</v>
      </c>
      <c r="C73" s="113">
        <f>(Table5351415[[#This Row],[New Orders ex Transport]]-B72)/B72</f>
        <v>2.2344445574532339E-2</v>
      </c>
    </row>
    <row r="74" spans="1:3" x14ac:dyDescent="0.35">
      <c r="A74" s="74">
        <v>35704</v>
      </c>
      <c r="B74" s="75">
        <f>VLOOKUP(A74,Database!A:M,MATCH($A$1,Database!$A$1:$M$1,),)</f>
        <v>127387</v>
      </c>
      <c r="C74" s="113">
        <f>(Table5351415[[#This Row],[New Orders ex Transport]]-B73)/B73</f>
        <v>-2.5146740336565318E-2</v>
      </c>
    </row>
    <row r="75" spans="1:3" x14ac:dyDescent="0.35">
      <c r="A75" s="74">
        <v>35735</v>
      </c>
      <c r="B75" s="75">
        <f>VLOOKUP(A75,Database!A:M,MATCH($A$1,Database!$A$1:$M$1,),)</f>
        <v>128586</v>
      </c>
      <c r="C75" s="113">
        <f>(Table5351415[[#This Row],[New Orders ex Transport]]-B74)/B74</f>
        <v>9.4122634177741839E-3</v>
      </c>
    </row>
    <row r="76" spans="1:3" x14ac:dyDescent="0.35">
      <c r="A76" s="74">
        <v>35765</v>
      </c>
      <c r="B76" s="75">
        <f>VLOOKUP(A76,Database!A:M,MATCH($A$1,Database!$A$1:$M$1,),)</f>
        <v>128191</v>
      </c>
      <c r="C76" s="113">
        <f>(Table5351415[[#This Row],[New Orders ex Transport]]-B75)/B75</f>
        <v>-3.0718740764935529E-3</v>
      </c>
    </row>
    <row r="77" spans="1:3" x14ac:dyDescent="0.35">
      <c r="A77" s="74">
        <v>35796</v>
      </c>
      <c r="B77" s="75">
        <f>VLOOKUP(A77,Database!A:M,MATCH($A$1,Database!$A$1:$M$1,),)</f>
        <v>127262</v>
      </c>
      <c r="C77" s="113">
        <f>(Table5351415[[#This Row],[New Orders ex Transport]]-B76)/B76</f>
        <v>-7.2469986192478415E-3</v>
      </c>
    </row>
    <row r="78" spans="1:3" x14ac:dyDescent="0.35">
      <c r="A78" s="74">
        <v>35827</v>
      </c>
      <c r="B78" s="75">
        <f>VLOOKUP(A78,Database!A:M,MATCH($A$1,Database!$A$1:$M$1,),)</f>
        <v>130630</v>
      </c>
      <c r="C78" s="113">
        <f>(Table5351415[[#This Row],[New Orders ex Transport]]-B77)/B77</f>
        <v>2.6465087771683615E-2</v>
      </c>
    </row>
    <row r="79" spans="1:3" x14ac:dyDescent="0.35">
      <c r="A79" s="74">
        <v>35855</v>
      </c>
      <c r="B79" s="75">
        <f>VLOOKUP(A79,Database!A:M,MATCH($A$1,Database!$A$1:$M$1,),)</f>
        <v>128771</v>
      </c>
      <c r="C79" s="113">
        <f>(Table5351415[[#This Row],[New Orders ex Transport]]-B78)/B78</f>
        <v>-1.4231034218785884E-2</v>
      </c>
    </row>
    <row r="80" spans="1:3" x14ac:dyDescent="0.35">
      <c r="A80" s="74">
        <v>35886</v>
      </c>
      <c r="B80" s="75">
        <f>VLOOKUP(A80,Database!A:M,MATCH($A$1,Database!$A$1:$M$1,),)</f>
        <v>126519</v>
      </c>
      <c r="C80" s="113">
        <f>(Table5351415[[#This Row],[New Orders ex Transport]]-B79)/B79</f>
        <v>-1.7488409657453931E-2</v>
      </c>
    </row>
    <row r="81" spans="1:3" x14ac:dyDescent="0.35">
      <c r="A81" s="74">
        <v>35916</v>
      </c>
      <c r="B81" s="75">
        <f>VLOOKUP(A81,Database!A:M,MATCH($A$1,Database!$A$1:$M$1,),)</f>
        <v>129740</v>
      </c>
      <c r="C81" s="113">
        <f>(Table5351415[[#This Row],[New Orders ex Transport]]-B80)/B80</f>
        <v>2.5458626767521083E-2</v>
      </c>
    </row>
    <row r="82" spans="1:3" x14ac:dyDescent="0.35">
      <c r="A82" s="74">
        <v>35947</v>
      </c>
      <c r="B82" s="75">
        <f>VLOOKUP(A82,Database!A:M,MATCH($A$1,Database!$A$1:$M$1,),)</f>
        <v>130048</v>
      </c>
      <c r="C82" s="113">
        <f>(Table5351415[[#This Row],[New Orders ex Transport]]-B81)/B81</f>
        <v>2.3739787266841375E-3</v>
      </c>
    </row>
    <row r="83" spans="1:3" x14ac:dyDescent="0.35">
      <c r="A83" s="74">
        <v>35977</v>
      </c>
      <c r="B83" s="75">
        <f>VLOOKUP(A83,Database!A:M,MATCH($A$1,Database!$A$1:$M$1,),)</f>
        <v>126102</v>
      </c>
      <c r="C83" s="113">
        <f>(Table5351415[[#This Row],[New Orders ex Transport]]-B82)/B82</f>
        <v>-3.0342642716535435E-2</v>
      </c>
    </row>
    <row r="84" spans="1:3" x14ac:dyDescent="0.35">
      <c r="A84" s="74">
        <v>36008</v>
      </c>
      <c r="B84" s="75">
        <f>VLOOKUP(A84,Database!A:M,MATCH($A$1,Database!$A$1:$M$1,),)</f>
        <v>126589</v>
      </c>
      <c r="C84" s="113">
        <f>(Table5351415[[#This Row],[New Orders ex Transport]]-B83)/B83</f>
        <v>3.8619530221566667E-3</v>
      </c>
    </row>
    <row r="85" spans="1:3" x14ac:dyDescent="0.35">
      <c r="A85" s="74">
        <v>36039</v>
      </c>
      <c r="B85" s="75">
        <f>VLOOKUP(A85,Database!A:M,MATCH($A$1,Database!$A$1:$M$1,),)</f>
        <v>128820</v>
      </c>
      <c r="C85" s="113">
        <f>(Table5351415[[#This Row],[New Orders ex Transport]]-B84)/B84</f>
        <v>1.7623964167502705E-2</v>
      </c>
    </row>
    <row r="86" spans="1:3" x14ac:dyDescent="0.35">
      <c r="A86" s="74">
        <v>36069</v>
      </c>
      <c r="B86" s="75">
        <f>VLOOKUP(A86,Database!A:M,MATCH($A$1,Database!$A$1:$M$1,),)</f>
        <v>125391</v>
      </c>
      <c r="C86" s="113">
        <f>(Table5351415[[#This Row],[New Orders ex Transport]]-B85)/B85</f>
        <v>-2.6618537494177922E-2</v>
      </c>
    </row>
    <row r="87" spans="1:3" x14ac:dyDescent="0.35">
      <c r="A87" s="74">
        <v>36100</v>
      </c>
      <c r="B87" s="75">
        <f>VLOOKUP(A87,Database!A:M,MATCH($A$1,Database!$A$1:$M$1,),)</f>
        <v>128102</v>
      </c>
      <c r="C87" s="113">
        <f>(Table5351415[[#This Row],[New Orders ex Transport]]-B86)/B86</f>
        <v>2.1620371478016764E-2</v>
      </c>
    </row>
    <row r="88" spans="1:3" x14ac:dyDescent="0.35">
      <c r="A88" s="74">
        <v>36130</v>
      </c>
      <c r="B88" s="75">
        <f>VLOOKUP(A88,Database!A:M,MATCH($A$1,Database!$A$1:$M$1,),)</f>
        <v>130753</v>
      </c>
      <c r="C88" s="113">
        <f>(Table5351415[[#This Row],[New Orders ex Transport]]-B87)/B87</f>
        <v>2.0694446612855379E-2</v>
      </c>
    </row>
    <row r="89" spans="1:3" x14ac:dyDescent="0.35">
      <c r="A89" s="74">
        <v>36161</v>
      </c>
      <c r="B89" s="75">
        <f>VLOOKUP(A89,Database!A:M,MATCH($A$1,Database!$A$1:$M$1,),)</f>
        <v>127125</v>
      </c>
      <c r="C89" s="113">
        <f>(Table5351415[[#This Row],[New Orders ex Transport]]-B88)/B88</f>
        <v>-2.7746973300803807E-2</v>
      </c>
    </row>
    <row r="90" spans="1:3" x14ac:dyDescent="0.35">
      <c r="A90" s="74">
        <v>36192</v>
      </c>
      <c r="B90" s="75">
        <f>VLOOKUP(A90,Database!A:M,MATCH($A$1,Database!$A$1:$M$1,),)</f>
        <v>130143</v>
      </c>
      <c r="C90" s="113">
        <f>(Table5351415[[#This Row],[New Orders ex Transport]]-B89)/B89</f>
        <v>2.3740412979351033E-2</v>
      </c>
    </row>
    <row r="91" spans="1:3" x14ac:dyDescent="0.35">
      <c r="A91" s="74">
        <v>36220</v>
      </c>
      <c r="B91" s="75">
        <f>VLOOKUP(A91,Database!A:M,MATCH($A$1,Database!$A$1:$M$1,),)</f>
        <v>129497</v>
      </c>
      <c r="C91" s="113">
        <f>(Table5351415[[#This Row],[New Orders ex Transport]]-B90)/B90</f>
        <v>-4.9637706215470674E-3</v>
      </c>
    </row>
    <row r="92" spans="1:3" x14ac:dyDescent="0.35">
      <c r="A92" s="74">
        <v>36251</v>
      </c>
      <c r="B92" s="75">
        <f>VLOOKUP(A92,Database!A:M,MATCH($A$1,Database!$A$1:$M$1,),)</f>
        <v>130468</v>
      </c>
      <c r="C92" s="113">
        <f>(Table5351415[[#This Row],[New Orders ex Transport]]-B91)/B91</f>
        <v>7.4982432025452331E-3</v>
      </c>
    </row>
    <row r="93" spans="1:3" x14ac:dyDescent="0.35">
      <c r="A93" s="74">
        <v>36281</v>
      </c>
      <c r="B93" s="75">
        <f>VLOOKUP(A93,Database!A:M,MATCH($A$1,Database!$A$1:$M$1,),)</f>
        <v>130627</v>
      </c>
      <c r="C93" s="113">
        <f>(Table5351415[[#This Row],[New Orders ex Transport]]-B92)/B92</f>
        <v>1.2186896403715854E-3</v>
      </c>
    </row>
    <row r="94" spans="1:3" x14ac:dyDescent="0.35">
      <c r="A94" s="74">
        <v>36312</v>
      </c>
      <c r="B94" s="75">
        <f>VLOOKUP(A94,Database!A:M,MATCH($A$1,Database!$A$1:$M$1,),)</f>
        <v>130642</v>
      </c>
      <c r="C94" s="113">
        <f>(Table5351415[[#This Row],[New Orders ex Transport]]-B93)/B93</f>
        <v>1.148307777105805E-4</v>
      </c>
    </row>
    <row r="95" spans="1:3" x14ac:dyDescent="0.35">
      <c r="A95" s="74">
        <v>36342</v>
      </c>
      <c r="B95" s="75">
        <f>VLOOKUP(A95,Database!A:M,MATCH($A$1,Database!$A$1:$M$1,),)</f>
        <v>134206</v>
      </c>
      <c r="C95" s="113">
        <f>(Table5351415[[#This Row],[New Orders ex Transport]]-B94)/B94</f>
        <v>2.7280660124615361E-2</v>
      </c>
    </row>
    <row r="96" spans="1:3" x14ac:dyDescent="0.35">
      <c r="A96" s="74">
        <v>36373</v>
      </c>
      <c r="B96" s="75">
        <f>VLOOKUP(A96,Database!A:M,MATCH($A$1,Database!$A$1:$M$1,),)</f>
        <v>134061</v>
      </c>
      <c r="C96" s="113">
        <f>(Table5351415[[#This Row],[New Orders ex Transport]]-B95)/B95</f>
        <v>-1.0804285948467281E-3</v>
      </c>
    </row>
    <row r="97" spans="1:3" x14ac:dyDescent="0.35">
      <c r="A97" s="74">
        <v>36404</v>
      </c>
      <c r="B97" s="75">
        <f>VLOOKUP(A97,Database!A:M,MATCH($A$1,Database!$A$1:$M$1,),)</f>
        <v>135632</v>
      </c>
      <c r="C97" s="113">
        <f>(Table5351415[[#This Row],[New Orders ex Transport]]-B96)/B96</f>
        <v>1.1718546035013912E-2</v>
      </c>
    </row>
    <row r="98" spans="1:3" x14ac:dyDescent="0.35">
      <c r="A98" s="74">
        <v>36434</v>
      </c>
      <c r="B98" s="75">
        <f>VLOOKUP(A98,Database!A:M,MATCH($A$1,Database!$A$1:$M$1,),)</f>
        <v>137171</v>
      </c>
      <c r="C98" s="113">
        <f>(Table5351415[[#This Row],[New Orders ex Transport]]-B97)/B97</f>
        <v>1.134687979237938E-2</v>
      </c>
    </row>
    <row r="99" spans="1:3" x14ac:dyDescent="0.35">
      <c r="A99" s="74">
        <v>36465</v>
      </c>
      <c r="B99" s="75">
        <f>VLOOKUP(A99,Database!A:M,MATCH($A$1,Database!$A$1:$M$1,),)</f>
        <v>134658</v>
      </c>
      <c r="C99" s="113">
        <f>(Table5351415[[#This Row],[New Orders ex Transport]]-B98)/B98</f>
        <v>-1.8320198875855682E-2</v>
      </c>
    </row>
    <row r="100" spans="1:3" x14ac:dyDescent="0.35">
      <c r="A100" s="74">
        <v>36495</v>
      </c>
      <c r="B100" s="75">
        <f>VLOOKUP(A100,Database!A:M,MATCH($A$1,Database!$A$1:$M$1,),)</f>
        <v>139078</v>
      </c>
      <c r="C100" s="113">
        <f>(Table5351415[[#This Row],[New Orders ex Transport]]-B99)/B99</f>
        <v>3.2823894607078671E-2</v>
      </c>
    </row>
    <row r="101" spans="1:3" x14ac:dyDescent="0.35">
      <c r="A101" s="74">
        <v>36526</v>
      </c>
      <c r="B101" s="75">
        <f>VLOOKUP(A101,Database!A:M,MATCH($A$1,Database!$A$1:$M$1,),)</f>
        <v>139613</v>
      </c>
      <c r="C101" s="113">
        <f>(Table5351415[[#This Row],[New Orders ex Transport]]-B100)/B100</f>
        <v>3.8467622485224119E-3</v>
      </c>
    </row>
    <row r="102" spans="1:3" x14ac:dyDescent="0.35">
      <c r="A102" s="74">
        <v>36557</v>
      </c>
      <c r="B102" s="75">
        <f>VLOOKUP(A102,Database!A:M,MATCH($A$1,Database!$A$1:$M$1,),)</f>
        <v>132425</v>
      </c>
      <c r="C102" s="113">
        <f>(Table5351415[[#This Row],[New Orders ex Transport]]-B101)/B101</f>
        <v>-5.1485176881809001E-2</v>
      </c>
    </row>
    <row r="103" spans="1:3" x14ac:dyDescent="0.35">
      <c r="A103" s="74">
        <v>36586</v>
      </c>
      <c r="B103" s="75">
        <f>VLOOKUP(A103,Database!A:M,MATCH($A$1,Database!$A$1:$M$1,),)</f>
        <v>139841</v>
      </c>
      <c r="C103" s="113">
        <f>(Table5351415[[#This Row],[New Orders ex Transport]]-B102)/B102</f>
        <v>5.6001510288842739E-2</v>
      </c>
    </row>
    <row r="104" spans="1:3" x14ac:dyDescent="0.35">
      <c r="A104" s="74">
        <v>36617</v>
      </c>
      <c r="B104" s="75">
        <f>VLOOKUP(A104,Database!A:M,MATCH($A$1,Database!$A$1:$M$1,),)</f>
        <v>141338</v>
      </c>
      <c r="C104" s="113">
        <f>(Table5351415[[#This Row],[New Orders ex Transport]]-B103)/B103</f>
        <v>1.0705014981300191E-2</v>
      </c>
    </row>
    <row r="105" spans="1:3" x14ac:dyDescent="0.35">
      <c r="A105" s="74">
        <v>36647</v>
      </c>
      <c r="B105" s="75">
        <f>VLOOKUP(A105,Database!A:M,MATCH($A$1,Database!$A$1:$M$1,),)</f>
        <v>137890</v>
      </c>
      <c r="C105" s="113">
        <f>(Table5351415[[#This Row],[New Orders ex Transport]]-B104)/B104</f>
        <v>-2.4395420905913484E-2</v>
      </c>
    </row>
    <row r="106" spans="1:3" x14ac:dyDescent="0.35">
      <c r="A106" s="74">
        <v>36678</v>
      </c>
      <c r="B106" s="75">
        <f>VLOOKUP(A106,Database!A:M,MATCH($A$1,Database!$A$1:$M$1,),)</f>
        <v>143496</v>
      </c>
      <c r="C106" s="113">
        <f>(Table5351415[[#This Row],[New Orders ex Transport]]-B105)/B105</f>
        <v>4.0655595039524262E-2</v>
      </c>
    </row>
    <row r="107" spans="1:3" x14ac:dyDescent="0.35">
      <c r="A107" s="74">
        <v>36708</v>
      </c>
      <c r="B107" s="75">
        <f>VLOOKUP(A107,Database!A:M,MATCH($A$1,Database!$A$1:$M$1,),)</f>
        <v>137968</v>
      </c>
      <c r="C107" s="113">
        <f>(Table5351415[[#This Row],[New Orders ex Transport]]-B106)/B106</f>
        <v>-3.8523721915593466E-2</v>
      </c>
    </row>
    <row r="108" spans="1:3" x14ac:dyDescent="0.35">
      <c r="A108" s="74">
        <v>36739</v>
      </c>
      <c r="B108" s="75">
        <f>VLOOKUP(A108,Database!A:M,MATCH($A$1,Database!$A$1:$M$1,),)</f>
        <v>138633</v>
      </c>
      <c r="C108" s="113">
        <f>(Table5351415[[#This Row],[New Orders ex Transport]]-B107)/B107</f>
        <v>4.819958251188681E-3</v>
      </c>
    </row>
    <row r="109" spans="1:3" x14ac:dyDescent="0.35">
      <c r="A109" s="74">
        <v>36770</v>
      </c>
      <c r="B109" s="75">
        <f>VLOOKUP(A109,Database!A:M,MATCH($A$1,Database!$A$1:$M$1,),)</f>
        <v>141463</v>
      </c>
      <c r="C109" s="113">
        <f>(Table5351415[[#This Row],[New Orders ex Transport]]-B108)/B108</f>
        <v>2.0413610035128722E-2</v>
      </c>
    </row>
    <row r="110" spans="1:3" x14ac:dyDescent="0.35">
      <c r="A110" s="74">
        <v>36800</v>
      </c>
      <c r="B110" s="75">
        <f>VLOOKUP(A110,Database!A:M,MATCH($A$1,Database!$A$1:$M$1,),)</f>
        <v>137264</v>
      </c>
      <c r="C110" s="113">
        <f>(Table5351415[[#This Row],[New Orders ex Transport]]-B109)/B109</f>
        <v>-2.9682673207835266E-2</v>
      </c>
    </row>
    <row r="111" spans="1:3" x14ac:dyDescent="0.35">
      <c r="A111" s="74">
        <v>36831</v>
      </c>
      <c r="B111" s="75">
        <f>VLOOKUP(A111,Database!A:M,MATCH($A$1,Database!$A$1:$M$1,),)</f>
        <v>136045</v>
      </c>
      <c r="C111" s="113">
        <f>(Table5351415[[#This Row],[New Orders ex Transport]]-B110)/B110</f>
        <v>-8.8806970509383385E-3</v>
      </c>
    </row>
    <row r="112" spans="1:3" x14ac:dyDescent="0.35">
      <c r="A112" s="74">
        <v>36861</v>
      </c>
      <c r="B112" s="75">
        <f>VLOOKUP(A112,Database!A:M,MATCH($A$1,Database!$A$1:$M$1,),)</f>
        <v>135323</v>
      </c>
      <c r="C112" s="113">
        <f>(Table5351415[[#This Row],[New Orders ex Transport]]-B111)/B111</f>
        <v>-5.3070675144253742E-3</v>
      </c>
    </row>
    <row r="113" spans="1:3" x14ac:dyDescent="0.35">
      <c r="A113" s="74">
        <v>36892</v>
      </c>
      <c r="B113" s="75">
        <f>VLOOKUP(A113,Database!A:M,MATCH($A$1,Database!$A$1:$M$1,),)</f>
        <v>131646</v>
      </c>
      <c r="C113" s="113">
        <f>(Table5351415[[#This Row],[New Orders ex Transport]]-B112)/B112</f>
        <v>-2.7172025450219104E-2</v>
      </c>
    </row>
    <row r="114" spans="1:3" x14ac:dyDescent="0.35">
      <c r="A114" s="74">
        <v>36923</v>
      </c>
      <c r="B114" s="75">
        <f>VLOOKUP(A114,Database!A:M,MATCH($A$1,Database!$A$1:$M$1,),)</f>
        <v>131335</v>
      </c>
      <c r="C114" s="113">
        <f>(Table5351415[[#This Row],[New Orders ex Transport]]-B113)/B113</f>
        <v>-2.362396122935752E-3</v>
      </c>
    </row>
    <row r="115" spans="1:3" x14ac:dyDescent="0.35">
      <c r="A115" s="74">
        <v>36951</v>
      </c>
      <c r="B115" s="75">
        <f>VLOOKUP(A115,Database!A:M,MATCH($A$1,Database!$A$1:$M$1,),)</f>
        <v>125568</v>
      </c>
      <c r="C115" s="113">
        <f>(Table5351415[[#This Row],[New Orders ex Transport]]-B114)/B114</f>
        <v>-4.3910610271443253E-2</v>
      </c>
    </row>
    <row r="116" spans="1:3" x14ac:dyDescent="0.35">
      <c r="A116" s="74">
        <v>36982</v>
      </c>
      <c r="B116" s="75">
        <f>VLOOKUP(A116,Database!A:M,MATCH($A$1,Database!$A$1:$M$1,),)</f>
        <v>120800</v>
      </c>
      <c r="C116" s="113">
        <f>(Table5351415[[#This Row],[New Orders ex Transport]]-B115)/B115</f>
        <v>-3.7971457696228339E-2</v>
      </c>
    </row>
    <row r="117" spans="1:3" x14ac:dyDescent="0.35">
      <c r="A117" s="74">
        <v>37012</v>
      </c>
      <c r="B117" s="75">
        <f>VLOOKUP(A117,Database!A:M,MATCH($A$1,Database!$A$1:$M$1,),)</f>
        <v>126158</v>
      </c>
      <c r="C117" s="113">
        <f>(Table5351415[[#This Row],[New Orders ex Transport]]-B116)/B116</f>
        <v>4.4354304635761586E-2</v>
      </c>
    </row>
    <row r="118" spans="1:3" x14ac:dyDescent="0.35">
      <c r="A118" s="74">
        <v>37043</v>
      </c>
      <c r="B118" s="75">
        <f>VLOOKUP(A118,Database!A:M,MATCH($A$1,Database!$A$1:$M$1,),)</f>
        <v>125138</v>
      </c>
      <c r="C118" s="113">
        <f>(Table5351415[[#This Row],[New Orders ex Transport]]-B117)/B117</f>
        <v>-8.0850996369631733E-3</v>
      </c>
    </row>
    <row r="119" spans="1:3" x14ac:dyDescent="0.35">
      <c r="A119" s="74">
        <v>37073</v>
      </c>
      <c r="B119" s="75">
        <f>VLOOKUP(A119,Database!A:M,MATCH($A$1,Database!$A$1:$M$1,),)</f>
        <v>121761</v>
      </c>
      <c r="C119" s="113">
        <f>(Table5351415[[#This Row],[New Orders ex Transport]]-B118)/B118</f>
        <v>-2.6986207227221146E-2</v>
      </c>
    </row>
    <row r="120" spans="1:3" x14ac:dyDescent="0.35">
      <c r="A120" s="74">
        <v>37104</v>
      </c>
      <c r="B120" s="75">
        <f>VLOOKUP(A120,Database!A:M,MATCH($A$1,Database!$A$1:$M$1,),)</f>
        <v>122061</v>
      </c>
      <c r="C120" s="113">
        <f>(Table5351415[[#This Row],[New Orders ex Transport]]-B119)/B119</f>
        <v>2.4638431024712345E-3</v>
      </c>
    </row>
    <row r="121" spans="1:3" x14ac:dyDescent="0.35">
      <c r="A121" s="74">
        <v>37135</v>
      </c>
      <c r="B121" s="75">
        <f>VLOOKUP(A121,Database!A:M,MATCH($A$1,Database!$A$1:$M$1,),)</f>
        <v>118407</v>
      </c>
      <c r="C121" s="113">
        <f>(Table5351415[[#This Row],[New Orders ex Transport]]-B120)/B120</f>
        <v>-2.993585174625802E-2</v>
      </c>
    </row>
    <row r="122" spans="1:3" x14ac:dyDescent="0.35">
      <c r="A122" s="74">
        <v>37165</v>
      </c>
      <c r="B122" s="75">
        <f>VLOOKUP(A122,Database!A:M,MATCH($A$1,Database!$A$1:$M$1,),)</f>
        <v>115125</v>
      </c>
      <c r="C122" s="113">
        <f>(Table5351415[[#This Row],[New Orders ex Transport]]-B121)/B121</f>
        <v>-2.7717955864095874E-2</v>
      </c>
    </row>
    <row r="123" spans="1:3" x14ac:dyDescent="0.35">
      <c r="A123" s="74">
        <v>37196</v>
      </c>
      <c r="B123" s="75">
        <f>VLOOKUP(A123,Database!A:M,MATCH($A$1,Database!$A$1:$M$1,),)</f>
        <v>117164</v>
      </c>
      <c r="C123" s="113">
        <f>(Table5351415[[#This Row],[New Orders ex Transport]]-B122)/B122</f>
        <v>1.7711183496199785E-2</v>
      </c>
    </row>
    <row r="124" spans="1:3" x14ac:dyDescent="0.35">
      <c r="A124" s="74">
        <v>37226</v>
      </c>
      <c r="B124" s="75">
        <f>VLOOKUP(A124,Database!A:M,MATCH($A$1,Database!$A$1:$M$1,),)</f>
        <v>118387</v>
      </c>
      <c r="C124" s="113">
        <f>(Table5351415[[#This Row],[New Orders ex Transport]]-B123)/B123</f>
        <v>1.0438359905773104E-2</v>
      </c>
    </row>
    <row r="125" spans="1:3" x14ac:dyDescent="0.35">
      <c r="A125" s="74">
        <v>37257</v>
      </c>
      <c r="B125" s="75">
        <f>VLOOKUP(A125,Database!A:M,MATCH($A$1,Database!$A$1:$M$1,),)</f>
        <v>113631</v>
      </c>
      <c r="C125" s="113">
        <f>(Table5351415[[#This Row],[New Orders ex Transport]]-B124)/B124</f>
        <v>-4.0173329841958996E-2</v>
      </c>
    </row>
    <row r="126" spans="1:3" x14ac:dyDescent="0.35">
      <c r="A126" s="74">
        <v>37288</v>
      </c>
      <c r="B126" s="75">
        <f>VLOOKUP(A126,Database!A:M,MATCH($A$1,Database!$A$1:$M$1,),)</f>
        <v>115732</v>
      </c>
      <c r="C126" s="113">
        <f>(Table5351415[[#This Row],[New Orders ex Transport]]-B125)/B125</f>
        <v>1.8489672712552033E-2</v>
      </c>
    </row>
    <row r="127" spans="1:3" x14ac:dyDescent="0.35">
      <c r="A127" s="74">
        <v>37316</v>
      </c>
      <c r="B127" s="75">
        <f>VLOOKUP(A127,Database!A:M,MATCH($A$1,Database!$A$1:$M$1,),)</f>
        <v>114652</v>
      </c>
      <c r="C127" s="113">
        <f>(Table5351415[[#This Row],[New Orders ex Transport]]-B126)/B126</f>
        <v>-9.3319047454463767E-3</v>
      </c>
    </row>
    <row r="128" spans="1:3" x14ac:dyDescent="0.35">
      <c r="A128" s="74">
        <v>37347</v>
      </c>
      <c r="B128" s="75">
        <f>VLOOKUP(A128,Database!A:M,MATCH($A$1,Database!$A$1:$M$1,),)</f>
        <v>118882</v>
      </c>
      <c r="C128" s="113">
        <f>(Table5351415[[#This Row],[New Orders ex Transport]]-B127)/B127</f>
        <v>3.6894253916198584E-2</v>
      </c>
    </row>
    <row r="129" spans="1:3" x14ac:dyDescent="0.35">
      <c r="A129" s="74">
        <v>37377</v>
      </c>
      <c r="B129" s="75">
        <f>VLOOKUP(A129,Database!A:M,MATCH($A$1,Database!$A$1:$M$1,),)</f>
        <v>119944</v>
      </c>
      <c r="C129" s="113">
        <f>(Table5351415[[#This Row],[New Orders ex Transport]]-B128)/B128</f>
        <v>8.9332279066637512E-3</v>
      </c>
    </row>
    <row r="130" spans="1:3" x14ac:dyDescent="0.35">
      <c r="A130" s="74">
        <v>37408</v>
      </c>
      <c r="B130" s="75">
        <f>VLOOKUP(A130,Database!A:M,MATCH($A$1,Database!$A$1:$M$1,),)</f>
        <v>117193</v>
      </c>
      <c r="C130" s="113">
        <f>(Table5351415[[#This Row],[New Orders ex Transport]]-B129)/B129</f>
        <v>-2.2935703328219835E-2</v>
      </c>
    </row>
    <row r="131" spans="1:3" x14ac:dyDescent="0.35">
      <c r="A131" s="74">
        <v>37438</v>
      </c>
      <c r="B131" s="75">
        <f>VLOOKUP(A131,Database!A:M,MATCH($A$1,Database!$A$1:$M$1,),)</f>
        <v>116993</v>
      </c>
      <c r="C131" s="113">
        <f>(Table5351415[[#This Row],[New Orders ex Transport]]-B130)/B130</f>
        <v>-1.7065865708702737E-3</v>
      </c>
    </row>
    <row r="132" spans="1:3" x14ac:dyDescent="0.35">
      <c r="A132" s="74">
        <v>37469</v>
      </c>
      <c r="B132" s="75">
        <f>VLOOKUP(A132,Database!A:M,MATCH($A$1,Database!$A$1:$M$1,),)</f>
        <v>117043</v>
      </c>
      <c r="C132" s="113">
        <f>(Table5351415[[#This Row],[New Orders ex Transport]]-B131)/B131</f>
        <v>4.2737599685451264E-4</v>
      </c>
    </row>
    <row r="133" spans="1:3" x14ac:dyDescent="0.35">
      <c r="A133" s="74">
        <v>37500</v>
      </c>
      <c r="B133" s="75">
        <f>VLOOKUP(A133,Database!A:M,MATCH($A$1,Database!$A$1:$M$1,),)</f>
        <v>116461</v>
      </c>
      <c r="C133" s="113">
        <f>(Table5351415[[#This Row],[New Orders ex Transport]]-B132)/B132</f>
        <v>-4.972531462795725E-3</v>
      </c>
    </row>
    <row r="134" spans="1:3" x14ac:dyDescent="0.35">
      <c r="A134" s="74">
        <v>37530</v>
      </c>
      <c r="B134" s="75">
        <f>VLOOKUP(A134,Database!A:M,MATCH($A$1,Database!$A$1:$M$1,),)</f>
        <v>116624</v>
      </c>
      <c r="C134" s="113">
        <f>(Table5351415[[#This Row],[New Orders ex Transport]]-B133)/B133</f>
        <v>1.3996101699281305E-3</v>
      </c>
    </row>
    <row r="135" spans="1:3" x14ac:dyDescent="0.35">
      <c r="A135" s="74">
        <v>37561</v>
      </c>
      <c r="B135" s="75">
        <f>VLOOKUP(A135,Database!A:M,MATCH($A$1,Database!$A$1:$M$1,),)</f>
        <v>116947</v>
      </c>
      <c r="C135" s="113">
        <f>(Table5351415[[#This Row],[New Orders ex Transport]]-B134)/B134</f>
        <v>2.7695843051173002E-3</v>
      </c>
    </row>
    <row r="136" spans="1:3" x14ac:dyDescent="0.35">
      <c r="A136" s="74">
        <v>37591</v>
      </c>
      <c r="B136" s="75">
        <f>VLOOKUP(A136,Database!A:M,MATCH($A$1,Database!$A$1:$M$1,),)</f>
        <v>115767</v>
      </c>
      <c r="C136" s="113">
        <f>(Table5351415[[#This Row],[New Orders ex Transport]]-B135)/B135</f>
        <v>-1.0090040787707252E-2</v>
      </c>
    </row>
    <row r="137" spans="1:3" x14ac:dyDescent="0.35">
      <c r="A137" s="74">
        <v>37622</v>
      </c>
      <c r="B137" s="75">
        <f>VLOOKUP(A137,Database!A:M,MATCH($A$1,Database!$A$1:$M$1,),)</f>
        <v>115609</v>
      </c>
      <c r="C137" s="113">
        <f>(Table5351415[[#This Row],[New Orders ex Transport]]-B136)/B136</f>
        <v>-1.3648103518273775E-3</v>
      </c>
    </row>
    <row r="138" spans="1:3" x14ac:dyDescent="0.35">
      <c r="A138" s="74">
        <v>37653</v>
      </c>
      <c r="B138" s="75">
        <f>VLOOKUP(A138,Database!A:M,MATCH($A$1,Database!$A$1:$M$1,),)</f>
        <v>118098</v>
      </c>
      <c r="C138" s="113">
        <f>(Table5351415[[#This Row],[New Orders ex Transport]]-B137)/B137</f>
        <v>2.1529465699037274E-2</v>
      </c>
    </row>
    <row r="139" spans="1:3" x14ac:dyDescent="0.35">
      <c r="A139" s="74">
        <v>37681</v>
      </c>
      <c r="B139" s="75">
        <f>VLOOKUP(A139,Database!A:M,MATCH($A$1,Database!$A$1:$M$1,),)</f>
        <v>116926</v>
      </c>
      <c r="C139" s="113">
        <f>(Table5351415[[#This Row],[New Orders ex Transport]]-B138)/B138</f>
        <v>-9.9239614557401472E-3</v>
      </c>
    </row>
    <row r="140" spans="1:3" x14ac:dyDescent="0.35">
      <c r="A140" s="74">
        <v>37712</v>
      </c>
      <c r="B140" s="75">
        <f>VLOOKUP(A140,Database!A:M,MATCH($A$1,Database!$A$1:$M$1,),)</f>
        <v>115023</v>
      </c>
      <c r="C140" s="113">
        <f>(Table5351415[[#This Row],[New Orders ex Transport]]-B139)/B139</f>
        <v>-1.6275251013461507E-2</v>
      </c>
    </row>
    <row r="141" spans="1:3" x14ac:dyDescent="0.35">
      <c r="A141" s="74">
        <v>37742</v>
      </c>
      <c r="B141" s="75">
        <f>VLOOKUP(A141,Database!A:M,MATCH($A$1,Database!$A$1:$M$1,),)</f>
        <v>116303</v>
      </c>
      <c r="C141" s="113">
        <f>(Table5351415[[#This Row],[New Orders ex Transport]]-B140)/B140</f>
        <v>1.112820914078054E-2</v>
      </c>
    </row>
    <row r="142" spans="1:3" x14ac:dyDescent="0.35">
      <c r="A142" s="74">
        <v>37773</v>
      </c>
      <c r="B142" s="75">
        <f>VLOOKUP(A142,Database!A:M,MATCH($A$1,Database!$A$1:$M$1,),)</f>
        <v>117719</v>
      </c>
      <c r="C142" s="113">
        <f>(Table5351415[[#This Row],[New Orders ex Transport]]-B141)/B141</f>
        <v>1.2175094365579564E-2</v>
      </c>
    </row>
    <row r="143" spans="1:3" x14ac:dyDescent="0.35">
      <c r="A143" s="74">
        <v>37803</v>
      </c>
      <c r="B143" s="75">
        <f>VLOOKUP(A143,Database!A:M,MATCH($A$1,Database!$A$1:$M$1,),)</f>
        <v>118215</v>
      </c>
      <c r="C143" s="113">
        <f>(Table5351415[[#This Row],[New Orders ex Transport]]-B142)/B142</f>
        <v>4.2134234915349265E-3</v>
      </c>
    </row>
    <row r="144" spans="1:3" x14ac:dyDescent="0.35">
      <c r="A144" s="74">
        <v>37834</v>
      </c>
      <c r="B144" s="75">
        <f>VLOOKUP(A144,Database!A:M,MATCH($A$1,Database!$A$1:$M$1,),)</f>
        <v>119931</v>
      </c>
      <c r="C144" s="113">
        <f>(Table5351415[[#This Row],[New Orders ex Transport]]-B143)/B143</f>
        <v>1.4515924375079304E-2</v>
      </c>
    </row>
    <row r="145" spans="1:3" x14ac:dyDescent="0.35">
      <c r="A145" s="74">
        <v>37865</v>
      </c>
      <c r="B145" s="75">
        <f>VLOOKUP(A145,Database!A:M,MATCH($A$1,Database!$A$1:$M$1,),)</f>
        <v>121332</v>
      </c>
      <c r="C145" s="113">
        <f>(Table5351415[[#This Row],[New Orders ex Transport]]-B144)/B144</f>
        <v>1.1681716987267679E-2</v>
      </c>
    </row>
    <row r="146" spans="1:3" x14ac:dyDescent="0.35">
      <c r="A146" s="74">
        <v>37895</v>
      </c>
      <c r="B146" s="75">
        <f>VLOOKUP(A146,Database!A:M,MATCH($A$1,Database!$A$1:$M$1,),)</f>
        <v>125195</v>
      </c>
      <c r="C146" s="113">
        <f>(Table5351415[[#This Row],[New Orders ex Transport]]-B145)/B145</f>
        <v>3.1838261958922628E-2</v>
      </c>
    </row>
    <row r="147" spans="1:3" x14ac:dyDescent="0.35">
      <c r="A147" s="74">
        <v>37926</v>
      </c>
      <c r="B147" s="75">
        <f>VLOOKUP(A147,Database!A:M,MATCH($A$1,Database!$A$1:$M$1,),)</f>
        <v>125148</v>
      </c>
      <c r="C147" s="113">
        <f>(Table5351415[[#This Row],[New Orders ex Transport]]-B146)/B146</f>
        <v>-3.7541435360837096E-4</v>
      </c>
    </row>
    <row r="148" spans="1:3" x14ac:dyDescent="0.35">
      <c r="A148" s="74">
        <v>37956</v>
      </c>
      <c r="B148" s="75">
        <f>VLOOKUP(A148,Database!A:M,MATCH($A$1,Database!$A$1:$M$1,),)</f>
        <v>124803</v>
      </c>
      <c r="C148" s="113">
        <f>(Table5351415[[#This Row],[New Orders ex Transport]]-B147)/B147</f>
        <v>-2.7567360245469366E-3</v>
      </c>
    </row>
    <row r="149" spans="1:3" x14ac:dyDescent="0.35">
      <c r="A149" s="74">
        <v>37987</v>
      </c>
      <c r="B149" s="75">
        <f>VLOOKUP(A149,Database!A:M,MATCH($A$1,Database!$A$1:$M$1,),)</f>
        <v>123228</v>
      </c>
      <c r="C149" s="113">
        <f>(Table5351415[[#This Row],[New Orders ex Transport]]-B148)/B148</f>
        <v>-1.2619888944977285E-2</v>
      </c>
    </row>
    <row r="150" spans="1:3" x14ac:dyDescent="0.35">
      <c r="A150" s="74">
        <v>38018</v>
      </c>
      <c r="B150" s="75">
        <f>VLOOKUP(A150,Database!A:M,MATCH($A$1,Database!$A$1:$M$1,),)</f>
        <v>123810</v>
      </c>
      <c r="C150" s="113">
        <f>(Table5351415[[#This Row],[New Orders ex Transport]]-B149)/B149</f>
        <v>4.722952575713312E-3</v>
      </c>
    </row>
    <row r="151" spans="1:3" x14ac:dyDescent="0.35">
      <c r="A151" s="74">
        <v>38047</v>
      </c>
      <c r="B151" s="75">
        <f>VLOOKUP(A151,Database!A:M,MATCH($A$1,Database!$A$1:$M$1,),)</f>
        <v>131645</v>
      </c>
      <c r="C151" s="113">
        <f>(Table5351415[[#This Row],[New Orders ex Transport]]-B150)/B150</f>
        <v>6.3282448913658029E-2</v>
      </c>
    </row>
    <row r="152" spans="1:3" x14ac:dyDescent="0.35">
      <c r="A152" s="74">
        <v>38078</v>
      </c>
      <c r="B152" s="75">
        <f>VLOOKUP(A152,Database!A:M,MATCH($A$1,Database!$A$1:$M$1,),)</f>
        <v>127956</v>
      </c>
      <c r="C152" s="113">
        <f>(Table5351415[[#This Row],[New Orders ex Transport]]-B151)/B151</f>
        <v>-2.8022332788939952E-2</v>
      </c>
    </row>
    <row r="153" spans="1:3" x14ac:dyDescent="0.35">
      <c r="A153" s="74">
        <v>38108</v>
      </c>
      <c r="B153" s="75">
        <f>VLOOKUP(A153,Database!A:M,MATCH($A$1,Database!$A$1:$M$1,),)</f>
        <v>128782</v>
      </c>
      <c r="C153" s="113">
        <f>(Table5351415[[#This Row],[New Orders ex Transport]]-B152)/B152</f>
        <v>6.4553440245084248E-3</v>
      </c>
    </row>
    <row r="154" spans="1:3" x14ac:dyDescent="0.35">
      <c r="A154" s="74">
        <v>38139</v>
      </c>
      <c r="B154" s="75">
        <f>VLOOKUP(A154,Database!A:M,MATCH($A$1,Database!$A$1:$M$1,),)</f>
        <v>128558</v>
      </c>
      <c r="C154" s="113">
        <f>(Table5351415[[#This Row],[New Orders ex Transport]]-B153)/B153</f>
        <v>-1.739373514932211E-3</v>
      </c>
    </row>
    <row r="155" spans="1:3" x14ac:dyDescent="0.35">
      <c r="A155" s="74">
        <v>38169</v>
      </c>
      <c r="B155" s="75">
        <f>VLOOKUP(A155,Database!A:M,MATCH($A$1,Database!$A$1:$M$1,),)</f>
        <v>127850</v>
      </c>
      <c r="C155" s="113">
        <f>(Table5351415[[#This Row],[New Orders ex Transport]]-B154)/B154</f>
        <v>-5.5072418674839375E-3</v>
      </c>
    </row>
    <row r="156" spans="1:3" x14ac:dyDescent="0.35">
      <c r="A156" s="74">
        <v>38200</v>
      </c>
      <c r="B156" s="75">
        <f>VLOOKUP(A156,Database!A:M,MATCH($A$1,Database!$A$1:$M$1,),)</f>
        <v>130447</v>
      </c>
      <c r="C156" s="113">
        <f>(Table5351415[[#This Row],[New Orders ex Transport]]-B155)/B155</f>
        <v>2.0312866640594448E-2</v>
      </c>
    </row>
    <row r="157" spans="1:3" x14ac:dyDescent="0.35">
      <c r="A157" s="74">
        <v>38231</v>
      </c>
      <c r="B157" s="75">
        <f>VLOOKUP(A157,Database!A:M,MATCH($A$1,Database!$A$1:$M$1,),)</f>
        <v>132455</v>
      </c>
      <c r="C157" s="113">
        <f>(Table5351415[[#This Row],[New Orders ex Transport]]-B156)/B156</f>
        <v>1.5393224834607158E-2</v>
      </c>
    </row>
    <row r="158" spans="1:3" x14ac:dyDescent="0.35">
      <c r="A158" s="74">
        <v>38261</v>
      </c>
      <c r="B158" s="75">
        <f>VLOOKUP(A158,Database!A:M,MATCH($A$1,Database!$A$1:$M$1,),)</f>
        <v>132178</v>
      </c>
      <c r="C158" s="113">
        <f>(Table5351415[[#This Row],[New Orders ex Transport]]-B157)/B157</f>
        <v>-2.0912762825110415E-3</v>
      </c>
    </row>
    <row r="159" spans="1:3" x14ac:dyDescent="0.35">
      <c r="A159" s="74">
        <v>38292</v>
      </c>
      <c r="B159" s="75">
        <f>VLOOKUP(A159,Database!A:M,MATCH($A$1,Database!$A$1:$M$1,),)</f>
        <v>134122</v>
      </c>
      <c r="C159" s="113">
        <f>(Table5351415[[#This Row],[New Orders ex Transport]]-B158)/B158</f>
        <v>1.4707439967316801E-2</v>
      </c>
    </row>
    <row r="160" spans="1:3" x14ac:dyDescent="0.35">
      <c r="A160" s="74">
        <v>38322</v>
      </c>
      <c r="B160" s="75">
        <f>VLOOKUP(A160,Database!A:M,MATCH($A$1,Database!$A$1:$M$1,),)</f>
        <v>136981</v>
      </c>
      <c r="C160" s="113">
        <f>(Table5351415[[#This Row],[New Orders ex Transport]]-B159)/B159</f>
        <v>2.1316413414652333E-2</v>
      </c>
    </row>
    <row r="161" spans="1:3" x14ac:dyDescent="0.35">
      <c r="A161" s="74">
        <v>38353</v>
      </c>
      <c r="B161" s="75">
        <f>VLOOKUP(A161,Database!A:M,MATCH($A$1,Database!$A$1:$M$1,),)</f>
        <v>137331</v>
      </c>
      <c r="C161" s="113">
        <f>(Table5351415[[#This Row],[New Orders ex Transport]]-B160)/B160</f>
        <v>2.555098882326746E-3</v>
      </c>
    </row>
    <row r="162" spans="1:3" x14ac:dyDescent="0.35">
      <c r="A162" s="74">
        <v>38384</v>
      </c>
      <c r="B162" s="75">
        <f>VLOOKUP(A162,Database!A:M,MATCH($A$1,Database!$A$1:$M$1,),)</f>
        <v>139138</v>
      </c>
      <c r="C162" s="113">
        <f>(Table5351415[[#This Row],[New Orders ex Transport]]-B161)/B161</f>
        <v>1.3157990548383104E-2</v>
      </c>
    </row>
    <row r="163" spans="1:3" x14ac:dyDescent="0.35">
      <c r="A163" s="74">
        <v>38412</v>
      </c>
      <c r="B163" s="75">
        <f>VLOOKUP(A163,Database!A:M,MATCH($A$1,Database!$A$1:$M$1,),)</f>
        <v>136810</v>
      </c>
      <c r="C163" s="113">
        <f>(Table5351415[[#This Row],[New Orders ex Transport]]-B162)/B162</f>
        <v>-1.6731590219781798E-2</v>
      </c>
    </row>
    <row r="164" spans="1:3" x14ac:dyDescent="0.35">
      <c r="A164" s="74">
        <v>38443</v>
      </c>
      <c r="B164" s="75">
        <f>VLOOKUP(A164,Database!A:M,MATCH($A$1,Database!$A$1:$M$1,),)</f>
        <v>137264</v>
      </c>
      <c r="C164" s="113">
        <f>(Table5351415[[#This Row],[New Orders ex Transport]]-B163)/B163</f>
        <v>3.3184708720122797E-3</v>
      </c>
    </row>
    <row r="165" spans="1:3" x14ac:dyDescent="0.35">
      <c r="A165" s="74">
        <v>38473</v>
      </c>
      <c r="B165" s="75">
        <f>VLOOKUP(A165,Database!A:M,MATCH($A$1,Database!$A$1:$M$1,),)</f>
        <v>137358</v>
      </c>
      <c r="C165" s="113">
        <f>(Table5351415[[#This Row],[New Orders ex Transport]]-B164)/B164</f>
        <v>6.84811749621168E-4</v>
      </c>
    </row>
    <row r="166" spans="1:3" x14ac:dyDescent="0.35">
      <c r="A166" s="74">
        <v>38504</v>
      </c>
      <c r="B166" s="75">
        <f>VLOOKUP(A166,Database!A:M,MATCH($A$1,Database!$A$1:$M$1,),)</f>
        <v>141241</v>
      </c>
      <c r="C166" s="113">
        <f>(Table5351415[[#This Row],[New Orders ex Transport]]-B165)/B165</f>
        <v>2.8269194368001863E-2</v>
      </c>
    </row>
    <row r="167" spans="1:3" x14ac:dyDescent="0.35">
      <c r="A167" s="74">
        <v>38534</v>
      </c>
      <c r="B167" s="75">
        <f>VLOOKUP(A167,Database!A:M,MATCH($A$1,Database!$A$1:$M$1,),)</f>
        <v>135974</v>
      </c>
      <c r="C167" s="113">
        <f>(Table5351415[[#This Row],[New Orders ex Transport]]-B166)/B166</f>
        <v>-3.7290871630758775E-2</v>
      </c>
    </row>
    <row r="168" spans="1:3" x14ac:dyDescent="0.35">
      <c r="A168" s="74">
        <v>38565</v>
      </c>
      <c r="B168" s="75">
        <f>VLOOKUP(A168,Database!A:M,MATCH($A$1,Database!$A$1:$M$1,),)</f>
        <v>143073</v>
      </c>
      <c r="C168" s="113">
        <f>(Table5351415[[#This Row],[New Orders ex Transport]]-B167)/B167</f>
        <v>5.220851045052731E-2</v>
      </c>
    </row>
    <row r="169" spans="1:3" x14ac:dyDescent="0.35">
      <c r="A169" s="74">
        <v>38596</v>
      </c>
      <c r="B169" s="75">
        <f>VLOOKUP(A169,Database!A:M,MATCH($A$1,Database!$A$1:$M$1,),)</f>
        <v>143841</v>
      </c>
      <c r="C169" s="113">
        <f>(Table5351415[[#This Row],[New Orders ex Transport]]-B168)/B168</f>
        <v>5.3678891195403748E-3</v>
      </c>
    </row>
    <row r="170" spans="1:3" x14ac:dyDescent="0.35">
      <c r="A170" s="74">
        <v>38626</v>
      </c>
      <c r="B170" s="75">
        <f>VLOOKUP(A170,Database!A:M,MATCH($A$1,Database!$A$1:$M$1,),)</f>
        <v>145723</v>
      </c>
      <c r="C170" s="113">
        <f>(Table5351415[[#This Row],[New Orders ex Transport]]-B169)/B169</f>
        <v>1.3083891241023073E-2</v>
      </c>
    </row>
    <row r="171" spans="1:3" x14ac:dyDescent="0.35">
      <c r="A171" s="74">
        <v>38657</v>
      </c>
      <c r="B171" s="75">
        <f>VLOOKUP(A171,Database!A:M,MATCH($A$1,Database!$A$1:$M$1,),)</f>
        <v>148043</v>
      </c>
      <c r="C171" s="113">
        <f>(Table5351415[[#This Row],[New Orders ex Transport]]-B170)/B170</f>
        <v>1.5920616512149762E-2</v>
      </c>
    </row>
    <row r="172" spans="1:3" x14ac:dyDescent="0.35">
      <c r="A172" s="74">
        <v>38687</v>
      </c>
      <c r="B172" s="75">
        <f>VLOOKUP(A172,Database!A:M,MATCH($A$1,Database!$A$1:$M$1,),)</f>
        <v>147852</v>
      </c>
      <c r="C172" s="113">
        <f>(Table5351415[[#This Row],[New Orders ex Transport]]-B171)/B171</f>
        <v>-1.2901656951020987E-3</v>
      </c>
    </row>
    <row r="173" spans="1:3" x14ac:dyDescent="0.35">
      <c r="A173" s="74">
        <v>38718</v>
      </c>
      <c r="B173" s="75">
        <f>VLOOKUP(A173,Database!A:M,MATCH($A$1,Database!$A$1:$M$1,),)</f>
        <v>150953</v>
      </c>
      <c r="C173" s="113">
        <f>(Table5351415[[#This Row],[New Orders ex Transport]]-B172)/B172</f>
        <v>2.0973676379081783E-2</v>
      </c>
    </row>
    <row r="174" spans="1:3" x14ac:dyDescent="0.35">
      <c r="A174" s="74">
        <v>38749</v>
      </c>
      <c r="B174" s="75">
        <f>VLOOKUP(A174,Database!A:M,MATCH($A$1,Database!$A$1:$M$1,),)</f>
        <v>150818</v>
      </c>
      <c r="C174" s="113">
        <f>(Table5351415[[#This Row],[New Orders ex Transport]]-B173)/B173</f>
        <v>-8.9431809901095044E-4</v>
      </c>
    </row>
    <row r="175" spans="1:3" x14ac:dyDescent="0.35">
      <c r="A175" s="74">
        <v>38777</v>
      </c>
      <c r="B175" s="75">
        <f>VLOOKUP(A175,Database!A:M,MATCH($A$1,Database!$A$1:$M$1,),)</f>
        <v>153217</v>
      </c>
      <c r="C175" s="113">
        <f>(Table5351415[[#This Row],[New Orders ex Transport]]-B174)/B174</f>
        <v>1.5906589399143339E-2</v>
      </c>
    </row>
    <row r="176" spans="1:3" x14ac:dyDescent="0.35">
      <c r="A176" s="74">
        <v>38808</v>
      </c>
      <c r="B176" s="75">
        <f>VLOOKUP(A176,Database!A:M,MATCH($A$1,Database!$A$1:$M$1,),)</f>
        <v>151952</v>
      </c>
      <c r="C176" s="113">
        <f>(Table5351415[[#This Row],[New Orders ex Transport]]-B175)/B175</f>
        <v>-8.256263991593623E-3</v>
      </c>
    </row>
    <row r="177" spans="1:3" x14ac:dyDescent="0.35">
      <c r="A177" s="74">
        <v>38838</v>
      </c>
      <c r="B177" s="75">
        <f>VLOOKUP(A177,Database!A:M,MATCH($A$1,Database!$A$1:$M$1,),)</f>
        <v>153734</v>
      </c>
      <c r="C177" s="113">
        <f>(Table5351415[[#This Row],[New Orders ex Transport]]-B176)/B176</f>
        <v>1.1727387596082973E-2</v>
      </c>
    </row>
    <row r="178" spans="1:3" x14ac:dyDescent="0.35">
      <c r="A178" s="74">
        <v>38869</v>
      </c>
      <c r="B178" s="75">
        <f>VLOOKUP(A178,Database!A:M,MATCH($A$1,Database!$A$1:$M$1,),)</f>
        <v>154888</v>
      </c>
      <c r="C178" s="113">
        <f>(Table5351415[[#This Row],[New Orders ex Transport]]-B177)/B177</f>
        <v>7.506472218247102E-3</v>
      </c>
    </row>
    <row r="179" spans="1:3" x14ac:dyDescent="0.35">
      <c r="A179" s="74">
        <v>38899</v>
      </c>
      <c r="B179" s="75">
        <f>VLOOKUP(A179,Database!A:M,MATCH($A$1,Database!$A$1:$M$1,),)</f>
        <v>153064</v>
      </c>
      <c r="C179" s="113">
        <f>(Table5351415[[#This Row],[New Orders ex Transport]]-B178)/B178</f>
        <v>-1.1776251226692836E-2</v>
      </c>
    </row>
    <row r="180" spans="1:3" x14ac:dyDescent="0.35">
      <c r="A180" s="74">
        <v>38930</v>
      </c>
      <c r="B180" s="75">
        <f>VLOOKUP(A180,Database!A:M,MATCH($A$1,Database!$A$1:$M$1,),)</f>
        <v>150575</v>
      </c>
      <c r="C180" s="113">
        <f>(Table5351415[[#This Row],[New Orders ex Transport]]-B179)/B179</f>
        <v>-1.6261171797418074E-2</v>
      </c>
    </row>
    <row r="181" spans="1:3" x14ac:dyDescent="0.35">
      <c r="A181" s="74">
        <v>38961</v>
      </c>
      <c r="B181" s="75">
        <f>VLOOKUP(A181,Database!A:M,MATCH($A$1,Database!$A$1:$M$1,),)</f>
        <v>153923</v>
      </c>
      <c r="C181" s="113">
        <f>(Table5351415[[#This Row],[New Orders ex Transport]]-B180)/B180</f>
        <v>2.2234766727544413E-2</v>
      </c>
    </row>
    <row r="182" spans="1:3" x14ac:dyDescent="0.35">
      <c r="A182" s="74">
        <v>38991</v>
      </c>
      <c r="B182" s="75">
        <f>VLOOKUP(A182,Database!A:M,MATCH($A$1,Database!$A$1:$M$1,),)</f>
        <v>153537</v>
      </c>
      <c r="C182" s="113">
        <f>(Table5351415[[#This Row],[New Orders ex Transport]]-B181)/B181</f>
        <v>-2.5077473801835984E-3</v>
      </c>
    </row>
    <row r="183" spans="1:3" x14ac:dyDescent="0.35">
      <c r="A183" s="74">
        <v>39022</v>
      </c>
      <c r="B183" s="75">
        <f>VLOOKUP(A183,Database!A:M,MATCH($A$1,Database!$A$1:$M$1,),)</f>
        <v>153502</v>
      </c>
      <c r="C183" s="113">
        <f>(Table5351415[[#This Row],[New Orders ex Transport]]-B182)/B182</f>
        <v>-2.2795808176530739E-4</v>
      </c>
    </row>
    <row r="184" spans="1:3" x14ac:dyDescent="0.35">
      <c r="A184" s="74">
        <v>39052</v>
      </c>
      <c r="B184" s="75">
        <f>VLOOKUP(A184,Database!A:M,MATCH($A$1,Database!$A$1:$M$1,),)</f>
        <v>158499</v>
      </c>
      <c r="C184" s="113">
        <f>(Table5351415[[#This Row],[New Orders ex Transport]]-B183)/B183</f>
        <v>3.25533217808237E-2</v>
      </c>
    </row>
    <row r="185" spans="1:3" x14ac:dyDescent="0.35">
      <c r="A185" s="74">
        <v>39083</v>
      </c>
      <c r="B185" s="75">
        <f>VLOOKUP(A185,Database!A:M,MATCH($A$1,Database!$A$1:$M$1,),)</f>
        <v>153402</v>
      </c>
      <c r="C185" s="113">
        <f>(Table5351415[[#This Row],[New Orders ex Transport]]-B184)/B184</f>
        <v>-3.2157931595782938E-2</v>
      </c>
    </row>
    <row r="186" spans="1:3" x14ac:dyDescent="0.35">
      <c r="A186" s="74">
        <v>39114</v>
      </c>
      <c r="B186" s="75">
        <f>VLOOKUP(A186,Database!A:M,MATCH($A$1,Database!$A$1:$M$1,),)</f>
        <v>155151</v>
      </c>
      <c r="C186" s="113">
        <f>(Table5351415[[#This Row],[New Orders ex Transport]]-B185)/B185</f>
        <v>1.1401415887667696E-2</v>
      </c>
    </row>
    <row r="187" spans="1:3" x14ac:dyDescent="0.35">
      <c r="A187" s="74">
        <v>39142</v>
      </c>
      <c r="B187" s="75">
        <f>VLOOKUP(A187,Database!A:M,MATCH($A$1,Database!$A$1:$M$1,),)</f>
        <v>156356</v>
      </c>
      <c r="C187" s="113">
        <f>(Table5351415[[#This Row],[New Orders ex Transport]]-B186)/B186</f>
        <v>7.7666273501298738E-3</v>
      </c>
    </row>
    <row r="188" spans="1:3" x14ac:dyDescent="0.35">
      <c r="A188" s="74">
        <v>39173</v>
      </c>
      <c r="B188" s="75">
        <f>VLOOKUP(A188,Database!A:M,MATCH($A$1,Database!$A$1:$M$1,),)</f>
        <v>159160</v>
      </c>
      <c r="C188" s="113">
        <f>(Table5351415[[#This Row],[New Orders ex Transport]]-B187)/B187</f>
        <v>1.793343395840262E-2</v>
      </c>
    </row>
    <row r="189" spans="1:3" x14ac:dyDescent="0.35">
      <c r="A189" s="74">
        <v>39203</v>
      </c>
      <c r="B189" s="75">
        <f>VLOOKUP(A189,Database!A:M,MATCH($A$1,Database!$A$1:$M$1,),)</f>
        <v>158536</v>
      </c>
      <c r="C189" s="113">
        <f>(Table5351415[[#This Row],[New Orders ex Transport]]-B188)/B188</f>
        <v>-3.9205830610706208E-3</v>
      </c>
    </row>
    <row r="190" spans="1:3" x14ac:dyDescent="0.35">
      <c r="A190" s="74">
        <v>39234</v>
      </c>
      <c r="B190" s="75">
        <f>VLOOKUP(A190,Database!A:M,MATCH($A$1,Database!$A$1:$M$1,),)</f>
        <v>154569</v>
      </c>
      <c r="C190" s="113">
        <f>(Table5351415[[#This Row],[New Orders ex Transport]]-B189)/B189</f>
        <v>-2.502270777615179E-2</v>
      </c>
    </row>
    <row r="191" spans="1:3" x14ac:dyDescent="0.35">
      <c r="A191" s="74">
        <v>39264</v>
      </c>
      <c r="B191" s="75">
        <f>VLOOKUP(A191,Database!A:M,MATCH($A$1,Database!$A$1:$M$1,),)</f>
        <v>156767</v>
      </c>
      <c r="C191" s="113">
        <f>(Table5351415[[#This Row],[New Orders ex Transport]]-B190)/B190</f>
        <v>1.4220186453946133E-2</v>
      </c>
    </row>
    <row r="192" spans="1:3" x14ac:dyDescent="0.35">
      <c r="A192" s="74">
        <v>39295</v>
      </c>
      <c r="B192" s="75">
        <f>VLOOKUP(A192,Database!A:M,MATCH($A$1,Database!$A$1:$M$1,),)</f>
        <v>158130</v>
      </c>
      <c r="C192" s="113">
        <f>(Table5351415[[#This Row],[New Orders ex Transport]]-B191)/B191</f>
        <v>8.6944318638488959E-3</v>
      </c>
    </row>
    <row r="193" spans="1:3" x14ac:dyDescent="0.35">
      <c r="A193" s="74">
        <v>39326</v>
      </c>
      <c r="B193" s="75">
        <f>VLOOKUP(A193,Database!A:M,MATCH($A$1,Database!$A$1:$M$1,),)</f>
        <v>157646</v>
      </c>
      <c r="C193" s="113">
        <f>(Table5351415[[#This Row],[New Orders ex Transport]]-B192)/B192</f>
        <v>-3.0607727818883199E-3</v>
      </c>
    </row>
    <row r="194" spans="1:3" x14ac:dyDescent="0.35">
      <c r="A194" s="74">
        <v>39356</v>
      </c>
      <c r="B194" s="75">
        <f>VLOOKUP(A194,Database!A:M,MATCH($A$1,Database!$A$1:$M$1,),)</f>
        <v>159832</v>
      </c>
      <c r="C194" s="113">
        <f>(Table5351415[[#This Row],[New Orders ex Transport]]-B193)/B193</f>
        <v>1.386651104373089E-2</v>
      </c>
    </row>
    <row r="195" spans="1:3" x14ac:dyDescent="0.35">
      <c r="A195" s="74">
        <v>39387</v>
      </c>
      <c r="B195" s="75">
        <f>VLOOKUP(A195,Database!A:M,MATCH($A$1,Database!$A$1:$M$1,),)</f>
        <v>160074</v>
      </c>
      <c r="C195" s="113">
        <f>(Table5351415[[#This Row],[New Orders ex Transport]]-B194)/B194</f>
        <v>1.5140897942839981E-3</v>
      </c>
    </row>
    <row r="196" spans="1:3" x14ac:dyDescent="0.35">
      <c r="A196" s="74">
        <v>39417</v>
      </c>
      <c r="B196" s="75">
        <f>VLOOKUP(A196,Database!A:M,MATCH($A$1,Database!$A$1:$M$1,),)</f>
        <v>163300</v>
      </c>
      <c r="C196" s="113">
        <f>(Table5351415[[#This Row],[New Orders ex Transport]]-B195)/B195</f>
        <v>2.0153179154640977E-2</v>
      </c>
    </row>
    <row r="197" spans="1:3" x14ac:dyDescent="0.35">
      <c r="A197" s="74">
        <v>39448</v>
      </c>
      <c r="B197" s="75">
        <f>VLOOKUP(A197,Database!A:M,MATCH($A$1,Database!$A$1:$M$1,),)</f>
        <v>164615</v>
      </c>
      <c r="C197" s="113">
        <f>(Table5351415[[#This Row],[New Orders ex Transport]]-B196)/B196</f>
        <v>8.0526638089406001E-3</v>
      </c>
    </row>
    <row r="198" spans="1:3" x14ac:dyDescent="0.35">
      <c r="A198" s="74">
        <v>39479</v>
      </c>
      <c r="B198" s="75">
        <f>VLOOKUP(A198,Database!A:M,MATCH($A$1,Database!$A$1:$M$1,),)</f>
        <v>160985</v>
      </c>
      <c r="C198" s="113">
        <f>(Table5351415[[#This Row],[New Orders ex Transport]]-B197)/B197</f>
        <v>-2.2051453391246242E-2</v>
      </c>
    </row>
    <row r="199" spans="1:3" x14ac:dyDescent="0.35">
      <c r="A199" s="74">
        <v>39508</v>
      </c>
      <c r="B199" s="75">
        <f>VLOOKUP(A199,Database!A:M,MATCH($A$1,Database!$A$1:$M$1,),)</f>
        <v>163953</v>
      </c>
      <c r="C199" s="113">
        <f>(Table5351415[[#This Row],[New Orders ex Transport]]-B198)/B198</f>
        <v>1.8436500295058545E-2</v>
      </c>
    </row>
    <row r="200" spans="1:3" x14ac:dyDescent="0.35">
      <c r="A200" s="74">
        <v>39539</v>
      </c>
      <c r="B200" s="75">
        <f>VLOOKUP(A200,Database!A:M,MATCH($A$1,Database!$A$1:$M$1,),)</f>
        <v>167301</v>
      </c>
      <c r="C200" s="113">
        <f>(Table5351415[[#This Row],[New Orders ex Transport]]-B199)/B199</f>
        <v>2.0420486358895536E-2</v>
      </c>
    </row>
    <row r="201" spans="1:3" x14ac:dyDescent="0.35">
      <c r="A201" s="74">
        <v>39569</v>
      </c>
      <c r="B201" s="75">
        <f>VLOOKUP(A201,Database!A:M,MATCH($A$1,Database!$A$1:$M$1,),)</f>
        <v>164561</v>
      </c>
      <c r="C201" s="113">
        <f>(Table5351415[[#This Row],[New Orders ex Transport]]-B200)/B200</f>
        <v>-1.6377666600916909E-2</v>
      </c>
    </row>
    <row r="202" spans="1:3" x14ac:dyDescent="0.35">
      <c r="A202" s="74">
        <v>39600</v>
      </c>
      <c r="B202" s="75">
        <f>VLOOKUP(A202,Database!A:M,MATCH($A$1,Database!$A$1:$M$1,),)</f>
        <v>166622</v>
      </c>
      <c r="C202" s="113">
        <f>(Table5351415[[#This Row],[New Orders ex Transport]]-B201)/B201</f>
        <v>1.2524231136174428E-2</v>
      </c>
    </row>
    <row r="203" spans="1:3" x14ac:dyDescent="0.35">
      <c r="A203" s="74">
        <v>39630</v>
      </c>
      <c r="B203" s="75">
        <f>VLOOKUP(A203,Database!A:M,MATCH($A$1,Database!$A$1:$M$1,),)</f>
        <v>162295</v>
      </c>
      <c r="C203" s="113">
        <f>(Table5351415[[#This Row],[New Orders ex Transport]]-B202)/B202</f>
        <v>-2.5968959681194559E-2</v>
      </c>
    </row>
    <row r="204" spans="1:3" x14ac:dyDescent="0.35">
      <c r="A204" s="74">
        <v>39661</v>
      </c>
      <c r="B204" s="75">
        <f>VLOOKUP(A204,Database!A:M,MATCH($A$1,Database!$A$1:$M$1,),)</f>
        <v>156865</v>
      </c>
      <c r="C204" s="113">
        <f>(Table5351415[[#This Row],[New Orders ex Transport]]-B203)/B203</f>
        <v>-3.3457592655349824E-2</v>
      </c>
    </row>
    <row r="205" spans="1:3" x14ac:dyDescent="0.35">
      <c r="A205" s="74">
        <v>39692</v>
      </c>
      <c r="B205" s="75">
        <f>VLOOKUP(A205,Database!A:M,MATCH($A$1,Database!$A$1:$M$1,),)</f>
        <v>153392</v>
      </c>
      <c r="C205" s="113">
        <f>(Table5351415[[#This Row],[New Orders ex Transport]]-B204)/B204</f>
        <v>-2.214005673668441E-2</v>
      </c>
    </row>
    <row r="206" spans="1:3" x14ac:dyDescent="0.35">
      <c r="A206" s="74">
        <v>39722</v>
      </c>
      <c r="B206" s="75">
        <f>VLOOKUP(A206,Database!A:M,MATCH($A$1,Database!$A$1:$M$1,),)</f>
        <v>141024</v>
      </c>
      <c r="C206" s="113">
        <f>(Table5351415[[#This Row],[New Orders ex Transport]]-B205)/B205</f>
        <v>-8.063001981850422E-2</v>
      </c>
    </row>
    <row r="207" spans="1:3" x14ac:dyDescent="0.35">
      <c r="A207" s="74">
        <v>39753</v>
      </c>
      <c r="B207" s="75">
        <f>VLOOKUP(A207,Database!A:M,MATCH($A$1,Database!$A$1:$M$1,),)</f>
        <v>138472</v>
      </c>
      <c r="C207" s="113">
        <f>(Table5351415[[#This Row],[New Orders ex Transport]]-B206)/B206</f>
        <v>-1.8096210574086679E-2</v>
      </c>
    </row>
    <row r="208" spans="1:3" x14ac:dyDescent="0.35">
      <c r="A208" s="74">
        <v>39783</v>
      </c>
      <c r="B208" s="75">
        <f>VLOOKUP(A208,Database!A:M,MATCH($A$1,Database!$A$1:$M$1,),)</f>
        <v>127962</v>
      </c>
      <c r="C208" s="113">
        <f>(Table5351415[[#This Row],[New Orders ex Transport]]-B207)/B207</f>
        <v>-7.58998209024207E-2</v>
      </c>
    </row>
    <row r="209" spans="1:3" x14ac:dyDescent="0.35">
      <c r="A209" s="74">
        <v>39814</v>
      </c>
      <c r="B209" s="75">
        <f>VLOOKUP(A209,Database!A:M,MATCH($A$1,Database!$A$1:$M$1,),)</f>
        <v>114948</v>
      </c>
      <c r="C209" s="113">
        <f>(Table5351415[[#This Row],[New Orders ex Transport]]-B208)/B208</f>
        <v>-0.10170206780137854</v>
      </c>
    </row>
    <row r="210" spans="1:3" x14ac:dyDescent="0.35">
      <c r="A210" s="74">
        <v>39845</v>
      </c>
      <c r="B210" s="75">
        <f>VLOOKUP(A210,Database!A:M,MATCH($A$1,Database!$A$1:$M$1,),)</f>
        <v>116595</v>
      </c>
      <c r="C210" s="113">
        <f>(Table5351415[[#This Row],[New Orders ex Transport]]-B209)/B209</f>
        <v>1.4328217976824303E-2</v>
      </c>
    </row>
    <row r="211" spans="1:3" x14ac:dyDescent="0.35">
      <c r="A211" s="74">
        <v>39873</v>
      </c>
      <c r="B211" s="75">
        <f>VLOOKUP(A211,Database!A:M,MATCH($A$1,Database!$A$1:$M$1,),)</f>
        <v>113312</v>
      </c>
      <c r="C211" s="113">
        <f>(Table5351415[[#This Row],[New Orders ex Transport]]-B210)/B210</f>
        <v>-2.8157296625069685E-2</v>
      </c>
    </row>
    <row r="212" spans="1:3" x14ac:dyDescent="0.35">
      <c r="A212" s="74">
        <v>39904</v>
      </c>
      <c r="B212" s="75">
        <f>VLOOKUP(A212,Database!A:M,MATCH($A$1,Database!$A$1:$M$1,),)</f>
        <v>110601</v>
      </c>
      <c r="C212" s="113">
        <f>(Table5351415[[#This Row],[New Orders ex Transport]]-B211)/B211</f>
        <v>-2.3925091781982492E-2</v>
      </c>
    </row>
    <row r="213" spans="1:3" x14ac:dyDescent="0.35">
      <c r="A213" s="74">
        <v>39934</v>
      </c>
      <c r="B213" s="75">
        <f>VLOOKUP(A213,Database!A:M,MATCH($A$1,Database!$A$1:$M$1,),)</f>
        <v>113080</v>
      </c>
      <c r="C213" s="113">
        <f>(Table5351415[[#This Row],[New Orders ex Transport]]-B212)/B212</f>
        <v>2.2413902225115506E-2</v>
      </c>
    </row>
    <row r="214" spans="1:3" x14ac:dyDescent="0.35">
      <c r="A214" s="74">
        <v>39965</v>
      </c>
      <c r="B214" s="75">
        <f>VLOOKUP(A214,Database!A:M,MATCH($A$1,Database!$A$1:$M$1,),)</f>
        <v>115485</v>
      </c>
      <c r="C214" s="113">
        <f>(Table5351415[[#This Row],[New Orders ex Transport]]-B213)/B213</f>
        <v>2.1268128758401131E-2</v>
      </c>
    </row>
    <row r="215" spans="1:3" x14ac:dyDescent="0.35">
      <c r="A215" s="74">
        <v>39995</v>
      </c>
      <c r="B215" s="75">
        <f>VLOOKUP(A215,Database!A:M,MATCH($A$1,Database!$A$1:$M$1,),)</f>
        <v>117705</v>
      </c>
      <c r="C215" s="113">
        <f>(Table5351415[[#This Row],[New Orders ex Transport]]-B214)/B214</f>
        <v>1.9223275750097416E-2</v>
      </c>
    </row>
    <row r="216" spans="1:3" x14ac:dyDescent="0.35">
      <c r="A216" s="74">
        <v>40026</v>
      </c>
      <c r="B216" s="75">
        <f>VLOOKUP(A216,Database!A:M,MATCH($A$1,Database!$A$1:$M$1,),)</f>
        <v>117142</v>
      </c>
      <c r="C216" s="113">
        <f>(Table5351415[[#This Row],[New Orders ex Transport]]-B215)/B215</f>
        <v>-4.7831443014315451E-3</v>
      </c>
    </row>
    <row r="217" spans="1:3" x14ac:dyDescent="0.35">
      <c r="A217" s="74">
        <v>40057</v>
      </c>
      <c r="B217" s="75">
        <f>VLOOKUP(A217,Database!A:M,MATCH($A$1,Database!$A$1:$M$1,),)</f>
        <v>122042</v>
      </c>
      <c r="C217" s="113">
        <f>(Table5351415[[#This Row],[New Orders ex Transport]]-B216)/B216</f>
        <v>4.1829574362739243E-2</v>
      </c>
    </row>
    <row r="218" spans="1:3" x14ac:dyDescent="0.35">
      <c r="A218" s="74">
        <v>40087</v>
      </c>
      <c r="B218" s="75">
        <f>VLOOKUP(A218,Database!A:M,MATCH($A$1,Database!$A$1:$M$1,),)</f>
        <v>122244</v>
      </c>
      <c r="C218" s="113">
        <f>(Table5351415[[#This Row],[New Orders ex Transport]]-B217)/B217</f>
        <v>1.6551678930204355E-3</v>
      </c>
    </row>
    <row r="219" spans="1:3" x14ac:dyDescent="0.35">
      <c r="A219" s="74">
        <v>40118</v>
      </c>
      <c r="B219" s="75">
        <f>VLOOKUP(A219,Database!A:M,MATCH($A$1,Database!$A$1:$M$1,),)</f>
        <v>122532</v>
      </c>
      <c r="C219" s="113">
        <f>(Table5351415[[#This Row],[New Orders ex Transport]]-B218)/B218</f>
        <v>2.3559438500049081E-3</v>
      </c>
    </row>
    <row r="220" spans="1:3" x14ac:dyDescent="0.35">
      <c r="A220" s="74">
        <v>40148</v>
      </c>
      <c r="B220" s="75">
        <f>VLOOKUP(A220,Database!A:M,MATCH($A$1,Database!$A$1:$M$1,),)</f>
        <v>124425</v>
      </c>
      <c r="C220" s="113">
        <f>(Table5351415[[#This Row],[New Orders ex Transport]]-B219)/B219</f>
        <v>1.5449025560669866E-2</v>
      </c>
    </row>
    <row r="221" spans="1:3" x14ac:dyDescent="0.35">
      <c r="A221" s="74">
        <v>40179</v>
      </c>
      <c r="B221" s="75">
        <f>VLOOKUP(A221,Database!A:M,MATCH($A$1,Database!$A$1:$M$1,),)</f>
        <v>127057</v>
      </c>
      <c r="C221" s="113">
        <f>(Table5351415[[#This Row],[New Orders ex Transport]]-B220)/B220</f>
        <v>2.1153305203938114E-2</v>
      </c>
    </row>
    <row r="222" spans="1:3" x14ac:dyDescent="0.35">
      <c r="A222" s="74">
        <v>40210</v>
      </c>
      <c r="B222" s="75">
        <f>VLOOKUP(A222,Database!A:M,MATCH($A$1,Database!$A$1:$M$1,),)</f>
        <v>128810</v>
      </c>
      <c r="C222" s="113">
        <f>(Table5351415[[#This Row],[New Orders ex Transport]]-B221)/B221</f>
        <v>1.3796957271146021E-2</v>
      </c>
    </row>
    <row r="223" spans="1:3" x14ac:dyDescent="0.35">
      <c r="A223" s="74">
        <v>40238</v>
      </c>
      <c r="B223" s="75">
        <f>VLOOKUP(A223,Database!A:M,MATCH($A$1,Database!$A$1:$M$1,),)</f>
        <v>134835</v>
      </c>
      <c r="C223" s="113">
        <f>(Table5351415[[#This Row],[New Orders ex Transport]]-B222)/B222</f>
        <v>4.6774318764071114E-2</v>
      </c>
    </row>
    <row r="224" spans="1:3" x14ac:dyDescent="0.35">
      <c r="A224" s="74">
        <v>40269</v>
      </c>
      <c r="B224" s="75">
        <f>VLOOKUP(A224,Database!A:M,MATCH($A$1,Database!$A$1:$M$1,),)</f>
        <v>131196</v>
      </c>
      <c r="C224" s="113">
        <f>(Table5351415[[#This Row],[New Orders ex Transport]]-B223)/B223</f>
        <v>-2.6988541550784291E-2</v>
      </c>
    </row>
    <row r="225" spans="1:3" x14ac:dyDescent="0.35">
      <c r="A225" s="74">
        <v>40299</v>
      </c>
      <c r="B225" s="75">
        <f>VLOOKUP(A225,Database!A:M,MATCH($A$1,Database!$A$1:$M$1,),)</f>
        <v>136881</v>
      </c>
      <c r="C225" s="113">
        <f>(Table5351415[[#This Row],[New Orders ex Transport]]-B224)/B224</f>
        <v>4.3332113783956829E-2</v>
      </c>
    </row>
    <row r="226" spans="1:3" x14ac:dyDescent="0.35">
      <c r="A226" s="74">
        <v>40330</v>
      </c>
      <c r="B226" s="75">
        <f>VLOOKUP(A226,Database!A:M,MATCH($A$1,Database!$A$1:$M$1,),)</f>
        <v>137226</v>
      </c>
      <c r="C226" s="113">
        <f>(Table5351415[[#This Row],[New Orders ex Transport]]-B225)/B225</f>
        <v>2.5204374602757137E-3</v>
      </c>
    </row>
    <row r="227" spans="1:3" x14ac:dyDescent="0.35">
      <c r="A227" s="74">
        <v>40360</v>
      </c>
      <c r="B227" s="75">
        <f>VLOOKUP(A227,Database!A:M,MATCH($A$1,Database!$A$1:$M$1,),)</f>
        <v>134656</v>
      </c>
      <c r="C227" s="113">
        <f>(Table5351415[[#This Row],[New Orders ex Transport]]-B226)/B226</f>
        <v>-1.8728229344293357E-2</v>
      </c>
    </row>
    <row r="228" spans="1:3" x14ac:dyDescent="0.35">
      <c r="A228" s="74">
        <v>40391</v>
      </c>
      <c r="B228" s="75">
        <f>VLOOKUP(A228,Database!A:M,MATCH($A$1,Database!$A$1:$M$1,),)</f>
        <v>137093</v>
      </c>
      <c r="C228" s="113">
        <f>(Table5351415[[#This Row],[New Orders ex Transport]]-B227)/B227</f>
        <v>1.8097968155893537E-2</v>
      </c>
    </row>
    <row r="229" spans="1:3" x14ac:dyDescent="0.35">
      <c r="A229" s="74">
        <v>40422</v>
      </c>
      <c r="B229" s="75">
        <f>VLOOKUP(A229,Database!A:M,MATCH($A$1,Database!$A$1:$M$1,),)</f>
        <v>139248</v>
      </c>
      <c r="C229" s="113">
        <f>(Table5351415[[#This Row],[New Orders ex Transport]]-B228)/B228</f>
        <v>1.5719256271290293E-2</v>
      </c>
    </row>
    <row r="230" spans="1:3" x14ac:dyDescent="0.35">
      <c r="A230" s="74">
        <v>40452</v>
      </c>
      <c r="B230" s="75">
        <f>VLOOKUP(A230,Database!A:M,MATCH($A$1,Database!$A$1:$M$1,),)</f>
        <v>134518</v>
      </c>
      <c r="C230" s="113">
        <f>(Table5351415[[#This Row],[New Orders ex Transport]]-B229)/B229</f>
        <v>-3.396817189474894E-2</v>
      </c>
    </row>
    <row r="231" spans="1:3" x14ac:dyDescent="0.35">
      <c r="A231" s="74">
        <v>40483</v>
      </c>
      <c r="B231" s="75">
        <f>VLOOKUP(A231,Database!A:M,MATCH($A$1,Database!$A$1:$M$1,),)</f>
        <v>142450</v>
      </c>
      <c r="C231" s="113">
        <f>(Table5351415[[#This Row],[New Orders ex Transport]]-B230)/B230</f>
        <v>5.8966086323019966E-2</v>
      </c>
    </row>
    <row r="232" spans="1:3" x14ac:dyDescent="0.35">
      <c r="A232" s="74">
        <v>40513</v>
      </c>
      <c r="B232" s="75">
        <f>VLOOKUP(A232,Database!A:M,MATCH($A$1,Database!$A$1:$M$1,),)</f>
        <v>144216</v>
      </c>
      <c r="C232" s="113">
        <f>(Table5351415[[#This Row],[New Orders ex Transport]]-B231)/B231</f>
        <v>1.2397332397332397E-2</v>
      </c>
    </row>
    <row r="233" spans="1:3" x14ac:dyDescent="0.35">
      <c r="A233" s="74">
        <v>40544</v>
      </c>
      <c r="B233" s="75">
        <f>VLOOKUP(A233,Database!A:M,MATCH($A$1,Database!$A$1:$M$1,),)</f>
        <v>143113</v>
      </c>
      <c r="C233" s="113">
        <f>(Table5351415[[#This Row],[New Orders ex Transport]]-B232)/B232</f>
        <v>-7.6482498474510453E-3</v>
      </c>
    </row>
    <row r="234" spans="1:3" x14ac:dyDescent="0.35">
      <c r="A234" s="74">
        <v>40575</v>
      </c>
      <c r="B234" s="75">
        <f>VLOOKUP(A234,Database!A:M,MATCH($A$1,Database!$A$1:$M$1,),)</f>
        <v>141061</v>
      </c>
      <c r="C234" s="113">
        <f>(Table5351415[[#This Row],[New Orders ex Transport]]-B233)/B233</f>
        <v>-1.4338320068756856E-2</v>
      </c>
    </row>
    <row r="235" spans="1:3" x14ac:dyDescent="0.35">
      <c r="A235" s="74">
        <v>40603</v>
      </c>
      <c r="B235" s="75">
        <f>VLOOKUP(A235,Database!A:M,MATCH($A$1,Database!$A$1:$M$1,),)</f>
        <v>145907</v>
      </c>
      <c r="C235" s="113">
        <f>(Table5351415[[#This Row],[New Orders ex Transport]]-B234)/B234</f>
        <v>3.4353931986870929E-2</v>
      </c>
    </row>
    <row r="236" spans="1:3" x14ac:dyDescent="0.35">
      <c r="A236" s="74">
        <v>40634</v>
      </c>
      <c r="B236" s="75">
        <f>VLOOKUP(A236,Database!A:M,MATCH($A$1,Database!$A$1:$M$1,),)</f>
        <v>143390</v>
      </c>
      <c r="C236" s="113">
        <f>(Table5351415[[#This Row],[New Orders ex Transport]]-B235)/B235</f>
        <v>-1.7250714496220194E-2</v>
      </c>
    </row>
    <row r="237" spans="1:3" x14ac:dyDescent="0.35">
      <c r="A237" s="74">
        <v>40664</v>
      </c>
      <c r="B237" s="75">
        <f>VLOOKUP(A237,Database!A:M,MATCH($A$1,Database!$A$1:$M$1,),)</f>
        <v>146454</v>
      </c>
      <c r="C237" s="113">
        <f>(Table5351415[[#This Row],[New Orders ex Transport]]-B236)/B236</f>
        <v>2.1368296254968965E-2</v>
      </c>
    </row>
    <row r="238" spans="1:3" x14ac:dyDescent="0.35">
      <c r="A238" s="74">
        <v>40695</v>
      </c>
      <c r="B238" s="75">
        <f>VLOOKUP(A238,Database!A:M,MATCH($A$1,Database!$A$1:$M$1,),)</f>
        <v>146197</v>
      </c>
      <c r="C238" s="113">
        <f>(Table5351415[[#This Row],[New Orders ex Transport]]-B237)/B237</f>
        <v>-1.7548172122304614E-3</v>
      </c>
    </row>
    <row r="239" spans="1:3" x14ac:dyDescent="0.35">
      <c r="A239" s="74">
        <v>40725</v>
      </c>
      <c r="B239" s="75">
        <f>VLOOKUP(A239,Database!A:M,MATCH($A$1,Database!$A$1:$M$1,),)</f>
        <v>147897</v>
      </c>
      <c r="C239" s="113">
        <f>(Table5351415[[#This Row],[New Orders ex Transport]]-B238)/B238</f>
        <v>1.1628145584382717E-2</v>
      </c>
    </row>
    <row r="240" spans="1:3" x14ac:dyDescent="0.35">
      <c r="A240" s="74">
        <v>40756</v>
      </c>
      <c r="B240" s="75">
        <f>VLOOKUP(A240,Database!A:M,MATCH($A$1,Database!$A$1:$M$1,),)</f>
        <v>147496</v>
      </c>
      <c r="C240" s="113">
        <f>(Table5351415[[#This Row],[New Orders ex Transport]]-B239)/B239</f>
        <v>-2.7113464100015552E-3</v>
      </c>
    </row>
    <row r="241" spans="1:3" x14ac:dyDescent="0.35">
      <c r="A241" s="74">
        <v>40787</v>
      </c>
      <c r="B241" s="75">
        <f>VLOOKUP(A241,Database!A:M,MATCH($A$1,Database!$A$1:$M$1,),)</f>
        <v>148657</v>
      </c>
      <c r="C241" s="113">
        <f>(Table5351415[[#This Row],[New Orders ex Transport]]-B240)/B240</f>
        <v>7.8713999023702335E-3</v>
      </c>
    </row>
    <row r="242" spans="1:3" x14ac:dyDescent="0.35">
      <c r="A242" s="74">
        <v>40817</v>
      </c>
      <c r="B242" s="75">
        <f>VLOOKUP(A242,Database!A:M,MATCH($A$1,Database!$A$1:$M$1,),)</f>
        <v>151629</v>
      </c>
      <c r="C242" s="113">
        <f>(Table5351415[[#This Row],[New Orders ex Transport]]-B241)/B241</f>
        <v>1.9992331339930176E-2</v>
      </c>
    </row>
    <row r="243" spans="1:3" x14ac:dyDescent="0.35">
      <c r="A243" s="74">
        <v>40848</v>
      </c>
      <c r="B243" s="75">
        <f>VLOOKUP(A243,Database!A:M,MATCH($A$1,Database!$A$1:$M$1,),)</f>
        <v>150443</v>
      </c>
      <c r="C243" s="113">
        <f>(Table5351415[[#This Row],[New Orders ex Transport]]-B242)/B242</f>
        <v>-7.8217227575199996E-3</v>
      </c>
    </row>
    <row r="244" spans="1:3" x14ac:dyDescent="0.35">
      <c r="A244" s="74">
        <v>40878</v>
      </c>
      <c r="B244" s="75">
        <f>VLOOKUP(A244,Database!A:M,MATCH($A$1,Database!$A$1:$M$1,),)</f>
        <v>154801</v>
      </c>
      <c r="C244" s="113">
        <f>(Table5351415[[#This Row],[New Orders ex Transport]]-B243)/B243</f>
        <v>2.8967781817698397E-2</v>
      </c>
    </row>
    <row r="245" spans="1:3" x14ac:dyDescent="0.35">
      <c r="A245" s="74">
        <v>40909</v>
      </c>
      <c r="B245" s="75">
        <f>VLOOKUP(A245,Database!A:M,MATCH($A$1,Database!$A$1:$M$1,),)</f>
        <v>151995</v>
      </c>
      <c r="C245" s="113">
        <f>(Table5351415[[#This Row],[New Orders ex Transport]]-B244)/B244</f>
        <v>-1.8126497890840497E-2</v>
      </c>
    </row>
    <row r="246" spans="1:3" x14ac:dyDescent="0.35">
      <c r="A246" s="74">
        <v>40940</v>
      </c>
      <c r="B246" s="75">
        <f>VLOOKUP(A246,Database!A:M,MATCH($A$1,Database!$A$1:$M$1,),)</f>
        <v>153841</v>
      </c>
      <c r="C246" s="113">
        <f>(Table5351415[[#This Row],[New Orders ex Transport]]-B245)/B245</f>
        <v>1.2145136353169512E-2</v>
      </c>
    </row>
    <row r="247" spans="1:3" x14ac:dyDescent="0.35">
      <c r="A247" s="74">
        <v>40969</v>
      </c>
      <c r="B247" s="75">
        <f>VLOOKUP(A247,Database!A:M,MATCH($A$1,Database!$A$1:$M$1,),)</f>
        <v>153408</v>
      </c>
      <c r="C247" s="113">
        <f>(Table5351415[[#This Row],[New Orders ex Transport]]-B246)/B246</f>
        <v>-2.8145942889086784E-3</v>
      </c>
    </row>
    <row r="248" spans="1:3" x14ac:dyDescent="0.35">
      <c r="A248" s="74">
        <v>41000</v>
      </c>
      <c r="B248" s="75">
        <f>VLOOKUP(A248,Database!A:M,MATCH($A$1,Database!$A$1:$M$1,),)</f>
        <v>151383</v>
      </c>
      <c r="C248" s="113">
        <f>(Table5351415[[#This Row],[New Orders ex Transport]]-B247)/B247</f>
        <v>-1.3200093867334168E-2</v>
      </c>
    </row>
    <row r="249" spans="1:3" x14ac:dyDescent="0.35">
      <c r="A249" s="74">
        <v>41030</v>
      </c>
      <c r="B249" s="75">
        <f>VLOOKUP(A249,Database!A:M,MATCH($A$1,Database!$A$1:$M$1,),)</f>
        <v>150820</v>
      </c>
      <c r="C249" s="113">
        <f>(Table5351415[[#This Row],[New Orders ex Transport]]-B248)/B248</f>
        <v>-3.7190437499587141E-3</v>
      </c>
    </row>
    <row r="250" spans="1:3" x14ac:dyDescent="0.35">
      <c r="A250" s="74">
        <v>41061</v>
      </c>
      <c r="B250" s="75">
        <f>VLOOKUP(A250,Database!A:M,MATCH($A$1,Database!$A$1:$M$1,),)</f>
        <v>147012</v>
      </c>
      <c r="C250" s="113">
        <f>(Table5351415[[#This Row],[New Orders ex Transport]]-B249)/B249</f>
        <v>-2.5248640763824427E-2</v>
      </c>
    </row>
    <row r="251" spans="1:3" x14ac:dyDescent="0.35">
      <c r="A251" s="74">
        <v>41091</v>
      </c>
      <c r="B251" s="75">
        <f>VLOOKUP(A251,Database!A:M,MATCH($A$1,Database!$A$1:$M$1,),)</f>
        <v>146370</v>
      </c>
      <c r="C251" s="113">
        <f>(Table5351415[[#This Row],[New Orders ex Transport]]-B250)/B250</f>
        <v>-4.3669904497592033E-3</v>
      </c>
    </row>
    <row r="252" spans="1:3" x14ac:dyDescent="0.35">
      <c r="A252" s="74">
        <v>41122</v>
      </c>
      <c r="B252" s="75">
        <f>VLOOKUP(A252,Database!A:M,MATCH($A$1,Database!$A$1:$M$1,),)</f>
        <v>142809</v>
      </c>
      <c r="C252" s="113">
        <f>(Table5351415[[#This Row],[New Orders ex Transport]]-B251)/B251</f>
        <v>-2.4328755892600942E-2</v>
      </c>
    </row>
    <row r="253" spans="1:3" x14ac:dyDescent="0.35">
      <c r="A253" s="74">
        <v>41153</v>
      </c>
      <c r="B253" s="75">
        <f>VLOOKUP(A253,Database!A:M,MATCH($A$1,Database!$A$1:$M$1,),)</f>
        <v>144398</v>
      </c>
      <c r="C253" s="113">
        <f>(Table5351415[[#This Row],[New Orders ex Transport]]-B252)/B252</f>
        <v>1.1126749714653838E-2</v>
      </c>
    </row>
    <row r="254" spans="1:3" x14ac:dyDescent="0.35">
      <c r="A254" s="74">
        <v>41183</v>
      </c>
      <c r="B254" s="75">
        <f>VLOOKUP(A254,Database!A:M,MATCH($A$1,Database!$A$1:$M$1,),)</f>
        <v>147556</v>
      </c>
      <c r="C254" s="113">
        <f>(Table5351415[[#This Row],[New Orders ex Transport]]-B253)/B253</f>
        <v>2.1870109004279839E-2</v>
      </c>
    </row>
    <row r="255" spans="1:3" x14ac:dyDescent="0.35">
      <c r="A255" s="74">
        <v>41214</v>
      </c>
      <c r="B255" s="75">
        <f>VLOOKUP(A255,Database!A:M,MATCH($A$1,Database!$A$1:$M$1,),)</f>
        <v>147575</v>
      </c>
      <c r="C255" s="113">
        <f>(Table5351415[[#This Row],[New Orders ex Transport]]-B254)/B254</f>
        <v>1.2876467239556508E-4</v>
      </c>
    </row>
    <row r="256" spans="1:3" x14ac:dyDescent="0.35">
      <c r="A256" s="74">
        <v>41244</v>
      </c>
      <c r="B256" s="75">
        <f>VLOOKUP(A256,Database!A:M,MATCH($A$1,Database!$A$1:$M$1,),)</f>
        <v>146089</v>
      </c>
      <c r="C256" s="113">
        <f>(Table5351415[[#This Row],[New Orders ex Transport]]-B255)/B255</f>
        <v>-1.0069456208707438E-2</v>
      </c>
    </row>
    <row r="257" spans="1:3" x14ac:dyDescent="0.35">
      <c r="A257" s="74">
        <v>41275</v>
      </c>
      <c r="B257" s="75">
        <f>VLOOKUP(A257,Database!A:M,MATCH($A$1,Database!$A$1:$M$1,),)</f>
        <v>151759</v>
      </c>
      <c r="C257" s="113">
        <f>(Table5351415[[#This Row],[New Orders ex Transport]]-B256)/B256</f>
        <v>3.8811957094647784E-2</v>
      </c>
    </row>
    <row r="258" spans="1:3" x14ac:dyDescent="0.35">
      <c r="A258" s="74">
        <v>41306</v>
      </c>
      <c r="B258" s="75">
        <f>VLOOKUP(A258,Database!A:M,MATCH($A$1,Database!$A$1:$M$1,),)</f>
        <v>149375</v>
      </c>
      <c r="C258" s="113">
        <f>(Table5351415[[#This Row],[New Orders ex Transport]]-B257)/B257</f>
        <v>-1.570911774589975E-2</v>
      </c>
    </row>
    <row r="259" spans="1:3" x14ac:dyDescent="0.35">
      <c r="A259" s="74">
        <v>41334</v>
      </c>
      <c r="B259" s="75">
        <f>VLOOKUP(A259,Database!A:M,MATCH($A$1,Database!$A$1:$M$1,),)</f>
        <v>145948</v>
      </c>
      <c r="C259" s="113">
        <f>(Table5351415[[#This Row],[New Orders ex Transport]]-B258)/B258</f>
        <v>-2.2942259414225941E-2</v>
      </c>
    </row>
    <row r="260" spans="1:3" x14ac:dyDescent="0.35">
      <c r="A260" s="74">
        <v>41365</v>
      </c>
      <c r="B260" s="75">
        <f>VLOOKUP(A260,Database!A:M,MATCH($A$1,Database!$A$1:$M$1,),)</f>
        <v>149549</v>
      </c>
      <c r="C260" s="113">
        <f>(Table5351415[[#This Row],[New Orders ex Transport]]-B259)/B259</f>
        <v>2.4673171266478472E-2</v>
      </c>
    </row>
    <row r="261" spans="1:3" x14ac:dyDescent="0.35">
      <c r="A261" s="74">
        <v>41395</v>
      </c>
      <c r="B261" s="75">
        <f>VLOOKUP(A261,Database!A:M,MATCH($A$1,Database!$A$1:$M$1,),)</f>
        <v>150337</v>
      </c>
      <c r="C261" s="113">
        <f>(Table5351415[[#This Row],[New Orders ex Transport]]-B260)/B260</f>
        <v>5.2691759891406826E-3</v>
      </c>
    </row>
    <row r="262" spans="1:3" x14ac:dyDescent="0.35">
      <c r="A262" s="74">
        <v>41426</v>
      </c>
      <c r="B262" s="75">
        <f>VLOOKUP(A262,Database!A:M,MATCH($A$1,Database!$A$1:$M$1,),)</f>
        <v>150635</v>
      </c>
      <c r="C262" s="113">
        <f>(Table5351415[[#This Row],[New Orders ex Transport]]-B261)/B261</f>
        <v>1.9822132941325157E-3</v>
      </c>
    </row>
    <row r="263" spans="1:3" x14ac:dyDescent="0.35">
      <c r="A263" s="74">
        <v>41456</v>
      </c>
      <c r="B263" s="75">
        <f>VLOOKUP(A263,Database!A:M,MATCH($A$1,Database!$A$1:$M$1,),)</f>
        <v>148765</v>
      </c>
      <c r="C263" s="113">
        <f>(Table5351415[[#This Row],[New Orders ex Transport]]-B262)/B262</f>
        <v>-1.2414113585820029E-2</v>
      </c>
    </row>
    <row r="264" spans="1:3" x14ac:dyDescent="0.35">
      <c r="A264" s="74">
        <v>41487</v>
      </c>
      <c r="B264" s="75">
        <f>VLOOKUP(A264,Database!A:M,MATCH($A$1,Database!$A$1:$M$1,),)</f>
        <v>147563</v>
      </c>
      <c r="C264" s="113">
        <f>(Table5351415[[#This Row],[New Orders ex Transport]]-B263)/B263</f>
        <v>-8.0798574933620138E-3</v>
      </c>
    </row>
    <row r="265" spans="1:3" x14ac:dyDescent="0.35">
      <c r="A265" s="74">
        <v>41518</v>
      </c>
      <c r="B265" s="75">
        <f>VLOOKUP(A265,Database!A:M,MATCH($A$1,Database!$A$1:$M$1,),)</f>
        <v>148413</v>
      </c>
      <c r="C265" s="113">
        <f>(Table5351415[[#This Row],[New Orders ex Transport]]-B264)/B264</f>
        <v>5.7602515535737277E-3</v>
      </c>
    </row>
    <row r="266" spans="1:3" x14ac:dyDescent="0.35">
      <c r="A266" s="74">
        <v>41548</v>
      </c>
      <c r="B266" s="75">
        <f>VLOOKUP(A266,Database!A:M,MATCH($A$1,Database!$A$1:$M$1,),)</f>
        <v>148997</v>
      </c>
      <c r="C266" s="113">
        <f>(Table5351415[[#This Row],[New Orders ex Transport]]-B265)/B265</f>
        <v>3.9349652658459836E-3</v>
      </c>
    </row>
    <row r="267" spans="1:3" x14ac:dyDescent="0.35">
      <c r="A267" s="74">
        <v>41579</v>
      </c>
      <c r="B267" s="75">
        <f>VLOOKUP(A267,Database!A:M,MATCH($A$1,Database!$A$1:$M$1,),)</f>
        <v>151251</v>
      </c>
      <c r="C267" s="113">
        <f>(Table5351415[[#This Row],[New Orders ex Transport]]-B266)/B266</f>
        <v>1.512782136553085E-2</v>
      </c>
    </row>
    <row r="268" spans="1:3" x14ac:dyDescent="0.35">
      <c r="A268" s="74">
        <v>41609</v>
      </c>
      <c r="B268" s="75">
        <f>VLOOKUP(A268,Database!A:M,MATCH($A$1,Database!$A$1:$M$1,),)</f>
        <v>147895</v>
      </c>
      <c r="C268" s="113">
        <f>(Table5351415[[#This Row],[New Orders ex Transport]]-B267)/B267</f>
        <v>-2.2188283052674031E-2</v>
      </c>
    </row>
    <row r="269" spans="1:3" x14ac:dyDescent="0.35">
      <c r="A269" s="74">
        <v>41640</v>
      </c>
      <c r="B269" s="75">
        <f>VLOOKUP(A269,Database!A:M,MATCH($A$1,Database!$A$1:$M$1,),)</f>
        <v>150968</v>
      </c>
      <c r="C269" s="113">
        <f>(Table5351415[[#This Row],[New Orders ex Transport]]-B268)/B268</f>
        <v>2.0778254842962914E-2</v>
      </c>
    </row>
    <row r="270" spans="1:3" x14ac:dyDescent="0.35">
      <c r="A270" s="74">
        <v>41671</v>
      </c>
      <c r="B270" s="75">
        <f>VLOOKUP(A270,Database!A:M,MATCH($A$1,Database!$A$1:$M$1,),)</f>
        <v>151089</v>
      </c>
      <c r="C270" s="113">
        <f>(Table5351415[[#This Row],[New Orders ex Transport]]-B269)/B269</f>
        <v>8.0149435641990361E-4</v>
      </c>
    </row>
    <row r="271" spans="1:3" x14ac:dyDescent="0.35">
      <c r="A271" s="74">
        <v>41699</v>
      </c>
      <c r="B271" s="75">
        <f>VLOOKUP(A271,Database!A:M,MATCH($A$1,Database!$A$1:$M$1,),)</f>
        <v>153332</v>
      </c>
      <c r="C271" s="113">
        <f>(Table5351415[[#This Row],[New Orders ex Transport]]-B270)/B270</f>
        <v>1.4845554606887331E-2</v>
      </c>
    </row>
    <row r="272" spans="1:3" x14ac:dyDescent="0.35">
      <c r="A272" s="74">
        <v>41730</v>
      </c>
      <c r="B272" s="75">
        <f>VLOOKUP(A272,Database!A:M,MATCH($A$1,Database!$A$1:$M$1,),)</f>
        <v>151959</v>
      </c>
      <c r="C272" s="113">
        <f>(Table5351415[[#This Row],[New Orders ex Transport]]-B271)/B271</f>
        <v>-8.9544256906581802E-3</v>
      </c>
    </row>
    <row r="273" spans="1:3" x14ac:dyDescent="0.35">
      <c r="A273" s="74">
        <v>41760</v>
      </c>
      <c r="B273" s="75">
        <f>VLOOKUP(A273,Database!A:M,MATCH($A$1,Database!$A$1:$M$1,),)</f>
        <v>152127</v>
      </c>
      <c r="C273" s="113">
        <f>(Table5351415[[#This Row],[New Orders ex Transport]]-B272)/B272</f>
        <v>1.1055613685270369E-3</v>
      </c>
    </row>
    <row r="274" spans="1:3" x14ac:dyDescent="0.35">
      <c r="A274" s="74">
        <v>41791</v>
      </c>
      <c r="B274" s="75">
        <f>VLOOKUP(A274,Database!A:M,MATCH($A$1,Database!$A$1:$M$1,),)</f>
        <v>156585</v>
      </c>
      <c r="C274" s="113">
        <f>(Table5351415[[#This Row],[New Orders ex Transport]]-B273)/B273</f>
        <v>2.9304462718649549E-2</v>
      </c>
    </row>
    <row r="275" spans="1:3" x14ac:dyDescent="0.35">
      <c r="A275" s="74">
        <v>41821</v>
      </c>
      <c r="B275" s="75">
        <f>VLOOKUP(A275,Database!A:M,MATCH($A$1,Database!$A$1:$M$1,),)</f>
        <v>153702</v>
      </c>
      <c r="C275" s="113">
        <f>(Table5351415[[#This Row],[New Orders ex Transport]]-B274)/B274</f>
        <v>-1.8411725261040329E-2</v>
      </c>
    </row>
    <row r="276" spans="1:3" x14ac:dyDescent="0.35">
      <c r="A276" s="74">
        <v>41852</v>
      </c>
      <c r="B276" s="75">
        <f>VLOOKUP(A276,Database!A:M,MATCH($A$1,Database!$A$1:$M$1,),)</f>
        <v>155211</v>
      </c>
      <c r="C276" s="113">
        <f>(Table5351415[[#This Row],[New Orders ex Transport]]-B275)/B275</f>
        <v>9.8176991841355359E-3</v>
      </c>
    </row>
    <row r="277" spans="1:3" x14ac:dyDescent="0.35">
      <c r="A277" s="74">
        <v>41883</v>
      </c>
      <c r="B277" s="75">
        <f>VLOOKUP(A277,Database!A:M,MATCH($A$1,Database!$A$1:$M$1,),)</f>
        <v>156982</v>
      </c>
      <c r="C277" s="113">
        <f>(Table5351415[[#This Row],[New Orders ex Transport]]-B276)/B276</f>
        <v>1.1410273756370361E-2</v>
      </c>
    </row>
    <row r="278" spans="1:3" x14ac:dyDescent="0.35">
      <c r="A278" s="74">
        <v>41913</v>
      </c>
      <c r="B278" s="75">
        <f>VLOOKUP(A278,Database!A:M,MATCH($A$1,Database!$A$1:$M$1,),)</f>
        <v>152761</v>
      </c>
      <c r="C278" s="113">
        <f>(Table5351415[[#This Row],[New Orders ex Transport]]-B277)/B277</f>
        <v>-2.6888433068759477E-2</v>
      </c>
    </row>
    <row r="279" spans="1:3" x14ac:dyDescent="0.35">
      <c r="A279" s="74">
        <v>41944</v>
      </c>
      <c r="B279" s="75">
        <f>VLOOKUP(A279,Database!A:M,MATCH($A$1,Database!$A$1:$M$1,),)</f>
        <v>149271</v>
      </c>
      <c r="C279" s="113">
        <f>(Table5351415[[#This Row],[New Orders ex Transport]]-B278)/B278</f>
        <v>-2.2846145285773202E-2</v>
      </c>
    </row>
    <row r="280" spans="1:3" x14ac:dyDescent="0.35">
      <c r="A280" s="74">
        <v>41974</v>
      </c>
      <c r="B280" s="75">
        <f>VLOOKUP(A280,Database!A:M,MATCH($A$1,Database!$A$1:$M$1,),)</f>
        <v>150221</v>
      </c>
      <c r="C280" s="113">
        <f>(Table5351415[[#This Row],[New Orders ex Transport]]-B279)/B279</f>
        <v>6.3642636546951516E-3</v>
      </c>
    </row>
    <row r="281" spans="1:3" x14ac:dyDescent="0.35">
      <c r="A281" s="74">
        <v>42005</v>
      </c>
      <c r="B281" s="75">
        <f>VLOOKUP(A281,Database!A:M,MATCH($A$1,Database!$A$1:$M$1,),)</f>
        <v>147536</v>
      </c>
      <c r="C281" s="113">
        <f>(Table5351415[[#This Row],[New Orders ex Transport]]-B280)/B280</f>
        <v>-1.7873666131899002E-2</v>
      </c>
    </row>
    <row r="282" spans="1:3" x14ac:dyDescent="0.35">
      <c r="A282" s="74">
        <v>42036</v>
      </c>
      <c r="B282" s="75">
        <f>VLOOKUP(A282,Database!A:M,MATCH($A$1,Database!$A$1:$M$1,),)</f>
        <v>146440</v>
      </c>
      <c r="C282" s="113">
        <f>(Table5351415[[#This Row],[New Orders ex Transport]]-B281)/B281</f>
        <v>-7.4286953692658062E-3</v>
      </c>
    </row>
    <row r="283" spans="1:3" x14ac:dyDescent="0.35">
      <c r="A283" s="74">
        <v>42064</v>
      </c>
      <c r="B283" s="75">
        <f>VLOOKUP(A283,Database!A:M,MATCH($A$1,Database!$A$1:$M$1,),)</f>
        <v>147112</v>
      </c>
      <c r="C283" s="113">
        <f>(Table5351415[[#This Row],[New Orders ex Transport]]-B282)/B282</f>
        <v>4.5889101338432124E-3</v>
      </c>
    </row>
    <row r="284" spans="1:3" x14ac:dyDescent="0.35">
      <c r="A284" s="74">
        <v>42095</v>
      </c>
      <c r="B284" s="75">
        <f>VLOOKUP(A284,Database!A:M,MATCH($A$1,Database!$A$1:$M$1,),)</f>
        <v>146593</v>
      </c>
      <c r="C284" s="113">
        <f>(Table5351415[[#This Row],[New Orders ex Transport]]-B283)/B283</f>
        <v>-3.5279243025721899E-3</v>
      </c>
    </row>
    <row r="285" spans="1:3" x14ac:dyDescent="0.35">
      <c r="A285" s="74">
        <v>42125</v>
      </c>
      <c r="B285" s="75">
        <f>VLOOKUP(A285,Database!A:M,MATCH($A$1,Database!$A$1:$M$1,),)</f>
        <v>144774</v>
      </c>
      <c r="C285" s="113">
        <f>(Table5351415[[#This Row],[New Orders ex Transport]]-B284)/B284</f>
        <v>-1.2408505181011371E-2</v>
      </c>
    </row>
    <row r="286" spans="1:3" x14ac:dyDescent="0.35">
      <c r="A286" s="74">
        <v>42156</v>
      </c>
      <c r="B286" s="75">
        <f>VLOOKUP(A286,Database!A:M,MATCH($A$1,Database!$A$1:$M$1,),)</f>
        <v>147815</v>
      </c>
      <c r="C286" s="113">
        <f>(Table5351415[[#This Row],[New Orders ex Transport]]-B285)/B285</f>
        <v>2.100515285893876E-2</v>
      </c>
    </row>
    <row r="287" spans="1:3" x14ac:dyDescent="0.35">
      <c r="A287" s="74">
        <v>42186</v>
      </c>
      <c r="B287" s="75">
        <f>VLOOKUP(A287,Database!A:M,MATCH($A$1,Database!$A$1:$M$1,),)</f>
        <v>146096</v>
      </c>
      <c r="C287" s="113">
        <f>(Table5351415[[#This Row],[New Orders ex Transport]]-B286)/B286</f>
        <v>-1.1629401616885972E-2</v>
      </c>
    </row>
    <row r="288" spans="1:3" x14ac:dyDescent="0.35">
      <c r="A288" s="74">
        <v>42217</v>
      </c>
      <c r="B288" s="75">
        <f>VLOOKUP(A288,Database!A:M,MATCH($A$1,Database!$A$1:$M$1,),)</f>
        <v>146193</v>
      </c>
      <c r="C288" s="113">
        <f>(Table5351415[[#This Row],[New Orders ex Transport]]-B287)/B287</f>
        <v>6.6394699375752929E-4</v>
      </c>
    </row>
    <row r="289" spans="1:3" x14ac:dyDescent="0.35">
      <c r="A289" s="74">
        <v>42248</v>
      </c>
      <c r="B289" s="75">
        <f>VLOOKUP(A289,Database!A:M,MATCH($A$1,Database!$A$1:$M$1,),)</f>
        <v>145929</v>
      </c>
      <c r="C289" s="113">
        <f>(Table5351415[[#This Row],[New Orders ex Transport]]-B288)/B288</f>
        <v>-1.8058320165808212E-3</v>
      </c>
    </row>
    <row r="290" spans="1:3" x14ac:dyDescent="0.35">
      <c r="A290" s="74">
        <v>42278</v>
      </c>
      <c r="B290" s="75">
        <f>VLOOKUP(A290,Database!A:M,MATCH($A$1,Database!$A$1:$M$1,),)</f>
        <v>144418</v>
      </c>
      <c r="C290" s="113">
        <f>(Table5351415[[#This Row],[New Orders ex Transport]]-B289)/B289</f>
        <v>-1.0354350403278307E-2</v>
      </c>
    </row>
    <row r="291" spans="1:3" x14ac:dyDescent="0.35">
      <c r="A291" s="74">
        <v>42309</v>
      </c>
      <c r="B291" s="75">
        <f>VLOOKUP(A291,Database!A:M,MATCH($A$1,Database!$A$1:$M$1,),)</f>
        <v>143766</v>
      </c>
      <c r="C291" s="113">
        <f>(Table5351415[[#This Row],[New Orders ex Transport]]-B290)/B290</f>
        <v>-4.5146726862302479E-3</v>
      </c>
    </row>
    <row r="292" spans="1:3" x14ac:dyDescent="0.35">
      <c r="A292" s="74">
        <v>42339</v>
      </c>
      <c r="B292" s="75">
        <f>VLOOKUP(A292,Database!A:M,MATCH($A$1,Database!$A$1:$M$1,),)</f>
        <v>141875</v>
      </c>
      <c r="C292" s="113">
        <f>(Table5351415[[#This Row],[New Orders ex Transport]]-B291)/B291</f>
        <v>-1.3153318587148561E-2</v>
      </c>
    </row>
    <row r="293" spans="1:3" x14ac:dyDescent="0.35">
      <c r="A293" s="74">
        <v>42370</v>
      </c>
      <c r="B293" s="75">
        <f>VLOOKUP(A293,Database!A:M,MATCH($A$1,Database!$A$1:$M$1,),)</f>
        <v>144186</v>
      </c>
      <c r="C293" s="113">
        <f>(Table5351415[[#This Row],[New Orders ex Transport]]-B292)/B292</f>
        <v>1.6288986784140969E-2</v>
      </c>
    </row>
    <row r="294" spans="1:3" x14ac:dyDescent="0.35">
      <c r="A294" s="74">
        <v>42401</v>
      </c>
      <c r="B294" s="75">
        <f>VLOOKUP(A294,Database!A:M,MATCH($A$1,Database!$A$1:$M$1,),)</f>
        <v>142597</v>
      </c>
      <c r="C294" s="113">
        <f>(Table5351415[[#This Row],[New Orders ex Transport]]-B293)/B293</f>
        <v>-1.1020487425963685E-2</v>
      </c>
    </row>
    <row r="295" spans="1:3" x14ac:dyDescent="0.35">
      <c r="A295" s="74">
        <v>42430</v>
      </c>
      <c r="B295" s="75">
        <f>VLOOKUP(A295,Database!A:M,MATCH($A$1,Database!$A$1:$M$1,),)</f>
        <v>141252</v>
      </c>
      <c r="C295" s="113">
        <f>(Table5351415[[#This Row],[New Orders ex Transport]]-B294)/B294</f>
        <v>-9.4321759924823109E-3</v>
      </c>
    </row>
    <row r="296" spans="1:3" x14ac:dyDescent="0.35">
      <c r="A296" s="74">
        <v>42461</v>
      </c>
      <c r="B296" s="75">
        <f>VLOOKUP(A296,Database!A:M,MATCH($A$1,Database!$A$1:$M$1,),)</f>
        <v>142498</v>
      </c>
      <c r="C296" s="113">
        <f>(Table5351415[[#This Row],[New Orders ex Transport]]-B295)/B295</f>
        <v>8.8211140373233646E-3</v>
      </c>
    </row>
    <row r="297" spans="1:3" x14ac:dyDescent="0.35">
      <c r="A297" s="74">
        <v>42491</v>
      </c>
      <c r="B297" s="75">
        <f>VLOOKUP(A297,Database!A:M,MATCH($A$1,Database!$A$1:$M$1,),)</f>
        <v>141585</v>
      </c>
      <c r="C297" s="113">
        <f>(Table5351415[[#This Row],[New Orders ex Transport]]-B296)/B296</f>
        <v>-6.4071074681749923E-3</v>
      </c>
    </row>
    <row r="298" spans="1:3" x14ac:dyDescent="0.35">
      <c r="A298" s="74">
        <v>42522</v>
      </c>
      <c r="B298" s="75">
        <f>VLOOKUP(A298,Database!A:M,MATCH($A$1,Database!$A$1:$M$1,),)</f>
        <v>140522</v>
      </c>
      <c r="C298" s="113">
        <f>(Table5351415[[#This Row],[New Orders ex Transport]]-B297)/B297</f>
        <v>-7.5078574707772719E-3</v>
      </c>
    </row>
    <row r="299" spans="1:3" x14ac:dyDescent="0.35">
      <c r="A299" s="74">
        <v>42552</v>
      </c>
      <c r="B299" s="75">
        <f>VLOOKUP(A299,Database!A:M,MATCH($A$1,Database!$A$1:$M$1,),)</f>
        <v>141800</v>
      </c>
      <c r="C299" s="113">
        <f>(Table5351415[[#This Row],[New Orders ex Transport]]-B298)/B298</f>
        <v>9.094661334168315E-3</v>
      </c>
    </row>
    <row r="300" spans="1:3" x14ac:dyDescent="0.35">
      <c r="A300" s="74">
        <v>42583</v>
      </c>
      <c r="B300" s="75">
        <f>VLOOKUP(A300,Database!A:M,MATCH($A$1,Database!$A$1:$M$1,),)</f>
        <v>142038</v>
      </c>
      <c r="C300" s="113">
        <f>(Table5351415[[#This Row],[New Orders ex Transport]]-B299)/B299</f>
        <v>1.6784203102961919E-3</v>
      </c>
    </row>
    <row r="301" spans="1:3" x14ac:dyDescent="0.35">
      <c r="A301" s="74">
        <v>42614</v>
      </c>
      <c r="B301" s="75">
        <f>VLOOKUP(A301,Database!A:M,MATCH($A$1,Database!$A$1:$M$1,),)</f>
        <v>140922</v>
      </c>
      <c r="C301" s="113">
        <f>(Table5351415[[#This Row],[New Orders ex Transport]]-B300)/B300</f>
        <v>-7.8570523381067039E-3</v>
      </c>
    </row>
    <row r="302" spans="1:3" x14ac:dyDescent="0.35">
      <c r="A302" s="74">
        <v>42644</v>
      </c>
      <c r="B302" s="75">
        <f>VLOOKUP(A302,Database!A:M,MATCH($A$1,Database!$A$1:$M$1,),)</f>
        <v>142058</v>
      </c>
      <c r="C302" s="113">
        <f>(Table5351415[[#This Row],[New Orders ex Transport]]-B301)/B301</f>
        <v>8.0611969742126859E-3</v>
      </c>
    </row>
    <row r="303" spans="1:3" x14ac:dyDescent="0.35">
      <c r="A303" s="74">
        <v>42675</v>
      </c>
      <c r="B303" s="75">
        <f>VLOOKUP(A303,Database!A:M,MATCH($A$1,Database!$A$1:$M$1,),)</f>
        <v>142414</v>
      </c>
      <c r="C303" s="113">
        <f>(Table5351415[[#This Row],[New Orders ex Transport]]-B302)/B302</f>
        <v>2.5060186684312041E-3</v>
      </c>
    </row>
    <row r="304" spans="1:3" x14ac:dyDescent="0.35">
      <c r="A304" s="74">
        <v>42705</v>
      </c>
      <c r="B304" s="75">
        <f>VLOOKUP(A304,Database!A:M,MATCH($A$1,Database!$A$1:$M$1,),)</f>
        <v>142533</v>
      </c>
      <c r="C304" s="113">
        <f>(Table5351415[[#This Row],[New Orders ex Transport]]-B303)/B303</f>
        <v>8.3559200640386476E-4</v>
      </c>
    </row>
    <row r="305" spans="1:3" x14ac:dyDescent="0.35">
      <c r="A305" s="74">
        <v>42736</v>
      </c>
      <c r="B305" s="75">
        <f>VLOOKUP(A305,Database!A:M,MATCH($A$1,Database!$A$1:$M$1,),)</f>
        <v>145178</v>
      </c>
      <c r="C305" s="113">
        <f>(Table5351415[[#This Row],[New Orders ex Transport]]-B304)/B304</f>
        <v>1.8557106073681183E-2</v>
      </c>
    </row>
    <row r="306" spans="1:3" x14ac:dyDescent="0.35">
      <c r="A306" s="74">
        <v>42767</v>
      </c>
      <c r="B306" s="75">
        <f>VLOOKUP(A306,Database!A:M,MATCH($A$1,Database!$A$1:$M$1,),)</f>
        <v>145214</v>
      </c>
      <c r="C306" s="113">
        <f>(Table5351415[[#This Row],[New Orders ex Transport]]-B305)/B305</f>
        <v>2.4797145573020703E-4</v>
      </c>
    </row>
    <row r="307" spans="1:3" x14ac:dyDescent="0.35">
      <c r="A307" s="74">
        <v>42795</v>
      </c>
      <c r="B307" s="75">
        <f>VLOOKUP(A307,Database!A:M,MATCH($A$1,Database!$A$1:$M$1,),)</f>
        <v>146824</v>
      </c>
      <c r="C307" s="113">
        <f>(Table5351415[[#This Row],[New Orders ex Transport]]-B306)/B306</f>
        <v>1.1087085267260733E-2</v>
      </c>
    </row>
    <row r="308" spans="1:3" x14ac:dyDescent="0.35">
      <c r="A308" s="74">
        <v>42826</v>
      </c>
      <c r="B308" s="75">
        <f>VLOOKUP(A308,Database!A:M,MATCH($A$1,Database!$A$1:$M$1,),)</f>
        <v>146180</v>
      </c>
      <c r="C308" s="113">
        <f>(Table5351415[[#This Row],[New Orders ex Transport]]-B307)/B307</f>
        <v>-4.3862038903721466E-3</v>
      </c>
    </row>
    <row r="309" spans="1:3" x14ac:dyDescent="0.35">
      <c r="A309" s="74">
        <v>42856</v>
      </c>
      <c r="B309" s="75">
        <f>VLOOKUP(A309,Database!A:M,MATCH($A$1,Database!$A$1:$M$1,),)</f>
        <v>147376</v>
      </c>
      <c r="C309" s="113">
        <f>(Table5351415[[#This Row],[New Orders ex Transport]]-B308)/B308</f>
        <v>8.1816938021617193E-3</v>
      </c>
    </row>
    <row r="310" spans="1:3" x14ac:dyDescent="0.35">
      <c r="A310" s="74">
        <v>42887</v>
      </c>
      <c r="B310" s="75">
        <f>VLOOKUP(A310,Database!A:M,MATCH($A$1,Database!$A$1:$M$1,),)</f>
        <v>145833</v>
      </c>
      <c r="C310" s="113">
        <f>(Table5351415[[#This Row],[New Orders ex Transport]]-B309)/B309</f>
        <v>-1.0469818695038541E-2</v>
      </c>
    </row>
    <row r="311" spans="1:3" x14ac:dyDescent="0.35">
      <c r="A311" s="74">
        <v>42917</v>
      </c>
      <c r="B311" s="75">
        <f>VLOOKUP(A311,Database!A:M,MATCH($A$1,Database!$A$1:$M$1,),)</f>
        <v>147843</v>
      </c>
      <c r="C311" s="113">
        <f>(Table5351415[[#This Row],[New Orders ex Transport]]-B310)/B310</f>
        <v>1.378288864660262E-2</v>
      </c>
    </row>
    <row r="312" spans="1:3" x14ac:dyDescent="0.35">
      <c r="A312" s="74">
        <v>42948</v>
      </c>
      <c r="B312" s="75">
        <f>VLOOKUP(A312,Database!A:M,MATCH($A$1,Database!$A$1:$M$1,),)</f>
        <v>148854</v>
      </c>
      <c r="C312" s="113">
        <f>(Table5351415[[#This Row],[New Orders ex Transport]]-B311)/B311</f>
        <v>6.8383352610539563E-3</v>
      </c>
    </row>
    <row r="313" spans="1:3" x14ac:dyDescent="0.35">
      <c r="A313" s="74">
        <v>42979</v>
      </c>
      <c r="B313" s="75">
        <f>VLOOKUP(A313,Database!A:M,MATCH($A$1,Database!$A$1:$M$1,),)</f>
        <v>150371</v>
      </c>
      <c r="C313" s="113">
        <f>(Table5351415[[#This Row],[New Orders ex Transport]]-B312)/B312</f>
        <v>1.0191194055920566E-2</v>
      </c>
    </row>
    <row r="314" spans="1:3" x14ac:dyDescent="0.35">
      <c r="A314" s="74">
        <v>43009</v>
      </c>
      <c r="B314" s="75">
        <f>VLOOKUP(A314,Database!A:M,MATCH($A$1,Database!$A$1:$M$1,),)</f>
        <v>153146</v>
      </c>
      <c r="C314" s="113">
        <f>(Table5351415[[#This Row],[New Orders ex Transport]]-B313)/B313</f>
        <v>1.8454356225602011E-2</v>
      </c>
    </row>
    <row r="315" spans="1:3" x14ac:dyDescent="0.35">
      <c r="A315" s="74">
        <v>43040</v>
      </c>
      <c r="B315" s="75">
        <f>VLOOKUP(A315,Database!A:M,MATCH($A$1,Database!$A$1:$M$1,),)</f>
        <v>153298</v>
      </c>
      <c r="C315" s="113">
        <f>(Table5351415[[#This Row],[New Orders ex Transport]]-B314)/B314</f>
        <v>9.9251694461494262E-4</v>
      </c>
    </row>
    <row r="316" spans="1:3" x14ac:dyDescent="0.35">
      <c r="A316" s="74">
        <v>43070</v>
      </c>
      <c r="B316" s="75">
        <f>VLOOKUP(A316,Database!A:M,MATCH($A$1,Database!$A$1:$M$1,),)</f>
        <v>154340</v>
      </c>
      <c r="C316" s="113">
        <f>(Table5351415[[#This Row],[New Orders ex Transport]]-B315)/B315</f>
        <v>6.79721848947801E-3</v>
      </c>
    </row>
    <row r="317" spans="1:3" x14ac:dyDescent="0.35">
      <c r="A317" s="74">
        <v>43101</v>
      </c>
      <c r="B317" s="75">
        <f>VLOOKUP(A317,Database!A:M,MATCH($A$1,Database!$A$1:$M$1,),)</f>
        <v>154535</v>
      </c>
      <c r="C317" s="113">
        <f>(Table5351415[[#This Row],[New Orders ex Transport]]-B316)/B316</f>
        <v>1.2634443436568615E-3</v>
      </c>
    </row>
    <row r="318" spans="1:3" x14ac:dyDescent="0.35">
      <c r="A318" s="74">
        <v>43132</v>
      </c>
      <c r="B318" s="75">
        <f>VLOOKUP(A318,Database!A:M,MATCH($A$1,Database!$A$1:$M$1,),)</f>
        <v>157084</v>
      </c>
      <c r="C318" s="113">
        <f>(Table5351415[[#This Row],[New Orders ex Transport]]-B317)/B317</f>
        <v>1.6494645226000582E-2</v>
      </c>
    </row>
    <row r="319" spans="1:3" x14ac:dyDescent="0.35">
      <c r="A319" s="74">
        <v>43160</v>
      </c>
      <c r="B319" s="75">
        <f>VLOOKUP(A319,Database!A:M,MATCH($A$1,Database!$A$1:$M$1,),)</f>
        <v>157483</v>
      </c>
      <c r="C319" s="113">
        <f>(Table5351415[[#This Row],[New Orders ex Transport]]-B318)/B318</f>
        <v>2.5400422703776323E-3</v>
      </c>
    </row>
    <row r="320" spans="1:3" x14ac:dyDescent="0.35">
      <c r="A320" s="74">
        <v>43191</v>
      </c>
      <c r="B320" s="75">
        <f>VLOOKUP(A320,Database!A:M,MATCH($A$1,Database!$A$1:$M$1,),)</f>
        <v>159991</v>
      </c>
      <c r="C320" s="113">
        <f>(Table5351415[[#This Row],[New Orders ex Transport]]-B319)/B319</f>
        <v>1.5925528469739592E-2</v>
      </c>
    </row>
    <row r="321" spans="1:3" x14ac:dyDescent="0.35">
      <c r="A321" s="74">
        <v>43221</v>
      </c>
      <c r="B321" s="75">
        <f>VLOOKUP(A321,Database!A:M,MATCH($A$1,Database!$A$1:$M$1,),)</f>
        <v>161607</v>
      </c>
      <c r="C321" s="113">
        <f>(Table5351415[[#This Row],[New Orders ex Transport]]-B320)/B320</f>
        <v>1.0100568156958829E-2</v>
      </c>
    </row>
    <row r="322" spans="1:3" x14ac:dyDescent="0.35">
      <c r="A322" s="74">
        <v>43252</v>
      </c>
      <c r="B322" s="75">
        <f>VLOOKUP(A322,Database!A:M,MATCH($A$1,Database!$A$1:$M$1,),)</f>
        <v>161931</v>
      </c>
      <c r="C322" s="113">
        <f>(Table5351415[[#This Row],[New Orders ex Transport]]-B321)/B321</f>
        <v>2.0048636507081995E-3</v>
      </c>
    </row>
    <row r="323" spans="1:3" x14ac:dyDescent="0.35">
      <c r="A323" s="74">
        <v>43282</v>
      </c>
      <c r="B323" s="75">
        <f>VLOOKUP(A323,Database!A:M,MATCH($A$1,Database!$A$1:$M$1,),)</f>
        <v>162893</v>
      </c>
      <c r="C323" s="113">
        <f>(Table5351415[[#This Row],[New Orders ex Transport]]-B322)/B322</f>
        <v>5.940801946508081E-3</v>
      </c>
    </row>
    <row r="324" spans="1:3" x14ac:dyDescent="0.35">
      <c r="A324" s="74">
        <v>43313</v>
      </c>
      <c r="B324" s="75">
        <f>VLOOKUP(A324,Database!A:M,MATCH($A$1,Database!$A$1:$M$1,),)</f>
        <v>160822</v>
      </c>
      <c r="C324" s="113">
        <f>(Table5351415[[#This Row],[New Orders ex Transport]]-B323)/B323</f>
        <v>-1.2713867385338843E-2</v>
      </c>
    </row>
    <row r="325" spans="1:3" x14ac:dyDescent="0.35">
      <c r="A325" s="74">
        <v>43344</v>
      </c>
      <c r="B325" s="75">
        <f>VLOOKUP(A325,Database!A:M,MATCH($A$1,Database!$A$1:$M$1,),)</f>
        <v>160120</v>
      </c>
      <c r="C325" s="113">
        <f>(Table5351415[[#This Row],[New Orders ex Transport]]-B324)/B324</f>
        <v>-4.3650744301152828E-3</v>
      </c>
    </row>
    <row r="326" spans="1:3" x14ac:dyDescent="0.35">
      <c r="A326" s="74">
        <v>43374</v>
      </c>
      <c r="B326" s="75">
        <f>VLOOKUP(A326,Database!A:M,MATCH($A$1,Database!$A$1:$M$1,),)</f>
        <v>161994</v>
      </c>
      <c r="C326" s="113">
        <f>(Table5351415[[#This Row],[New Orders ex Transport]]-B325)/B325</f>
        <v>1.1703722208343743E-2</v>
      </c>
    </row>
    <row r="327" spans="1:3" x14ac:dyDescent="0.35">
      <c r="A327" s="74">
        <v>43405</v>
      </c>
      <c r="B327" s="75">
        <f>VLOOKUP(A327,Database!A:M,MATCH($A$1,Database!$A$1:$M$1,),)</f>
        <v>158377</v>
      </c>
      <c r="C327" s="113">
        <f>(Table5351415[[#This Row],[New Orders ex Transport]]-B326)/B326</f>
        <v>-2.2327987456325544E-2</v>
      </c>
    </row>
    <row r="328" spans="1:3" x14ac:dyDescent="0.35">
      <c r="A328" s="74">
        <v>43435</v>
      </c>
      <c r="B328" s="75">
        <f>VLOOKUP(A328,Database!A:M,MATCH($A$1,Database!$A$1:$M$1,),)</f>
        <v>159589</v>
      </c>
      <c r="C328" s="113">
        <f>(Table5351415[[#This Row],[New Orders ex Transport]]-B327)/B327</f>
        <v>7.6526263283178747E-3</v>
      </c>
    </row>
    <row r="329" spans="1:3" x14ac:dyDescent="0.35">
      <c r="A329" s="74">
        <v>43466</v>
      </c>
      <c r="B329" s="75">
        <f>VLOOKUP(A329,Database!A:M,MATCH($A$1,Database!$A$1:$M$1,),)</f>
        <v>159378</v>
      </c>
      <c r="C329" s="113">
        <f>(Table5351415[[#This Row],[New Orders ex Transport]]-B328)/B328</f>
        <v>-1.3221462632136301E-3</v>
      </c>
    </row>
    <row r="330" spans="1:3" x14ac:dyDescent="0.35">
      <c r="A330" s="74">
        <v>43497</v>
      </c>
      <c r="B330" s="75">
        <f>VLOOKUP(A330,Database!A:M,MATCH($A$1,Database!$A$1:$M$1,),)</f>
        <v>159319</v>
      </c>
      <c r="C330" s="113">
        <f>(Table5351415[[#This Row],[New Orders ex Transport]]-B329)/B329</f>
        <v>-3.7018911016576945E-4</v>
      </c>
    </row>
    <row r="331" spans="1:3" x14ac:dyDescent="0.35">
      <c r="A331" s="74">
        <v>43525</v>
      </c>
      <c r="B331" s="75">
        <f>VLOOKUP(A331,Database!A:M,MATCH($A$1,Database!$A$1:$M$1,),)</f>
        <v>158787</v>
      </c>
      <c r="C331" s="113">
        <f>(Table5351415[[#This Row],[New Orders ex Transport]]-B330)/B330</f>
        <v>-3.3392125233023054E-3</v>
      </c>
    </row>
    <row r="332" spans="1:3" x14ac:dyDescent="0.35">
      <c r="A332" s="74">
        <v>43556</v>
      </c>
      <c r="B332" s="75">
        <f>VLOOKUP(A332,Database!A:M,MATCH($A$1,Database!$A$1:$M$1,),)</f>
        <v>159686</v>
      </c>
      <c r="C332" s="113">
        <f>(Table5351415[[#This Row],[New Orders ex Transport]]-B331)/B331</f>
        <v>5.6616725550580338E-3</v>
      </c>
    </row>
    <row r="333" spans="1:3" x14ac:dyDescent="0.35">
      <c r="A333" s="74">
        <v>43586</v>
      </c>
      <c r="B333" s="75">
        <f>VLOOKUP(A333,Database!A:M,MATCH($A$1,Database!$A$1:$M$1,),)</f>
        <v>158746</v>
      </c>
      <c r="C333" s="113">
        <f>(Table5351415[[#This Row],[New Orders ex Transport]]-B332)/B332</f>
        <v>-5.8865523590045463E-3</v>
      </c>
    </row>
    <row r="334" spans="1:3" x14ac:dyDescent="0.35">
      <c r="A334" s="74">
        <v>43617</v>
      </c>
      <c r="B334" s="75">
        <f>VLOOKUP(A334,Database!A:M,MATCH($A$1,Database!$A$1:$M$1,),)</f>
        <v>159812</v>
      </c>
      <c r="C334" s="113">
        <f>(Table5351415[[#This Row],[New Orders ex Transport]]-B333)/B333</f>
        <v>6.7151298300429617E-3</v>
      </c>
    </row>
    <row r="335" spans="1:3" x14ac:dyDescent="0.35">
      <c r="A335" s="74">
        <v>43647</v>
      </c>
      <c r="B335" s="75">
        <f>VLOOKUP(A335,Database!A:M,MATCH($A$1,Database!$A$1:$M$1,),)</f>
        <v>157829</v>
      </c>
      <c r="C335" s="113">
        <f>(Table5351415[[#This Row],[New Orders ex Transport]]-B334)/B334</f>
        <v>-1.2408329787500312E-2</v>
      </c>
    </row>
    <row r="336" spans="1:3" x14ac:dyDescent="0.35">
      <c r="A336" s="74">
        <v>43678</v>
      </c>
      <c r="B336" s="75">
        <f>VLOOKUP(A336,Database!A:M,MATCH($A$1,Database!$A$1:$M$1,),)</f>
        <v>157610</v>
      </c>
      <c r="C336" s="113">
        <f>(Table5351415[[#This Row],[New Orders ex Transport]]-B335)/B335</f>
        <v>-1.3875776948469546E-3</v>
      </c>
    </row>
    <row r="337" spans="1:3" x14ac:dyDescent="0.35">
      <c r="A337" s="74">
        <v>43709</v>
      </c>
      <c r="B337" s="75">
        <f>VLOOKUP(A337,Database!A:M,MATCH($A$1,Database!$A$1:$M$1,),)</f>
        <v>156184</v>
      </c>
      <c r="C337" s="113">
        <f>(Table5351415[[#This Row],[New Orders ex Transport]]-B336)/B336</f>
        <v>-9.0476492608337032E-3</v>
      </c>
    </row>
    <row r="338" spans="1:3" x14ac:dyDescent="0.35">
      <c r="A338" s="74">
        <v>43739</v>
      </c>
      <c r="B338" s="75">
        <f>VLOOKUP(A338,Database!A:M,MATCH($A$1,Database!$A$1:$M$1,),)</f>
        <v>155758</v>
      </c>
      <c r="C338" s="113">
        <f>(Table5351415[[#This Row],[New Orders ex Transport]]-B337)/B337</f>
        <v>-2.7275521180146495E-3</v>
      </c>
    </row>
    <row r="339" spans="1:3" x14ac:dyDescent="0.35">
      <c r="A339" s="74">
        <v>43770</v>
      </c>
      <c r="B339" s="75">
        <f>VLOOKUP(A339,Database!A:M,MATCH($A$1,Database!$A$1:$M$1,),)</f>
        <v>154752</v>
      </c>
      <c r="C339" s="113">
        <f>(Table5351415[[#This Row],[New Orders ex Transport]]-B338)/B338</f>
        <v>-6.4587372719218271E-3</v>
      </c>
    </row>
    <row r="340" spans="1:3" x14ac:dyDescent="0.35">
      <c r="A340" s="74">
        <v>43800</v>
      </c>
      <c r="B340" s="75">
        <f>VLOOKUP(A340,Database!A:M,MATCH($A$1,Database!$A$1:$M$1,),)</f>
        <v>152508</v>
      </c>
      <c r="C340" s="113">
        <f>(Table5351415[[#This Row],[New Orders ex Transport]]-B339)/B339</f>
        <v>-1.4500620347394541E-2</v>
      </c>
    </row>
    <row r="341" spans="1:3" x14ac:dyDescent="0.35">
      <c r="A341" s="74">
        <v>43831</v>
      </c>
      <c r="B341" s="75">
        <f>VLOOKUP(A341,Database!A:M,MATCH($A$1,Database!$A$1:$M$1,),)</f>
        <v>150988</v>
      </c>
      <c r="C341" s="113">
        <f>(Table5351415[[#This Row],[New Orders ex Transport]]-B340)/B340</f>
        <v>-9.9666902719857311E-3</v>
      </c>
    </row>
    <row r="342" spans="1:3" x14ac:dyDescent="0.35">
      <c r="A342" s="74">
        <v>43862</v>
      </c>
      <c r="B342" s="75">
        <f>VLOOKUP(A342,Database!A:M,MATCH($A$1,Database!$A$1:$M$1,),)</f>
        <v>150101</v>
      </c>
      <c r="C342" s="113">
        <f>(Table5351415[[#This Row],[New Orders ex Transport]]-B341)/B341</f>
        <v>-5.8746390441624498E-3</v>
      </c>
    </row>
    <row r="343" spans="1:3" x14ac:dyDescent="0.35">
      <c r="A343" s="74">
        <v>43891</v>
      </c>
      <c r="B343" s="75">
        <f>VLOOKUP(A343,Database!A:M,MATCH($A$1,Database!$A$1:$M$1,),)</f>
        <v>145999</v>
      </c>
      <c r="C343" s="113">
        <f>(Table5351415[[#This Row],[New Orders ex Transport]]-B342)/B342</f>
        <v>-2.7328265634472788E-2</v>
      </c>
    </row>
    <row r="344" spans="1:3" x14ac:dyDescent="0.35">
      <c r="A344" s="74">
        <v>43922</v>
      </c>
      <c r="B344" s="75">
        <f>VLOOKUP(A344,Database!A:M,MATCH($A$1,Database!$A$1:$M$1,),)</f>
        <v>131804</v>
      </c>
      <c r="C344" s="113">
        <f>(Table5351415[[#This Row],[New Orders ex Transport]]-B343)/B343</f>
        <v>-9.7226693333515982E-2</v>
      </c>
    </row>
    <row r="345" spans="1:3" x14ac:dyDescent="0.35">
      <c r="A345" s="74">
        <v>43952</v>
      </c>
      <c r="B345" s="75">
        <f>VLOOKUP(A345,Database!A:M,MATCH($A$1,Database!$A$1:$M$1,),)</f>
        <v>136456</v>
      </c>
      <c r="C345" s="113">
        <f>(Table5351415[[#This Row],[New Orders ex Transport]]-B344)/B344</f>
        <v>3.5294831719826406E-2</v>
      </c>
    </row>
    <row r="346" spans="1:3" x14ac:dyDescent="0.35">
      <c r="A346" s="74">
        <v>43983</v>
      </c>
      <c r="B346" s="75">
        <f>VLOOKUP(A346,Database!A:M,MATCH($A$1,Database!$A$1:$M$1,),)</f>
        <v>143507</v>
      </c>
      <c r="C346" s="113">
        <f>(Table5351415[[#This Row],[New Orders ex Transport]]-B345)/B345</f>
        <v>5.1672333939145221E-2</v>
      </c>
    </row>
    <row r="347" spans="1:3" x14ac:dyDescent="0.35">
      <c r="A347" s="74">
        <v>44013</v>
      </c>
      <c r="B347" s="75">
        <f>VLOOKUP(A347,Database!A:M,MATCH($A$1,Database!$A$1:$M$1,),)</f>
        <v>147581</v>
      </c>
      <c r="C347" s="113">
        <f>(Table5351415[[#This Row],[New Orders ex Transport]]-B346)/B346</f>
        <v>2.8388859080044876E-2</v>
      </c>
    </row>
    <row r="348" spans="1:3" x14ac:dyDescent="0.35">
      <c r="A348" s="74">
        <v>44044</v>
      </c>
      <c r="B348" s="75">
        <f>VLOOKUP(A348,Database!A:M,MATCH($A$1,Database!$A$1:$M$1,),)</f>
        <v>149170</v>
      </c>
      <c r="C348" s="113">
        <f>(Table5351415[[#This Row],[New Orders ex Transport]]-B347)/B347</f>
        <v>1.0766968647725656E-2</v>
      </c>
    </row>
    <row r="349" spans="1:3" x14ac:dyDescent="0.35">
      <c r="A349" s="74">
        <v>44075</v>
      </c>
      <c r="B349" s="75">
        <f>VLOOKUP(A349,Database!A:M,MATCH($A$1,Database!$A$1:$M$1,),)</f>
        <v>152724</v>
      </c>
      <c r="C349" s="113">
        <f>(Table5351415[[#This Row],[New Orders ex Transport]]-B348)/B348</f>
        <v>2.3825165918080041E-2</v>
      </c>
    </row>
    <row r="350" spans="1:3" x14ac:dyDescent="0.35">
      <c r="A350" s="74">
        <v>44105</v>
      </c>
      <c r="B350" s="75">
        <f>VLOOKUP(A350,Database!A:M,MATCH($A$1,Database!$A$1:$M$1,),)</f>
        <v>154200</v>
      </c>
      <c r="C350" s="113">
        <f>(Table5351415[[#This Row],[New Orders ex Transport]]-B349)/B349</f>
        <v>9.6644928105602268E-3</v>
      </c>
    </row>
    <row r="351" spans="1:3" x14ac:dyDescent="0.35">
      <c r="A351" s="74">
        <v>44136</v>
      </c>
      <c r="B351" s="75">
        <f>VLOOKUP(A351,Database!A:M,MATCH($A$1,Database!$A$1:$M$1,),)</f>
        <v>155167</v>
      </c>
      <c r="C351" s="113">
        <f>(Table5351415[[#This Row],[New Orders ex Transport]]-B350)/B350</f>
        <v>6.2710765239948115E-3</v>
      </c>
    </row>
    <row r="352" spans="1:3" x14ac:dyDescent="0.35">
      <c r="A352" s="74">
        <v>44166</v>
      </c>
      <c r="B352" s="75">
        <f>VLOOKUP(A352,Database!A:M,MATCH($A$1,Database!$A$1:$M$1,),)</f>
        <v>159092</v>
      </c>
      <c r="C352" s="113">
        <f>(Table5351415[[#This Row],[New Orders ex Transport]]-B351)/B351</f>
        <v>2.529532697029652E-2</v>
      </c>
    </row>
    <row r="353" spans="1:3" x14ac:dyDescent="0.35">
      <c r="A353" s="74">
        <v>44197</v>
      </c>
      <c r="B353" s="75">
        <f>VLOOKUP(A353,Database!A:M,MATCH($A$1,Database!$A$1:$M$1,),)</f>
        <v>160923</v>
      </c>
      <c r="C353" s="113">
        <f>(Table5351415[[#This Row],[New Orders ex Transport]]-B352)/B352</f>
        <v>1.1509063937847284E-2</v>
      </c>
    </row>
    <row r="354" spans="1:3" x14ac:dyDescent="0.35">
      <c r="A354" s="74">
        <v>44228</v>
      </c>
      <c r="B354" s="75">
        <f>VLOOKUP(A354,Database!A:M,MATCH($A$1,Database!$A$1:$M$1,),)</f>
        <v>161039</v>
      </c>
      <c r="C354" s="113">
        <f>(Table5351415[[#This Row],[New Orders ex Transport]]-B353)/B353</f>
        <v>7.2084164476178048E-4</v>
      </c>
    </row>
    <row r="355" spans="1:3" x14ac:dyDescent="0.35">
      <c r="A355" s="74">
        <v>44256</v>
      </c>
      <c r="B355" s="75">
        <f>VLOOKUP(A355,Database!A:M,MATCH($A$1,Database!$A$1:$M$1,),)</f>
        <v>163381</v>
      </c>
      <c r="C355" s="113">
        <f>(Table5351415[[#This Row],[New Orders ex Transport]]-B354)/B354</f>
        <v>1.4543060997646533E-2</v>
      </c>
    </row>
    <row r="356" spans="1:3" x14ac:dyDescent="0.35">
      <c r="A356" s="74">
        <v>44287</v>
      </c>
      <c r="B356" s="75">
        <f>VLOOKUP(A356,Database!A:M,MATCH($A$1,Database!$A$1:$M$1,),)</f>
        <v>166043</v>
      </c>
      <c r="C356" s="113">
        <f>(Table5351415[[#This Row],[New Orders ex Transport]]-B355)/B355</f>
        <v>1.6293204228153824E-2</v>
      </c>
    </row>
    <row r="357" spans="1:3" x14ac:dyDescent="0.35">
      <c r="A357" s="74">
        <v>44317</v>
      </c>
      <c r="B357" s="75">
        <f>VLOOKUP(A357,Database!A:M,MATCH($A$1,Database!$A$1:$M$1,),)</f>
        <v>166210</v>
      </c>
      <c r="C357" s="113">
        <f>(Table5351415[[#This Row],[New Orders ex Transport]]-B356)/B356</f>
        <v>1.0057635672687196E-3</v>
      </c>
    </row>
    <row r="358" spans="1:3" x14ac:dyDescent="0.35">
      <c r="A358" s="74">
        <v>44348</v>
      </c>
      <c r="B358" s="75">
        <f>VLOOKUP(A358,Database!A:M,MATCH($A$1,Database!$A$1:$M$1,),)</f>
        <v>167836</v>
      </c>
      <c r="C358" s="113">
        <f>(Table5351415[[#This Row],[New Orders ex Transport]]-B357)/B357</f>
        <v>9.7828048853859581E-3</v>
      </c>
    </row>
    <row r="359" spans="1:3" x14ac:dyDescent="0.35">
      <c r="A359" s="74">
        <v>44378</v>
      </c>
      <c r="B359" s="75">
        <f>VLOOKUP(A359,Database!A:M,MATCH($A$1,Database!$A$1:$M$1,),)</f>
        <v>168528</v>
      </c>
      <c r="C359" s="113">
        <f>(Table5351415[[#This Row],[New Orders ex Transport]]-B358)/B358</f>
        <v>4.123072523177387E-3</v>
      </c>
    </row>
    <row r="360" spans="1:3" x14ac:dyDescent="0.35">
      <c r="A360" s="74">
        <v>44409</v>
      </c>
      <c r="B360" s="75">
        <f>VLOOKUP(A360,Database!A:M,MATCH($A$1,Database!$A$1:$M$1,),)</f>
        <v>170357</v>
      </c>
      <c r="C360" s="113">
        <f>(Table5351415[[#This Row],[New Orders ex Transport]]-B359)/B359</f>
        <v>1.0852795974556156E-2</v>
      </c>
    </row>
    <row r="361" spans="1:3" x14ac:dyDescent="0.35">
      <c r="A361" s="74">
        <v>44440</v>
      </c>
      <c r="B361" s="75">
        <f>VLOOKUP(A361,Database!A:M,MATCH($A$1,Database!$A$1:$M$1,),)</f>
        <v>170626</v>
      </c>
      <c r="C361" s="113">
        <f>(Table5351415[[#This Row],[New Orders ex Transport]]-B360)/B360</f>
        <v>1.5790369635530093E-3</v>
      </c>
    </row>
    <row r="362" spans="1:3" x14ac:dyDescent="0.35">
      <c r="A362" s="74">
        <v>44470</v>
      </c>
      <c r="B362" s="75">
        <f>VLOOKUP(A362,Database!A:M,MATCH($A$1,Database!$A$1:$M$1,),)</f>
        <v>171142</v>
      </c>
      <c r="C362" s="113">
        <f>(Table5351415[[#This Row],[New Orders ex Transport]]-B361)/B361</f>
        <v>3.0241581001723065E-3</v>
      </c>
    </row>
    <row r="363" spans="1:3" x14ac:dyDescent="0.35">
      <c r="A363" s="74">
        <v>44501</v>
      </c>
      <c r="B363" s="75">
        <f>VLOOKUP(A363,Database!A:M,MATCH($A$1,Database!$A$1:$M$1,),)</f>
        <v>173429</v>
      </c>
      <c r="C363" s="113">
        <f>(Table5351415[[#This Row],[New Orders ex Transport]]-B362)/B362</f>
        <v>1.3363172102698344E-2</v>
      </c>
    </row>
    <row r="364" spans="1:3" x14ac:dyDescent="0.35">
      <c r="A364" s="74">
        <v>44531</v>
      </c>
      <c r="B364" s="75">
        <f>VLOOKUP(A364,Database!A:M,MATCH($A$1,Database!$A$1:$M$1,),)</f>
        <v>175086</v>
      </c>
      <c r="C364" s="113">
        <f>(Table5351415[[#This Row],[New Orders ex Transport]]-B363)/B363</f>
        <v>9.5543421227130415E-3</v>
      </c>
    </row>
    <row r="365" spans="1:3" x14ac:dyDescent="0.35">
      <c r="A365" s="74">
        <v>44562</v>
      </c>
      <c r="B365" s="75">
        <f>VLOOKUP(A365,Database!A:M,MATCH($A$1,Database!$A$1:$M$1,),)</f>
        <v>176592</v>
      </c>
      <c r="C365" s="113">
        <f>(Table5351415[[#This Row],[New Orders ex Transport]]-B364)/B364</f>
        <v>8.6014872691134638E-3</v>
      </c>
    </row>
    <row r="366" spans="1:3" x14ac:dyDescent="0.35">
      <c r="A366" s="74">
        <v>44593</v>
      </c>
      <c r="B366" s="75">
        <f>VLOOKUP(A366,Database!A:M,MATCH($A$1,Database!$A$1:$M$1,),)</f>
        <v>176015</v>
      </c>
      <c r="C366" s="113">
        <f>(Table5351415[[#This Row],[New Orders ex Transport]]-B365)/B365</f>
        <v>-3.2674186826130288E-3</v>
      </c>
    </row>
    <row r="367" spans="1:3" x14ac:dyDescent="0.35">
      <c r="A367" s="74">
        <v>44621</v>
      </c>
      <c r="B367" s="75">
        <f>VLOOKUP(A367,Database!A:M,MATCH($A$1,Database!$A$1:$M$1,),)</f>
        <v>178038</v>
      </c>
      <c r="C367" s="113">
        <f>(Table5351415[[#This Row],[New Orders ex Transport]]-B366)/B366</f>
        <v>1.1493338635911713E-2</v>
      </c>
    </row>
    <row r="368" spans="1:3" x14ac:dyDescent="0.35">
      <c r="A368" s="74">
        <v>44652</v>
      </c>
      <c r="B368" s="75">
        <f>VLOOKUP(A368,Database!A:M,MATCH($A$1,Database!$A$1:$M$1,),)</f>
        <v>178467</v>
      </c>
      <c r="C368" s="113">
        <f>(Table5351415[[#This Row],[New Orders ex Transport]]-B367)/B367</f>
        <v>2.409597950999225E-3</v>
      </c>
    </row>
    <row r="369" spans="1:3" x14ac:dyDescent="0.35">
      <c r="A369" s="74">
        <v>44682</v>
      </c>
      <c r="B369" s="75">
        <f>VLOOKUP(A369,Database!A:M,MATCH($A$1,Database!$A$1:$M$1,),)</f>
        <v>179258</v>
      </c>
      <c r="C369" s="113">
        <f>(Table5351415[[#This Row],[New Orders ex Transport]]-B368)/B368</f>
        <v>4.4321919458499334E-3</v>
      </c>
    </row>
    <row r="370" spans="1:3" x14ac:dyDescent="0.35">
      <c r="A370" s="74">
        <v>44713</v>
      </c>
      <c r="B370" s="75">
        <f>VLOOKUP(A370,Database!A:M,MATCH($A$1,Database!$A$1:$M$1,),)</f>
        <v>179945</v>
      </c>
      <c r="C370" s="113">
        <f>(Table5351415[[#This Row],[New Orders ex Transport]]-B369)/B369</f>
        <v>3.8324649388032893E-3</v>
      </c>
    </row>
    <row r="371" spans="1:3" x14ac:dyDescent="0.35">
      <c r="A371" s="74">
        <v>44743</v>
      </c>
      <c r="B371" s="75">
        <f>VLOOKUP(A371,Database!A:M,MATCH($A$1,Database!$A$1:$M$1,),)</f>
        <v>180216</v>
      </c>
      <c r="C371" s="113">
        <f>(Table5351415[[#This Row],[New Orders ex Transport]]-B370)/B370</f>
        <v>1.5060157270277029E-3</v>
      </c>
    </row>
    <row r="372" spans="1:3" x14ac:dyDescent="0.35">
      <c r="A372" s="74">
        <v>44774</v>
      </c>
      <c r="B372" s="75">
        <f>VLOOKUP(A372,Database!A:M,MATCH($A$1,Database!$A$1:$M$1,),)</f>
        <v>180358</v>
      </c>
      <c r="C372" s="113">
        <f>(Table5351415[[#This Row],[New Orders ex Transport]]-B371)/B371</f>
        <v>7.8794335686065608E-4</v>
      </c>
    </row>
    <row r="373" spans="1:3" x14ac:dyDescent="0.35">
      <c r="A373" s="74">
        <v>44805</v>
      </c>
      <c r="B373" s="75">
        <f>VLOOKUP(A373,Database!A:M,MATCH($A$1,Database!$A$1:$M$1,),)</f>
        <v>178723</v>
      </c>
      <c r="C373" s="113">
        <f>(Table5351415[[#This Row],[New Orders ex Transport]]-B372)/B372</f>
        <v>-9.0653034520231986E-3</v>
      </c>
    </row>
    <row r="374" spans="1:3" x14ac:dyDescent="0.35">
      <c r="A374" s="74">
        <v>44835</v>
      </c>
      <c r="B374" s="75">
        <f>VLOOKUP(A374,Database!A:M,MATCH($A$1,Database!$A$1:$M$1,),)</f>
        <v>178914</v>
      </c>
      <c r="C374" s="113">
        <f>(Table5351415[[#This Row],[New Orders ex Transport]]-B373)/B373</f>
        <v>1.068692893472021E-3</v>
      </c>
    </row>
    <row r="375" spans="1:3" x14ac:dyDescent="0.35">
      <c r="A375" s="74">
        <v>44866</v>
      </c>
      <c r="B375" s="75">
        <f>VLOOKUP(A375,Database!A:M,MATCH($A$1,Database!$A$1:$M$1,),)</f>
        <v>179148</v>
      </c>
      <c r="C375" s="113">
        <f>(Table5351415[[#This Row],[New Orders ex Transport]]-B374)/B374</f>
        <v>1.3078909420168349E-3</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G375"/>
  <sheetViews>
    <sheetView zoomScale="140" zoomScaleNormal="140" workbookViewId="0">
      <pane ySplit="5" topLeftCell="A359" activePane="bottomLeft" state="frozen"/>
      <selection activeCell="Q21" sqref="Q21"/>
      <selection pane="bottomLeft" activeCell="AD350" sqref="AD350"/>
    </sheetView>
  </sheetViews>
  <sheetFormatPr defaultColWidth="8.81640625" defaultRowHeight="14.5" x14ac:dyDescent="0.35"/>
  <cols>
    <col min="1" max="1" width="10.81640625" style="68" customWidth="1"/>
    <col min="2" max="2" width="24.453125" style="69" customWidth="1"/>
    <col min="3" max="3" width="14.81640625" style="119" customWidth="1"/>
    <col min="4" max="240" width="9.1796875" style="117" customWidth="1"/>
    <col min="241" max="241" width="10.81640625" style="117" customWidth="1"/>
    <col min="242" max="242" width="18.1796875" style="117" customWidth="1"/>
    <col min="243" max="243" width="15" style="117" customWidth="1"/>
    <col min="244" max="247" width="13" style="117" customWidth="1"/>
    <col min="248" max="248" width="17.453125" style="117" customWidth="1"/>
    <col min="249" max="496" width="9.1796875" style="117" customWidth="1"/>
    <col min="497" max="497" width="10.81640625" style="117" customWidth="1"/>
    <col min="498" max="498" width="18.1796875" style="117" customWidth="1"/>
    <col min="499" max="499" width="15" style="117" customWidth="1"/>
    <col min="500" max="503" width="13" style="117" customWidth="1"/>
    <col min="504" max="504" width="17.453125" style="117" customWidth="1"/>
    <col min="505" max="752" width="9.1796875" style="117" customWidth="1"/>
    <col min="753" max="753" width="10.81640625" style="117" customWidth="1"/>
    <col min="754" max="754" width="18.1796875" style="117" customWidth="1"/>
    <col min="755" max="755" width="15" style="117" customWidth="1"/>
    <col min="756" max="759" width="13" style="117" customWidth="1"/>
    <col min="760" max="760" width="17.453125" style="117" customWidth="1"/>
    <col min="761" max="1008" width="9.1796875" style="117" customWidth="1"/>
    <col min="1009" max="1009" width="10.81640625" style="117" customWidth="1"/>
    <col min="1010" max="1010" width="18.1796875" style="117" customWidth="1"/>
    <col min="1011" max="1011" width="15" style="117" customWidth="1"/>
    <col min="1012" max="1015" width="13" style="117" customWidth="1"/>
    <col min="1016" max="1016" width="17.453125" style="117" customWidth="1"/>
    <col min="1017" max="1264" width="9.1796875" style="117" customWidth="1"/>
    <col min="1265" max="1265" width="10.81640625" style="117" customWidth="1"/>
    <col min="1266" max="1266" width="18.1796875" style="117" customWidth="1"/>
    <col min="1267" max="1267" width="15" style="117" customWidth="1"/>
    <col min="1268" max="1271" width="13" style="117" customWidth="1"/>
    <col min="1272" max="1272" width="17.453125" style="117" customWidth="1"/>
    <col min="1273" max="1520" width="9.1796875" style="117" customWidth="1"/>
    <col min="1521" max="1521" width="10.81640625" style="117" customWidth="1"/>
    <col min="1522" max="1522" width="18.1796875" style="117" customWidth="1"/>
    <col min="1523" max="1523" width="15" style="117" customWidth="1"/>
    <col min="1524" max="1527" width="13" style="117" customWidth="1"/>
    <col min="1528" max="1528" width="17.453125" style="117" customWidth="1"/>
    <col min="1529" max="1776" width="9.1796875" style="117" customWidth="1"/>
    <col min="1777" max="1777" width="10.81640625" style="117" customWidth="1"/>
    <col min="1778" max="1778" width="18.1796875" style="117" customWidth="1"/>
    <col min="1779" max="1779" width="15" style="117" customWidth="1"/>
    <col min="1780" max="1783" width="13" style="117" customWidth="1"/>
    <col min="1784" max="1784" width="17.453125" style="117" customWidth="1"/>
    <col min="1785" max="2032" width="9.1796875" style="117" customWidth="1"/>
    <col min="2033" max="2033" width="10.81640625" style="117" customWidth="1"/>
    <col min="2034" max="2034" width="18.1796875" style="117" customWidth="1"/>
    <col min="2035" max="2035" width="15" style="117" customWidth="1"/>
    <col min="2036" max="2039" width="13" style="117" customWidth="1"/>
    <col min="2040" max="2040" width="17.453125" style="117" customWidth="1"/>
    <col min="2041" max="2288" width="9.1796875" style="117" customWidth="1"/>
    <col min="2289" max="2289" width="10.81640625" style="117" customWidth="1"/>
    <col min="2290" max="2290" width="18.1796875" style="117" customWidth="1"/>
    <col min="2291" max="2291" width="15" style="117" customWidth="1"/>
    <col min="2292" max="2295" width="13" style="117" customWidth="1"/>
    <col min="2296" max="2296" width="17.453125" style="117" customWidth="1"/>
    <col min="2297" max="2544" width="9.1796875" style="117" customWidth="1"/>
    <col min="2545" max="2545" width="10.81640625" style="117" customWidth="1"/>
    <col min="2546" max="2546" width="18.1796875" style="117" customWidth="1"/>
    <col min="2547" max="2547" width="15" style="117" customWidth="1"/>
    <col min="2548" max="2551" width="13" style="117" customWidth="1"/>
    <col min="2552" max="2552" width="17.453125" style="117" customWidth="1"/>
    <col min="2553" max="2800" width="9.1796875" style="117" customWidth="1"/>
    <col min="2801" max="2801" width="10.81640625" style="117" customWidth="1"/>
    <col min="2802" max="2802" width="18.1796875" style="117" customWidth="1"/>
    <col min="2803" max="2803" width="15" style="117" customWidth="1"/>
    <col min="2804" max="2807" width="13" style="117" customWidth="1"/>
    <col min="2808" max="2808" width="17.453125" style="117" customWidth="1"/>
    <col min="2809" max="3056" width="9.1796875" style="117" customWidth="1"/>
    <col min="3057" max="3057" width="10.81640625" style="117" customWidth="1"/>
    <col min="3058" max="3058" width="18.1796875" style="117" customWidth="1"/>
    <col min="3059" max="3059" width="15" style="117" customWidth="1"/>
    <col min="3060" max="3063" width="13" style="117" customWidth="1"/>
    <col min="3064" max="3064" width="17.453125" style="117" customWidth="1"/>
    <col min="3065" max="3312" width="9.1796875" style="117" customWidth="1"/>
    <col min="3313" max="3313" width="10.81640625" style="117" customWidth="1"/>
    <col min="3314" max="3314" width="18.1796875" style="117" customWidth="1"/>
    <col min="3315" max="3315" width="15" style="117" customWidth="1"/>
    <col min="3316" max="3319" width="13" style="117" customWidth="1"/>
    <col min="3320" max="3320" width="17.453125" style="117" customWidth="1"/>
    <col min="3321" max="3568" width="9.1796875" style="117" customWidth="1"/>
    <col min="3569" max="3569" width="10.81640625" style="117" customWidth="1"/>
    <col min="3570" max="3570" width="18.1796875" style="117" customWidth="1"/>
    <col min="3571" max="3571" width="15" style="117" customWidth="1"/>
    <col min="3572" max="3575" width="13" style="117" customWidth="1"/>
    <col min="3576" max="3576" width="17.453125" style="117" customWidth="1"/>
    <col min="3577" max="3824" width="9.1796875" style="117" customWidth="1"/>
    <col min="3825" max="3825" width="10.81640625" style="117" customWidth="1"/>
    <col min="3826" max="3826" width="18.1796875" style="117" customWidth="1"/>
    <col min="3827" max="3827" width="15" style="117" customWidth="1"/>
    <col min="3828" max="3831" width="13" style="117" customWidth="1"/>
    <col min="3832" max="3832" width="17.453125" style="117" customWidth="1"/>
    <col min="3833" max="4080" width="9.1796875" style="117" customWidth="1"/>
    <col min="4081" max="4081" width="10.81640625" style="117" customWidth="1"/>
    <col min="4082" max="4082" width="18.1796875" style="117" customWidth="1"/>
    <col min="4083" max="4083" width="15" style="117" customWidth="1"/>
    <col min="4084" max="4087" width="13" style="117" customWidth="1"/>
    <col min="4088" max="4088" width="17.453125" style="117" customWidth="1"/>
    <col min="4089" max="4336" width="9.1796875" style="117" customWidth="1"/>
    <col min="4337" max="4337" width="10.81640625" style="117" customWidth="1"/>
    <col min="4338" max="4338" width="18.1796875" style="117" customWidth="1"/>
    <col min="4339" max="4339" width="15" style="117" customWidth="1"/>
    <col min="4340" max="4343" width="13" style="117" customWidth="1"/>
    <col min="4344" max="4344" width="17.453125" style="117" customWidth="1"/>
    <col min="4345" max="4592" width="9.1796875" style="117" customWidth="1"/>
    <col min="4593" max="4593" width="10.81640625" style="117" customWidth="1"/>
    <col min="4594" max="4594" width="18.1796875" style="117" customWidth="1"/>
    <col min="4595" max="4595" width="15" style="117" customWidth="1"/>
    <col min="4596" max="4599" width="13" style="117" customWidth="1"/>
    <col min="4600" max="4600" width="17.453125" style="117" customWidth="1"/>
    <col min="4601" max="4848" width="9.1796875" style="117" customWidth="1"/>
    <col min="4849" max="4849" width="10.81640625" style="117" customWidth="1"/>
    <col min="4850" max="4850" width="18.1796875" style="117" customWidth="1"/>
    <col min="4851" max="4851" width="15" style="117" customWidth="1"/>
    <col min="4852" max="4855" width="13" style="117" customWidth="1"/>
    <col min="4856" max="4856" width="17.453125" style="117" customWidth="1"/>
    <col min="4857" max="5104" width="9.1796875" style="117" customWidth="1"/>
    <col min="5105" max="5105" width="10.81640625" style="117" customWidth="1"/>
    <col min="5106" max="5106" width="18.1796875" style="117" customWidth="1"/>
    <col min="5107" max="5107" width="15" style="117" customWidth="1"/>
    <col min="5108" max="5111" width="13" style="117" customWidth="1"/>
    <col min="5112" max="5112" width="17.453125" style="117" customWidth="1"/>
    <col min="5113" max="5360" width="9.1796875" style="117" customWidth="1"/>
    <col min="5361" max="5361" width="10.81640625" style="117" customWidth="1"/>
    <col min="5362" max="5362" width="18.1796875" style="117" customWidth="1"/>
    <col min="5363" max="5363" width="15" style="117" customWidth="1"/>
    <col min="5364" max="5367" width="13" style="117" customWidth="1"/>
    <col min="5368" max="5368" width="17.453125" style="117" customWidth="1"/>
    <col min="5369" max="5616" width="9.1796875" style="117" customWidth="1"/>
    <col min="5617" max="5617" width="10.81640625" style="117" customWidth="1"/>
    <col min="5618" max="5618" width="18.1796875" style="117" customWidth="1"/>
    <col min="5619" max="5619" width="15" style="117" customWidth="1"/>
    <col min="5620" max="5623" width="13" style="117" customWidth="1"/>
    <col min="5624" max="5624" width="17.453125" style="117" customWidth="1"/>
    <col min="5625" max="5872" width="9.1796875" style="117" customWidth="1"/>
    <col min="5873" max="5873" width="10.81640625" style="117" customWidth="1"/>
    <col min="5874" max="5874" width="18.1796875" style="117" customWidth="1"/>
    <col min="5875" max="5875" width="15" style="117" customWidth="1"/>
    <col min="5876" max="5879" width="13" style="117" customWidth="1"/>
    <col min="5880" max="5880" width="17.453125" style="117" customWidth="1"/>
    <col min="5881" max="6128" width="9.1796875" style="117" customWidth="1"/>
    <col min="6129" max="6129" width="10.81640625" style="117" customWidth="1"/>
    <col min="6130" max="6130" width="18.1796875" style="117" customWidth="1"/>
    <col min="6131" max="6131" width="15" style="117" customWidth="1"/>
    <col min="6132" max="6135" width="13" style="117" customWidth="1"/>
    <col min="6136" max="6136" width="17.453125" style="117" customWidth="1"/>
    <col min="6137" max="6384" width="9.1796875" style="117" customWidth="1"/>
    <col min="6385" max="6385" width="10.81640625" style="117" customWidth="1"/>
    <col min="6386" max="6386" width="18.1796875" style="117" customWidth="1"/>
    <col min="6387" max="6387" width="15" style="117" customWidth="1"/>
    <col min="6388" max="6391" width="13" style="117" customWidth="1"/>
    <col min="6392" max="6392" width="17.453125" style="117" customWidth="1"/>
    <col min="6393" max="6640" width="9.1796875" style="117" customWidth="1"/>
    <col min="6641" max="6641" width="10.81640625" style="117" customWidth="1"/>
    <col min="6642" max="6642" width="18.1796875" style="117" customWidth="1"/>
    <col min="6643" max="6643" width="15" style="117" customWidth="1"/>
    <col min="6644" max="6647" width="13" style="117" customWidth="1"/>
    <col min="6648" max="6648" width="17.453125" style="117" customWidth="1"/>
    <col min="6649" max="6896" width="9.1796875" style="117" customWidth="1"/>
    <col min="6897" max="6897" width="10.81640625" style="117" customWidth="1"/>
    <col min="6898" max="6898" width="18.1796875" style="117" customWidth="1"/>
    <col min="6899" max="6899" width="15" style="117" customWidth="1"/>
    <col min="6900" max="6903" width="13" style="117" customWidth="1"/>
    <col min="6904" max="6904" width="17.453125" style="117" customWidth="1"/>
    <col min="6905" max="7152" width="9.1796875" style="117" customWidth="1"/>
    <col min="7153" max="7153" width="10.81640625" style="117" customWidth="1"/>
    <col min="7154" max="7154" width="18.1796875" style="117" customWidth="1"/>
    <col min="7155" max="7155" width="15" style="117" customWidth="1"/>
    <col min="7156" max="7159" width="13" style="117" customWidth="1"/>
    <col min="7160" max="7160" width="17.453125" style="117" customWidth="1"/>
    <col min="7161" max="7408" width="9.1796875" style="117" customWidth="1"/>
    <col min="7409" max="7409" width="10.81640625" style="117" customWidth="1"/>
    <col min="7410" max="7410" width="18.1796875" style="117" customWidth="1"/>
    <col min="7411" max="7411" width="15" style="117" customWidth="1"/>
    <col min="7412" max="7415" width="13" style="117" customWidth="1"/>
    <col min="7416" max="7416" width="17.453125" style="117" customWidth="1"/>
    <col min="7417" max="7664" width="9.1796875" style="117" customWidth="1"/>
    <col min="7665" max="7665" width="10.81640625" style="117" customWidth="1"/>
    <col min="7666" max="7666" width="18.1796875" style="117" customWidth="1"/>
    <col min="7667" max="7667" width="15" style="117" customWidth="1"/>
    <col min="7668" max="7671" width="13" style="117" customWidth="1"/>
    <col min="7672" max="7672" width="17.453125" style="117" customWidth="1"/>
    <col min="7673" max="7920" width="9.1796875" style="117" customWidth="1"/>
    <col min="7921" max="7921" width="10.81640625" style="117" customWidth="1"/>
    <col min="7922" max="7922" width="18.1796875" style="117" customWidth="1"/>
    <col min="7923" max="7923" width="15" style="117" customWidth="1"/>
    <col min="7924" max="7927" width="13" style="117" customWidth="1"/>
    <col min="7928" max="7928" width="17.453125" style="117" customWidth="1"/>
    <col min="7929" max="8176" width="9.1796875" style="117" customWidth="1"/>
    <col min="8177" max="8177" width="10.81640625" style="117" customWidth="1"/>
    <col min="8178" max="8178" width="18.1796875" style="117" customWidth="1"/>
    <col min="8179" max="8179" width="15" style="117" customWidth="1"/>
    <col min="8180" max="8183" width="13" style="117" customWidth="1"/>
    <col min="8184" max="8184" width="17.453125" style="117" customWidth="1"/>
    <col min="8185" max="8432" width="9.1796875" style="117" customWidth="1"/>
    <col min="8433" max="8433" width="10.81640625" style="117" customWidth="1"/>
    <col min="8434" max="8434" width="18.1796875" style="117" customWidth="1"/>
    <col min="8435" max="8435" width="15" style="117" customWidth="1"/>
    <col min="8436" max="8439" width="13" style="117" customWidth="1"/>
    <col min="8440" max="8440" width="17.453125" style="117" customWidth="1"/>
    <col min="8441" max="8688" width="9.1796875" style="117" customWidth="1"/>
    <col min="8689" max="8689" width="10.81640625" style="117" customWidth="1"/>
    <col min="8690" max="8690" width="18.1796875" style="117" customWidth="1"/>
    <col min="8691" max="8691" width="15" style="117" customWidth="1"/>
    <col min="8692" max="8695" width="13" style="117" customWidth="1"/>
    <col min="8696" max="8696" width="17.453125" style="117" customWidth="1"/>
    <col min="8697" max="8944" width="9.1796875" style="117" customWidth="1"/>
    <col min="8945" max="8945" width="10.81640625" style="117" customWidth="1"/>
    <col min="8946" max="8946" width="18.1796875" style="117" customWidth="1"/>
    <col min="8947" max="8947" width="15" style="117" customWidth="1"/>
    <col min="8948" max="8951" width="13" style="117" customWidth="1"/>
    <col min="8952" max="8952" width="17.453125" style="117" customWidth="1"/>
    <col min="8953" max="9200" width="9.1796875" style="117" customWidth="1"/>
    <col min="9201" max="9201" width="10.81640625" style="117" customWidth="1"/>
    <col min="9202" max="9202" width="18.1796875" style="117" customWidth="1"/>
    <col min="9203" max="9203" width="15" style="117" customWidth="1"/>
    <col min="9204" max="9207" width="13" style="117" customWidth="1"/>
    <col min="9208" max="9208" width="17.453125" style="117" customWidth="1"/>
    <col min="9209" max="9456" width="9.1796875" style="117" customWidth="1"/>
    <col min="9457" max="9457" width="10.81640625" style="117" customWidth="1"/>
    <col min="9458" max="9458" width="18.1796875" style="117" customWidth="1"/>
    <col min="9459" max="9459" width="15" style="117" customWidth="1"/>
    <col min="9460" max="9463" width="13" style="117" customWidth="1"/>
    <col min="9464" max="9464" width="17.453125" style="117" customWidth="1"/>
    <col min="9465" max="9712" width="9.1796875" style="117" customWidth="1"/>
    <col min="9713" max="9713" width="10.81640625" style="117" customWidth="1"/>
    <col min="9714" max="9714" width="18.1796875" style="117" customWidth="1"/>
    <col min="9715" max="9715" width="15" style="117" customWidth="1"/>
    <col min="9716" max="9719" width="13" style="117" customWidth="1"/>
    <col min="9720" max="9720" width="17.453125" style="117" customWidth="1"/>
    <col min="9721" max="9968" width="9.1796875" style="117" customWidth="1"/>
    <col min="9969" max="9969" width="10.81640625" style="117" customWidth="1"/>
    <col min="9970" max="9970" width="18.1796875" style="117" customWidth="1"/>
    <col min="9971" max="9971" width="15" style="117" customWidth="1"/>
    <col min="9972" max="9975" width="13" style="117" customWidth="1"/>
    <col min="9976" max="9976" width="17.453125" style="117" customWidth="1"/>
    <col min="9977" max="10224" width="9.1796875" style="117" customWidth="1"/>
    <col min="10225" max="10225" width="10.81640625" style="117" customWidth="1"/>
    <col min="10226" max="10226" width="18.1796875" style="117" customWidth="1"/>
    <col min="10227" max="10227" width="15" style="117" customWidth="1"/>
    <col min="10228" max="10231" width="13" style="117" customWidth="1"/>
    <col min="10232" max="10232" width="17.453125" style="117" customWidth="1"/>
    <col min="10233" max="10480" width="9.1796875" style="117" customWidth="1"/>
    <col min="10481" max="10481" width="10.81640625" style="117" customWidth="1"/>
    <col min="10482" max="10482" width="18.1796875" style="117" customWidth="1"/>
    <col min="10483" max="10483" width="15" style="117" customWidth="1"/>
    <col min="10484" max="10487" width="13" style="117" customWidth="1"/>
    <col min="10488" max="10488" width="17.453125" style="117" customWidth="1"/>
    <col min="10489" max="10736" width="9.1796875" style="117" customWidth="1"/>
    <col min="10737" max="10737" width="10.81640625" style="117" customWidth="1"/>
    <col min="10738" max="10738" width="18.1796875" style="117" customWidth="1"/>
    <col min="10739" max="10739" width="15" style="117" customWidth="1"/>
    <col min="10740" max="10743" width="13" style="117" customWidth="1"/>
    <col min="10744" max="10744" width="17.453125" style="117" customWidth="1"/>
    <col min="10745" max="10992" width="9.1796875" style="117" customWidth="1"/>
    <col min="10993" max="10993" width="10.81640625" style="117" customWidth="1"/>
    <col min="10994" max="10994" width="18.1796875" style="117" customWidth="1"/>
    <col min="10995" max="10995" width="15" style="117" customWidth="1"/>
    <col min="10996" max="10999" width="13" style="117" customWidth="1"/>
    <col min="11000" max="11000" width="17.453125" style="117" customWidth="1"/>
    <col min="11001" max="11248" width="9.1796875" style="117" customWidth="1"/>
    <col min="11249" max="11249" width="10.81640625" style="117" customWidth="1"/>
    <col min="11250" max="11250" width="18.1796875" style="117" customWidth="1"/>
    <col min="11251" max="11251" width="15" style="117" customWidth="1"/>
    <col min="11252" max="11255" width="13" style="117" customWidth="1"/>
    <col min="11256" max="11256" width="17.453125" style="117" customWidth="1"/>
    <col min="11257" max="11504" width="9.1796875" style="117" customWidth="1"/>
    <col min="11505" max="11505" width="10.81640625" style="117" customWidth="1"/>
    <col min="11506" max="11506" width="18.1796875" style="117" customWidth="1"/>
    <col min="11507" max="11507" width="15" style="117" customWidth="1"/>
    <col min="11508" max="11511" width="13" style="117" customWidth="1"/>
    <col min="11512" max="11512" width="17.453125" style="117" customWidth="1"/>
    <col min="11513" max="11760" width="9.1796875" style="117" customWidth="1"/>
    <col min="11761" max="11761" width="10.81640625" style="117" customWidth="1"/>
    <col min="11762" max="11762" width="18.1796875" style="117" customWidth="1"/>
    <col min="11763" max="11763" width="15" style="117" customWidth="1"/>
    <col min="11764" max="11767" width="13" style="117" customWidth="1"/>
    <col min="11768" max="11768" width="17.453125" style="117" customWidth="1"/>
    <col min="11769" max="12016" width="9.1796875" style="117" customWidth="1"/>
    <col min="12017" max="12017" width="10.81640625" style="117" customWidth="1"/>
    <col min="12018" max="12018" width="18.1796875" style="117" customWidth="1"/>
    <col min="12019" max="12019" width="15" style="117" customWidth="1"/>
    <col min="12020" max="12023" width="13" style="117" customWidth="1"/>
    <col min="12024" max="12024" width="17.453125" style="117" customWidth="1"/>
    <col min="12025" max="12272" width="9.1796875" style="117" customWidth="1"/>
    <col min="12273" max="12273" width="10.81640625" style="117" customWidth="1"/>
    <col min="12274" max="12274" width="18.1796875" style="117" customWidth="1"/>
    <col min="12275" max="12275" width="15" style="117" customWidth="1"/>
    <col min="12276" max="12279" width="13" style="117" customWidth="1"/>
    <col min="12280" max="12280" width="17.453125" style="117" customWidth="1"/>
    <col min="12281" max="12528" width="9.1796875" style="117" customWidth="1"/>
    <col min="12529" max="12529" width="10.81640625" style="117" customWidth="1"/>
    <col min="12530" max="12530" width="18.1796875" style="117" customWidth="1"/>
    <col min="12531" max="12531" width="15" style="117" customWidth="1"/>
    <col min="12532" max="12535" width="13" style="117" customWidth="1"/>
    <col min="12536" max="12536" width="17.453125" style="117" customWidth="1"/>
    <col min="12537" max="12784" width="9.1796875" style="117" customWidth="1"/>
    <col min="12785" max="12785" width="10.81640625" style="117" customWidth="1"/>
    <col min="12786" max="12786" width="18.1796875" style="117" customWidth="1"/>
    <col min="12787" max="12787" width="15" style="117" customWidth="1"/>
    <col min="12788" max="12791" width="13" style="117" customWidth="1"/>
    <col min="12792" max="12792" width="17.453125" style="117" customWidth="1"/>
    <col min="12793" max="13040" width="9.1796875" style="117" customWidth="1"/>
    <col min="13041" max="13041" width="10.81640625" style="117" customWidth="1"/>
    <col min="13042" max="13042" width="18.1796875" style="117" customWidth="1"/>
    <col min="13043" max="13043" width="15" style="117" customWidth="1"/>
    <col min="13044" max="13047" width="13" style="117" customWidth="1"/>
    <col min="13048" max="13048" width="17.453125" style="117" customWidth="1"/>
    <col min="13049" max="13296" width="9.1796875" style="117" customWidth="1"/>
    <col min="13297" max="13297" width="10.81640625" style="117" customWidth="1"/>
    <col min="13298" max="13298" width="18.1796875" style="117" customWidth="1"/>
    <col min="13299" max="13299" width="15" style="117" customWidth="1"/>
    <col min="13300" max="13303" width="13" style="117" customWidth="1"/>
    <col min="13304" max="13304" width="17.453125" style="117" customWidth="1"/>
    <col min="13305" max="13552" width="9.1796875" style="117" customWidth="1"/>
    <col min="13553" max="13553" width="10.81640625" style="117" customWidth="1"/>
    <col min="13554" max="13554" width="18.1796875" style="117" customWidth="1"/>
    <col min="13555" max="13555" width="15" style="117" customWidth="1"/>
    <col min="13556" max="13559" width="13" style="117" customWidth="1"/>
    <col min="13560" max="13560" width="17.453125" style="117" customWidth="1"/>
    <col min="13561" max="13808" width="9.1796875" style="117" customWidth="1"/>
    <col min="13809" max="13809" width="10.81640625" style="117" customWidth="1"/>
    <col min="13810" max="13810" width="18.1796875" style="117" customWidth="1"/>
    <col min="13811" max="13811" width="15" style="117" customWidth="1"/>
    <col min="13812" max="13815" width="13" style="117" customWidth="1"/>
    <col min="13816" max="13816" width="17.453125" style="117" customWidth="1"/>
    <col min="13817" max="14064" width="9.1796875" style="117" customWidth="1"/>
    <col min="14065" max="14065" width="10.81640625" style="117" customWidth="1"/>
    <col min="14066" max="14066" width="18.1796875" style="117" customWidth="1"/>
    <col min="14067" max="14067" width="15" style="117" customWidth="1"/>
    <col min="14068" max="14071" width="13" style="117" customWidth="1"/>
    <col min="14072" max="14072" width="17.453125" style="117" customWidth="1"/>
    <col min="14073" max="14320" width="9.1796875" style="117" customWidth="1"/>
    <col min="14321" max="14321" width="10.81640625" style="117" customWidth="1"/>
    <col min="14322" max="14322" width="18.1796875" style="117" customWidth="1"/>
    <col min="14323" max="14323" width="15" style="117" customWidth="1"/>
    <col min="14324" max="14327" width="13" style="117" customWidth="1"/>
    <col min="14328" max="14328" width="17.453125" style="117" customWidth="1"/>
    <col min="14329" max="14576" width="9.1796875" style="117" customWidth="1"/>
    <col min="14577" max="14577" width="10.81640625" style="117" customWidth="1"/>
    <col min="14578" max="14578" width="18.1796875" style="117" customWidth="1"/>
    <col min="14579" max="14579" width="15" style="117" customWidth="1"/>
    <col min="14580" max="14583" width="13" style="117" customWidth="1"/>
    <col min="14584" max="14584" width="17.453125" style="117" customWidth="1"/>
    <col min="14585" max="14832" width="9.1796875" style="117" customWidth="1"/>
    <col min="14833" max="14833" width="10.81640625" style="117" customWidth="1"/>
    <col min="14834" max="14834" width="18.1796875" style="117" customWidth="1"/>
    <col min="14835" max="14835" width="15" style="117" customWidth="1"/>
    <col min="14836" max="14839" width="13" style="117" customWidth="1"/>
    <col min="14840" max="14840" width="17.453125" style="117" customWidth="1"/>
    <col min="14841" max="15088" width="9.1796875" style="117" customWidth="1"/>
    <col min="15089" max="15089" width="10.81640625" style="117" customWidth="1"/>
    <col min="15090" max="15090" width="18.1796875" style="117" customWidth="1"/>
    <col min="15091" max="15091" width="15" style="117" customWidth="1"/>
    <col min="15092" max="15095" width="13" style="117" customWidth="1"/>
    <col min="15096" max="15096" width="17.453125" style="117" customWidth="1"/>
    <col min="15097" max="15344" width="9.1796875" style="117" customWidth="1"/>
    <col min="15345" max="15345" width="10.81640625" style="117" customWidth="1"/>
    <col min="15346" max="15346" width="18.1796875" style="117" customWidth="1"/>
    <col min="15347" max="15347" width="15" style="117" customWidth="1"/>
    <col min="15348" max="15351" width="13" style="117" customWidth="1"/>
    <col min="15352" max="15352" width="17.453125" style="117" customWidth="1"/>
    <col min="15353" max="15600" width="9.1796875" style="117" customWidth="1"/>
    <col min="15601" max="15601" width="10.81640625" style="117" customWidth="1"/>
    <col min="15602" max="15602" width="18.1796875" style="117" customWidth="1"/>
    <col min="15603" max="15603" width="15" style="117" customWidth="1"/>
    <col min="15604" max="15607" width="13" style="117" customWidth="1"/>
    <col min="15608" max="15608" width="17.453125" style="117" customWidth="1"/>
    <col min="15609" max="15856" width="9.1796875" style="117" customWidth="1"/>
    <col min="15857" max="15857" width="10.81640625" style="117" customWidth="1"/>
    <col min="15858" max="15858" width="18.1796875" style="117" customWidth="1"/>
    <col min="15859" max="15859" width="15" style="117" customWidth="1"/>
    <col min="15860" max="15863" width="13" style="117" customWidth="1"/>
    <col min="15864" max="15864" width="17.453125" style="117" customWidth="1"/>
    <col min="15865" max="16112" width="9.1796875" style="117" customWidth="1"/>
    <col min="16113" max="16113" width="10.81640625" style="117" customWidth="1"/>
    <col min="16114" max="16114" width="18.1796875" style="117" customWidth="1"/>
    <col min="16115" max="16115" width="15" style="117" customWidth="1"/>
    <col min="16116" max="16119" width="13" style="117" customWidth="1"/>
    <col min="16120" max="16120" width="17.453125" style="117" customWidth="1"/>
    <col min="16121" max="16384" width="9.1796875" style="117" customWidth="1"/>
  </cols>
  <sheetData>
    <row r="1" spans="1:7" x14ac:dyDescent="0.35">
      <c r="A1" s="85" t="s">
        <v>24</v>
      </c>
      <c r="B1" s="139" t="str">
        <f>VLOOKUP(A1,Note!U16:V25,2,)</f>
        <v>New Orders - Manufacturing</v>
      </c>
      <c r="C1" s="146"/>
      <c r="D1" s="128"/>
      <c r="E1" s="128"/>
      <c r="G1" s="84" t="s">
        <v>114</v>
      </c>
    </row>
    <row r="2" spans="1:7" ht="15" customHeight="1" x14ac:dyDescent="0.35">
      <c r="A2" s="71"/>
      <c r="B2" s="68"/>
      <c r="C2" s="69"/>
      <c r="G2" s="84" t="s">
        <v>115</v>
      </c>
    </row>
    <row r="3" spans="1:7" x14ac:dyDescent="0.35">
      <c r="B3" s="68"/>
      <c r="C3" s="69"/>
    </row>
    <row r="4" spans="1:7" ht="16" customHeight="1" thickBot="1" x14ac:dyDescent="0.4"/>
    <row r="5" spans="1:7" ht="68.25" customHeight="1" thickBot="1" x14ac:dyDescent="0.4">
      <c r="A5" s="88" t="s">
        <v>109</v>
      </c>
      <c r="B5" s="89" t="s">
        <v>116</v>
      </c>
      <c r="C5" s="114" t="s">
        <v>110</v>
      </c>
    </row>
    <row r="6" spans="1:7" x14ac:dyDescent="0.35">
      <c r="A6" s="86">
        <v>33635</v>
      </c>
      <c r="B6" s="87">
        <f>VLOOKUP(A6,Database!A:M,MATCH($A$1,Database!$A$1:$M$1,),)</f>
        <v>82864</v>
      </c>
      <c r="C6" s="115"/>
    </row>
    <row r="7" spans="1:7" x14ac:dyDescent="0.35">
      <c r="A7" s="74">
        <v>33664</v>
      </c>
      <c r="B7" s="75">
        <f>VLOOKUP(A7,Database!A:M,MATCH($A$1,Database!$A$1:$M$1,),)</f>
        <v>86424</v>
      </c>
      <c r="C7" s="113">
        <f>(Table535141516[[#This Row],[Durable Goods]]-B6)/B6</f>
        <v>4.2961961768681216E-2</v>
      </c>
    </row>
    <row r="8" spans="1:7" x14ac:dyDescent="0.35">
      <c r="A8" s="74">
        <v>33695</v>
      </c>
      <c r="B8" s="75">
        <f>VLOOKUP(A8,Database!A:M,MATCH($A$1,Database!$A$1:$M$1,),)</f>
        <v>90805</v>
      </c>
      <c r="C8" s="113">
        <f>(Table535141516[[#This Row],[Durable Goods]]-B7)/B7</f>
        <v>5.0691937424789411E-2</v>
      </c>
    </row>
    <row r="9" spans="1:7" x14ac:dyDescent="0.35">
      <c r="A9" s="74">
        <v>33725</v>
      </c>
      <c r="B9" s="75">
        <f>VLOOKUP(A9,Database!A:M,MATCH($A$1,Database!$A$1:$M$1,),)</f>
        <v>91120</v>
      </c>
      <c r="C9" s="113">
        <f>(Table535141516[[#This Row],[Durable Goods]]-B8)/B8</f>
        <v>3.4689719729089808E-3</v>
      </c>
    </row>
    <row r="10" spans="1:7" x14ac:dyDescent="0.35">
      <c r="A10" s="74">
        <v>33756</v>
      </c>
      <c r="B10" s="75">
        <f>VLOOKUP(A10,Database!A:M,MATCH($A$1,Database!$A$1:$M$1,),)</f>
        <v>88649</v>
      </c>
      <c r="C10" s="113">
        <f>(Table535141516[[#This Row],[Durable Goods]]-B9)/B9</f>
        <v>-2.7118086040386305E-2</v>
      </c>
    </row>
    <row r="11" spans="1:7" x14ac:dyDescent="0.35">
      <c r="A11" s="74">
        <v>33786</v>
      </c>
      <c r="B11" s="75">
        <f>VLOOKUP(A11,Database!A:M,MATCH($A$1,Database!$A$1:$M$1,),)</f>
        <v>87342</v>
      </c>
      <c r="C11" s="113">
        <f>(Table535141516[[#This Row],[Durable Goods]]-B10)/B10</f>
        <v>-1.4743539126216877E-2</v>
      </c>
    </row>
    <row r="12" spans="1:7" x14ac:dyDescent="0.35">
      <c r="A12" s="74">
        <v>33817</v>
      </c>
      <c r="B12" s="75">
        <f>VLOOKUP(A12,Database!A:M,MATCH($A$1,Database!$A$1:$M$1,),)</f>
        <v>85995</v>
      </c>
      <c r="C12" s="113">
        <f>(Table535141516[[#This Row],[Durable Goods]]-B11)/B11</f>
        <v>-1.5422133681390397E-2</v>
      </c>
    </row>
    <row r="13" spans="1:7" x14ac:dyDescent="0.35">
      <c r="A13" s="74">
        <v>33848</v>
      </c>
      <c r="B13" s="75">
        <f>VLOOKUP(A13,Database!A:M,MATCH($A$1,Database!$A$1:$M$1,),)</f>
        <v>86668</v>
      </c>
      <c r="C13" s="113">
        <f>(Table535141516[[#This Row],[Durable Goods]]-B12)/B12</f>
        <v>7.8260363974649687E-3</v>
      </c>
    </row>
    <row r="14" spans="1:7" x14ac:dyDescent="0.35">
      <c r="A14" s="74">
        <v>33878</v>
      </c>
      <c r="B14" s="75">
        <f>VLOOKUP(A14,Database!A:M,MATCH($A$1,Database!$A$1:$M$1,),)</f>
        <v>93051</v>
      </c>
      <c r="C14" s="113">
        <f>(Table535141516[[#This Row],[Durable Goods]]-B13)/B13</f>
        <v>7.3648866940508609E-2</v>
      </c>
    </row>
    <row r="15" spans="1:7" x14ac:dyDescent="0.35">
      <c r="A15" s="74">
        <v>33909</v>
      </c>
      <c r="B15" s="75">
        <f>VLOOKUP(A15,Database!A:M,MATCH($A$1,Database!$A$1:$M$1,),)</f>
        <v>87613</v>
      </c>
      <c r="C15" s="113">
        <f>(Table535141516[[#This Row],[Durable Goods]]-B14)/B14</f>
        <v>-5.8441069950887145E-2</v>
      </c>
    </row>
    <row r="16" spans="1:7" x14ac:dyDescent="0.35">
      <c r="A16" s="74">
        <v>33939</v>
      </c>
      <c r="B16" s="75">
        <f>VLOOKUP(A16,Database!A:M,MATCH($A$1,Database!$A$1:$M$1,),)</f>
        <v>91480</v>
      </c>
      <c r="C16" s="113">
        <f>(Table535141516[[#This Row],[Durable Goods]]-B15)/B15</f>
        <v>4.4137285562644811E-2</v>
      </c>
    </row>
    <row r="17" spans="1:3" x14ac:dyDescent="0.35">
      <c r="A17" s="74">
        <v>33970</v>
      </c>
      <c r="B17" s="75">
        <f>VLOOKUP(A17,Database!A:M,MATCH($A$1,Database!$A$1:$M$1,),)</f>
        <v>85937</v>
      </c>
      <c r="C17" s="113">
        <f>(Table535141516[[#This Row],[Durable Goods]]-B16)/B16</f>
        <v>-6.0592479230432879E-2</v>
      </c>
    </row>
    <row r="18" spans="1:3" x14ac:dyDescent="0.35">
      <c r="A18" s="74">
        <v>34001</v>
      </c>
      <c r="B18" s="75">
        <f>VLOOKUP(A18,Database!A:M,MATCH($A$1,Database!$A$1:$M$1,),)</f>
        <v>92361</v>
      </c>
      <c r="C18" s="113">
        <f>(Table535141516[[#This Row],[Durable Goods]]-B17)/B17</f>
        <v>7.4752434923257741E-2</v>
      </c>
    </row>
    <row r="19" spans="1:3" x14ac:dyDescent="0.35">
      <c r="A19" s="74">
        <v>34029</v>
      </c>
      <c r="B19" s="75">
        <f>VLOOKUP(A19,Database!A:M,MATCH($A$1,Database!$A$1:$M$1,),)</f>
        <v>90529</v>
      </c>
      <c r="C19" s="113">
        <f>(Table535141516[[#This Row],[Durable Goods]]-B18)/B18</f>
        <v>-1.9835211831833784E-2</v>
      </c>
    </row>
    <row r="20" spans="1:3" x14ac:dyDescent="0.35">
      <c r="A20" s="74">
        <v>34060</v>
      </c>
      <c r="B20" s="75">
        <f>VLOOKUP(A20,Database!A:M,MATCH($A$1,Database!$A$1:$M$1,),)</f>
        <v>91131</v>
      </c>
      <c r="C20" s="113">
        <f>(Table535141516[[#This Row],[Durable Goods]]-B19)/B19</f>
        <v>6.6498028256138913E-3</v>
      </c>
    </row>
    <row r="21" spans="1:3" x14ac:dyDescent="0.35">
      <c r="A21" s="74">
        <v>34090</v>
      </c>
      <c r="B21" s="75">
        <f>VLOOKUP(A21,Database!A:M,MATCH($A$1,Database!$A$1:$M$1,),)</f>
        <v>89831</v>
      </c>
      <c r="C21" s="113">
        <f>(Table535141516[[#This Row],[Durable Goods]]-B20)/B20</f>
        <v>-1.4265178698796238E-2</v>
      </c>
    </row>
    <row r="22" spans="1:3" x14ac:dyDescent="0.35">
      <c r="A22" s="74">
        <v>34121</v>
      </c>
      <c r="B22" s="75">
        <f>VLOOKUP(A22,Database!A:M,MATCH($A$1,Database!$A$1:$M$1,),)</f>
        <v>93493</v>
      </c>
      <c r="C22" s="113">
        <f>(Table535141516[[#This Row],[Durable Goods]]-B21)/B21</f>
        <v>4.0765437321192019E-2</v>
      </c>
    </row>
    <row r="23" spans="1:3" x14ac:dyDescent="0.35">
      <c r="A23" s="74">
        <v>34151</v>
      </c>
      <c r="B23" s="75">
        <f>VLOOKUP(A23,Database!A:M,MATCH($A$1,Database!$A$1:$M$1,),)</f>
        <v>92023</v>
      </c>
      <c r="C23" s="113">
        <f>(Table535141516[[#This Row],[Durable Goods]]-B22)/B22</f>
        <v>-1.5723102264340646E-2</v>
      </c>
    </row>
    <row r="24" spans="1:3" x14ac:dyDescent="0.35">
      <c r="A24" s="74">
        <v>34182</v>
      </c>
      <c r="B24" s="75">
        <f>VLOOKUP(A24,Database!A:M,MATCH($A$1,Database!$A$1:$M$1,),)</f>
        <v>94226</v>
      </c>
      <c r="C24" s="113">
        <f>(Table535141516[[#This Row],[Durable Goods]]-B23)/B23</f>
        <v>2.3939667257098767E-2</v>
      </c>
    </row>
    <row r="25" spans="1:3" x14ac:dyDescent="0.35">
      <c r="A25" s="74">
        <v>34213</v>
      </c>
      <c r="B25" s="75">
        <f>VLOOKUP(A25,Database!A:M,MATCH($A$1,Database!$A$1:$M$1,),)</f>
        <v>90477</v>
      </c>
      <c r="C25" s="113">
        <f>(Table535141516[[#This Row],[Durable Goods]]-B24)/B24</f>
        <v>-3.9787319848024964E-2</v>
      </c>
    </row>
    <row r="26" spans="1:3" x14ac:dyDescent="0.35">
      <c r="A26" s="74">
        <v>34243</v>
      </c>
      <c r="B26" s="75">
        <f>VLOOKUP(A26,Database!A:M,MATCH($A$1,Database!$A$1:$M$1,),)</f>
        <v>94772</v>
      </c>
      <c r="C26" s="113">
        <f>(Table535141516[[#This Row],[Durable Goods]]-B25)/B25</f>
        <v>4.7470627894382E-2</v>
      </c>
    </row>
    <row r="27" spans="1:3" x14ac:dyDescent="0.35">
      <c r="A27" s="74">
        <v>34274</v>
      </c>
      <c r="B27" s="75">
        <f>VLOOKUP(A27,Database!A:M,MATCH($A$1,Database!$A$1:$M$1,),)</f>
        <v>92009</v>
      </c>
      <c r="C27" s="113">
        <f>(Table535141516[[#This Row],[Durable Goods]]-B26)/B26</f>
        <v>-2.915418055965897E-2</v>
      </c>
    </row>
    <row r="28" spans="1:3" x14ac:dyDescent="0.35">
      <c r="A28" s="74">
        <v>34304</v>
      </c>
      <c r="B28" s="75">
        <f>VLOOKUP(A28,Database!A:M,MATCH($A$1,Database!$A$1:$M$1,),)</f>
        <v>94944</v>
      </c>
      <c r="C28" s="113">
        <f>(Table535141516[[#This Row],[Durable Goods]]-B27)/B27</f>
        <v>3.1899053353476294E-2</v>
      </c>
    </row>
    <row r="29" spans="1:3" x14ac:dyDescent="0.35">
      <c r="A29" s="74">
        <v>34335</v>
      </c>
      <c r="B29" s="75">
        <f>VLOOKUP(A29,Database!A:M,MATCH($A$1,Database!$A$1:$M$1,),)</f>
        <v>98647</v>
      </c>
      <c r="C29" s="113">
        <f>(Table535141516[[#This Row],[Durable Goods]]-B28)/B28</f>
        <v>3.9001937984496124E-2</v>
      </c>
    </row>
    <row r="30" spans="1:3" x14ac:dyDescent="0.35">
      <c r="A30" s="74">
        <v>34366</v>
      </c>
      <c r="B30" s="75">
        <f>VLOOKUP(A30,Database!A:M,MATCH($A$1,Database!$A$1:$M$1,),)</f>
        <v>97358</v>
      </c>
      <c r="C30" s="113">
        <f>(Table535141516[[#This Row],[Durable Goods]]-B29)/B29</f>
        <v>-1.3066793719018317E-2</v>
      </c>
    </row>
    <row r="31" spans="1:3" x14ac:dyDescent="0.35">
      <c r="A31" s="74">
        <v>34394</v>
      </c>
      <c r="B31" s="75">
        <f>VLOOKUP(A31,Database!A:M,MATCH($A$1,Database!$A$1:$M$1,),)</f>
        <v>96706</v>
      </c>
      <c r="C31" s="113">
        <f>(Table535141516[[#This Row],[Durable Goods]]-B30)/B30</f>
        <v>-6.6969329690420923E-3</v>
      </c>
    </row>
    <row r="32" spans="1:3" x14ac:dyDescent="0.35">
      <c r="A32" s="74">
        <v>34425</v>
      </c>
      <c r="B32" s="75">
        <f>VLOOKUP(A32,Database!A:M,MATCH($A$1,Database!$A$1:$M$1,),)</f>
        <v>99591</v>
      </c>
      <c r="C32" s="113">
        <f>(Table535141516[[#This Row],[Durable Goods]]-B31)/B31</f>
        <v>2.983268876801853E-2</v>
      </c>
    </row>
    <row r="33" spans="1:3" x14ac:dyDescent="0.35">
      <c r="A33" s="74">
        <v>34455</v>
      </c>
      <c r="B33" s="75">
        <f>VLOOKUP(A33,Database!A:M,MATCH($A$1,Database!$A$1:$M$1,),)</f>
        <v>101522</v>
      </c>
      <c r="C33" s="113">
        <f>(Table535141516[[#This Row],[Durable Goods]]-B32)/B32</f>
        <v>1.9389302246186905E-2</v>
      </c>
    </row>
    <row r="34" spans="1:3" x14ac:dyDescent="0.35">
      <c r="A34" s="74">
        <v>34486</v>
      </c>
      <c r="B34" s="75">
        <f>VLOOKUP(A34,Database!A:M,MATCH($A$1,Database!$A$1:$M$1,),)</f>
        <v>103928</v>
      </c>
      <c r="C34" s="113">
        <f>(Table535141516[[#This Row],[Durable Goods]]-B33)/B33</f>
        <v>2.3699296704162643E-2</v>
      </c>
    </row>
    <row r="35" spans="1:3" x14ac:dyDescent="0.35">
      <c r="A35" s="74">
        <v>34516</v>
      </c>
      <c r="B35" s="75">
        <f>VLOOKUP(A35,Database!A:M,MATCH($A$1,Database!$A$1:$M$1,),)</f>
        <v>103538</v>
      </c>
      <c r="C35" s="113">
        <f>(Table535141516[[#This Row],[Durable Goods]]-B34)/B34</f>
        <v>-3.7525979524286046E-3</v>
      </c>
    </row>
    <row r="36" spans="1:3" x14ac:dyDescent="0.35">
      <c r="A36" s="74">
        <v>34547</v>
      </c>
      <c r="B36" s="75">
        <f>VLOOKUP(A36,Database!A:M,MATCH($A$1,Database!$A$1:$M$1,),)</f>
        <v>103907</v>
      </c>
      <c r="C36" s="113">
        <f>(Table535141516[[#This Row],[Durable Goods]]-B35)/B35</f>
        <v>3.5639089030114549E-3</v>
      </c>
    </row>
    <row r="37" spans="1:3" x14ac:dyDescent="0.35">
      <c r="A37" s="74">
        <v>34578</v>
      </c>
      <c r="B37" s="75">
        <f>VLOOKUP(A37,Database!A:M,MATCH($A$1,Database!$A$1:$M$1,),)</f>
        <v>104150</v>
      </c>
      <c r="C37" s="113">
        <f>(Table535141516[[#This Row],[Durable Goods]]-B36)/B36</f>
        <v>2.3386297362064153E-3</v>
      </c>
    </row>
    <row r="38" spans="1:3" x14ac:dyDescent="0.35">
      <c r="A38" s="74">
        <v>34608</v>
      </c>
      <c r="B38" s="75">
        <f>VLOOKUP(A38,Database!A:M,MATCH($A$1,Database!$A$1:$M$1,),)</f>
        <v>107573</v>
      </c>
      <c r="C38" s="113">
        <f>(Table535141516[[#This Row],[Durable Goods]]-B37)/B37</f>
        <v>3.2866058569371102E-2</v>
      </c>
    </row>
    <row r="39" spans="1:3" x14ac:dyDescent="0.35">
      <c r="A39" s="74">
        <v>34639</v>
      </c>
      <c r="B39" s="75">
        <f>VLOOKUP(A39,Database!A:M,MATCH($A$1,Database!$A$1:$M$1,),)</f>
        <v>107130</v>
      </c>
      <c r="C39" s="113">
        <f>(Table535141516[[#This Row],[Durable Goods]]-B38)/B38</f>
        <v>-4.1181337324421559E-3</v>
      </c>
    </row>
    <row r="40" spans="1:3" x14ac:dyDescent="0.35">
      <c r="A40" s="74">
        <v>34669</v>
      </c>
      <c r="B40" s="75">
        <f>VLOOKUP(A40,Database!A:M,MATCH($A$1,Database!$A$1:$M$1,),)</f>
        <v>108697</v>
      </c>
      <c r="C40" s="113">
        <f>(Table535141516[[#This Row],[Durable Goods]]-B39)/B39</f>
        <v>1.4627088583963409E-2</v>
      </c>
    </row>
    <row r="41" spans="1:3" x14ac:dyDescent="0.35">
      <c r="A41" s="74">
        <v>34700</v>
      </c>
      <c r="B41" s="75">
        <f>VLOOKUP(A41,Database!A:M,MATCH($A$1,Database!$A$1:$M$1,),)</f>
        <v>107635</v>
      </c>
      <c r="C41" s="113">
        <f>(Table535141516[[#This Row],[Durable Goods]]-B40)/B40</f>
        <v>-9.7702788485422784E-3</v>
      </c>
    </row>
    <row r="42" spans="1:3" x14ac:dyDescent="0.35">
      <c r="A42" s="74">
        <v>34731</v>
      </c>
      <c r="B42" s="75">
        <f>VLOOKUP(A42,Database!A:M,MATCH($A$1,Database!$A$1:$M$1,),)</f>
        <v>110588</v>
      </c>
      <c r="C42" s="113">
        <f>(Table535141516[[#This Row],[Durable Goods]]-B41)/B41</f>
        <v>2.7435313791982163E-2</v>
      </c>
    </row>
    <row r="43" spans="1:3" x14ac:dyDescent="0.35">
      <c r="A43" s="74">
        <v>34759</v>
      </c>
      <c r="B43" s="75">
        <f>VLOOKUP(A43,Database!A:M,MATCH($A$1,Database!$A$1:$M$1,),)</f>
        <v>110175</v>
      </c>
      <c r="C43" s="113">
        <f>(Table535141516[[#This Row],[Durable Goods]]-B42)/B42</f>
        <v>-3.7345824140051363E-3</v>
      </c>
    </row>
    <row r="44" spans="1:3" x14ac:dyDescent="0.35">
      <c r="A44" s="74">
        <v>34790</v>
      </c>
      <c r="B44" s="75">
        <f>VLOOKUP(A44,Database!A:M,MATCH($A$1,Database!$A$1:$M$1,),)</f>
        <v>108608</v>
      </c>
      <c r="C44" s="113">
        <f>(Table535141516[[#This Row],[Durable Goods]]-B43)/B43</f>
        <v>-1.4222827320172453E-2</v>
      </c>
    </row>
    <row r="45" spans="1:3" x14ac:dyDescent="0.35">
      <c r="A45" s="74">
        <v>34820</v>
      </c>
      <c r="B45" s="75">
        <f>VLOOKUP(A45,Database!A:M,MATCH($A$1,Database!$A$1:$M$1,),)</f>
        <v>111257</v>
      </c>
      <c r="C45" s="113">
        <f>(Table535141516[[#This Row],[Durable Goods]]-B44)/B44</f>
        <v>2.4390468473777255E-2</v>
      </c>
    </row>
    <row r="46" spans="1:3" x14ac:dyDescent="0.35">
      <c r="A46" s="74">
        <v>34851</v>
      </c>
      <c r="B46" s="75">
        <f>VLOOKUP(A46,Database!A:M,MATCH($A$1,Database!$A$1:$M$1,),)</f>
        <v>108462</v>
      </c>
      <c r="C46" s="113">
        <f>(Table535141516[[#This Row],[Durable Goods]]-B45)/B45</f>
        <v>-2.5122014794574724E-2</v>
      </c>
    </row>
    <row r="47" spans="1:3" x14ac:dyDescent="0.35">
      <c r="A47" s="74">
        <v>34881</v>
      </c>
      <c r="B47" s="75">
        <f>VLOOKUP(A47,Database!A:M,MATCH($A$1,Database!$A$1:$M$1,),)</f>
        <v>107267</v>
      </c>
      <c r="C47" s="113">
        <f>(Table535141516[[#This Row],[Durable Goods]]-B46)/B46</f>
        <v>-1.1017683612693847E-2</v>
      </c>
    </row>
    <row r="48" spans="1:3" x14ac:dyDescent="0.35">
      <c r="A48" s="74">
        <v>34912</v>
      </c>
      <c r="B48" s="75">
        <f>VLOOKUP(A48,Database!A:M,MATCH($A$1,Database!$A$1:$M$1,),)</f>
        <v>112114</v>
      </c>
      <c r="C48" s="113">
        <f>(Table535141516[[#This Row],[Durable Goods]]-B47)/B47</f>
        <v>4.518631079455937E-2</v>
      </c>
    </row>
    <row r="49" spans="1:3" x14ac:dyDescent="0.35">
      <c r="A49" s="74">
        <v>34943</v>
      </c>
      <c r="B49" s="75">
        <f>VLOOKUP(A49,Database!A:M,MATCH($A$1,Database!$A$1:$M$1,),)</f>
        <v>116838</v>
      </c>
      <c r="C49" s="113">
        <f>(Table535141516[[#This Row],[Durable Goods]]-B48)/B48</f>
        <v>4.2135683322332626E-2</v>
      </c>
    </row>
    <row r="50" spans="1:3" x14ac:dyDescent="0.35">
      <c r="A50" s="74">
        <v>34973</v>
      </c>
      <c r="B50" s="75">
        <f>VLOOKUP(A50,Database!A:M,MATCH($A$1,Database!$A$1:$M$1,),)</f>
        <v>112366</v>
      </c>
      <c r="C50" s="113">
        <f>(Table535141516[[#This Row],[Durable Goods]]-B49)/B49</f>
        <v>-3.8275218678854479E-2</v>
      </c>
    </row>
    <row r="51" spans="1:3" x14ac:dyDescent="0.35">
      <c r="A51" s="74">
        <v>35004</v>
      </c>
      <c r="B51" s="75">
        <f>VLOOKUP(A51,Database!A:M,MATCH($A$1,Database!$A$1:$M$1,),)</f>
        <v>113784</v>
      </c>
      <c r="C51" s="113">
        <f>(Table535141516[[#This Row],[Durable Goods]]-B50)/B50</f>
        <v>1.2619475642098144E-2</v>
      </c>
    </row>
    <row r="52" spans="1:3" x14ac:dyDescent="0.35">
      <c r="A52" s="74">
        <v>35034</v>
      </c>
      <c r="B52" s="75">
        <f>VLOOKUP(A52,Database!A:M,MATCH($A$1,Database!$A$1:$M$1,),)</f>
        <v>119874</v>
      </c>
      <c r="C52" s="113">
        <f>(Table535141516[[#This Row],[Durable Goods]]-B51)/B51</f>
        <v>5.3522463615271042E-2</v>
      </c>
    </row>
    <row r="53" spans="1:3" x14ac:dyDescent="0.35">
      <c r="A53" s="74">
        <v>35065</v>
      </c>
      <c r="B53" s="75">
        <f>VLOOKUP(A53,Database!A:M,MATCH($A$1,Database!$A$1:$M$1,),)</f>
        <v>114288</v>
      </c>
      <c r="C53" s="113">
        <f>(Table535141516[[#This Row],[Durable Goods]]-B52)/B52</f>
        <v>-4.6598928875319086E-2</v>
      </c>
    </row>
    <row r="54" spans="1:3" x14ac:dyDescent="0.35">
      <c r="A54" s="74">
        <v>35096</v>
      </c>
      <c r="B54" s="75">
        <f>VLOOKUP(A54,Database!A:M,MATCH($A$1,Database!$A$1:$M$1,),)</f>
        <v>109375</v>
      </c>
      <c r="C54" s="113">
        <f>(Table535141516[[#This Row],[Durable Goods]]-B53)/B53</f>
        <v>-4.2987890242195154E-2</v>
      </c>
    </row>
    <row r="55" spans="1:3" x14ac:dyDescent="0.35">
      <c r="A55" s="74">
        <v>35125</v>
      </c>
      <c r="B55" s="75">
        <f>VLOOKUP(A55,Database!A:M,MATCH($A$1,Database!$A$1:$M$1,),)</f>
        <v>122567</v>
      </c>
      <c r="C55" s="113">
        <f>(Table535141516[[#This Row],[Durable Goods]]-B54)/B54</f>
        <v>0.12061257142857143</v>
      </c>
    </row>
    <row r="56" spans="1:3" x14ac:dyDescent="0.35">
      <c r="A56" s="74">
        <v>35156</v>
      </c>
      <c r="B56" s="75">
        <f>VLOOKUP(A56,Database!A:M,MATCH($A$1,Database!$A$1:$M$1,),)</f>
        <v>112882</v>
      </c>
      <c r="C56" s="113">
        <f>(Table535141516[[#This Row],[Durable Goods]]-B55)/B55</f>
        <v>-7.9018006478089528E-2</v>
      </c>
    </row>
    <row r="57" spans="1:3" x14ac:dyDescent="0.35">
      <c r="A57" s="74">
        <v>35186</v>
      </c>
      <c r="B57" s="75">
        <f>VLOOKUP(A57,Database!A:M,MATCH($A$1,Database!$A$1:$M$1,),)</f>
        <v>119613</v>
      </c>
      <c r="C57" s="113">
        <f>(Table535141516[[#This Row],[Durable Goods]]-B56)/B56</f>
        <v>5.9628638755514607E-2</v>
      </c>
    </row>
    <row r="58" spans="1:3" x14ac:dyDescent="0.35">
      <c r="A58" s="74">
        <v>35217</v>
      </c>
      <c r="B58" s="75">
        <f>VLOOKUP(A58,Database!A:M,MATCH($A$1,Database!$A$1:$M$1,),)</f>
        <v>118924</v>
      </c>
      <c r="C58" s="113">
        <f>(Table535141516[[#This Row],[Durable Goods]]-B57)/B57</f>
        <v>-5.7602434517987173E-3</v>
      </c>
    </row>
    <row r="59" spans="1:3" x14ac:dyDescent="0.35">
      <c r="A59" s="74">
        <v>35247</v>
      </c>
      <c r="B59" s="75">
        <f>VLOOKUP(A59,Database!A:M,MATCH($A$1,Database!$A$1:$M$1,),)</f>
        <v>117941</v>
      </c>
      <c r="C59" s="113">
        <f>(Table535141516[[#This Row],[Durable Goods]]-B58)/B58</f>
        <v>-8.2657831892637319E-3</v>
      </c>
    </row>
    <row r="60" spans="1:3" x14ac:dyDescent="0.35">
      <c r="A60" s="74">
        <v>35278</v>
      </c>
      <c r="B60" s="75">
        <f>VLOOKUP(A60,Database!A:M,MATCH($A$1,Database!$A$1:$M$1,),)</f>
        <v>112297</v>
      </c>
      <c r="C60" s="113">
        <f>(Table535141516[[#This Row],[Durable Goods]]-B59)/B59</f>
        <v>-4.7854435692422481E-2</v>
      </c>
    </row>
    <row r="61" spans="1:3" x14ac:dyDescent="0.35">
      <c r="A61" s="74">
        <v>35309</v>
      </c>
      <c r="B61" s="75">
        <f>VLOOKUP(A61,Database!A:M,MATCH($A$1,Database!$A$1:$M$1,),)</f>
        <v>118848</v>
      </c>
      <c r="C61" s="113">
        <f>(Table535141516[[#This Row],[Durable Goods]]-B60)/B60</f>
        <v>5.8336375860441506E-2</v>
      </c>
    </row>
    <row r="62" spans="1:3" x14ac:dyDescent="0.35">
      <c r="A62" s="74">
        <v>35339</v>
      </c>
      <c r="B62" s="75">
        <f>VLOOKUP(A62,Database!A:M,MATCH($A$1,Database!$A$1:$M$1,),)</f>
        <v>119956</v>
      </c>
      <c r="C62" s="113">
        <f>(Table535141516[[#This Row],[Durable Goods]]-B61)/B61</f>
        <v>9.3228325255788908E-3</v>
      </c>
    </row>
    <row r="63" spans="1:3" x14ac:dyDescent="0.35">
      <c r="A63" s="74">
        <v>35370</v>
      </c>
      <c r="B63" s="75">
        <f>VLOOKUP(A63,Database!A:M,MATCH($A$1,Database!$A$1:$M$1,),)</f>
        <v>124724</v>
      </c>
      <c r="C63" s="113">
        <f>(Table535141516[[#This Row],[Durable Goods]]-B62)/B62</f>
        <v>3.974790756610757E-2</v>
      </c>
    </row>
    <row r="64" spans="1:3" x14ac:dyDescent="0.35">
      <c r="A64" s="74">
        <v>35400</v>
      </c>
      <c r="B64" s="75">
        <f>VLOOKUP(A64,Database!A:M,MATCH($A$1,Database!$A$1:$M$1,),)</f>
        <v>117137</v>
      </c>
      <c r="C64" s="113">
        <f>(Table535141516[[#This Row],[Durable Goods]]-B63)/B63</f>
        <v>-6.0830313331836694E-2</v>
      </c>
    </row>
    <row r="65" spans="1:3" x14ac:dyDescent="0.35">
      <c r="A65" s="74">
        <v>35431</v>
      </c>
      <c r="B65" s="75">
        <f>VLOOKUP(A65,Database!A:M,MATCH($A$1,Database!$A$1:$M$1,),)</f>
        <v>114626</v>
      </c>
      <c r="C65" s="113">
        <f>(Table535141516[[#This Row],[Durable Goods]]-B64)/B64</f>
        <v>-2.1436437675542312E-2</v>
      </c>
    </row>
    <row r="66" spans="1:3" x14ac:dyDescent="0.35">
      <c r="A66" s="74">
        <v>35462</v>
      </c>
      <c r="B66" s="75">
        <f>VLOOKUP(A66,Database!A:M,MATCH($A$1,Database!$A$1:$M$1,),)</f>
        <v>122876</v>
      </c>
      <c r="C66" s="113">
        <f>(Table535141516[[#This Row],[Durable Goods]]-B65)/B65</f>
        <v>7.1973199797602638E-2</v>
      </c>
    </row>
    <row r="67" spans="1:3" x14ac:dyDescent="0.35">
      <c r="A67" s="74">
        <v>35490</v>
      </c>
      <c r="B67" s="75">
        <f>VLOOKUP(A67,Database!A:M,MATCH($A$1,Database!$A$1:$M$1,),)</f>
        <v>119668</v>
      </c>
      <c r="C67" s="113">
        <f>(Table535141516[[#This Row],[Durable Goods]]-B66)/B66</f>
        <v>-2.6107620690777694E-2</v>
      </c>
    </row>
    <row r="68" spans="1:3" x14ac:dyDescent="0.35">
      <c r="A68" s="74">
        <v>35521</v>
      </c>
      <c r="B68" s="75">
        <f>VLOOKUP(A68,Database!A:M,MATCH($A$1,Database!$A$1:$M$1,),)</f>
        <v>125615</v>
      </c>
      <c r="C68" s="113">
        <f>(Table535141516[[#This Row],[Durable Goods]]-B67)/B67</f>
        <v>4.9695825116154696E-2</v>
      </c>
    </row>
    <row r="69" spans="1:3" x14ac:dyDescent="0.35">
      <c r="A69" s="74">
        <v>35551</v>
      </c>
      <c r="B69" s="75">
        <f>VLOOKUP(A69,Database!A:M,MATCH($A$1,Database!$A$1:$M$1,),)</f>
        <v>120972</v>
      </c>
      <c r="C69" s="113">
        <f>(Table535141516[[#This Row],[Durable Goods]]-B68)/B68</f>
        <v>-3.6962146240496756E-2</v>
      </c>
    </row>
    <row r="70" spans="1:3" x14ac:dyDescent="0.35">
      <c r="A70" s="74">
        <v>35582</v>
      </c>
      <c r="B70" s="75">
        <f>VLOOKUP(A70,Database!A:M,MATCH($A$1,Database!$A$1:$M$1,),)</f>
        <v>126186</v>
      </c>
      <c r="C70" s="113">
        <f>(Table535141516[[#This Row],[Durable Goods]]-B69)/B69</f>
        <v>4.3100882848923716E-2</v>
      </c>
    </row>
    <row r="71" spans="1:3" x14ac:dyDescent="0.35">
      <c r="A71" s="74">
        <v>35612</v>
      </c>
      <c r="B71" s="75">
        <f>VLOOKUP(A71,Database!A:M,MATCH($A$1,Database!$A$1:$M$1,),)</f>
        <v>127337</v>
      </c>
      <c r="C71" s="113">
        <f>(Table535141516[[#This Row],[Durable Goods]]-B70)/B70</f>
        <v>9.1214556289921228E-3</v>
      </c>
    </row>
    <row r="72" spans="1:3" x14ac:dyDescent="0.35">
      <c r="A72" s="74">
        <v>35643</v>
      </c>
      <c r="B72" s="75">
        <f>VLOOKUP(A72,Database!A:M,MATCH($A$1,Database!$A$1:$M$1,),)</f>
        <v>127334</v>
      </c>
      <c r="C72" s="113">
        <f>(Table535141516[[#This Row],[Durable Goods]]-B71)/B71</f>
        <v>-2.3559531008269395E-5</v>
      </c>
    </row>
    <row r="73" spans="1:3" x14ac:dyDescent="0.35">
      <c r="A73" s="74">
        <v>35674</v>
      </c>
      <c r="B73" s="75">
        <f>VLOOKUP(A73,Database!A:M,MATCH($A$1,Database!$A$1:$M$1,),)</f>
        <v>128051</v>
      </c>
      <c r="C73" s="113">
        <f>(Table535141516[[#This Row],[Durable Goods]]-B72)/B72</f>
        <v>5.6308605714106208E-3</v>
      </c>
    </row>
    <row r="74" spans="1:3" x14ac:dyDescent="0.35">
      <c r="A74" s="74">
        <v>35704</v>
      </c>
      <c r="B74" s="75">
        <f>VLOOKUP(A74,Database!A:M,MATCH($A$1,Database!$A$1:$M$1,),)</f>
        <v>128062</v>
      </c>
      <c r="C74" s="113">
        <f>(Table535141516[[#This Row],[Durable Goods]]-B73)/B73</f>
        <v>8.590327291469805E-5</v>
      </c>
    </row>
    <row r="75" spans="1:3" x14ac:dyDescent="0.35">
      <c r="A75" s="74">
        <v>35735</v>
      </c>
      <c r="B75" s="75">
        <f>VLOOKUP(A75,Database!A:M,MATCH($A$1,Database!$A$1:$M$1,),)</f>
        <v>139761</v>
      </c>
      <c r="C75" s="113">
        <f>(Table535141516[[#This Row],[Durable Goods]]-B74)/B74</f>
        <v>9.1354187815276974E-2</v>
      </c>
    </row>
    <row r="76" spans="1:3" x14ac:dyDescent="0.35">
      <c r="A76" s="74">
        <v>35765</v>
      </c>
      <c r="B76" s="75">
        <f>VLOOKUP(A76,Database!A:M,MATCH($A$1,Database!$A$1:$M$1,),)</f>
        <v>122759</v>
      </c>
      <c r="C76" s="113">
        <f>(Table535141516[[#This Row],[Durable Goods]]-B75)/B75</f>
        <v>-0.12165053197959373</v>
      </c>
    </row>
    <row r="77" spans="1:3" x14ac:dyDescent="0.35">
      <c r="A77" s="74">
        <v>35796</v>
      </c>
      <c r="B77" s="75">
        <f>VLOOKUP(A77,Database!A:M,MATCH($A$1,Database!$A$1:$M$1,),)</f>
        <v>125004</v>
      </c>
      <c r="C77" s="113">
        <f>(Table535141516[[#This Row],[Durable Goods]]-B76)/B76</f>
        <v>1.8287864840867064E-2</v>
      </c>
    </row>
    <row r="78" spans="1:3" x14ac:dyDescent="0.35">
      <c r="A78" s="74">
        <v>35827</v>
      </c>
      <c r="B78" s="75">
        <f>VLOOKUP(A78,Database!A:M,MATCH($A$1,Database!$A$1:$M$1,),)</f>
        <v>129378</v>
      </c>
      <c r="C78" s="113">
        <f>(Table535141516[[#This Row],[Durable Goods]]-B77)/B77</f>
        <v>3.4990880291830659E-2</v>
      </c>
    </row>
    <row r="79" spans="1:3" x14ac:dyDescent="0.35">
      <c r="A79" s="74">
        <v>35855</v>
      </c>
      <c r="B79" s="75">
        <f>VLOOKUP(A79,Database!A:M,MATCH($A$1,Database!$A$1:$M$1,),)</f>
        <v>124823</v>
      </c>
      <c r="C79" s="113">
        <f>(Table535141516[[#This Row],[Durable Goods]]-B78)/B78</f>
        <v>-3.5206913076411751E-2</v>
      </c>
    </row>
    <row r="80" spans="1:3" x14ac:dyDescent="0.35">
      <c r="A80" s="74">
        <v>35886</v>
      </c>
      <c r="B80" s="75">
        <f>VLOOKUP(A80,Database!A:M,MATCH($A$1,Database!$A$1:$M$1,),)</f>
        <v>129329</v>
      </c>
      <c r="C80" s="113">
        <f>(Table535141516[[#This Row],[Durable Goods]]-B79)/B79</f>
        <v>3.6099116348749828E-2</v>
      </c>
    </row>
    <row r="81" spans="1:3" x14ac:dyDescent="0.35">
      <c r="A81" s="74">
        <v>35916</v>
      </c>
      <c r="B81" s="75">
        <f>VLOOKUP(A81,Database!A:M,MATCH($A$1,Database!$A$1:$M$1,),)</f>
        <v>128089</v>
      </c>
      <c r="C81" s="113">
        <f>(Table535141516[[#This Row],[Durable Goods]]-B80)/B80</f>
        <v>-9.587950111730548E-3</v>
      </c>
    </row>
    <row r="82" spans="1:3" x14ac:dyDescent="0.35">
      <c r="A82" s="74">
        <v>35947</v>
      </c>
      <c r="B82" s="75">
        <f>VLOOKUP(A82,Database!A:M,MATCH($A$1,Database!$A$1:$M$1,),)</f>
        <v>123912</v>
      </c>
      <c r="C82" s="113">
        <f>(Table535141516[[#This Row],[Durable Goods]]-B81)/B81</f>
        <v>-3.2610138263238844E-2</v>
      </c>
    </row>
    <row r="83" spans="1:3" x14ac:dyDescent="0.35">
      <c r="A83" s="74">
        <v>35977</v>
      </c>
      <c r="B83" s="75">
        <f>VLOOKUP(A83,Database!A:M,MATCH($A$1,Database!$A$1:$M$1,),)</f>
        <v>122090</v>
      </c>
      <c r="C83" s="113">
        <f>(Table535141516[[#This Row],[Durable Goods]]-B82)/B82</f>
        <v>-1.4703983472141521E-2</v>
      </c>
    </row>
    <row r="84" spans="1:3" x14ac:dyDescent="0.35">
      <c r="A84" s="74">
        <v>36008</v>
      </c>
      <c r="B84" s="75">
        <f>VLOOKUP(A84,Database!A:M,MATCH($A$1,Database!$A$1:$M$1,),)</f>
        <v>127658</v>
      </c>
      <c r="C84" s="113">
        <f>(Table535141516[[#This Row],[Durable Goods]]-B83)/B83</f>
        <v>4.5605700712589077E-2</v>
      </c>
    </row>
    <row r="85" spans="1:3" x14ac:dyDescent="0.35">
      <c r="A85" s="74">
        <v>36039</v>
      </c>
      <c r="B85" s="75">
        <f>VLOOKUP(A85,Database!A:M,MATCH($A$1,Database!$A$1:$M$1,),)</f>
        <v>129434</v>
      </c>
      <c r="C85" s="113">
        <f>(Table535141516[[#This Row],[Durable Goods]]-B84)/B84</f>
        <v>1.3912171583449529E-2</v>
      </c>
    </row>
    <row r="86" spans="1:3" x14ac:dyDescent="0.35">
      <c r="A86" s="74">
        <v>36069</v>
      </c>
      <c r="B86" s="75">
        <f>VLOOKUP(A86,Database!A:M,MATCH($A$1,Database!$A$1:$M$1,),)</f>
        <v>125301</v>
      </c>
      <c r="C86" s="113">
        <f>(Table535141516[[#This Row],[Durable Goods]]-B85)/B85</f>
        <v>-3.1931331798445539E-2</v>
      </c>
    </row>
    <row r="87" spans="1:3" x14ac:dyDescent="0.35">
      <c r="A87" s="74">
        <v>36100</v>
      </c>
      <c r="B87" s="75">
        <f>VLOOKUP(A87,Database!A:M,MATCH($A$1,Database!$A$1:$M$1,),)</f>
        <v>128665</v>
      </c>
      <c r="C87" s="113">
        <f>(Table535141516[[#This Row],[Durable Goods]]-B86)/B86</f>
        <v>2.6847351577401618E-2</v>
      </c>
    </row>
    <row r="88" spans="1:3" x14ac:dyDescent="0.35">
      <c r="A88" s="74">
        <v>36130</v>
      </c>
      <c r="B88" s="75">
        <f>VLOOKUP(A88,Database!A:M,MATCH($A$1,Database!$A$1:$M$1,),)</f>
        <v>124510</v>
      </c>
      <c r="C88" s="113">
        <f>(Table535141516[[#This Row],[Durable Goods]]-B87)/B87</f>
        <v>-3.2293164419228228E-2</v>
      </c>
    </row>
    <row r="89" spans="1:3" x14ac:dyDescent="0.35">
      <c r="A89" s="74">
        <v>36161</v>
      </c>
      <c r="B89" s="75">
        <f>VLOOKUP(A89,Database!A:M,MATCH($A$1,Database!$A$1:$M$1,),)</f>
        <v>132005</v>
      </c>
      <c r="C89" s="113">
        <f>(Table535141516[[#This Row],[Durable Goods]]-B88)/B88</f>
        <v>6.0195968195325675E-2</v>
      </c>
    </row>
    <row r="90" spans="1:3" x14ac:dyDescent="0.35">
      <c r="A90" s="74">
        <v>36192</v>
      </c>
      <c r="B90" s="75">
        <f>VLOOKUP(A90,Database!A:M,MATCH($A$1,Database!$A$1:$M$1,),)</f>
        <v>129227</v>
      </c>
      <c r="C90" s="113">
        <f>(Table535141516[[#This Row],[Durable Goods]]-B89)/B89</f>
        <v>-2.1044657399340933E-2</v>
      </c>
    </row>
    <row r="91" spans="1:3" x14ac:dyDescent="0.35">
      <c r="A91" s="74">
        <v>36220</v>
      </c>
      <c r="B91" s="75">
        <f>VLOOKUP(A91,Database!A:M,MATCH($A$1,Database!$A$1:$M$1,),)</f>
        <v>129753</v>
      </c>
      <c r="C91" s="113">
        <f>(Table535141516[[#This Row],[Durable Goods]]-B90)/B90</f>
        <v>4.0703568139785033E-3</v>
      </c>
    </row>
    <row r="92" spans="1:3" x14ac:dyDescent="0.35">
      <c r="A92" s="74">
        <v>36251</v>
      </c>
      <c r="B92" s="75">
        <f>VLOOKUP(A92,Database!A:M,MATCH($A$1,Database!$A$1:$M$1,),)</f>
        <v>128317</v>
      </c>
      <c r="C92" s="113">
        <f>(Table535141516[[#This Row],[Durable Goods]]-B91)/B91</f>
        <v>-1.1067181490986721E-2</v>
      </c>
    </row>
    <row r="93" spans="1:3" x14ac:dyDescent="0.35">
      <c r="A93" s="74">
        <v>36281</v>
      </c>
      <c r="B93" s="75">
        <f>VLOOKUP(A93,Database!A:M,MATCH($A$1,Database!$A$1:$M$1,),)</f>
        <v>130315</v>
      </c>
      <c r="C93" s="113">
        <f>(Table535141516[[#This Row],[Durable Goods]]-B92)/B92</f>
        <v>1.5570812908655907E-2</v>
      </c>
    </row>
    <row r="94" spans="1:3" x14ac:dyDescent="0.35">
      <c r="A94" s="74">
        <v>36312</v>
      </c>
      <c r="B94" s="75">
        <f>VLOOKUP(A94,Database!A:M,MATCH($A$1,Database!$A$1:$M$1,),)</f>
        <v>127679</v>
      </c>
      <c r="C94" s="113">
        <f>(Table535141516[[#This Row],[Durable Goods]]-B93)/B93</f>
        <v>-2.0227909296704139E-2</v>
      </c>
    </row>
    <row r="95" spans="1:3" x14ac:dyDescent="0.35">
      <c r="A95" s="74">
        <v>36342</v>
      </c>
      <c r="B95" s="75">
        <f>VLOOKUP(A95,Database!A:M,MATCH($A$1,Database!$A$1:$M$1,),)</f>
        <v>134617</v>
      </c>
      <c r="C95" s="113">
        <f>(Table535141516[[#This Row],[Durable Goods]]-B94)/B94</f>
        <v>5.4339398021601044E-2</v>
      </c>
    </row>
    <row r="96" spans="1:3" x14ac:dyDescent="0.35">
      <c r="A96" s="74">
        <v>36373</v>
      </c>
      <c r="B96" s="75">
        <f>VLOOKUP(A96,Database!A:M,MATCH($A$1,Database!$A$1:$M$1,),)</f>
        <v>133941</v>
      </c>
      <c r="C96" s="113">
        <f>(Table535141516[[#This Row],[Durable Goods]]-B95)/B95</f>
        <v>-5.0216540258659756E-3</v>
      </c>
    </row>
    <row r="97" spans="1:3" x14ac:dyDescent="0.35">
      <c r="A97" s="74">
        <v>36404</v>
      </c>
      <c r="B97" s="75">
        <f>VLOOKUP(A97,Database!A:M,MATCH($A$1,Database!$A$1:$M$1,),)</f>
        <v>133870</v>
      </c>
      <c r="C97" s="113">
        <f>(Table535141516[[#This Row],[Durable Goods]]-B96)/B96</f>
        <v>-5.3008414152499984E-4</v>
      </c>
    </row>
    <row r="98" spans="1:3" x14ac:dyDescent="0.35">
      <c r="A98" s="74">
        <v>36434</v>
      </c>
      <c r="B98" s="75">
        <f>VLOOKUP(A98,Database!A:M,MATCH($A$1,Database!$A$1:$M$1,),)</f>
        <v>139509</v>
      </c>
      <c r="C98" s="113">
        <f>(Table535141516[[#This Row],[Durable Goods]]-B97)/B97</f>
        <v>4.2122955105699557E-2</v>
      </c>
    </row>
    <row r="99" spans="1:3" x14ac:dyDescent="0.35">
      <c r="A99" s="74">
        <v>36465</v>
      </c>
      <c r="B99" s="75">
        <f>VLOOKUP(A99,Database!A:M,MATCH($A$1,Database!$A$1:$M$1,),)</f>
        <v>131897</v>
      </c>
      <c r="C99" s="113">
        <f>(Table535141516[[#This Row],[Durable Goods]]-B98)/B98</f>
        <v>-5.4562788063852515E-2</v>
      </c>
    </row>
    <row r="100" spans="1:3" x14ac:dyDescent="0.35">
      <c r="A100" s="74">
        <v>36495</v>
      </c>
      <c r="B100" s="75">
        <f>VLOOKUP(A100,Database!A:M,MATCH($A$1,Database!$A$1:$M$1,),)</f>
        <v>141778</v>
      </c>
      <c r="C100" s="113">
        <f>(Table535141516[[#This Row],[Durable Goods]]-B99)/B99</f>
        <v>7.4914516630400996E-2</v>
      </c>
    </row>
    <row r="101" spans="1:3" x14ac:dyDescent="0.35">
      <c r="A101" s="74">
        <v>36526</v>
      </c>
      <c r="B101" s="75">
        <f>VLOOKUP(A101,Database!A:M,MATCH($A$1,Database!$A$1:$M$1,),)</f>
        <v>144856</v>
      </c>
      <c r="C101" s="113">
        <f>(Table535141516[[#This Row],[Durable Goods]]-B100)/B100</f>
        <v>2.1709997319753416E-2</v>
      </c>
    </row>
    <row r="102" spans="1:3" x14ac:dyDescent="0.35">
      <c r="A102" s="74">
        <v>36557</v>
      </c>
      <c r="B102" s="75">
        <f>VLOOKUP(A102,Database!A:M,MATCH($A$1,Database!$A$1:$M$1,),)</f>
        <v>130377</v>
      </c>
      <c r="C102" s="113">
        <f>(Table535141516[[#This Row],[Durable Goods]]-B101)/B101</f>
        <v>-9.9954437510355112E-2</v>
      </c>
    </row>
    <row r="103" spans="1:3" x14ac:dyDescent="0.35">
      <c r="A103" s="74">
        <v>36586</v>
      </c>
      <c r="B103" s="75">
        <f>VLOOKUP(A103,Database!A:M,MATCH($A$1,Database!$A$1:$M$1,),)</f>
        <v>137161</v>
      </c>
      <c r="C103" s="113">
        <f>(Table535141516[[#This Row],[Durable Goods]]-B102)/B102</f>
        <v>5.2033717603565045E-2</v>
      </c>
    </row>
    <row r="104" spans="1:3" x14ac:dyDescent="0.35">
      <c r="A104" s="74">
        <v>36617</v>
      </c>
      <c r="B104" s="75">
        <f>VLOOKUP(A104,Database!A:M,MATCH($A$1,Database!$A$1:$M$1,),)</f>
        <v>139928</v>
      </c>
      <c r="C104" s="113">
        <f>(Table535141516[[#This Row],[Durable Goods]]-B103)/B103</f>
        <v>2.0173372897543763E-2</v>
      </c>
    </row>
    <row r="105" spans="1:3" x14ac:dyDescent="0.35">
      <c r="A105" s="74">
        <v>36647</v>
      </c>
      <c r="B105" s="75">
        <f>VLOOKUP(A105,Database!A:M,MATCH($A$1,Database!$A$1:$M$1,),)</f>
        <v>135833</v>
      </c>
      <c r="C105" s="113">
        <f>(Table535141516[[#This Row],[Durable Goods]]-B104)/B104</f>
        <v>-2.9265050597450118E-2</v>
      </c>
    </row>
    <row r="106" spans="1:3" x14ac:dyDescent="0.35">
      <c r="A106" s="74">
        <v>36678</v>
      </c>
      <c r="B106" s="75">
        <f>VLOOKUP(A106,Database!A:M,MATCH($A$1,Database!$A$1:$M$1,),)</f>
        <v>165607</v>
      </c>
      <c r="C106" s="113">
        <f>(Table535141516[[#This Row],[Durable Goods]]-B105)/B105</f>
        <v>0.21919562992792621</v>
      </c>
    </row>
    <row r="107" spans="1:3" x14ac:dyDescent="0.35">
      <c r="A107" s="74">
        <v>36708</v>
      </c>
      <c r="B107" s="75">
        <f>VLOOKUP(A107,Database!A:M,MATCH($A$1,Database!$A$1:$M$1,),)</f>
        <v>137103</v>
      </c>
      <c r="C107" s="113">
        <f>(Table535141516[[#This Row],[Durable Goods]]-B106)/B106</f>
        <v>-0.17211832833153187</v>
      </c>
    </row>
    <row r="108" spans="1:3" x14ac:dyDescent="0.35">
      <c r="A108" s="74">
        <v>36739</v>
      </c>
      <c r="B108" s="75">
        <f>VLOOKUP(A108,Database!A:M,MATCH($A$1,Database!$A$1:$M$1,),)</f>
        <v>138771</v>
      </c>
      <c r="C108" s="113">
        <f>(Table535141516[[#This Row],[Durable Goods]]-B107)/B107</f>
        <v>1.2166035754141047E-2</v>
      </c>
    </row>
    <row r="109" spans="1:3" x14ac:dyDescent="0.35">
      <c r="A109" s="74">
        <v>36770</v>
      </c>
      <c r="B109" s="75">
        <f>VLOOKUP(A109,Database!A:M,MATCH($A$1,Database!$A$1:$M$1,),)</f>
        <v>145618</v>
      </c>
      <c r="C109" s="113">
        <f>(Table535141516[[#This Row],[Durable Goods]]-B108)/B108</f>
        <v>4.9340280029689203E-2</v>
      </c>
    </row>
    <row r="110" spans="1:3" x14ac:dyDescent="0.35">
      <c r="A110" s="74">
        <v>36800</v>
      </c>
      <c r="B110" s="75">
        <f>VLOOKUP(A110,Database!A:M,MATCH($A$1,Database!$A$1:$M$1,),)</f>
        <v>134557</v>
      </c>
      <c r="C110" s="113">
        <f>(Table535141516[[#This Row],[Durable Goods]]-B109)/B109</f>
        <v>-7.5959016055707401E-2</v>
      </c>
    </row>
    <row r="111" spans="1:3" x14ac:dyDescent="0.35">
      <c r="A111" s="74">
        <v>36831</v>
      </c>
      <c r="B111" s="75">
        <f>VLOOKUP(A111,Database!A:M,MATCH($A$1,Database!$A$1:$M$1,),)</f>
        <v>139206</v>
      </c>
      <c r="C111" s="113">
        <f>(Table535141516[[#This Row],[Durable Goods]]-B110)/B110</f>
        <v>3.4550413579375286E-2</v>
      </c>
    </row>
    <row r="112" spans="1:3" x14ac:dyDescent="0.35">
      <c r="A112" s="74">
        <v>36861</v>
      </c>
      <c r="B112" s="75">
        <f>VLOOKUP(A112,Database!A:M,MATCH($A$1,Database!$A$1:$M$1,),)</f>
        <v>137810</v>
      </c>
      <c r="C112" s="113">
        <f>(Table535141516[[#This Row],[Durable Goods]]-B111)/B111</f>
        <v>-1.0028303377727971E-2</v>
      </c>
    </row>
    <row r="113" spans="1:3" x14ac:dyDescent="0.35">
      <c r="A113" s="74">
        <v>36892</v>
      </c>
      <c r="B113" s="75">
        <f>VLOOKUP(A113,Database!A:M,MATCH($A$1,Database!$A$1:$M$1,),)</f>
        <v>129101</v>
      </c>
      <c r="C113" s="113">
        <f>(Table535141516[[#This Row],[Durable Goods]]-B112)/B112</f>
        <v>-6.3195704230462224E-2</v>
      </c>
    </row>
    <row r="114" spans="1:3" x14ac:dyDescent="0.35">
      <c r="A114" s="74">
        <v>36923</v>
      </c>
      <c r="B114" s="75">
        <f>VLOOKUP(A114,Database!A:M,MATCH($A$1,Database!$A$1:$M$1,),)</f>
        <v>130032</v>
      </c>
      <c r="C114" s="113">
        <f>(Table535141516[[#This Row],[Durable Goods]]-B113)/B113</f>
        <v>7.2114081223228323E-3</v>
      </c>
    </row>
    <row r="115" spans="1:3" x14ac:dyDescent="0.35">
      <c r="A115" s="74">
        <v>36951</v>
      </c>
      <c r="B115" s="75">
        <f>VLOOKUP(A115,Database!A:M,MATCH($A$1,Database!$A$1:$M$1,),)</f>
        <v>131606</v>
      </c>
      <c r="C115" s="113">
        <f>(Table535141516[[#This Row],[Durable Goods]]-B114)/B114</f>
        <v>1.2104712686108035E-2</v>
      </c>
    </row>
    <row r="116" spans="1:3" x14ac:dyDescent="0.35">
      <c r="A116" s="74">
        <v>36982</v>
      </c>
      <c r="B116" s="75">
        <f>VLOOKUP(A116,Database!A:M,MATCH($A$1,Database!$A$1:$M$1,),)</f>
        <v>123025</v>
      </c>
      <c r="C116" s="113">
        <f>(Table535141516[[#This Row],[Durable Goods]]-B115)/B115</f>
        <v>-6.5202194428825438E-2</v>
      </c>
    </row>
    <row r="117" spans="1:3" x14ac:dyDescent="0.35">
      <c r="A117" s="74">
        <v>37012</v>
      </c>
      <c r="B117" s="75">
        <f>VLOOKUP(A117,Database!A:M,MATCH($A$1,Database!$A$1:$M$1,),)</f>
        <v>126796</v>
      </c>
      <c r="C117" s="113">
        <f>(Table535141516[[#This Row],[Durable Goods]]-B116)/B116</f>
        <v>3.0652306441780127E-2</v>
      </c>
    </row>
    <row r="118" spans="1:3" x14ac:dyDescent="0.35">
      <c r="A118" s="74">
        <v>37043</v>
      </c>
      <c r="B118" s="75">
        <f>VLOOKUP(A118,Database!A:M,MATCH($A$1,Database!$A$1:$M$1,),)</f>
        <v>126051</v>
      </c>
      <c r="C118" s="113">
        <f>(Table535141516[[#This Row],[Durable Goods]]-B117)/B117</f>
        <v>-5.8755796712830054E-3</v>
      </c>
    </row>
    <row r="119" spans="1:3" x14ac:dyDescent="0.35">
      <c r="A119" s="74">
        <v>37073</v>
      </c>
      <c r="B119" s="75">
        <f>VLOOKUP(A119,Database!A:M,MATCH($A$1,Database!$A$1:$M$1,),)</f>
        <v>120027</v>
      </c>
      <c r="C119" s="113">
        <f>(Table535141516[[#This Row],[Durable Goods]]-B118)/B118</f>
        <v>-4.7790180165171239E-2</v>
      </c>
    </row>
    <row r="120" spans="1:3" x14ac:dyDescent="0.35">
      <c r="A120" s="74">
        <v>37104</v>
      </c>
      <c r="B120" s="75">
        <f>VLOOKUP(A120,Database!A:M,MATCH($A$1,Database!$A$1:$M$1,),)</f>
        <v>120481</v>
      </c>
      <c r="C120" s="113">
        <f>(Table535141516[[#This Row],[Durable Goods]]-B119)/B119</f>
        <v>3.7824822748214987E-3</v>
      </c>
    </row>
    <row r="121" spans="1:3" x14ac:dyDescent="0.35">
      <c r="A121" s="74">
        <v>37135</v>
      </c>
      <c r="B121" s="75">
        <f>VLOOKUP(A121,Database!A:M,MATCH($A$1,Database!$A$1:$M$1,),)</f>
        <v>115746</v>
      </c>
      <c r="C121" s="113">
        <f>(Table535141516[[#This Row],[Durable Goods]]-B120)/B120</f>
        <v>-3.9300802616180144E-2</v>
      </c>
    </row>
    <row r="122" spans="1:3" x14ac:dyDescent="0.35">
      <c r="A122" s="74">
        <v>37165</v>
      </c>
      <c r="B122" s="75">
        <f>VLOOKUP(A122,Database!A:M,MATCH($A$1,Database!$A$1:$M$1,),)</f>
        <v>122937</v>
      </c>
      <c r="C122" s="113">
        <f>(Table535141516[[#This Row],[Durable Goods]]-B121)/B121</f>
        <v>6.2127416930174692E-2</v>
      </c>
    </row>
    <row r="123" spans="1:3" x14ac:dyDescent="0.35">
      <c r="A123" s="74">
        <v>37196</v>
      </c>
      <c r="B123" s="75">
        <f>VLOOKUP(A123,Database!A:M,MATCH($A$1,Database!$A$1:$M$1,),)</f>
        <v>114240</v>
      </c>
      <c r="C123" s="113">
        <f>(Table535141516[[#This Row],[Durable Goods]]-B122)/B122</f>
        <v>-7.0743551575197058E-2</v>
      </c>
    </row>
    <row r="124" spans="1:3" x14ac:dyDescent="0.35">
      <c r="A124" s="74">
        <v>37226</v>
      </c>
      <c r="B124" s="75">
        <f>VLOOKUP(A124,Database!A:M,MATCH($A$1,Database!$A$1:$M$1,),)</f>
        <v>114782</v>
      </c>
      <c r="C124" s="113">
        <f>(Table535141516[[#This Row],[Durable Goods]]-B123)/B123</f>
        <v>4.7443977591036411E-3</v>
      </c>
    </row>
    <row r="125" spans="1:3" x14ac:dyDescent="0.35">
      <c r="A125" s="74">
        <v>37257</v>
      </c>
      <c r="B125" s="75">
        <f>VLOOKUP(A125,Database!A:M,MATCH($A$1,Database!$A$1:$M$1,),)</f>
        <v>112406</v>
      </c>
      <c r="C125" s="113">
        <f>(Table535141516[[#This Row],[Durable Goods]]-B124)/B124</f>
        <v>-2.0700109773309404E-2</v>
      </c>
    </row>
    <row r="126" spans="1:3" x14ac:dyDescent="0.35">
      <c r="A126" s="74">
        <v>37288</v>
      </c>
      <c r="B126" s="75">
        <f>VLOOKUP(A126,Database!A:M,MATCH($A$1,Database!$A$1:$M$1,),)</f>
        <v>122233</v>
      </c>
      <c r="C126" s="113">
        <f>(Table535141516[[#This Row],[Durable Goods]]-B125)/B125</f>
        <v>8.7424158852730277E-2</v>
      </c>
    </row>
    <row r="127" spans="1:3" x14ac:dyDescent="0.35">
      <c r="A127" s="74">
        <v>37316</v>
      </c>
      <c r="B127" s="75">
        <f>VLOOKUP(A127,Database!A:M,MATCH($A$1,Database!$A$1:$M$1,),)</f>
        <v>118940</v>
      </c>
      <c r="C127" s="113">
        <f>(Table535141516[[#This Row],[Durable Goods]]-B126)/B126</f>
        <v>-2.6940351623538653E-2</v>
      </c>
    </row>
    <row r="128" spans="1:3" x14ac:dyDescent="0.35">
      <c r="A128" s="74">
        <v>37347</v>
      </c>
      <c r="B128" s="75">
        <f>VLOOKUP(A128,Database!A:M,MATCH($A$1,Database!$A$1:$M$1,),)</f>
        <v>118664</v>
      </c>
      <c r="C128" s="113">
        <f>(Table535141516[[#This Row],[Durable Goods]]-B127)/B127</f>
        <v>-2.3204977299478729E-3</v>
      </c>
    </row>
    <row r="129" spans="1:3" x14ac:dyDescent="0.35">
      <c r="A129" s="74">
        <v>37377</v>
      </c>
      <c r="B129" s="75">
        <f>VLOOKUP(A129,Database!A:M,MATCH($A$1,Database!$A$1:$M$1,),)</f>
        <v>119235</v>
      </c>
      <c r="C129" s="113">
        <f>(Table535141516[[#This Row],[Durable Goods]]-B128)/B128</f>
        <v>4.8119058855255175E-3</v>
      </c>
    </row>
    <row r="130" spans="1:3" x14ac:dyDescent="0.35">
      <c r="A130" s="74">
        <v>37408</v>
      </c>
      <c r="B130" s="75">
        <f>VLOOKUP(A130,Database!A:M,MATCH($A$1,Database!$A$1:$M$1,),)</f>
        <v>113950</v>
      </c>
      <c r="C130" s="113">
        <f>(Table535141516[[#This Row],[Durable Goods]]-B129)/B129</f>
        <v>-4.43242336562251E-2</v>
      </c>
    </row>
    <row r="131" spans="1:3" x14ac:dyDescent="0.35">
      <c r="A131" s="74">
        <v>37438</v>
      </c>
      <c r="B131" s="75">
        <f>VLOOKUP(A131,Database!A:M,MATCH($A$1,Database!$A$1:$M$1,),)</f>
        <v>120438</v>
      </c>
      <c r="C131" s="113">
        <f>(Table535141516[[#This Row],[Durable Goods]]-B130)/B130</f>
        <v>5.6937253181219831E-2</v>
      </c>
    </row>
    <row r="132" spans="1:3" x14ac:dyDescent="0.35">
      <c r="A132" s="74">
        <v>37469</v>
      </c>
      <c r="B132" s="75">
        <f>VLOOKUP(A132,Database!A:M,MATCH($A$1,Database!$A$1:$M$1,),)</f>
        <v>122932</v>
      </c>
      <c r="C132" s="113">
        <f>(Table535141516[[#This Row],[Durable Goods]]-B131)/B131</f>
        <v>2.0707750045666651E-2</v>
      </c>
    </row>
    <row r="133" spans="1:3" x14ac:dyDescent="0.35">
      <c r="A133" s="74">
        <v>37500</v>
      </c>
      <c r="B133" s="75">
        <f>VLOOKUP(A133,Database!A:M,MATCH($A$1,Database!$A$1:$M$1,),)</f>
        <v>115066</v>
      </c>
      <c r="C133" s="113">
        <f>(Table535141516[[#This Row],[Durable Goods]]-B132)/B132</f>
        <v>-6.3986594214687789E-2</v>
      </c>
    </row>
    <row r="134" spans="1:3" x14ac:dyDescent="0.35">
      <c r="A134" s="74">
        <v>37530</v>
      </c>
      <c r="B134" s="75">
        <f>VLOOKUP(A134,Database!A:M,MATCH($A$1,Database!$A$1:$M$1,),)</f>
        <v>115754</v>
      </c>
      <c r="C134" s="113">
        <f>(Table535141516[[#This Row],[Durable Goods]]-B133)/B133</f>
        <v>5.9791771678862566E-3</v>
      </c>
    </row>
    <row r="135" spans="1:3" x14ac:dyDescent="0.35">
      <c r="A135" s="74">
        <v>37561</v>
      </c>
      <c r="B135" s="75">
        <f>VLOOKUP(A135,Database!A:M,MATCH($A$1,Database!$A$1:$M$1,),)</f>
        <v>117084</v>
      </c>
      <c r="C135" s="113">
        <f>(Table535141516[[#This Row],[Durable Goods]]-B134)/B134</f>
        <v>1.148988371892116E-2</v>
      </c>
    </row>
    <row r="136" spans="1:3" x14ac:dyDescent="0.35">
      <c r="A136" s="74">
        <v>37591</v>
      </c>
      <c r="B136" s="75">
        <f>VLOOKUP(A136,Database!A:M,MATCH($A$1,Database!$A$1:$M$1,),)</f>
        <v>112831</v>
      </c>
      <c r="C136" s="113">
        <f>(Table535141516[[#This Row],[Durable Goods]]-B135)/B135</f>
        <v>-3.6324348331112706E-2</v>
      </c>
    </row>
    <row r="137" spans="1:3" x14ac:dyDescent="0.35">
      <c r="A137" s="74">
        <v>37622</v>
      </c>
      <c r="B137" s="75">
        <f>VLOOKUP(A137,Database!A:M,MATCH($A$1,Database!$A$1:$M$1,),)</f>
        <v>116048</v>
      </c>
      <c r="C137" s="113">
        <f>(Table535141516[[#This Row],[Durable Goods]]-B136)/B136</f>
        <v>2.8511667892689066E-2</v>
      </c>
    </row>
    <row r="138" spans="1:3" x14ac:dyDescent="0.35">
      <c r="A138" s="74">
        <v>37653</v>
      </c>
      <c r="B138" s="75">
        <f>VLOOKUP(A138,Database!A:M,MATCH($A$1,Database!$A$1:$M$1,),)</f>
        <v>121274</v>
      </c>
      <c r="C138" s="113">
        <f>(Table535141516[[#This Row],[Durable Goods]]-B137)/B137</f>
        <v>4.5033089755963047E-2</v>
      </c>
    </row>
    <row r="139" spans="1:3" x14ac:dyDescent="0.35">
      <c r="A139" s="74">
        <v>37681</v>
      </c>
      <c r="B139" s="75">
        <f>VLOOKUP(A139,Database!A:M,MATCH($A$1,Database!$A$1:$M$1,),)</f>
        <v>119034</v>
      </c>
      <c r="C139" s="113">
        <f>(Table535141516[[#This Row],[Durable Goods]]-B138)/B138</f>
        <v>-1.8470570773620066E-2</v>
      </c>
    </row>
    <row r="140" spans="1:3" x14ac:dyDescent="0.35">
      <c r="A140" s="74">
        <v>37712</v>
      </c>
      <c r="B140" s="75">
        <f>VLOOKUP(A140,Database!A:M,MATCH($A$1,Database!$A$1:$M$1,),)</f>
        <v>117051</v>
      </c>
      <c r="C140" s="113">
        <f>(Table535141516[[#This Row],[Durable Goods]]-B139)/B139</f>
        <v>-1.6659105801703714E-2</v>
      </c>
    </row>
    <row r="141" spans="1:3" x14ac:dyDescent="0.35">
      <c r="A141" s="74">
        <v>37742</v>
      </c>
      <c r="B141" s="75">
        <f>VLOOKUP(A141,Database!A:M,MATCH($A$1,Database!$A$1:$M$1,),)</f>
        <v>118306</v>
      </c>
      <c r="C141" s="113">
        <f>(Table535141516[[#This Row],[Durable Goods]]-B140)/B140</f>
        <v>1.0721822111729075E-2</v>
      </c>
    </row>
    <row r="142" spans="1:3" x14ac:dyDescent="0.35">
      <c r="A142" s="74">
        <v>37773</v>
      </c>
      <c r="B142" s="75">
        <f>VLOOKUP(A142,Database!A:M,MATCH($A$1,Database!$A$1:$M$1,),)</f>
        <v>119931</v>
      </c>
      <c r="C142" s="113">
        <f>(Table535141516[[#This Row],[Durable Goods]]-B141)/B141</f>
        <v>1.373556708873599E-2</v>
      </c>
    </row>
    <row r="143" spans="1:3" x14ac:dyDescent="0.35">
      <c r="A143" s="74">
        <v>37803</v>
      </c>
      <c r="B143" s="75">
        <f>VLOOKUP(A143,Database!A:M,MATCH($A$1,Database!$A$1:$M$1,),)</f>
        <v>117404</v>
      </c>
      <c r="C143" s="113">
        <f>(Table535141516[[#This Row],[Durable Goods]]-B142)/B142</f>
        <v>-2.107044884141715E-2</v>
      </c>
    </row>
    <row r="144" spans="1:3" x14ac:dyDescent="0.35">
      <c r="A144" s="74">
        <v>37834</v>
      </c>
      <c r="B144" s="75">
        <f>VLOOKUP(A144,Database!A:M,MATCH($A$1,Database!$A$1:$M$1,),)</f>
        <v>119296</v>
      </c>
      <c r="C144" s="113">
        <f>(Table535141516[[#This Row],[Durable Goods]]-B143)/B143</f>
        <v>1.6115294197812682E-2</v>
      </c>
    </row>
    <row r="145" spans="1:3" x14ac:dyDescent="0.35">
      <c r="A145" s="74">
        <v>37865</v>
      </c>
      <c r="B145" s="75">
        <f>VLOOKUP(A145,Database!A:M,MATCH($A$1,Database!$A$1:$M$1,),)</f>
        <v>121830</v>
      </c>
      <c r="C145" s="113">
        <f>(Table535141516[[#This Row],[Durable Goods]]-B144)/B144</f>
        <v>2.1241282188841203E-2</v>
      </c>
    </row>
    <row r="146" spans="1:3" x14ac:dyDescent="0.35">
      <c r="A146" s="74">
        <v>37895</v>
      </c>
      <c r="B146" s="75">
        <f>VLOOKUP(A146,Database!A:M,MATCH($A$1,Database!$A$1:$M$1,),)</f>
        <v>127269</v>
      </c>
      <c r="C146" s="113">
        <f>(Table535141516[[#This Row],[Durable Goods]]-B145)/B145</f>
        <v>4.4644176311253385E-2</v>
      </c>
    </row>
    <row r="147" spans="1:3" x14ac:dyDescent="0.35">
      <c r="A147" s="74">
        <v>37926</v>
      </c>
      <c r="B147" s="75">
        <f>VLOOKUP(A147,Database!A:M,MATCH($A$1,Database!$A$1:$M$1,),)</f>
        <v>125879</v>
      </c>
      <c r="C147" s="113">
        <f>(Table535141516[[#This Row],[Durable Goods]]-B146)/B146</f>
        <v>-1.0921748422632377E-2</v>
      </c>
    </row>
    <row r="148" spans="1:3" x14ac:dyDescent="0.35">
      <c r="A148" s="74">
        <v>37956</v>
      </c>
      <c r="B148" s="75">
        <f>VLOOKUP(A148,Database!A:M,MATCH($A$1,Database!$A$1:$M$1,),)</f>
        <v>126251</v>
      </c>
      <c r="C148" s="113">
        <f>(Table535141516[[#This Row],[Durable Goods]]-B147)/B147</f>
        <v>2.9552189006903456E-3</v>
      </c>
    </row>
    <row r="149" spans="1:3" x14ac:dyDescent="0.35">
      <c r="A149" s="74">
        <v>37987</v>
      </c>
      <c r="B149" s="75">
        <f>VLOOKUP(A149,Database!A:M,MATCH($A$1,Database!$A$1:$M$1,),)</f>
        <v>124471</v>
      </c>
      <c r="C149" s="113">
        <f>(Table535141516[[#This Row],[Durable Goods]]-B148)/B148</f>
        <v>-1.40988982265487E-2</v>
      </c>
    </row>
    <row r="150" spans="1:3" x14ac:dyDescent="0.35">
      <c r="A150" s="74">
        <v>38018</v>
      </c>
      <c r="B150" s="75">
        <f>VLOOKUP(A150,Database!A:M,MATCH($A$1,Database!$A$1:$M$1,),)</f>
        <v>126174</v>
      </c>
      <c r="C150" s="113">
        <f>(Table535141516[[#This Row],[Durable Goods]]-B149)/B149</f>
        <v>1.3681901808453375E-2</v>
      </c>
    </row>
    <row r="151" spans="1:3" x14ac:dyDescent="0.35">
      <c r="A151" s="74">
        <v>38047</v>
      </c>
      <c r="B151" s="75">
        <f>VLOOKUP(A151,Database!A:M,MATCH($A$1,Database!$A$1:$M$1,),)</f>
        <v>132836</v>
      </c>
      <c r="C151" s="113">
        <f>(Table535141516[[#This Row],[Durable Goods]]-B150)/B150</f>
        <v>5.2800101447207821E-2</v>
      </c>
    </row>
    <row r="152" spans="1:3" x14ac:dyDescent="0.35">
      <c r="A152" s="74">
        <v>38078</v>
      </c>
      <c r="B152" s="75">
        <f>VLOOKUP(A152,Database!A:M,MATCH($A$1,Database!$A$1:$M$1,),)</f>
        <v>127885</v>
      </c>
      <c r="C152" s="113">
        <f>(Table535141516[[#This Row],[Durable Goods]]-B151)/B151</f>
        <v>-3.7271522779969285E-2</v>
      </c>
    </row>
    <row r="153" spans="1:3" x14ac:dyDescent="0.35">
      <c r="A153" s="74">
        <v>38108</v>
      </c>
      <c r="B153" s="75">
        <f>VLOOKUP(A153,Database!A:M,MATCH($A$1,Database!$A$1:$M$1,),)</f>
        <v>128297</v>
      </c>
      <c r="C153" s="113">
        <f>(Table535141516[[#This Row],[Durable Goods]]-B152)/B152</f>
        <v>3.2216444461821169E-3</v>
      </c>
    </row>
    <row r="154" spans="1:3" x14ac:dyDescent="0.35">
      <c r="A154" s="74">
        <v>38139</v>
      </c>
      <c r="B154" s="75">
        <f>VLOOKUP(A154,Database!A:M,MATCH($A$1,Database!$A$1:$M$1,),)</f>
        <v>129908</v>
      </c>
      <c r="C154" s="113">
        <f>(Table535141516[[#This Row],[Durable Goods]]-B153)/B153</f>
        <v>1.2556801795833105E-2</v>
      </c>
    </row>
    <row r="155" spans="1:3" x14ac:dyDescent="0.35">
      <c r="A155" s="74">
        <v>38169</v>
      </c>
      <c r="B155" s="75">
        <f>VLOOKUP(A155,Database!A:M,MATCH($A$1,Database!$A$1:$M$1,),)</f>
        <v>134104</v>
      </c>
      <c r="C155" s="113">
        <f>(Table535141516[[#This Row],[Durable Goods]]-B154)/B154</f>
        <v>3.2299781383748498E-2</v>
      </c>
    </row>
    <row r="156" spans="1:3" x14ac:dyDescent="0.35">
      <c r="A156" s="74">
        <v>38200</v>
      </c>
      <c r="B156" s="75">
        <f>VLOOKUP(A156,Database!A:M,MATCH($A$1,Database!$A$1:$M$1,),)</f>
        <v>127182</v>
      </c>
      <c r="C156" s="113">
        <f>(Table535141516[[#This Row],[Durable Goods]]-B155)/B155</f>
        <v>-5.1616655729881285E-2</v>
      </c>
    </row>
    <row r="157" spans="1:3" x14ac:dyDescent="0.35">
      <c r="A157" s="74">
        <v>38231</v>
      </c>
      <c r="B157" s="75">
        <f>VLOOKUP(A157,Database!A:M,MATCH($A$1,Database!$A$1:$M$1,),)</f>
        <v>132132</v>
      </c>
      <c r="C157" s="113">
        <f>(Table535141516[[#This Row],[Durable Goods]]-B156)/B156</f>
        <v>3.8920601971977165E-2</v>
      </c>
    </row>
    <row r="158" spans="1:3" x14ac:dyDescent="0.35">
      <c r="A158" s="74">
        <v>38261</v>
      </c>
      <c r="B158" s="75">
        <f>VLOOKUP(A158,Database!A:M,MATCH($A$1,Database!$A$1:$M$1,),)</f>
        <v>129177</v>
      </c>
      <c r="C158" s="113">
        <f>(Table535141516[[#This Row],[Durable Goods]]-B157)/B157</f>
        <v>-2.236399963672691E-2</v>
      </c>
    </row>
    <row r="159" spans="1:3" x14ac:dyDescent="0.35">
      <c r="A159" s="74">
        <v>38292</v>
      </c>
      <c r="B159" s="75">
        <f>VLOOKUP(A159,Database!A:M,MATCH($A$1,Database!$A$1:$M$1,),)</f>
        <v>135582</v>
      </c>
      <c r="C159" s="113">
        <f>(Table535141516[[#This Row],[Durable Goods]]-B158)/B158</f>
        <v>4.9583130123783646E-2</v>
      </c>
    </row>
    <row r="160" spans="1:3" x14ac:dyDescent="0.35">
      <c r="A160" s="74">
        <v>38322</v>
      </c>
      <c r="B160" s="75">
        <f>VLOOKUP(A160,Database!A:M,MATCH($A$1,Database!$A$1:$M$1,),)</f>
        <v>135216</v>
      </c>
      <c r="C160" s="113">
        <f>(Table535141516[[#This Row],[Durable Goods]]-B159)/B159</f>
        <v>-2.6994733814223125E-3</v>
      </c>
    </row>
    <row r="161" spans="1:3" x14ac:dyDescent="0.35">
      <c r="A161" s="74">
        <v>38353</v>
      </c>
      <c r="B161" s="75">
        <f>VLOOKUP(A161,Database!A:M,MATCH($A$1,Database!$A$1:$M$1,),)</f>
        <v>137025</v>
      </c>
      <c r="C161" s="113">
        <f>(Table535141516[[#This Row],[Durable Goods]]-B160)/B160</f>
        <v>1.3378594249201278E-2</v>
      </c>
    </row>
    <row r="162" spans="1:3" x14ac:dyDescent="0.35">
      <c r="A162" s="74">
        <v>38384</v>
      </c>
      <c r="B162" s="75">
        <f>VLOOKUP(A162,Database!A:M,MATCH($A$1,Database!$A$1:$M$1,),)</f>
        <v>138279</v>
      </c>
      <c r="C162" s="113">
        <f>(Table535141516[[#This Row],[Durable Goods]]-B161)/B161</f>
        <v>9.1516146688560476E-3</v>
      </c>
    </row>
    <row r="163" spans="1:3" x14ac:dyDescent="0.35">
      <c r="A163" s="74">
        <v>38412</v>
      </c>
      <c r="B163" s="75">
        <f>VLOOKUP(A163,Database!A:M,MATCH($A$1,Database!$A$1:$M$1,),)</f>
        <v>130044</v>
      </c>
      <c r="C163" s="113">
        <f>(Table535141516[[#This Row],[Durable Goods]]-B162)/B162</f>
        <v>-5.95535113791682E-2</v>
      </c>
    </row>
    <row r="164" spans="1:3" x14ac:dyDescent="0.35">
      <c r="A164" s="74">
        <v>38443</v>
      </c>
      <c r="B164" s="75">
        <f>VLOOKUP(A164,Database!A:M,MATCH($A$1,Database!$A$1:$M$1,),)</f>
        <v>135587</v>
      </c>
      <c r="C164" s="113">
        <f>(Table535141516[[#This Row],[Durable Goods]]-B163)/B163</f>
        <v>4.2624034942019627E-2</v>
      </c>
    </row>
    <row r="165" spans="1:3" x14ac:dyDescent="0.35">
      <c r="A165" s="74">
        <v>38473</v>
      </c>
      <c r="B165" s="75">
        <f>VLOOKUP(A165,Database!A:M,MATCH($A$1,Database!$A$1:$M$1,),)</f>
        <v>148200</v>
      </c>
      <c r="C165" s="113">
        <f>(Table535141516[[#This Row],[Durable Goods]]-B164)/B164</f>
        <v>9.3025142528413485E-2</v>
      </c>
    </row>
    <row r="166" spans="1:3" x14ac:dyDescent="0.35">
      <c r="A166" s="74">
        <v>38504</v>
      </c>
      <c r="B166" s="75">
        <f>VLOOKUP(A166,Database!A:M,MATCH($A$1,Database!$A$1:$M$1,),)</f>
        <v>151407</v>
      </c>
      <c r="C166" s="113">
        <f>(Table535141516[[#This Row],[Durable Goods]]-B165)/B165</f>
        <v>2.1639676113360325E-2</v>
      </c>
    </row>
    <row r="167" spans="1:3" x14ac:dyDescent="0.35">
      <c r="A167" s="74">
        <v>38534</v>
      </c>
      <c r="B167" s="75">
        <f>VLOOKUP(A167,Database!A:M,MATCH($A$1,Database!$A$1:$M$1,),)</f>
        <v>136292</v>
      </c>
      <c r="C167" s="113">
        <f>(Table535141516[[#This Row],[Durable Goods]]-B166)/B166</f>
        <v>-9.9830258838759109E-2</v>
      </c>
    </row>
    <row r="168" spans="1:3" x14ac:dyDescent="0.35">
      <c r="A168" s="74">
        <v>38565</v>
      </c>
      <c r="B168" s="75">
        <f>VLOOKUP(A168,Database!A:M,MATCH($A$1,Database!$A$1:$M$1,),)</f>
        <v>145606</v>
      </c>
      <c r="C168" s="113">
        <f>(Table535141516[[#This Row],[Durable Goods]]-B167)/B167</f>
        <v>6.8338567193965902E-2</v>
      </c>
    </row>
    <row r="169" spans="1:3" x14ac:dyDescent="0.35">
      <c r="A169" s="74">
        <v>38596</v>
      </c>
      <c r="B169" s="75">
        <f>VLOOKUP(A169,Database!A:M,MATCH($A$1,Database!$A$1:$M$1,),)</f>
        <v>142335</v>
      </c>
      <c r="C169" s="113">
        <f>(Table535141516[[#This Row],[Durable Goods]]-B168)/B168</f>
        <v>-2.2464733596143018E-2</v>
      </c>
    </row>
    <row r="170" spans="1:3" x14ac:dyDescent="0.35">
      <c r="A170" s="74">
        <v>38626</v>
      </c>
      <c r="B170" s="75">
        <f>VLOOKUP(A170,Database!A:M,MATCH($A$1,Database!$A$1:$M$1,),)</f>
        <v>148450</v>
      </c>
      <c r="C170" s="113">
        <f>(Table535141516[[#This Row],[Durable Goods]]-B169)/B169</f>
        <v>4.2962026205782135E-2</v>
      </c>
    </row>
    <row r="171" spans="1:3" x14ac:dyDescent="0.35">
      <c r="A171" s="74">
        <v>38657</v>
      </c>
      <c r="B171" s="75">
        <f>VLOOKUP(A171,Database!A:M,MATCH($A$1,Database!$A$1:$M$1,),)</f>
        <v>160126</v>
      </c>
      <c r="C171" s="113">
        <f>(Table535141516[[#This Row],[Durable Goods]]-B170)/B170</f>
        <v>7.8652745031997304E-2</v>
      </c>
    </row>
    <row r="172" spans="1:3" x14ac:dyDescent="0.35">
      <c r="A172" s="74">
        <v>38687</v>
      </c>
      <c r="B172" s="75">
        <f>VLOOKUP(A172,Database!A:M,MATCH($A$1,Database!$A$1:$M$1,),)</f>
        <v>159419</v>
      </c>
      <c r="C172" s="113">
        <f>(Table535141516[[#This Row],[Durable Goods]]-B171)/B171</f>
        <v>-4.4152729725341292E-3</v>
      </c>
    </row>
    <row r="173" spans="1:3" x14ac:dyDescent="0.35">
      <c r="A173" s="74">
        <v>38718</v>
      </c>
      <c r="B173" s="75">
        <f>VLOOKUP(A173,Database!A:M,MATCH($A$1,Database!$A$1:$M$1,),)</f>
        <v>146814</v>
      </c>
      <c r="C173" s="113">
        <f>(Table535141516[[#This Row],[Durable Goods]]-B172)/B172</f>
        <v>-7.9068367007696705E-2</v>
      </c>
    </row>
    <row r="174" spans="1:3" x14ac:dyDescent="0.35">
      <c r="A174" s="74">
        <v>38749</v>
      </c>
      <c r="B174" s="75">
        <f>VLOOKUP(A174,Database!A:M,MATCH($A$1,Database!$A$1:$M$1,),)</f>
        <v>156798</v>
      </c>
      <c r="C174" s="113">
        <f>(Table535141516[[#This Row],[Durable Goods]]-B173)/B173</f>
        <v>6.8004413748007683E-2</v>
      </c>
    </row>
    <row r="175" spans="1:3" x14ac:dyDescent="0.35">
      <c r="A175" s="74">
        <v>38777</v>
      </c>
      <c r="B175" s="75">
        <f>VLOOKUP(A175,Database!A:M,MATCH($A$1,Database!$A$1:$M$1,),)</f>
        <v>163893</v>
      </c>
      <c r="C175" s="113">
        <f>(Table535141516[[#This Row],[Durable Goods]]-B174)/B174</f>
        <v>4.5249301649255731E-2</v>
      </c>
    </row>
    <row r="176" spans="1:3" x14ac:dyDescent="0.35">
      <c r="A176" s="74">
        <v>38808</v>
      </c>
      <c r="B176" s="75">
        <f>VLOOKUP(A176,Database!A:M,MATCH($A$1,Database!$A$1:$M$1,),)</f>
        <v>154052</v>
      </c>
      <c r="C176" s="113">
        <f>(Table535141516[[#This Row],[Durable Goods]]-B175)/B175</f>
        <v>-6.0045273440598436E-2</v>
      </c>
    </row>
    <row r="177" spans="1:3" x14ac:dyDescent="0.35">
      <c r="A177" s="74">
        <v>38838</v>
      </c>
      <c r="B177" s="75">
        <f>VLOOKUP(A177,Database!A:M,MATCH($A$1,Database!$A$1:$M$1,),)</f>
        <v>153173</v>
      </c>
      <c r="C177" s="113">
        <f>(Table535141516[[#This Row],[Durable Goods]]-B176)/B176</f>
        <v>-5.705865551891569E-3</v>
      </c>
    </row>
    <row r="178" spans="1:3" x14ac:dyDescent="0.35">
      <c r="A178" s="74">
        <v>38869</v>
      </c>
      <c r="B178" s="75">
        <f>VLOOKUP(A178,Database!A:M,MATCH($A$1,Database!$A$1:$M$1,),)</f>
        <v>158892</v>
      </c>
      <c r="C178" s="113">
        <f>(Table535141516[[#This Row],[Durable Goods]]-B177)/B177</f>
        <v>3.7336867463586922E-2</v>
      </c>
    </row>
    <row r="179" spans="1:3" x14ac:dyDescent="0.35">
      <c r="A179" s="74">
        <v>38899</v>
      </c>
      <c r="B179" s="75">
        <f>VLOOKUP(A179,Database!A:M,MATCH($A$1,Database!$A$1:$M$1,),)</f>
        <v>152012</v>
      </c>
      <c r="C179" s="113">
        <f>(Table535141516[[#This Row],[Durable Goods]]-B178)/B178</f>
        <v>-4.3299851471439721E-2</v>
      </c>
    </row>
    <row r="180" spans="1:3" x14ac:dyDescent="0.35">
      <c r="A180" s="74">
        <v>38930</v>
      </c>
      <c r="B180" s="75">
        <f>VLOOKUP(A180,Database!A:M,MATCH($A$1,Database!$A$1:$M$1,),)</f>
        <v>150763</v>
      </c>
      <c r="C180" s="113">
        <f>(Table535141516[[#This Row],[Durable Goods]]-B179)/B179</f>
        <v>-8.2164565955319315E-3</v>
      </c>
    </row>
    <row r="181" spans="1:3" x14ac:dyDescent="0.35">
      <c r="A181" s="74">
        <v>38961</v>
      </c>
      <c r="B181" s="75">
        <f>VLOOKUP(A181,Database!A:M,MATCH($A$1,Database!$A$1:$M$1,),)</f>
        <v>176642</v>
      </c>
      <c r="C181" s="113">
        <f>(Table535141516[[#This Row],[Durable Goods]]-B180)/B180</f>
        <v>0.17165352241597739</v>
      </c>
    </row>
    <row r="182" spans="1:3" x14ac:dyDescent="0.35">
      <c r="A182" s="74">
        <v>38991</v>
      </c>
      <c r="B182" s="75">
        <f>VLOOKUP(A182,Database!A:M,MATCH($A$1,Database!$A$1:$M$1,),)</f>
        <v>158286</v>
      </c>
      <c r="C182" s="113">
        <f>(Table535141516[[#This Row],[Durable Goods]]-B181)/B181</f>
        <v>-0.10391639587414092</v>
      </c>
    </row>
    <row r="183" spans="1:3" x14ac:dyDescent="0.35">
      <c r="A183" s="74">
        <v>39022</v>
      </c>
      <c r="B183" s="75">
        <f>VLOOKUP(A183,Database!A:M,MATCH($A$1,Database!$A$1:$M$1,),)</f>
        <v>165969</v>
      </c>
      <c r="C183" s="113">
        <f>(Table535141516[[#This Row],[Durable Goods]]-B182)/B182</f>
        <v>4.853872104923998E-2</v>
      </c>
    </row>
    <row r="184" spans="1:3" x14ac:dyDescent="0.35">
      <c r="A184" s="74">
        <v>39052</v>
      </c>
      <c r="B184" s="75">
        <f>VLOOKUP(A184,Database!A:M,MATCH($A$1,Database!$A$1:$M$1,),)</f>
        <v>166342</v>
      </c>
      <c r="C184" s="113">
        <f>(Table535141516[[#This Row],[Durable Goods]]-B183)/B183</f>
        <v>2.2474076484162706E-3</v>
      </c>
    </row>
    <row r="185" spans="1:3" x14ac:dyDescent="0.35">
      <c r="A185" s="74">
        <v>39083</v>
      </c>
      <c r="B185" s="75">
        <f>VLOOKUP(A185,Database!A:M,MATCH($A$1,Database!$A$1:$M$1,),)</f>
        <v>163751</v>
      </c>
      <c r="C185" s="113">
        <f>(Table535141516[[#This Row],[Durable Goods]]-B184)/B184</f>
        <v>-1.5576342715610009E-2</v>
      </c>
    </row>
    <row r="186" spans="1:3" x14ac:dyDescent="0.35">
      <c r="A186" s="74">
        <v>39114</v>
      </c>
      <c r="B186" s="75">
        <f>VLOOKUP(A186,Database!A:M,MATCH($A$1,Database!$A$1:$M$1,),)</f>
        <v>161671</v>
      </c>
      <c r="C186" s="113">
        <f>(Table535141516[[#This Row],[Durable Goods]]-B185)/B185</f>
        <v>-1.2702212505572486E-2</v>
      </c>
    </row>
    <row r="187" spans="1:3" x14ac:dyDescent="0.35">
      <c r="A187" s="74">
        <v>39142</v>
      </c>
      <c r="B187" s="75">
        <f>VLOOKUP(A187,Database!A:M,MATCH($A$1,Database!$A$1:$M$1,),)</f>
        <v>169322</v>
      </c>
      <c r="C187" s="113">
        <f>(Table535141516[[#This Row],[Durable Goods]]-B186)/B186</f>
        <v>4.7324504703997627E-2</v>
      </c>
    </row>
    <row r="188" spans="1:3" x14ac:dyDescent="0.35">
      <c r="A188" s="74">
        <v>39173</v>
      </c>
      <c r="B188" s="75">
        <f>VLOOKUP(A188,Database!A:M,MATCH($A$1,Database!$A$1:$M$1,),)</f>
        <v>173518</v>
      </c>
      <c r="C188" s="113">
        <f>(Table535141516[[#This Row],[Durable Goods]]-B187)/B187</f>
        <v>2.4781186142379608E-2</v>
      </c>
    </row>
    <row r="189" spans="1:3" x14ac:dyDescent="0.35">
      <c r="A189" s="74">
        <v>39203</v>
      </c>
      <c r="B189" s="75">
        <f>VLOOKUP(A189,Database!A:M,MATCH($A$1,Database!$A$1:$M$1,),)</f>
        <v>168025</v>
      </c>
      <c r="C189" s="113">
        <f>(Table535141516[[#This Row],[Durable Goods]]-B188)/B188</f>
        <v>-3.1656658098871589E-2</v>
      </c>
    </row>
    <row r="190" spans="1:3" x14ac:dyDescent="0.35">
      <c r="A190" s="74">
        <v>39234</v>
      </c>
      <c r="B190" s="75">
        <f>VLOOKUP(A190,Database!A:M,MATCH($A$1,Database!$A$1:$M$1,),)</f>
        <v>168611</v>
      </c>
      <c r="C190" s="113">
        <f>(Table535141516[[#This Row],[Durable Goods]]-B189)/B189</f>
        <v>3.4875762535337002E-3</v>
      </c>
    </row>
    <row r="191" spans="1:3" x14ac:dyDescent="0.35">
      <c r="A191" s="74">
        <v>39264</v>
      </c>
      <c r="B191" s="75">
        <f>VLOOKUP(A191,Database!A:M,MATCH($A$1,Database!$A$1:$M$1,),)</f>
        <v>172388</v>
      </c>
      <c r="C191" s="113">
        <f>(Table535141516[[#This Row],[Durable Goods]]-B190)/B190</f>
        <v>2.2400673740147439E-2</v>
      </c>
    </row>
    <row r="192" spans="1:3" x14ac:dyDescent="0.35">
      <c r="A192" s="74">
        <v>39295</v>
      </c>
      <c r="B192" s="75">
        <f>VLOOKUP(A192,Database!A:M,MATCH($A$1,Database!$A$1:$M$1,),)</f>
        <v>174874</v>
      </c>
      <c r="C192" s="113">
        <f>(Table535141516[[#This Row],[Durable Goods]]-B191)/B191</f>
        <v>1.4420957375223333E-2</v>
      </c>
    </row>
    <row r="193" spans="1:3" x14ac:dyDescent="0.35">
      <c r="A193" s="74">
        <v>39326</v>
      </c>
      <c r="B193" s="75">
        <f>VLOOKUP(A193,Database!A:M,MATCH($A$1,Database!$A$1:$M$1,),)</f>
        <v>167739</v>
      </c>
      <c r="C193" s="113">
        <f>(Table535141516[[#This Row],[Durable Goods]]-B192)/B192</f>
        <v>-4.080080515113739E-2</v>
      </c>
    </row>
    <row r="194" spans="1:3" x14ac:dyDescent="0.35">
      <c r="A194" s="74">
        <v>39356</v>
      </c>
      <c r="B194" s="75">
        <f>VLOOKUP(A194,Database!A:M,MATCH($A$1,Database!$A$1:$M$1,),)</f>
        <v>171492</v>
      </c>
      <c r="C194" s="113">
        <f>(Table535141516[[#This Row],[Durable Goods]]-B193)/B193</f>
        <v>2.2374045391948205E-2</v>
      </c>
    </row>
    <row r="195" spans="1:3" x14ac:dyDescent="0.35">
      <c r="A195" s="74">
        <v>39387</v>
      </c>
      <c r="B195" s="75">
        <f>VLOOKUP(A195,Database!A:M,MATCH($A$1,Database!$A$1:$M$1,),)</f>
        <v>168015</v>
      </c>
      <c r="C195" s="113">
        <f>(Table535141516[[#This Row],[Durable Goods]]-B194)/B194</f>
        <v>-2.0274998250647259E-2</v>
      </c>
    </row>
    <row r="196" spans="1:3" x14ac:dyDescent="0.35">
      <c r="A196" s="74">
        <v>39417</v>
      </c>
      <c r="B196" s="75">
        <f>VLOOKUP(A196,Database!A:M,MATCH($A$1,Database!$A$1:$M$1,),)</f>
        <v>186161</v>
      </c>
      <c r="C196" s="113">
        <f>(Table535141516[[#This Row],[Durable Goods]]-B195)/B195</f>
        <v>0.10800226170282415</v>
      </c>
    </row>
    <row r="197" spans="1:3" x14ac:dyDescent="0.35">
      <c r="A197" s="74">
        <v>39448</v>
      </c>
      <c r="B197" s="75">
        <f>VLOOKUP(A197,Database!A:M,MATCH($A$1,Database!$A$1:$M$1,),)</f>
        <v>180937</v>
      </c>
      <c r="C197" s="113">
        <f>(Table535141516[[#This Row],[Durable Goods]]-B196)/B196</f>
        <v>-2.8061731511970819E-2</v>
      </c>
    </row>
    <row r="198" spans="1:3" x14ac:dyDescent="0.35">
      <c r="A198" s="74">
        <v>39479</v>
      </c>
      <c r="B198" s="75">
        <f>VLOOKUP(A198,Database!A:M,MATCH($A$1,Database!$A$1:$M$1,),)</f>
        <v>177311</v>
      </c>
      <c r="C198" s="113">
        <f>(Table535141516[[#This Row],[Durable Goods]]-B197)/B197</f>
        <v>-2.0040124463210952E-2</v>
      </c>
    </row>
    <row r="199" spans="1:3" x14ac:dyDescent="0.35">
      <c r="A199" s="74">
        <v>39508</v>
      </c>
      <c r="B199" s="75">
        <f>VLOOKUP(A199,Database!A:M,MATCH($A$1,Database!$A$1:$M$1,),)</f>
        <v>179954</v>
      </c>
      <c r="C199" s="113">
        <f>(Table535141516[[#This Row],[Durable Goods]]-B198)/B198</f>
        <v>1.4906012599331119E-2</v>
      </c>
    </row>
    <row r="200" spans="1:3" x14ac:dyDescent="0.35">
      <c r="A200" s="74">
        <v>39539</v>
      </c>
      <c r="B200" s="75">
        <f>VLOOKUP(A200,Database!A:M,MATCH($A$1,Database!$A$1:$M$1,),)</f>
        <v>175116</v>
      </c>
      <c r="C200" s="113">
        <f>(Table535141516[[#This Row],[Durable Goods]]-B199)/B199</f>
        <v>-2.6884648299009748E-2</v>
      </c>
    </row>
    <row r="201" spans="1:3" x14ac:dyDescent="0.35">
      <c r="A201" s="74">
        <v>39569</v>
      </c>
      <c r="B201" s="75">
        <f>VLOOKUP(A201,Database!A:M,MATCH($A$1,Database!$A$1:$M$1,),)</f>
        <v>172674</v>
      </c>
      <c r="C201" s="113">
        <f>(Table535141516[[#This Row],[Durable Goods]]-B200)/B200</f>
        <v>-1.3945042143493456E-2</v>
      </c>
    </row>
    <row r="202" spans="1:3" x14ac:dyDescent="0.35">
      <c r="A202" s="74">
        <v>39600</v>
      </c>
      <c r="B202" s="75">
        <f>VLOOKUP(A202,Database!A:M,MATCH($A$1,Database!$A$1:$M$1,),)</f>
        <v>174406</v>
      </c>
      <c r="C202" s="113">
        <f>(Table535141516[[#This Row],[Durable Goods]]-B201)/B201</f>
        <v>1.003046202670929E-2</v>
      </c>
    </row>
    <row r="203" spans="1:3" x14ac:dyDescent="0.35">
      <c r="A203" s="74">
        <v>39630</v>
      </c>
      <c r="B203" s="75">
        <f>VLOOKUP(A203,Database!A:M,MATCH($A$1,Database!$A$1:$M$1,),)</f>
        <v>167115</v>
      </c>
      <c r="C203" s="113">
        <f>(Table535141516[[#This Row],[Durable Goods]]-B202)/B202</f>
        <v>-4.1804754423586346E-2</v>
      </c>
    </row>
    <row r="204" spans="1:3" x14ac:dyDescent="0.35">
      <c r="A204" s="74">
        <v>39661</v>
      </c>
      <c r="B204" s="75">
        <f>VLOOKUP(A204,Database!A:M,MATCH($A$1,Database!$A$1:$M$1,),)</f>
        <v>161832</v>
      </c>
      <c r="C204" s="113">
        <f>(Table535141516[[#This Row],[Durable Goods]]-B203)/B203</f>
        <v>-3.1612961134548069E-2</v>
      </c>
    </row>
    <row r="205" spans="1:3" x14ac:dyDescent="0.35">
      <c r="A205" s="74">
        <v>39692</v>
      </c>
      <c r="B205" s="75">
        <f>VLOOKUP(A205,Database!A:M,MATCH($A$1,Database!$A$1:$M$1,),)</f>
        <v>162265</v>
      </c>
      <c r="C205" s="113">
        <f>(Table535141516[[#This Row],[Durable Goods]]-B204)/B204</f>
        <v>2.6756142172129124E-3</v>
      </c>
    </row>
    <row r="206" spans="1:3" x14ac:dyDescent="0.35">
      <c r="A206" s="74">
        <v>39722</v>
      </c>
      <c r="B206" s="75">
        <f>VLOOKUP(A206,Database!A:M,MATCH($A$1,Database!$A$1:$M$1,),)</f>
        <v>141208</v>
      </c>
      <c r="C206" s="113">
        <f>(Table535141516[[#This Row],[Durable Goods]]-B205)/B205</f>
        <v>-0.12976920469602193</v>
      </c>
    </row>
    <row r="207" spans="1:3" x14ac:dyDescent="0.35">
      <c r="A207" s="74">
        <v>39753</v>
      </c>
      <c r="B207" s="75">
        <f>VLOOKUP(A207,Database!A:M,MATCH($A$1,Database!$A$1:$M$1,),)</f>
        <v>132791</v>
      </c>
      <c r="C207" s="113">
        <f>(Table535141516[[#This Row],[Durable Goods]]-B206)/B206</f>
        <v>-5.9607104413347684E-2</v>
      </c>
    </row>
    <row r="208" spans="1:3" x14ac:dyDescent="0.35">
      <c r="A208" s="74">
        <v>39783</v>
      </c>
      <c r="B208" s="75">
        <f>VLOOKUP(A208,Database!A:M,MATCH($A$1,Database!$A$1:$M$1,),)</f>
        <v>127770</v>
      </c>
      <c r="C208" s="113">
        <f>(Table535141516[[#This Row],[Durable Goods]]-B207)/B207</f>
        <v>-3.7811297452387586E-2</v>
      </c>
    </row>
    <row r="209" spans="1:3" x14ac:dyDescent="0.35">
      <c r="A209" s="74">
        <v>39814</v>
      </c>
      <c r="B209" s="75">
        <f>VLOOKUP(A209,Database!A:M,MATCH($A$1,Database!$A$1:$M$1,),)</f>
        <v>108060</v>
      </c>
      <c r="C209" s="113">
        <f>(Table535141516[[#This Row],[Durable Goods]]-B208)/B208</f>
        <v>-0.15426156374735853</v>
      </c>
    </row>
    <row r="210" spans="1:3" x14ac:dyDescent="0.35">
      <c r="A210" s="74">
        <v>39845</v>
      </c>
      <c r="B210" s="75">
        <f>VLOOKUP(A210,Database!A:M,MATCH($A$1,Database!$A$1:$M$1,),)</f>
        <v>105786</v>
      </c>
      <c r="C210" s="113">
        <f>(Table535141516[[#This Row],[Durable Goods]]-B209)/B209</f>
        <v>-2.1043864519711273E-2</v>
      </c>
    </row>
    <row r="211" spans="1:3" x14ac:dyDescent="0.35">
      <c r="A211" s="74">
        <v>39873</v>
      </c>
      <c r="B211" s="75">
        <f>VLOOKUP(A211,Database!A:M,MATCH($A$1,Database!$A$1:$M$1,),)</f>
        <v>103874</v>
      </c>
      <c r="C211" s="113">
        <f>(Table535141516[[#This Row],[Durable Goods]]-B210)/B210</f>
        <v>-1.8074225322821547E-2</v>
      </c>
    </row>
    <row r="212" spans="1:3" x14ac:dyDescent="0.35">
      <c r="A212" s="74">
        <v>39904</v>
      </c>
      <c r="B212" s="75">
        <f>VLOOKUP(A212,Database!A:M,MATCH($A$1,Database!$A$1:$M$1,),)</f>
        <v>105714</v>
      </c>
      <c r="C212" s="113">
        <f>(Table535141516[[#This Row],[Durable Goods]]-B211)/B211</f>
        <v>1.7713768604270558E-2</v>
      </c>
    </row>
    <row r="213" spans="1:3" x14ac:dyDescent="0.35">
      <c r="A213" s="74">
        <v>39934</v>
      </c>
      <c r="B213" s="75">
        <f>VLOOKUP(A213,Database!A:M,MATCH($A$1,Database!$A$1:$M$1,),)</f>
        <v>108460</v>
      </c>
      <c r="C213" s="113">
        <f>(Table535141516[[#This Row],[Durable Goods]]-B212)/B212</f>
        <v>2.5975745880394273E-2</v>
      </c>
    </row>
    <row r="214" spans="1:3" x14ac:dyDescent="0.35">
      <c r="A214" s="74">
        <v>39965</v>
      </c>
      <c r="B214" s="75">
        <f>VLOOKUP(A214,Database!A:M,MATCH($A$1,Database!$A$1:$M$1,),)</f>
        <v>107285</v>
      </c>
      <c r="C214" s="113">
        <f>(Table535141516[[#This Row],[Durable Goods]]-B213)/B213</f>
        <v>-1.08334869998156E-2</v>
      </c>
    </row>
    <row r="215" spans="1:3" x14ac:dyDescent="0.35">
      <c r="A215" s="74">
        <v>39995</v>
      </c>
      <c r="B215" s="75">
        <f>VLOOKUP(A215,Database!A:M,MATCH($A$1,Database!$A$1:$M$1,),)</f>
        <v>111891</v>
      </c>
      <c r="C215" s="113">
        <f>(Table535141516[[#This Row],[Durable Goods]]-B214)/B214</f>
        <v>4.2932376380668311E-2</v>
      </c>
    </row>
    <row r="216" spans="1:3" x14ac:dyDescent="0.35">
      <c r="A216" s="74">
        <v>40026</v>
      </c>
      <c r="B216" s="75">
        <f>VLOOKUP(A216,Database!A:M,MATCH($A$1,Database!$A$1:$M$1,),)</f>
        <v>114790</v>
      </c>
      <c r="C216" s="113">
        <f>(Table535141516[[#This Row],[Durable Goods]]-B215)/B215</f>
        <v>2.590914372022772E-2</v>
      </c>
    </row>
    <row r="217" spans="1:3" x14ac:dyDescent="0.35">
      <c r="A217" s="74">
        <v>40057</v>
      </c>
      <c r="B217" s="75">
        <f>VLOOKUP(A217,Database!A:M,MATCH($A$1,Database!$A$1:$M$1,),)</f>
        <v>114607</v>
      </c>
      <c r="C217" s="113">
        <f>(Table535141516[[#This Row],[Durable Goods]]-B216)/B216</f>
        <v>-1.5942155240003485E-3</v>
      </c>
    </row>
    <row r="218" spans="1:3" x14ac:dyDescent="0.35">
      <c r="A218" s="74">
        <v>40087</v>
      </c>
      <c r="B218" s="75">
        <f>VLOOKUP(A218,Database!A:M,MATCH($A$1,Database!$A$1:$M$1,),)</f>
        <v>117510</v>
      </c>
      <c r="C218" s="113">
        <f>(Table535141516[[#This Row],[Durable Goods]]-B217)/B217</f>
        <v>2.5330040922456745E-2</v>
      </c>
    </row>
    <row r="219" spans="1:3" x14ac:dyDescent="0.35">
      <c r="A219" s="74">
        <v>40118</v>
      </c>
      <c r="B219" s="75">
        <f>VLOOKUP(A219,Database!A:M,MATCH($A$1,Database!$A$1:$M$1,),)</f>
        <v>115535</v>
      </c>
      <c r="C219" s="113">
        <f>(Table535141516[[#This Row],[Durable Goods]]-B218)/B218</f>
        <v>-1.6807080248489491E-2</v>
      </c>
    </row>
    <row r="220" spans="1:3" x14ac:dyDescent="0.35">
      <c r="A220" s="74">
        <v>40148</v>
      </c>
      <c r="B220" s="75">
        <f>VLOOKUP(A220,Database!A:M,MATCH($A$1,Database!$A$1:$M$1,),)</f>
        <v>115220</v>
      </c>
      <c r="C220" s="113">
        <f>(Table535141516[[#This Row],[Durable Goods]]-B219)/B219</f>
        <v>-2.7264465313541352E-3</v>
      </c>
    </row>
    <row r="221" spans="1:3" x14ac:dyDescent="0.35">
      <c r="A221" s="74">
        <v>40179</v>
      </c>
      <c r="B221" s="75">
        <f>VLOOKUP(A221,Database!A:M,MATCH($A$1,Database!$A$1:$M$1,),)</f>
        <v>134068</v>
      </c>
      <c r="C221" s="113">
        <f>(Table535141516[[#This Row],[Durable Goods]]-B220)/B220</f>
        <v>0.1635827113348377</v>
      </c>
    </row>
    <row r="222" spans="1:3" x14ac:dyDescent="0.35">
      <c r="A222" s="74">
        <v>40210</v>
      </c>
      <c r="B222" s="75">
        <f>VLOOKUP(A222,Database!A:M,MATCH($A$1,Database!$A$1:$M$1,),)</f>
        <v>135156</v>
      </c>
      <c r="C222" s="113">
        <f>(Table535141516[[#This Row],[Durable Goods]]-B221)/B221</f>
        <v>8.1152847808574746E-3</v>
      </c>
    </row>
    <row r="223" spans="1:3" x14ac:dyDescent="0.35">
      <c r="A223" s="74">
        <v>40238</v>
      </c>
      <c r="B223" s="75">
        <f>VLOOKUP(A223,Database!A:M,MATCH($A$1,Database!$A$1:$M$1,),)</f>
        <v>135916</v>
      </c>
      <c r="C223" s="113">
        <f>(Table535141516[[#This Row],[Durable Goods]]-B222)/B222</f>
        <v>5.6231317884518628E-3</v>
      </c>
    </row>
    <row r="224" spans="1:3" x14ac:dyDescent="0.35">
      <c r="A224" s="74">
        <v>40269</v>
      </c>
      <c r="B224" s="75">
        <f>VLOOKUP(A224,Database!A:M,MATCH($A$1,Database!$A$1:$M$1,),)</f>
        <v>135504</v>
      </c>
      <c r="C224" s="113">
        <f>(Table535141516[[#This Row],[Durable Goods]]-B223)/B223</f>
        <v>-3.0312840283704639E-3</v>
      </c>
    </row>
    <row r="225" spans="1:3" x14ac:dyDescent="0.35">
      <c r="A225" s="74">
        <v>40299</v>
      </c>
      <c r="B225" s="75">
        <f>VLOOKUP(A225,Database!A:M,MATCH($A$1,Database!$A$1:$M$1,),)</f>
        <v>141747</v>
      </c>
      <c r="C225" s="113">
        <f>(Table535141516[[#This Row],[Durable Goods]]-B224)/B224</f>
        <v>4.6072440665958198E-2</v>
      </c>
    </row>
    <row r="226" spans="1:3" x14ac:dyDescent="0.35">
      <c r="A226" s="74">
        <v>40330</v>
      </c>
      <c r="B226" s="75">
        <f>VLOOKUP(A226,Database!A:M,MATCH($A$1,Database!$A$1:$M$1,),)</f>
        <v>137251</v>
      </c>
      <c r="C226" s="113">
        <f>(Table535141516[[#This Row],[Durable Goods]]-B225)/B225</f>
        <v>-3.1718484341820286E-2</v>
      </c>
    </row>
    <row r="227" spans="1:3" x14ac:dyDescent="0.35">
      <c r="A227" s="74">
        <v>40360</v>
      </c>
      <c r="B227" s="75">
        <f>VLOOKUP(A227,Database!A:M,MATCH($A$1,Database!$A$1:$M$1,),)</f>
        <v>137391</v>
      </c>
      <c r="C227" s="113">
        <f>(Table535141516[[#This Row],[Durable Goods]]-B226)/B226</f>
        <v>1.020028997967228E-3</v>
      </c>
    </row>
    <row r="228" spans="1:3" x14ac:dyDescent="0.35">
      <c r="A228" s="74">
        <v>40391</v>
      </c>
      <c r="B228" s="75">
        <f>VLOOKUP(A228,Database!A:M,MATCH($A$1,Database!$A$1:$M$1,),)</f>
        <v>141407</v>
      </c>
      <c r="C228" s="113">
        <f>(Table535141516[[#This Row],[Durable Goods]]-B227)/B227</f>
        <v>2.9230444497820088E-2</v>
      </c>
    </row>
    <row r="229" spans="1:3" x14ac:dyDescent="0.35">
      <c r="A229" s="74">
        <v>40422</v>
      </c>
      <c r="B229" s="75">
        <f>VLOOKUP(A229,Database!A:M,MATCH($A$1,Database!$A$1:$M$1,),)</f>
        <v>151095</v>
      </c>
      <c r="C229" s="113">
        <f>(Table535141516[[#This Row],[Durable Goods]]-B228)/B228</f>
        <v>6.8511459828721352E-2</v>
      </c>
    </row>
    <row r="230" spans="1:3" x14ac:dyDescent="0.35">
      <c r="A230" s="74">
        <v>40452</v>
      </c>
      <c r="B230" s="75">
        <f>VLOOKUP(A230,Database!A:M,MATCH($A$1,Database!$A$1:$M$1,),)</f>
        <v>142783</v>
      </c>
      <c r="C230" s="113">
        <f>(Table535141516[[#This Row],[Durable Goods]]-B229)/B229</f>
        <v>-5.5011747576028329E-2</v>
      </c>
    </row>
    <row r="231" spans="1:3" x14ac:dyDescent="0.35">
      <c r="A231" s="74">
        <v>40483</v>
      </c>
      <c r="B231" s="75">
        <f>VLOOKUP(A231,Database!A:M,MATCH($A$1,Database!$A$1:$M$1,),)</f>
        <v>147906</v>
      </c>
      <c r="C231" s="113">
        <f>(Table535141516[[#This Row],[Durable Goods]]-B230)/B230</f>
        <v>3.5879621523570736E-2</v>
      </c>
    </row>
    <row r="232" spans="1:3" x14ac:dyDescent="0.35">
      <c r="A232" s="74">
        <v>40513</v>
      </c>
      <c r="B232" s="75">
        <f>VLOOKUP(A232,Database!A:M,MATCH($A$1,Database!$A$1:$M$1,),)</f>
        <v>143125</v>
      </c>
      <c r="C232" s="113">
        <f>(Table535141516[[#This Row],[Durable Goods]]-B231)/B231</f>
        <v>-3.2324584533419874E-2</v>
      </c>
    </row>
    <row r="233" spans="1:3" x14ac:dyDescent="0.35">
      <c r="A233" s="74">
        <v>40544</v>
      </c>
      <c r="B233" s="75">
        <f>VLOOKUP(A233,Database!A:M,MATCH($A$1,Database!$A$1:$M$1,),)</f>
        <v>152922</v>
      </c>
      <c r="C233" s="113">
        <f>(Table535141516[[#This Row],[Durable Goods]]-B232)/B232</f>
        <v>6.8450655021834061E-2</v>
      </c>
    </row>
    <row r="234" spans="1:3" x14ac:dyDescent="0.35">
      <c r="A234" s="74">
        <v>40575</v>
      </c>
      <c r="B234" s="75">
        <f>VLOOKUP(A234,Database!A:M,MATCH($A$1,Database!$A$1:$M$1,),)</f>
        <v>146046</v>
      </c>
      <c r="C234" s="113">
        <f>(Table535141516[[#This Row],[Durable Goods]]-B233)/B233</f>
        <v>-4.4964099344763996E-2</v>
      </c>
    </row>
    <row r="235" spans="1:3" x14ac:dyDescent="0.35">
      <c r="A235" s="74">
        <v>40603</v>
      </c>
      <c r="B235" s="75">
        <f>VLOOKUP(A235,Database!A:M,MATCH($A$1,Database!$A$1:$M$1,),)</f>
        <v>160009</v>
      </c>
      <c r="C235" s="113">
        <f>(Table535141516[[#This Row],[Durable Goods]]-B234)/B234</f>
        <v>9.5606863590923408E-2</v>
      </c>
    </row>
    <row r="236" spans="1:3" x14ac:dyDescent="0.35">
      <c r="A236" s="74">
        <v>40634</v>
      </c>
      <c r="B236" s="75">
        <f>VLOOKUP(A236,Database!A:M,MATCH($A$1,Database!$A$1:$M$1,),)</f>
        <v>150734</v>
      </c>
      <c r="C236" s="113">
        <f>(Table535141516[[#This Row],[Durable Goods]]-B235)/B235</f>
        <v>-5.7965489441218931E-2</v>
      </c>
    </row>
    <row r="237" spans="1:3" x14ac:dyDescent="0.35">
      <c r="A237" s="74">
        <v>40664</v>
      </c>
      <c r="B237" s="75">
        <f>VLOOKUP(A237,Database!A:M,MATCH($A$1,Database!$A$1:$M$1,),)</f>
        <v>157155</v>
      </c>
      <c r="C237" s="113">
        <f>(Table535141516[[#This Row],[Durable Goods]]-B236)/B236</f>
        <v>4.2598219379834677E-2</v>
      </c>
    </row>
    <row r="238" spans="1:3" x14ac:dyDescent="0.35">
      <c r="A238" s="74">
        <v>40695</v>
      </c>
      <c r="B238" s="75">
        <f>VLOOKUP(A238,Database!A:M,MATCH($A$1,Database!$A$1:$M$1,),)</f>
        <v>150694</v>
      </c>
      <c r="C238" s="113">
        <f>(Table535141516[[#This Row],[Durable Goods]]-B237)/B237</f>
        <v>-4.1112277687633231E-2</v>
      </c>
    </row>
    <row r="239" spans="1:3" x14ac:dyDescent="0.35">
      <c r="A239" s="74">
        <v>40725</v>
      </c>
      <c r="B239" s="75">
        <f>VLOOKUP(A239,Database!A:M,MATCH($A$1,Database!$A$1:$M$1,),)</f>
        <v>153291</v>
      </c>
      <c r="C239" s="113">
        <f>(Table535141516[[#This Row],[Durable Goods]]-B238)/B238</f>
        <v>1.7233599214301829E-2</v>
      </c>
    </row>
    <row r="240" spans="1:3" x14ac:dyDescent="0.35">
      <c r="A240" s="74">
        <v>40756</v>
      </c>
      <c r="B240" s="75">
        <f>VLOOKUP(A240,Database!A:M,MATCH($A$1,Database!$A$1:$M$1,),)</f>
        <v>164357</v>
      </c>
      <c r="C240" s="113">
        <f>(Table535141516[[#This Row],[Durable Goods]]-B239)/B239</f>
        <v>7.2189495795578346E-2</v>
      </c>
    </row>
    <row r="241" spans="1:3" x14ac:dyDescent="0.35">
      <c r="A241" s="74">
        <v>40787</v>
      </c>
      <c r="B241" s="75">
        <f>VLOOKUP(A241,Database!A:M,MATCH($A$1,Database!$A$1:$M$1,),)</f>
        <v>153647</v>
      </c>
      <c r="C241" s="113">
        <f>(Table535141516[[#This Row],[Durable Goods]]-B240)/B240</f>
        <v>-6.5163029259477839E-2</v>
      </c>
    </row>
    <row r="242" spans="1:3" x14ac:dyDescent="0.35">
      <c r="A242" s="74">
        <v>40817</v>
      </c>
      <c r="B242" s="75">
        <f>VLOOKUP(A242,Database!A:M,MATCH($A$1,Database!$A$1:$M$1,),)</f>
        <v>157127</v>
      </c>
      <c r="C242" s="113">
        <f>(Table535141516[[#This Row],[Durable Goods]]-B241)/B241</f>
        <v>2.2649319544149903E-2</v>
      </c>
    </row>
    <row r="243" spans="1:3" x14ac:dyDescent="0.35">
      <c r="A243" s="74">
        <v>40848</v>
      </c>
      <c r="B243" s="75">
        <f>VLOOKUP(A243,Database!A:M,MATCH($A$1,Database!$A$1:$M$1,),)</f>
        <v>162380</v>
      </c>
      <c r="C243" s="113">
        <f>(Table535141516[[#This Row],[Durable Goods]]-B242)/B242</f>
        <v>3.3431555366041484E-2</v>
      </c>
    </row>
    <row r="244" spans="1:3" x14ac:dyDescent="0.35">
      <c r="A244" s="74">
        <v>40878</v>
      </c>
      <c r="B244" s="75">
        <f>VLOOKUP(A244,Database!A:M,MATCH($A$1,Database!$A$1:$M$1,),)</f>
        <v>170486</v>
      </c>
      <c r="C244" s="113">
        <f>(Table535141516[[#This Row],[Durable Goods]]-B243)/B243</f>
        <v>4.9919940879418645E-2</v>
      </c>
    </row>
    <row r="245" spans="1:3" x14ac:dyDescent="0.35">
      <c r="A245" s="74">
        <v>40909</v>
      </c>
      <c r="B245" s="75">
        <f>VLOOKUP(A245,Database!A:M,MATCH($A$1,Database!$A$1:$M$1,),)</f>
        <v>170545</v>
      </c>
      <c r="C245" s="113">
        <f>(Table535141516[[#This Row],[Durable Goods]]-B244)/B244</f>
        <v>3.4606947198010394E-4</v>
      </c>
    </row>
    <row r="246" spans="1:3" x14ac:dyDescent="0.35">
      <c r="A246" s="74">
        <v>40940</v>
      </c>
      <c r="B246" s="75">
        <f>VLOOKUP(A246,Database!A:M,MATCH($A$1,Database!$A$1:$M$1,),)</f>
        <v>172690</v>
      </c>
      <c r="C246" s="113">
        <f>(Table535141516[[#This Row],[Durable Goods]]-B245)/B245</f>
        <v>1.2577325632531004E-2</v>
      </c>
    </row>
    <row r="247" spans="1:3" x14ac:dyDescent="0.35">
      <c r="A247" s="74">
        <v>40969</v>
      </c>
      <c r="B247" s="75">
        <f>VLOOKUP(A247,Database!A:M,MATCH($A$1,Database!$A$1:$M$1,),)</f>
        <v>164744</v>
      </c>
      <c r="C247" s="113">
        <f>(Table535141516[[#This Row],[Durable Goods]]-B246)/B246</f>
        <v>-4.6013087034570618E-2</v>
      </c>
    </row>
    <row r="248" spans="1:3" x14ac:dyDescent="0.35">
      <c r="A248" s="74">
        <v>41000</v>
      </c>
      <c r="B248" s="75">
        <f>VLOOKUP(A248,Database!A:M,MATCH($A$1,Database!$A$1:$M$1,),)</f>
        <v>161383</v>
      </c>
      <c r="C248" s="113">
        <f>(Table535141516[[#This Row],[Durable Goods]]-B247)/B247</f>
        <v>-2.0401349973291894E-2</v>
      </c>
    </row>
    <row r="249" spans="1:3" x14ac:dyDescent="0.35">
      <c r="A249" s="74">
        <v>41030</v>
      </c>
      <c r="B249" s="75">
        <f>VLOOKUP(A249,Database!A:M,MATCH($A$1,Database!$A$1:$M$1,),)</f>
        <v>162004</v>
      </c>
      <c r="C249" s="113">
        <f>(Table535141516[[#This Row],[Durable Goods]]-B248)/B248</f>
        <v>3.847988945551886E-3</v>
      </c>
    </row>
    <row r="250" spans="1:3" x14ac:dyDescent="0.35">
      <c r="A250" s="74">
        <v>41061</v>
      </c>
      <c r="B250" s="75">
        <f>VLOOKUP(A250,Database!A:M,MATCH($A$1,Database!$A$1:$M$1,),)</f>
        <v>162286</v>
      </c>
      <c r="C250" s="113">
        <f>(Table535141516[[#This Row],[Durable Goods]]-B249)/B249</f>
        <v>1.7406977605491222E-3</v>
      </c>
    </row>
    <row r="251" spans="1:3" x14ac:dyDescent="0.35">
      <c r="A251" s="74">
        <v>41091</v>
      </c>
      <c r="B251" s="75">
        <f>VLOOKUP(A251,Database!A:M,MATCH($A$1,Database!$A$1:$M$1,),)</f>
        <v>168204</v>
      </c>
      <c r="C251" s="113">
        <f>(Table535141516[[#This Row],[Durable Goods]]-B250)/B250</f>
        <v>3.6466485094216385E-2</v>
      </c>
    </row>
    <row r="252" spans="1:3" x14ac:dyDescent="0.35">
      <c r="A252" s="74">
        <v>41122</v>
      </c>
      <c r="B252" s="75">
        <f>VLOOKUP(A252,Database!A:M,MATCH($A$1,Database!$A$1:$M$1,),)</f>
        <v>144973</v>
      </c>
      <c r="C252" s="113">
        <f>(Table535141516[[#This Row],[Durable Goods]]-B251)/B251</f>
        <v>-0.13811205441012103</v>
      </c>
    </row>
    <row r="253" spans="1:3" x14ac:dyDescent="0.35">
      <c r="A253" s="74">
        <v>41153</v>
      </c>
      <c r="B253" s="75">
        <f>VLOOKUP(A253,Database!A:M,MATCH($A$1,Database!$A$1:$M$1,),)</f>
        <v>161598</v>
      </c>
      <c r="C253" s="113">
        <f>(Table535141516[[#This Row],[Durable Goods]]-B252)/B252</f>
        <v>0.11467652597380201</v>
      </c>
    </row>
    <row r="254" spans="1:3" x14ac:dyDescent="0.35">
      <c r="A254" s="74">
        <v>41183</v>
      </c>
      <c r="B254" s="75">
        <f>VLOOKUP(A254,Database!A:M,MATCH($A$1,Database!$A$1:$M$1,),)</f>
        <v>163841</v>
      </c>
      <c r="C254" s="113">
        <f>(Table535141516[[#This Row],[Durable Goods]]-B253)/B253</f>
        <v>1.3880122278741074E-2</v>
      </c>
    </row>
    <row r="255" spans="1:3" x14ac:dyDescent="0.35">
      <c r="A255" s="74">
        <v>41214</v>
      </c>
      <c r="B255" s="75">
        <f>VLOOKUP(A255,Database!A:M,MATCH($A$1,Database!$A$1:$M$1,),)</f>
        <v>157882</v>
      </c>
      <c r="C255" s="113">
        <f>(Table535141516[[#This Row],[Durable Goods]]-B254)/B254</f>
        <v>-3.6370627620681023E-2</v>
      </c>
    </row>
    <row r="256" spans="1:3" x14ac:dyDescent="0.35">
      <c r="A256" s="74">
        <v>41244</v>
      </c>
      <c r="B256" s="75">
        <f>VLOOKUP(A256,Database!A:M,MATCH($A$1,Database!$A$1:$M$1,),)</f>
        <v>173564</v>
      </c>
      <c r="C256" s="113">
        <f>(Table535141516[[#This Row],[Durable Goods]]-B255)/B255</f>
        <v>9.9327345739222958E-2</v>
      </c>
    </row>
    <row r="257" spans="1:3" x14ac:dyDescent="0.35">
      <c r="A257" s="74">
        <v>41275</v>
      </c>
      <c r="B257" s="75">
        <f>VLOOKUP(A257,Database!A:M,MATCH($A$1,Database!$A$1:$M$1,),)</f>
        <v>164003</v>
      </c>
      <c r="C257" s="113">
        <f>(Table535141516[[#This Row],[Durable Goods]]-B256)/B256</f>
        <v>-5.5086308220598741E-2</v>
      </c>
    </row>
    <row r="258" spans="1:3" x14ac:dyDescent="0.35">
      <c r="A258" s="74">
        <v>41306</v>
      </c>
      <c r="B258" s="75">
        <f>VLOOKUP(A258,Database!A:M,MATCH($A$1,Database!$A$1:$M$1,),)</f>
        <v>175371</v>
      </c>
      <c r="C258" s="113">
        <f>(Table535141516[[#This Row],[Durable Goods]]-B257)/B257</f>
        <v>6.9315805198685396E-2</v>
      </c>
    </row>
    <row r="259" spans="1:3" x14ac:dyDescent="0.35">
      <c r="A259" s="74">
        <v>41334</v>
      </c>
      <c r="B259" s="75">
        <f>VLOOKUP(A259,Database!A:M,MATCH($A$1,Database!$A$1:$M$1,),)</f>
        <v>155905</v>
      </c>
      <c r="C259" s="113">
        <f>(Table535141516[[#This Row],[Durable Goods]]-B258)/B258</f>
        <v>-0.11099896790233277</v>
      </c>
    </row>
    <row r="260" spans="1:3" x14ac:dyDescent="0.35">
      <c r="A260" s="74">
        <v>41365</v>
      </c>
      <c r="B260" s="75">
        <f>VLOOKUP(A260,Database!A:M,MATCH($A$1,Database!$A$1:$M$1,),)</f>
        <v>166628</v>
      </c>
      <c r="C260" s="113">
        <f>(Table535141516[[#This Row],[Durable Goods]]-B259)/B259</f>
        <v>6.8779064173695517E-2</v>
      </c>
    </row>
    <row r="261" spans="1:3" x14ac:dyDescent="0.35">
      <c r="A261" s="74">
        <v>41395</v>
      </c>
      <c r="B261" s="75">
        <f>VLOOKUP(A261,Database!A:M,MATCH($A$1,Database!$A$1:$M$1,),)</f>
        <v>175118</v>
      </c>
      <c r="C261" s="113">
        <f>(Table535141516[[#This Row],[Durable Goods]]-B260)/B260</f>
        <v>5.0951820822430806E-2</v>
      </c>
    </row>
    <row r="262" spans="1:3" x14ac:dyDescent="0.35">
      <c r="A262" s="74">
        <v>41426</v>
      </c>
      <c r="B262" s="75">
        <f>VLOOKUP(A262,Database!A:M,MATCH($A$1,Database!$A$1:$M$1,),)</f>
        <v>187849</v>
      </c>
      <c r="C262" s="113">
        <f>(Table535141516[[#This Row],[Durable Goods]]-B261)/B261</f>
        <v>7.2699551159789405E-2</v>
      </c>
    </row>
    <row r="263" spans="1:3" x14ac:dyDescent="0.35">
      <c r="A263" s="74">
        <v>41456</v>
      </c>
      <c r="B263" s="75">
        <f>VLOOKUP(A263,Database!A:M,MATCH($A$1,Database!$A$1:$M$1,),)</f>
        <v>164784</v>
      </c>
      <c r="C263" s="113">
        <f>(Table535141516[[#This Row],[Durable Goods]]-B262)/B262</f>
        <v>-0.12278478991104558</v>
      </c>
    </row>
    <row r="264" spans="1:3" x14ac:dyDescent="0.35">
      <c r="A264" s="74">
        <v>41487</v>
      </c>
      <c r="B264" s="75">
        <f>VLOOKUP(A264,Database!A:M,MATCH($A$1,Database!$A$1:$M$1,),)</f>
        <v>164894</v>
      </c>
      <c r="C264" s="113">
        <f>(Table535141516[[#This Row],[Durable Goods]]-B263)/B263</f>
        <v>6.6754053791630253E-4</v>
      </c>
    </row>
    <row r="265" spans="1:3" x14ac:dyDescent="0.35">
      <c r="A265" s="74">
        <v>41518</v>
      </c>
      <c r="B265" s="75">
        <f>VLOOKUP(A265,Database!A:M,MATCH($A$1,Database!$A$1:$M$1,),)</f>
        <v>178351</v>
      </c>
      <c r="C265" s="113">
        <f>(Table535141516[[#This Row],[Durable Goods]]-B264)/B264</f>
        <v>8.1610004002571346E-2</v>
      </c>
    </row>
    <row r="266" spans="1:3" x14ac:dyDescent="0.35">
      <c r="A266" s="74">
        <v>41548</v>
      </c>
      <c r="B266" s="75">
        <f>VLOOKUP(A266,Database!A:M,MATCH($A$1,Database!$A$1:$M$1,),)</f>
        <v>171007</v>
      </c>
      <c r="C266" s="113">
        <f>(Table535141516[[#This Row],[Durable Goods]]-B265)/B265</f>
        <v>-4.1177229171689533E-2</v>
      </c>
    </row>
    <row r="267" spans="1:3" x14ac:dyDescent="0.35">
      <c r="A267" s="74">
        <v>41579</v>
      </c>
      <c r="B267" s="75">
        <f>VLOOKUP(A267,Database!A:M,MATCH($A$1,Database!$A$1:$M$1,),)</f>
        <v>176395</v>
      </c>
      <c r="C267" s="113">
        <f>(Table535141516[[#This Row],[Durable Goods]]-B266)/B266</f>
        <v>3.1507482149853515E-2</v>
      </c>
    </row>
    <row r="268" spans="1:3" x14ac:dyDescent="0.35">
      <c r="A268" s="74">
        <v>41609</v>
      </c>
      <c r="B268" s="75">
        <f>VLOOKUP(A268,Database!A:M,MATCH($A$1,Database!$A$1:$M$1,),)</f>
        <v>176574</v>
      </c>
      <c r="C268" s="113">
        <f>(Table535141516[[#This Row],[Durable Goods]]-B267)/B267</f>
        <v>1.0147679922900309E-3</v>
      </c>
    </row>
    <row r="269" spans="1:3" x14ac:dyDescent="0.35">
      <c r="A269" s="74">
        <v>41640</v>
      </c>
      <c r="B269" s="75">
        <f>VLOOKUP(A269,Database!A:M,MATCH($A$1,Database!$A$1:$M$1,),)</f>
        <v>163285</v>
      </c>
      <c r="C269" s="113">
        <f>(Table535141516[[#This Row],[Durable Goods]]-B268)/B268</f>
        <v>-7.5260230838062228E-2</v>
      </c>
    </row>
    <row r="270" spans="1:3" x14ac:dyDescent="0.35">
      <c r="A270" s="74">
        <v>41671</v>
      </c>
      <c r="B270" s="75">
        <f>VLOOKUP(A270,Database!A:M,MATCH($A$1,Database!$A$1:$M$1,),)</f>
        <v>171097</v>
      </c>
      <c r="C270" s="113">
        <f>(Table535141516[[#This Row],[Durable Goods]]-B269)/B269</f>
        <v>4.7842728970817892E-2</v>
      </c>
    </row>
    <row r="271" spans="1:3" x14ac:dyDescent="0.35">
      <c r="A271" s="74">
        <v>41699</v>
      </c>
      <c r="B271" s="75">
        <f>VLOOKUP(A271,Database!A:M,MATCH($A$1,Database!$A$1:$M$1,),)</f>
        <v>170947</v>
      </c>
      <c r="C271" s="113">
        <f>(Table535141516[[#This Row],[Durable Goods]]-B270)/B270</f>
        <v>-8.7669567555246437E-4</v>
      </c>
    </row>
    <row r="272" spans="1:3" x14ac:dyDescent="0.35">
      <c r="A272" s="74">
        <v>41730</v>
      </c>
      <c r="B272" s="75">
        <f>VLOOKUP(A272,Database!A:M,MATCH($A$1,Database!$A$1:$M$1,),)</f>
        <v>175956</v>
      </c>
      <c r="C272" s="113">
        <f>(Table535141516[[#This Row],[Durable Goods]]-B271)/B271</f>
        <v>2.9301479405897734E-2</v>
      </c>
    </row>
    <row r="273" spans="1:3" x14ac:dyDescent="0.35">
      <c r="A273" s="74">
        <v>41760</v>
      </c>
      <c r="B273" s="75">
        <f>VLOOKUP(A273,Database!A:M,MATCH($A$1,Database!$A$1:$M$1,),)</f>
        <v>169649</v>
      </c>
      <c r="C273" s="113">
        <f>(Table535141516[[#This Row],[Durable Goods]]-B272)/B272</f>
        <v>-3.5844188319807221E-2</v>
      </c>
    </row>
    <row r="274" spans="1:3" x14ac:dyDescent="0.35">
      <c r="A274" s="74">
        <v>41791</v>
      </c>
      <c r="B274" s="75">
        <f>VLOOKUP(A274,Database!A:M,MATCH($A$1,Database!$A$1:$M$1,),)</f>
        <v>177769</v>
      </c>
      <c r="C274" s="113">
        <f>(Table535141516[[#This Row],[Durable Goods]]-B273)/B273</f>
        <v>4.7863529994282311E-2</v>
      </c>
    </row>
    <row r="275" spans="1:3" x14ac:dyDescent="0.35">
      <c r="A275" s="74">
        <v>41821</v>
      </c>
      <c r="B275" s="75">
        <f>VLOOKUP(A275,Database!A:M,MATCH($A$1,Database!$A$1:$M$1,),)</f>
        <v>238245</v>
      </c>
      <c r="C275" s="113">
        <f>(Table535141516[[#This Row],[Durable Goods]]-B274)/B274</f>
        <v>0.34019429709341897</v>
      </c>
    </row>
    <row r="276" spans="1:3" x14ac:dyDescent="0.35">
      <c r="A276" s="74">
        <v>41852</v>
      </c>
      <c r="B276" s="75">
        <f>VLOOKUP(A276,Database!A:M,MATCH($A$1,Database!$A$1:$M$1,),)</f>
        <v>172226</v>
      </c>
      <c r="C276" s="113">
        <f>(Table535141516[[#This Row],[Durable Goods]]-B275)/B275</f>
        <v>-0.27710550064009737</v>
      </c>
    </row>
    <row r="277" spans="1:3" x14ac:dyDescent="0.35">
      <c r="A277" s="74">
        <v>41883</v>
      </c>
      <c r="B277" s="75">
        <f>VLOOKUP(A277,Database!A:M,MATCH($A$1,Database!$A$1:$M$1,),)</f>
        <v>172718</v>
      </c>
      <c r="C277" s="113">
        <f>(Table535141516[[#This Row],[Durable Goods]]-B276)/B276</f>
        <v>2.8567115301986923E-3</v>
      </c>
    </row>
    <row r="278" spans="1:3" x14ac:dyDescent="0.35">
      <c r="A278" s="74">
        <v>41913</v>
      </c>
      <c r="B278" s="75">
        <f>VLOOKUP(A278,Database!A:M,MATCH($A$1,Database!$A$1:$M$1,),)</f>
        <v>167104</v>
      </c>
      <c r="C278" s="113">
        <f>(Table535141516[[#This Row],[Durable Goods]]-B277)/B277</f>
        <v>-3.2503850206695308E-2</v>
      </c>
    </row>
    <row r="279" spans="1:3" x14ac:dyDescent="0.35">
      <c r="A279" s="74">
        <v>41944</v>
      </c>
      <c r="B279" s="75">
        <f>VLOOKUP(A279,Database!A:M,MATCH($A$1,Database!$A$1:$M$1,),)</f>
        <v>162866</v>
      </c>
      <c r="C279" s="113">
        <f>(Table535141516[[#This Row],[Durable Goods]]-B278)/B278</f>
        <v>-2.5361451551129836E-2</v>
      </c>
    </row>
    <row r="280" spans="1:3" x14ac:dyDescent="0.35">
      <c r="A280" s="74">
        <v>41974</v>
      </c>
      <c r="B280" s="75">
        <f>VLOOKUP(A280,Database!A:M,MATCH($A$1,Database!$A$1:$M$1,),)</f>
        <v>160616</v>
      </c>
      <c r="C280" s="113">
        <f>(Table535141516[[#This Row],[Durable Goods]]-B279)/B279</f>
        <v>-1.3815038129505238E-2</v>
      </c>
    </row>
    <row r="281" spans="1:3" x14ac:dyDescent="0.35">
      <c r="A281" s="74">
        <v>42005</v>
      </c>
      <c r="B281" s="75">
        <f>VLOOKUP(A281,Database!A:M,MATCH($A$1,Database!$A$1:$M$1,),)</f>
        <v>161061</v>
      </c>
      <c r="C281" s="113">
        <f>(Table535141516[[#This Row],[Durable Goods]]-B280)/B280</f>
        <v>2.7705832544702895E-3</v>
      </c>
    </row>
    <row r="282" spans="1:3" x14ac:dyDescent="0.35">
      <c r="A282" s="74">
        <v>42036</v>
      </c>
      <c r="B282" s="75">
        <f>VLOOKUP(A282,Database!A:M,MATCH($A$1,Database!$A$1:$M$1,),)</f>
        <v>155869</v>
      </c>
      <c r="C282" s="113">
        <f>(Table535141516[[#This Row],[Durable Goods]]-B281)/B281</f>
        <v>-3.2236233476757255E-2</v>
      </c>
    </row>
    <row r="283" spans="1:3" x14ac:dyDescent="0.35">
      <c r="A283" s="74">
        <v>42064</v>
      </c>
      <c r="B283" s="75">
        <f>VLOOKUP(A283,Database!A:M,MATCH($A$1,Database!$A$1:$M$1,),)</f>
        <v>161664</v>
      </c>
      <c r="C283" s="113">
        <f>(Table535141516[[#This Row],[Durable Goods]]-B282)/B282</f>
        <v>3.7178656435853184E-2</v>
      </c>
    </row>
    <row r="284" spans="1:3" x14ac:dyDescent="0.35">
      <c r="A284" s="74">
        <v>42095</v>
      </c>
      <c r="B284" s="75">
        <f>VLOOKUP(A284,Database!A:M,MATCH($A$1,Database!$A$1:$M$1,),)</f>
        <v>159682</v>
      </c>
      <c r="C284" s="113">
        <f>(Table535141516[[#This Row],[Durable Goods]]-B283)/B283</f>
        <v>-1.2259996041171813E-2</v>
      </c>
    </row>
    <row r="285" spans="1:3" x14ac:dyDescent="0.35">
      <c r="A285" s="74">
        <v>42125</v>
      </c>
      <c r="B285" s="75">
        <f>VLOOKUP(A285,Database!A:M,MATCH($A$1,Database!$A$1:$M$1,),)</f>
        <v>152625</v>
      </c>
      <c r="C285" s="113">
        <f>(Table535141516[[#This Row],[Durable Goods]]-B284)/B284</f>
        <v>-4.4194085745419019E-2</v>
      </c>
    </row>
    <row r="286" spans="1:3" x14ac:dyDescent="0.35">
      <c r="A286" s="74">
        <v>42156</v>
      </c>
      <c r="B286" s="75">
        <f>VLOOKUP(A286,Database!A:M,MATCH($A$1,Database!$A$1:$M$1,),)</f>
        <v>166657</v>
      </c>
      <c r="C286" s="113">
        <f>(Table535141516[[#This Row],[Durable Goods]]-B285)/B285</f>
        <v>9.1937755937755938E-2</v>
      </c>
    </row>
    <row r="287" spans="1:3" x14ac:dyDescent="0.35">
      <c r="A287" s="74">
        <v>42186</v>
      </c>
      <c r="B287" s="75">
        <f>VLOOKUP(A287,Database!A:M,MATCH($A$1,Database!$A$1:$M$1,),)</f>
        <v>163038</v>
      </c>
      <c r="C287" s="113">
        <f>(Table535141516[[#This Row],[Durable Goods]]-B286)/B286</f>
        <v>-2.1715259485050133E-2</v>
      </c>
    </row>
    <row r="288" spans="1:3" x14ac:dyDescent="0.35">
      <c r="A288" s="74">
        <v>42217</v>
      </c>
      <c r="B288" s="75">
        <f>VLOOKUP(A288,Database!A:M,MATCH($A$1,Database!$A$1:$M$1,),)</f>
        <v>156470</v>
      </c>
      <c r="C288" s="113">
        <f>(Table535141516[[#This Row],[Durable Goods]]-B287)/B287</f>
        <v>-4.0285086912253583E-2</v>
      </c>
    </row>
    <row r="289" spans="1:3" x14ac:dyDescent="0.35">
      <c r="A289" s="74">
        <v>42248</v>
      </c>
      <c r="B289" s="75">
        <f>VLOOKUP(A289,Database!A:M,MATCH($A$1,Database!$A$1:$M$1,),)</f>
        <v>151752</v>
      </c>
      <c r="C289" s="113">
        <f>(Table535141516[[#This Row],[Durable Goods]]-B288)/B288</f>
        <v>-3.0152744935131336E-2</v>
      </c>
    </row>
    <row r="290" spans="1:3" x14ac:dyDescent="0.35">
      <c r="A290" s="74">
        <v>42278</v>
      </c>
      <c r="B290" s="75">
        <f>VLOOKUP(A290,Database!A:M,MATCH($A$1,Database!$A$1:$M$1,),)</f>
        <v>160554</v>
      </c>
      <c r="C290" s="113">
        <f>(Table535141516[[#This Row],[Durable Goods]]-B289)/B289</f>
        <v>5.8002530444409298E-2</v>
      </c>
    </row>
    <row r="291" spans="1:3" x14ac:dyDescent="0.35">
      <c r="A291" s="74">
        <v>42309</v>
      </c>
      <c r="B291" s="75">
        <f>VLOOKUP(A291,Database!A:M,MATCH($A$1,Database!$A$1:$M$1,),)</f>
        <v>156779</v>
      </c>
      <c r="C291" s="113">
        <f>(Table535141516[[#This Row],[Durable Goods]]-B290)/B290</f>
        <v>-2.3512338527847329E-2</v>
      </c>
    </row>
    <row r="292" spans="1:3" x14ac:dyDescent="0.35">
      <c r="A292" s="74">
        <v>42339</v>
      </c>
      <c r="B292" s="75">
        <f>VLOOKUP(A292,Database!A:M,MATCH($A$1,Database!$A$1:$M$1,),)</f>
        <v>151640</v>
      </c>
      <c r="C292" s="113">
        <f>(Table535141516[[#This Row],[Durable Goods]]-B291)/B291</f>
        <v>-3.2778624688255445E-2</v>
      </c>
    </row>
    <row r="293" spans="1:3" x14ac:dyDescent="0.35">
      <c r="A293" s="74">
        <v>42370</v>
      </c>
      <c r="B293" s="75">
        <f>VLOOKUP(A293,Database!A:M,MATCH($A$1,Database!$A$1:$M$1,),)</f>
        <v>160531</v>
      </c>
      <c r="C293" s="113">
        <f>(Table535141516[[#This Row],[Durable Goods]]-B292)/B292</f>
        <v>5.8632286995515696E-2</v>
      </c>
    </row>
    <row r="294" spans="1:3" x14ac:dyDescent="0.35">
      <c r="A294" s="74">
        <v>42401</v>
      </c>
      <c r="B294" s="75">
        <f>VLOOKUP(A294,Database!A:M,MATCH($A$1,Database!$A$1:$M$1,),)</f>
        <v>150402</v>
      </c>
      <c r="C294" s="113">
        <f>(Table535141516[[#This Row],[Durable Goods]]-B293)/B293</f>
        <v>-6.3096847337897347E-2</v>
      </c>
    </row>
    <row r="295" spans="1:3" x14ac:dyDescent="0.35">
      <c r="A295" s="74">
        <v>42430</v>
      </c>
      <c r="B295" s="75">
        <f>VLOOKUP(A295,Database!A:M,MATCH($A$1,Database!$A$1:$M$1,),)</f>
        <v>151329</v>
      </c>
      <c r="C295" s="113">
        <f>(Table535141516[[#This Row],[Durable Goods]]-B294)/B294</f>
        <v>6.1634818685921732E-3</v>
      </c>
    </row>
    <row r="296" spans="1:3" x14ac:dyDescent="0.35">
      <c r="A296" s="74">
        <v>42461</v>
      </c>
      <c r="B296" s="75">
        <f>VLOOKUP(A296,Database!A:M,MATCH($A$1,Database!$A$1:$M$1,),)</f>
        <v>162910</v>
      </c>
      <c r="C296" s="113">
        <f>(Table535141516[[#This Row],[Durable Goods]]-B295)/B295</f>
        <v>7.6528623066299262E-2</v>
      </c>
    </row>
    <row r="297" spans="1:3" x14ac:dyDescent="0.35">
      <c r="A297" s="74">
        <v>42491</v>
      </c>
      <c r="B297" s="75">
        <f>VLOOKUP(A297,Database!A:M,MATCH($A$1,Database!$A$1:$M$1,),)</f>
        <v>157751</v>
      </c>
      <c r="C297" s="113">
        <f>(Table535141516[[#This Row],[Durable Goods]]-B296)/B296</f>
        <v>-3.1667792032410533E-2</v>
      </c>
    </row>
    <row r="298" spans="1:3" x14ac:dyDescent="0.35">
      <c r="A298" s="74">
        <v>42522</v>
      </c>
      <c r="B298" s="75">
        <f>VLOOKUP(A298,Database!A:M,MATCH($A$1,Database!$A$1:$M$1,),)</f>
        <v>144277</v>
      </c>
      <c r="C298" s="113">
        <f>(Table535141516[[#This Row],[Durable Goods]]-B297)/B297</f>
        <v>-8.5413087714182476E-2</v>
      </c>
    </row>
    <row r="299" spans="1:3" x14ac:dyDescent="0.35">
      <c r="A299" s="74">
        <v>42552</v>
      </c>
      <c r="B299" s="75">
        <f>VLOOKUP(A299,Database!A:M,MATCH($A$1,Database!$A$1:$M$1,),)</f>
        <v>153759</v>
      </c>
      <c r="C299" s="113">
        <f>(Table535141516[[#This Row],[Durable Goods]]-B298)/B298</f>
        <v>6.5720800959265857E-2</v>
      </c>
    </row>
    <row r="300" spans="1:3" x14ac:dyDescent="0.35">
      <c r="A300" s="74">
        <v>42583</v>
      </c>
      <c r="B300" s="75">
        <f>VLOOKUP(A300,Database!A:M,MATCH($A$1,Database!$A$1:$M$1,),)</f>
        <v>154680</v>
      </c>
      <c r="C300" s="113">
        <f>(Table535141516[[#This Row],[Durable Goods]]-B299)/B299</f>
        <v>5.9898932745400266E-3</v>
      </c>
    </row>
    <row r="301" spans="1:3" x14ac:dyDescent="0.35">
      <c r="A301" s="74">
        <v>42614</v>
      </c>
      <c r="B301" s="75">
        <f>VLOOKUP(A301,Database!A:M,MATCH($A$1,Database!$A$1:$M$1,),)</f>
        <v>151551</v>
      </c>
      <c r="C301" s="113">
        <f>(Table535141516[[#This Row],[Durable Goods]]-B300)/B300</f>
        <v>-2.0228859581070596E-2</v>
      </c>
    </row>
    <row r="302" spans="1:3" x14ac:dyDescent="0.35">
      <c r="A302" s="74">
        <v>42644</v>
      </c>
      <c r="B302" s="75">
        <f>VLOOKUP(A302,Database!A:M,MATCH($A$1,Database!$A$1:$M$1,),)</f>
        <v>170179</v>
      </c>
      <c r="C302" s="113">
        <f>(Table535141516[[#This Row],[Durable Goods]]-B301)/B301</f>
        <v>0.12291571814108782</v>
      </c>
    </row>
    <row r="303" spans="1:3" x14ac:dyDescent="0.35">
      <c r="A303" s="74">
        <v>42675</v>
      </c>
      <c r="B303" s="75">
        <f>VLOOKUP(A303,Database!A:M,MATCH($A$1,Database!$A$1:$M$1,),)</f>
        <v>153082</v>
      </c>
      <c r="C303" s="113">
        <f>(Table535141516[[#This Row],[Durable Goods]]-B302)/B302</f>
        <v>-0.10046480470563349</v>
      </c>
    </row>
    <row r="304" spans="1:3" x14ac:dyDescent="0.35">
      <c r="A304" s="74">
        <v>42705</v>
      </c>
      <c r="B304" s="75">
        <f>VLOOKUP(A304,Database!A:M,MATCH($A$1,Database!$A$1:$M$1,),)</f>
        <v>153879</v>
      </c>
      <c r="C304" s="113">
        <f>(Table535141516[[#This Row],[Durable Goods]]-B303)/B303</f>
        <v>5.2063599900706815E-3</v>
      </c>
    </row>
    <row r="305" spans="1:3" x14ac:dyDescent="0.35">
      <c r="A305" s="74">
        <v>42736</v>
      </c>
      <c r="B305" s="75">
        <f>VLOOKUP(A305,Database!A:M,MATCH($A$1,Database!$A$1:$M$1,),)</f>
        <v>153356</v>
      </c>
      <c r="C305" s="113">
        <f>(Table535141516[[#This Row],[Durable Goods]]-B304)/B304</f>
        <v>-3.3987743616737827E-3</v>
      </c>
    </row>
    <row r="306" spans="1:3" x14ac:dyDescent="0.35">
      <c r="A306" s="74">
        <v>42767</v>
      </c>
      <c r="B306" s="75">
        <f>VLOOKUP(A306,Database!A:M,MATCH($A$1,Database!$A$1:$M$1,),)</f>
        <v>157903</v>
      </c>
      <c r="C306" s="113">
        <f>(Table535141516[[#This Row],[Durable Goods]]-B305)/B305</f>
        <v>2.9649964787813975E-2</v>
      </c>
    </row>
    <row r="307" spans="1:3" x14ac:dyDescent="0.35">
      <c r="A307" s="74">
        <v>42795</v>
      </c>
      <c r="B307" s="75">
        <f>VLOOKUP(A307,Database!A:M,MATCH($A$1,Database!$A$1:$M$1,),)</f>
        <v>158150</v>
      </c>
      <c r="C307" s="113">
        <f>(Table535141516[[#This Row],[Durable Goods]]-B306)/B306</f>
        <v>1.5642514708396928E-3</v>
      </c>
    </row>
    <row r="308" spans="1:3" x14ac:dyDescent="0.35">
      <c r="A308" s="74">
        <v>42826</v>
      </c>
      <c r="B308" s="75">
        <f>VLOOKUP(A308,Database!A:M,MATCH($A$1,Database!$A$1:$M$1,),)</f>
        <v>159159</v>
      </c>
      <c r="C308" s="113">
        <f>(Table535141516[[#This Row],[Durable Goods]]-B307)/B307</f>
        <v>6.380018969332912E-3</v>
      </c>
    </row>
    <row r="309" spans="1:3" x14ac:dyDescent="0.35">
      <c r="A309" s="74">
        <v>42856</v>
      </c>
      <c r="B309" s="75">
        <f>VLOOKUP(A309,Database!A:M,MATCH($A$1,Database!$A$1:$M$1,),)</f>
        <v>157793</v>
      </c>
      <c r="C309" s="113">
        <f>(Table535141516[[#This Row],[Durable Goods]]-B308)/B308</f>
        <v>-8.5826123561972625E-3</v>
      </c>
    </row>
    <row r="310" spans="1:3" x14ac:dyDescent="0.35">
      <c r="A310" s="74">
        <v>42887</v>
      </c>
      <c r="B310" s="75">
        <f>VLOOKUP(A310,Database!A:M,MATCH($A$1,Database!$A$1:$M$1,),)</f>
        <v>174423</v>
      </c>
      <c r="C310" s="113">
        <f>(Table535141516[[#This Row],[Durable Goods]]-B309)/B309</f>
        <v>0.10539124042257896</v>
      </c>
    </row>
    <row r="311" spans="1:3" x14ac:dyDescent="0.35">
      <c r="A311" s="74">
        <v>42917</v>
      </c>
      <c r="B311" s="75">
        <f>VLOOKUP(A311,Database!A:M,MATCH($A$1,Database!$A$1:$M$1,),)</f>
        <v>156286</v>
      </c>
      <c r="C311" s="113">
        <f>(Table535141516[[#This Row],[Durable Goods]]-B310)/B310</f>
        <v>-0.10398284629893993</v>
      </c>
    </row>
    <row r="312" spans="1:3" x14ac:dyDescent="0.35">
      <c r="A312" s="74">
        <v>42948</v>
      </c>
      <c r="B312" s="75">
        <f>VLOOKUP(A312,Database!A:M,MATCH($A$1,Database!$A$1:$M$1,),)</f>
        <v>159269</v>
      </c>
      <c r="C312" s="113">
        <f>(Table535141516[[#This Row],[Durable Goods]]-B311)/B311</f>
        <v>1.9086802400726872E-2</v>
      </c>
    </row>
    <row r="313" spans="1:3" x14ac:dyDescent="0.35">
      <c r="A313" s="74">
        <v>42979</v>
      </c>
      <c r="B313" s="75">
        <f>VLOOKUP(A313,Database!A:M,MATCH($A$1,Database!$A$1:$M$1,),)</f>
        <v>164280</v>
      </c>
      <c r="C313" s="113">
        <f>(Table535141516[[#This Row],[Durable Goods]]-B312)/B312</f>
        <v>3.1462494270699255E-2</v>
      </c>
    </row>
    <row r="314" spans="1:3" x14ac:dyDescent="0.35">
      <c r="A314" s="74">
        <v>43009</v>
      </c>
      <c r="B314" s="75">
        <f>VLOOKUP(A314,Database!A:M,MATCH($A$1,Database!$A$1:$M$1,),)</f>
        <v>164181</v>
      </c>
      <c r="C314" s="113">
        <f>(Table535141516[[#This Row],[Durable Goods]]-B313)/B313</f>
        <v>-6.026296566837107E-4</v>
      </c>
    </row>
    <row r="315" spans="1:3" x14ac:dyDescent="0.35">
      <c r="A315" s="74">
        <v>43040</v>
      </c>
      <c r="B315" s="75">
        <f>VLOOKUP(A315,Database!A:M,MATCH($A$1,Database!$A$1:$M$1,),)</f>
        <v>163221</v>
      </c>
      <c r="C315" s="113">
        <f>(Table535141516[[#This Row],[Durable Goods]]-B314)/B314</f>
        <v>-5.8472052186306573E-3</v>
      </c>
    </row>
    <row r="316" spans="1:3" x14ac:dyDescent="0.35">
      <c r="A316" s="74">
        <v>43070</v>
      </c>
      <c r="B316" s="75">
        <f>VLOOKUP(A316,Database!A:M,MATCH($A$1,Database!$A$1:$M$1,),)</f>
        <v>174213</v>
      </c>
      <c r="C316" s="113">
        <f>(Table535141516[[#This Row],[Durable Goods]]-B315)/B315</f>
        <v>6.7344275552778138E-2</v>
      </c>
    </row>
    <row r="317" spans="1:3" x14ac:dyDescent="0.35">
      <c r="A317" s="74">
        <v>43101</v>
      </c>
      <c r="B317" s="75">
        <f>VLOOKUP(A317,Database!A:M,MATCH($A$1,Database!$A$1:$M$1,),)</f>
        <v>159357</v>
      </c>
      <c r="C317" s="113">
        <f>(Table535141516[[#This Row],[Durable Goods]]-B316)/B316</f>
        <v>-8.5274922078145715E-2</v>
      </c>
    </row>
    <row r="318" spans="1:3" x14ac:dyDescent="0.35">
      <c r="A318" s="74">
        <v>43132</v>
      </c>
      <c r="B318" s="75">
        <f>VLOOKUP(A318,Database!A:M,MATCH($A$1,Database!$A$1:$M$1,),)</f>
        <v>166790</v>
      </c>
      <c r="C318" s="113">
        <f>(Table535141516[[#This Row],[Durable Goods]]-B317)/B317</f>
        <v>4.6643699366830452E-2</v>
      </c>
    </row>
    <row r="319" spans="1:3" x14ac:dyDescent="0.35">
      <c r="A319" s="74">
        <v>43160</v>
      </c>
      <c r="B319" s="75">
        <f>VLOOKUP(A319,Database!A:M,MATCH($A$1,Database!$A$1:$M$1,),)</f>
        <v>175504</v>
      </c>
      <c r="C319" s="113">
        <f>(Table535141516[[#This Row],[Durable Goods]]-B318)/B318</f>
        <v>5.2245338449547332E-2</v>
      </c>
    </row>
    <row r="320" spans="1:3" x14ac:dyDescent="0.35">
      <c r="A320" s="74">
        <v>43191</v>
      </c>
      <c r="B320" s="75">
        <f>VLOOKUP(A320,Database!A:M,MATCH($A$1,Database!$A$1:$M$1,),)</f>
        <v>170410</v>
      </c>
      <c r="C320" s="113">
        <f>(Table535141516[[#This Row],[Durable Goods]]-B319)/B319</f>
        <v>-2.9024979487647005E-2</v>
      </c>
    </row>
    <row r="321" spans="1:3" x14ac:dyDescent="0.35">
      <c r="A321" s="74">
        <v>43221</v>
      </c>
      <c r="B321" s="75">
        <f>VLOOKUP(A321,Database!A:M,MATCH($A$1,Database!$A$1:$M$1,),)</f>
        <v>174641</v>
      </c>
      <c r="C321" s="113">
        <f>(Table535141516[[#This Row],[Durable Goods]]-B320)/B320</f>
        <v>2.4828355143477497E-2</v>
      </c>
    </row>
    <row r="322" spans="1:3" x14ac:dyDescent="0.35">
      <c r="A322" s="74">
        <v>43252</v>
      </c>
      <c r="B322" s="75">
        <f>VLOOKUP(A322,Database!A:M,MATCH($A$1,Database!$A$1:$M$1,),)</f>
        <v>175588</v>
      </c>
      <c r="C322" s="113">
        <f>(Table535141516[[#This Row],[Durable Goods]]-B321)/B321</f>
        <v>5.4225525506610703E-3</v>
      </c>
    </row>
    <row r="323" spans="1:3" x14ac:dyDescent="0.35">
      <c r="A323" s="74">
        <v>43282</v>
      </c>
      <c r="B323" s="75">
        <f>VLOOKUP(A323,Database!A:M,MATCH($A$1,Database!$A$1:$M$1,),)</f>
        <v>165654</v>
      </c>
      <c r="C323" s="113">
        <f>(Table535141516[[#This Row],[Durable Goods]]-B322)/B322</f>
        <v>-5.6575620201836117E-2</v>
      </c>
    </row>
    <row r="324" spans="1:3" x14ac:dyDescent="0.35">
      <c r="A324" s="74">
        <v>43313</v>
      </c>
      <c r="B324" s="75">
        <f>VLOOKUP(A324,Database!A:M,MATCH($A$1,Database!$A$1:$M$1,),)</f>
        <v>175671</v>
      </c>
      <c r="C324" s="113">
        <f>(Table535141516[[#This Row],[Durable Goods]]-B323)/B323</f>
        <v>6.046941214821254E-2</v>
      </c>
    </row>
    <row r="325" spans="1:3" x14ac:dyDescent="0.35">
      <c r="A325" s="74">
        <v>43344</v>
      </c>
      <c r="B325" s="75">
        <f>VLOOKUP(A325,Database!A:M,MATCH($A$1,Database!$A$1:$M$1,),)</f>
        <v>176060</v>
      </c>
      <c r="C325" s="113">
        <f>(Table535141516[[#This Row],[Durable Goods]]-B324)/B324</f>
        <v>2.2143666285271901E-3</v>
      </c>
    </row>
    <row r="326" spans="1:3" x14ac:dyDescent="0.35">
      <c r="A326" s="74">
        <v>43374</v>
      </c>
      <c r="B326" s="75">
        <f>VLOOKUP(A326,Database!A:M,MATCH($A$1,Database!$A$1:$M$1,),)</f>
        <v>170432</v>
      </c>
      <c r="C326" s="113">
        <f>(Table535141516[[#This Row],[Durable Goods]]-B325)/B325</f>
        <v>-3.1966375099397933E-2</v>
      </c>
    </row>
    <row r="327" spans="1:3" x14ac:dyDescent="0.35">
      <c r="A327" s="74">
        <v>43405</v>
      </c>
      <c r="B327" s="75">
        <f>VLOOKUP(A327,Database!A:M,MATCH($A$1,Database!$A$1:$M$1,),)</f>
        <v>163293</v>
      </c>
      <c r="C327" s="113">
        <f>(Table535141516[[#This Row],[Durable Goods]]-B326)/B326</f>
        <v>-4.1887673676304922E-2</v>
      </c>
    </row>
    <row r="328" spans="1:3" x14ac:dyDescent="0.35">
      <c r="A328" s="74">
        <v>43435</v>
      </c>
      <c r="B328" s="75">
        <f>VLOOKUP(A328,Database!A:M,MATCH($A$1,Database!$A$1:$M$1,),)</f>
        <v>169731</v>
      </c>
      <c r="C328" s="113">
        <f>(Table535141516[[#This Row],[Durable Goods]]-B327)/B327</f>
        <v>3.9426062354173175E-2</v>
      </c>
    </row>
    <row r="329" spans="1:3" x14ac:dyDescent="0.35">
      <c r="A329" s="74">
        <v>43466</v>
      </c>
      <c r="B329" s="75">
        <f>VLOOKUP(A329,Database!A:M,MATCH($A$1,Database!$A$1:$M$1,),)</f>
        <v>160516</v>
      </c>
      <c r="C329" s="113">
        <f>(Table535141516[[#This Row],[Durable Goods]]-B328)/B328</f>
        <v>-5.4291791128314802E-2</v>
      </c>
    </row>
    <row r="330" spans="1:3" x14ac:dyDescent="0.35">
      <c r="A330" s="74">
        <v>43497</v>
      </c>
      <c r="B330" s="75">
        <f>VLOOKUP(A330,Database!A:M,MATCH($A$1,Database!$A$1:$M$1,),)</f>
        <v>154698</v>
      </c>
      <c r="C330" s="113">
        <f>(Table535141516[[#This Row],[Durable Goods]]-B329)/B329</f>
        <v>-3.6245607914475814E-2</v>
      </c>
    </row>
    <row r="331" spans="1:3" x14ac:dyDescent="0.35">
      <c r="A331" s="74">
        <v>43525</v>
      </c>
      <c r="B331" s="75">
        <f>VLOOKUP(A331,Database!A:M,MATCH($A$1,Database!$A$1:$M$1,),)</f>
        <v>164517</v>
      </c>
      <c r="C331" s="113">
        <f>(Table535141516[[#This Row],[Durable Goods]]-B330)/B330</f>
        <v>6.3472055230190436E-2</v>
      </c>
    </row>
    <row r="332" spans="1:3" x14ac:dyDescent="0.35">
      <c r="A332" s="74">
        <v>43556</v>
      </c>
      <c r="B332" s="75">
        <f>VLOOKUP(A332,Database!A:M,MATCH($A$1,Database!$A$1:$M$1,),)</f>
        <v>157216</v>
      </c>
      <c r="C332" s="113">
        <f>(Table535141516[[#This Row],[Durable Goods]]-B331)/B331</f>
        <v>-4.4378392506549479E-2</v>
      </c>
    </row>
    <row r="333" spans="1:3" x14ac:dyDescent="0.35">
      <c r="A333" s="74">
        <v>43586</v>
      </c>
      <c r="B333" s="75">
        <f>VLOOKUP(A333,Database!A:M,MATCH($A$1,Database!$A$1:$M$1,),)</f>
        <v>149783</v>
      </c>
      <c r="C333" s="113">
        <f>(Table535141516[[#This Row],[Durable Goods]]-B332)/B332</f>
        <v>-4.7278902910645224E-2</v>
      </c>
    </row>
    <row r="334" spans="1:3" x14ac:dyDescent="0.35">
      <c r="A334" s="74">
        <v>43617</v>
      </c>
      <c r="B334" s="75">
        <f>VLOOKUP(A334,Database!A:M,MATCH($A$1,Database!$A$1:$M$1,),)</f>
        <v>150374</v>
      </c>
      <c r="C334" s="113">
        <f>(Table535141516[[#This Row],[Durable Goods]]-B333)/B333</f>
        <v>3.9457081244199943E-3</v>
      </c>
    </row>
    <row r="335" spans="1:3" x14ac:dyDescent="0.35">
      <c r="A335" s="74">
        <v>43647</v>
      </c>
      <c r="B335" s="75">
        <f>VLOOKUP(A335,Database!A:M,MATCH($A$1,Database!$A$1:$M$1,),)</f>
        <v>157455</v>
      </c>
      <c r="C335" s="113">
        <f>(Table535141516[[#This Row],[Durable Goods]]-B334)/B334</f>
        <v>4.7089257451421125E-2</v>
      </c>
    </row>
    <row r="336" spans="1:3" x14ac:dyDescent="0.35">
      <c r="A336" s="74">
        <v>43678</v>
      </c>
      <c r="B336" s="75">
        <f>VLOOKUP(A336,Database!A:M,MATCH($A$1,Database!$A$1:$M$1,),)</f>
        <v>156670</v>
      </c>
      <c r="C336" s="113">
        <f>(Table535141516[[#This Row],[Durable Goods]]-B335)/B335</f>
        <v>-4.9855514273919529E-3</v>
      </c>
    </row>
    <row r="337" spans="1:3" x14ac:dyDescent="0.35">
      <c r="A337" s="74">
        <v>43709</v>
      </c>
      <c r="B337" s="75">
        <f>VLOOKUP(A337,Database!A:M,MATCH($A$1,Database!$A$1:$M$1,),)</f>
        <v>154428</v>
      </c>
      <c r="C337" s="113">
        <f>(Table535141516[[#This Row],[Durable Goods]]-B336)/B336</f>
        <v>-1.4310333822684623E-2</v>
      </c>
    </row>
    <row r="338" spans="1:3" x14ac:dyDescent="0.35">
      <c r="A338" s="74">
        <v>43739</v>
      </c>
      <c r="B338" s="75">
        <f>VLOOKUP(A338,Database!A:M,MATCH($A$1,Database!$A$1:$M$1,),)</f>
        <v>156626</v>
      </c>
      <c r="C338" s="113">
        <f>(Table535141516[[#This Row],[Durable Goods]]-B337)/B337</f>
        <v>1.4233170150490844E-2</v>
      </c>
    </row>
    <row r="339" spans="1:3" x14ac:dyDescent="0.35">
      <c r="A339" s="74">
        <v>43770</v>
      </c>
      <c r="B339" s="75">
        <f>VLOOKUP(A339,Database!A:M,MATCH($A$1,Database!$A$1:$M$1,),)</f>
        <v>147226</v>
      </c>
      <c r="C339" s="113">
        <f>(Table535141516[[#This Row],[Durable Goods]]-B338)/B338</f>
        <v>-6.001557851186904E-2</v>
      </c>
    </row>
    <row r="340" spans="1:3" x14ac:dyDescent="0.35">
      <c r="A340" s="74">
        <v>43800</v>
      </c>
      <c r="B340" s="75">
        <f>VLOOKUP(A340,Database!A:M,MATCH($A$1,Database!$A$1:$M$1,),)</f>
        <v>150665</v>
      </c>
      <c r="C340" s="113">
        <f>(Table535141516[[#This Row],[Durable Goods]]-B339)/B339</f>
        <v>2.3358645891350713E-2</v>
      </c>
    </row>
    <row r="341" spans="1:3" x14ac:dyDescent="0.35">
      <c r="A341" s="74">
        <v>43831</v>
      </c>
      <c r="B341" s="75">
        <f>VLOOKUP(A341,Database!A:M,MATCH($A$1,Database!$A$1:$M$1,),)</f>
        <v>161215</v>
      </c>
      <c r="C341" s="113">
        <f>(Table535141516[[#This Row],[Durable Goods]]-B340)/B340</f>
        <v>7.00228984833903E-2</v>
      </c>
    </row>
    <row r="342" spans="1:3" x14ac:dyDescent="0.35">
      <c r="A342" s="74">
        <v>43862</v>
      </c>
      <c r="B342" s="75">
        <f>VLOOKUP(A342,Database!A:M,MATCH($A$1,Database!$A$1:$M$1,),)</f>
        <v>165264</v>
      </c>
      <c r="C342" s="113">
        <f>(Table535141516[[#This Row],[Durable Goods]]-B341)/B341</f>
        <v>2.5115528952020592E-2</v>
      </c>
    </row>
    <row r="343" spans="1:3" x14ac:dyDescent="0.35">
      <c r="A343" s="74">
        <v>43891</v>
      </c>
      <c r="B343" s="75">
        <f>VLOOKUP(A343,Database!A:M,MATCH($A$1,Database!$A$1:$M$1,),)</f>
        <v>143089</v>
      </c>
      <c r="C343" s="113">
        <f>(Table535141516[[#This Row],[Durable Goods]]-B342)/B342</f>
        <v>-0.13417925258979571</v>
      </c>
    </row>
    <row r="344" spans="1:3" x14ac:dyDescent="0.35">
      <c r="A344" s="74">
        <v>43922</v>
      </c>
      <c r="B344" s="75">
        <f>VLOOKUP(A344,Database!A:M,MATCH($A$1,Database!$A$1:$M$1,),)</f>
        <v>120811</v>
      </c>
      <c r="C344" s="113">
        <f>(Table535141516[[#This Row],[Durable Goods]]-B343)/B343</f>
        <v>-0.15569330975826234</v>
      </c>
    </row>
    <row r="345" spans="1:3" x14ac:dyDescent="0.35">
      <c r="A345" s="74">
        <v>43952</v>
      </c>
      <c r="B345" s="75">
        <f>VLOOKUP(A345,Database!A:M,MATCH($A$1,Database!$A$1:$M$1,),)</f>
        <v>136257</v>
      </c>
      <c r="C345" s="113">
        <f>(Table535141516[[#This Row],[Durable Goods]]-B344)/B344</f>
        <v>0.12785259620398803</v>
      </c>
    </row>
    <row r="346" spans="1:3" x14ac:dyDescent="0.35">
      <c r="A346" s="74">
        <v>43983</v>
      </c>
      <c r="B346" s="75">
        <f>VLOOKUP(A346,Database!A:M,MATCH($A$1,Database!$A$1:$M$1,),)</f>
        <v>135460</v>
      </c>
      <c r="C346" s="113">
        <f>(Table535141516[[#This Row],[Durable Goods]]-B345)/B345</f>
        <v>-5.849240772951114E-3</v>
      </c>
    </row>
    <row r="347" spans="1:3" x14ac:dyDescent="0.35">
      <c r="A347" s="74">
        <v>44013</v>
      </c>
      <c r="B347" s="75">
        <f>VLOOKUP(A347,Database!A:M,MATCH($A$1,Database!$A$1:$M$1,),)</f>
        <v>145739</v>
      </c>
      <c r="C347" s="113">
        <f>(Table535141516[[#This Row],[Durable Goods]]-B346)/B346</f>
        <v>7.5882179241104381E-2</v>
      </c>
    </row>
    <row r="348" spans="1:3" x14ac:dyDescent="0.35">
      <c r="A348" s="74">
        <v>44044</v>
      </c>
      <c r="B348" s="75">
        <f>VLOOKUP(A348,Database!A:M,MATCH($A$1,Database!$A$1:$M$1,),)</f>
        <v>149382</v>
      </c>
      <c r="C348" s="113">
        <f>(Table535141516[[#This Row],[Durable Goods]]-B347)/B347</f>
        <v>2.4996740748872984E-2</v>
      </c>
    </row>
    <row r="349" spans="1:3" x14ac:dyDescent="0.35">
      <c r="A349" s="74">
        <v>44075</v>
      </c>
      <c r="B349" s="75">
        <f>VLOOKUP(A349,Database!A:M,MATCH($A$1,Database!$A$1:$M$1,),)</f>
        <v>152915</v>
      </c>
      <c r="C349" s="113">
        <f>(Table535141516[[#This Row],[Durable Goods]]-B348)/B348</f>
        <v>2.3650774524373752E-2</v>
      </c>
    </row>
    <row r="350" spans="1:3" x14ac:dyDescent="0.35">
      <c r="A350" s="74">
        <v>44105</v>
      </c>
      <c r="B350" s="75">
        <f>VLOOKUP(A350,Database!A:M,MATCH($A$1,Database!$A$1:$M$1,),)</f>
        <v>157980</v>
      </c>
      <c r="C350" s="113">
        <f>(Table535141516[[#This Row],[Durable Goods]]-B349)/B349</f>
        <v>3.3122976817186019E-2</v>
      </c>
    </row>
    <row r="351" spans="1:3" x14ac:dyDescent="0.35">
      <c r="A351" s="74">
        <v>44136</v>
      </c>
      <c r="B351" s="75">
        <f>VLOOKUP(A351,Database!A:M,MATCH($A$1,Database!$A$1:$M$1,),)</f>
        <v>155771</v>
      </c>
      <c r="C351" s="113">
        <f>(Table535141516[[#This Row],[Durable Goods]]-B350)/B350</f>
        <v>-1.3982782630712749E-2</v>
      </c>
    </row>
    <row r="352" spans="1:3" x14ac:dyDescent="0.35">
      <c r="A352" s="74">
        <v>44166</v>
      </c>
      <c r="B352" s="75">
        <f>VLOOKUP(A352,Database!A:M,MATCH($A$1,Database!$A$1:$M$1,),)</f>
        <v>158387</v>
      </c>
      <c r="C352" s="113">
        <f>(Table535141516[[#This Row],[Durable Goods]]-B351)/B351</f>
        <v>1.6793883328732561E-2</v>
      </c>
    </row>
    <row r="353" spans="1:3" x14ac:dyDescent="0.35">
      <c r="A353" s="74">
        <v>44197</v>
      </c>
      <c r="B353" s="75">
        <f>VLOOKUP(A353,Database!A:M,MATCH($A$1,Database!$A$1:$M$1,),)</f>
        <v>163476</v>
      </c>
      <c r="C353" s="113">
        <f>(Table535141516[[#This Row],[Durable Goods]]-B352)/B352</f>
        <v>3.2130162197655111E-2</v>
      </c>
    </row>
    <row r="354" spans="1:3" x14ac:dyDescent="0.35">
      <c r="A354" s="74">
        <v>44228</v>
      </c>
      <c r="B354" s="75">
        <f>VLOOKUP(A354,Database!A:M,MATCH($A$1,Database!$A$1:$M$1,),)</f>
        <v>167920</v>
      </c>
      <c r="C354" s="113">
        <f>(Table535141516[[#This Row],[Durable Goods]]-B353)/B353</f>
        <v>2.7184418507915534E-2</v>
      </c>
    </row>
    <row r="355" spans="1:3" x14ac:dyDescent="0.35">
      <c r="A355" s="74">
        <v>44256</v>
      </c>
      <c r="B355" s="75">
        <f>VLOOKUP(A355,Database!A:M,MATCH($A$1,Database!$A$1:$M$1,),)</f>
        <v>170436</v>
      </c>
      <c r="C355" s="113">
        <f>(Table535141516[[#This Row],[Durable Goods]]-B354)/B354</f>
        <v>1.4983325393044308E-2</v>
      </c>
    </row>
    <row r="356" spans="1:3" x14ac:dyDescent="0.35">
      <c r="A356" s="74">
        <v>44287</v>
      </c>
      <c r="B356" s="75">
        <f>VLOOKUP(A356,Database!A:M,MATCH($A$1,Database!$A$1:$M$1,),)</f>
        <v>169097</v>
      </c>
      <c r="C356" s="113">
        <f>(Table535141516[[#This Row],[Durable Goods]]-B355)/B355</f>
        <v>-7.8563214344387344E-3</v>
      </c>
    </row>
    <row r="357" spans="1:3" x14ac:dyDescent="0.35">
      <c r="A357" s="74">
        <v>44317</v>
      </c>
      <c r="B357" s="75">
        <f>VLOOKUP(A357,Database!A:M,MATCH($A$1,Database!$A$1:$M$1,),)</f>
        <v>171996</v>
      </c>
      <c r="C357" s="113">
        <f>(Table535141516[[#This Row],[Durable Goods]]-B356)/B356</f>
        <v>1.7144006103005968E-2</v>
      </c>
    </row>
    <row r="358" spans="1:3" x14ac:dyDescent="0.35">
      <c r="A358" s="74">
        <v>44348</v>
      </c>
      <c r="B358" s="75">
        <f>VLOOKUP(A358,Database!A:M,MATCH($A$1,Database!$A$1:$M$1,),)</f>
        <v>176392</v>
      </c>
      <c r="C358" s="113">
        <f>(Table535141516[[#This Row],[Durable Goods]]-B357)/B357</f>
        <v>2.5558733924044744E-2</v>
      </c>
    </row>
    <row r="359" spans="1:3" x14ac:dyDescent="0.35">
      <c r="A359" s="74">
        <v>44378</v>
      </c>
      <c r="B359" s="75">
        <f>VLOOKUP(A359,Database!A:M,MATCH($A$1,Database!$A$1:$M$1,),)</f>
        <v>174579</v>
      </c>
      <c r="C359" s="113">
        <f>(Table535141516[[#This Row],[Durable Goods]]-B358)/B358</f>
        <v>-1.0278243911288494E-2</v>
      </c>
    </row>
    <row r="360" spans="1:3" x14ac:dyDescent="0.35">
      <c r="A360" s="74">
        <v>44409</v>
      </c>
      <c r="B360" s="75">
        <f>VLOOKUP(A360,Database!A:M,MATCH($A$1,Database!$A$1:$M$1,),)</f>
        <v>179913</v>
      </c>
      <c r="C360" s="113">
        <f>(Table535141516[[#This Row],[Durable Goods]]-B359)/B359</f>
        <v>3.055350299864245E-2</v>
      </c>
    </row>
    <row r="361" spans="1:3" x14ac:dyDescent="0.35">
      <c r="A361" s="74">
        <v>44440</v>
      </c>
      <c r="B361" s="75">
        <f>VLOOKUP(A361,Database!A:M,MATCH($A$1,Database!$A$1:$M$1,),)</f>
        <v>177267</v>
      </c>
      <c r="C361" s="113">
        <f>(Table535141516[[#This Row],[Durable Goods]]-B360)/B360</f>
        <v>-1.4707108435743943E-2</v>
      </c>
    </row>
    <row r="362" spans="1:3" x14ac:dyDescent="0.35">
      <c r="A362" s="74">
        <v>44470</v>
      </c>
      <c r="B362" s="75">
        <f>VLOOKUP(A362,Database!A:M,MATCH($A$1,Database!$A$1:$M$1,),)</f>
        <v>178531</v>
      </c>
      <c r="C362" s="113">
        <f>(Table535141516[[#This Row],[Durable Goods]]-B361)/B361</f>
        <v>7.1304867798292967E-3</v>
      </c>
    </row>
    <row r="363" spans="1:3" x14ac:dyDescent="0.35">
      <c r="A363" s="74">
        <v>44501</v>
      </c>
      <c r="B363" s="75">
        <f>VLOOKUP(A363,Database!A:M,MATCH($A$1,Database!$A$1:$M$1,),)</f>
        <v>180712</v>
      </c>
      <c r="C363" s="113">
        <f>(Table535141516[[#This Row],[Durable Goods]]-B362)/B362</f>
        <v>1.2216365785213772E-2</v>
      </c>
    </row>
    <row r="364" spans="1:3" x14ac:dyDescent="0.35">
      <c r="A364" s="74">
        <v>44531</v>
      </c>
      <c r="B364" s="75">
        <f>VLOOKUP(A364,Database!A:M,MATCH($A$1,Database!$A$1:$M$1,),)</f>
        <v>181268</v>
      </c>
      <c r="C364" s="113">
        <f>(Table535141516[[#This Row],[Durable Goods]]-B363)/B363</f>
        <v>3.0767187569170837E-3</v>
      </c>
    </row>
    <row r="365" spans="1:3" x14ac:dyDescent="0.35">
      <c r="A365" s="74">
        <v>44562</v>
      </c>
      <c r="B365" s="75">
        <f>VLOOKUP(A365,Database!A:M,MATCH($A$1,Database!$A$1:$M$1,),)</f>
        <v>189468</v>
      </c>
      <c r="C365" s="113">
        <f>(Table535141516[[#This Row],[Durable Goods]]-B364)/B364</f>
        <v>4.5236886819515855E-2</v>
      </c>
    </row>
    <row r="366" spans="1:3" x14ac:dyDescent="0.35">
      <c r="A366" s="74">
        <v>44593</v>
      </c>
      <c r="B366" s="75">
        <f>VLOOKUP(A366,Database!A:M,MATCH($A$1,Database!$A$1:$M$1,),)</f>
        <v>187611</v>
      </c>
      <c r="C366" s="113">
        <f>(Table535141516[[#This Row],[Durable Goods]]-B365)/B365</f>
        <v>-9.8011273671543483E-3</v>
      </c>
    </row>
    <row r="367" spans="1:3" x14ac:dyDescent="0.35">
      <c r="A367" s="74">
        <v>44621</v>
      </c>
      <c r="B367" s="75">
        <f>VLOOKUP(A367,Database!A:M,MATCH($A$1,Database!$A$1:$M$1,),)</f>
        <v>186907</v>
      </c>
      <c r="C367" s="113">
        <f>(Table535141516[[#This Row],[Durable Goods]]-B366)/B366</f>
        <v>-3.7524452190969611E-3</v>
      </c>
    </row>
    <row r="368" spans="1:3" x14ac:dyDescent="0.35">
      <c r="A368" s="74">
        <v>44652</v>
      </c>
      <c r="B368" s="75">
        <f>VLOOKUP(A368,Database!A:M,MATCH($A$1,Database!$A$1:$M$1,),)</f>
        <v>188269</v>
      </c>
      <c r="C368" s="113">
        <f>(Table535141516[[#This Row],[Durable Goods]]-B367)/B367</f>
        <v>7.2870464990610305E-3</v>
      </c>
    </row>
    <row r="369" spans="1:3" x14ac:dyDescent="0.35">
      <c r="A369" s="74">
        <v>44682</v>
      </c>
      <c r="B369" s="75">
        <f>VLOOKUP(A369,Database!A:M,MATCH($A$1,Database!$A$1:$M$1,),)</f>
        <v>189296</v>
      </c>
      <c r="C369" s="113">
        <f>(Table535141516[[#This Row],[Durable Goods]]-B368)/B368</f>
        <v>5.4549607210958783E-3</v>
      </c>
    </row>
    <row r="370" spans="1:3" x14ac:dyDescent="0.35">
      <c r="A370" s="74">
        <v>44713</v>
      </c>
      <c r="B370" s="75">
        <f>VLOOKUP(A370,Database!A:M,MATCH($A$1,Database!$A$1:$M$1,),)</f>
        <v>194488</v>
      </c>
      <c r="C370" s="113">
        <f>(Table535141516[[#This Row],[Durable Goods]]-B369)/B369</f>
        <v>2.7427943538162455E-2</v>
      </c>
    </row>
    <row r="371" spans="1:3" x14ac:dyDescent="0.35">
      <c r="A371" s="74">
        <v>44743</v>
      </c>
      <c r="B371" s="75">
        <f>VLOOKUP(A371,Database!A:M,MATCH($A$1,Database!$A$1:$M$1,),)</f>
        <v>194332</v>
      </c>
      <c r="C371" s="113">
        <f>(Table535141516[[#This Row],[Durable Goods]]-B370)/B370</f>
        <v>-8.021060425321871E-4</v>
      </c>
    </row>
    <row r="372" spans="1:3" x14ac:dyDescent="0.35">
      <c r="A372" s="74">
        <v>44774</v>
      </c>
      <c r="B372" s="75">
        <f>VLOOKUP(A372,Database!A:M,MATCH($A$1,Database!$A$1:$M$1,),)</f>
        <v>194542</v>
      </c>
      <c r="C372" s="113">
        <f>(Table535141516[[#This Row],[Durable Goods]]-B371)/B371</f>
        <v>1.0806249099479242E-3</v>
      </c>
    </row>
    <row r="373" spans="1:3" x14ac:dyDescent="0.35">
      <c r="A373" s="74">
        <v>44805</v>
      </c>
      <c r="B373" s="75">
        <f>VLOOKUP(A373,Database!A:M,MATCH($A$1,Database!$A$1:$M$1,),)</f>
        <v>193704</v>
      </c>
      <c r="C373" s="113">
        <f>(Table535141516[[#This Row],[Durable Goods]]-B372)/B372</f>
        <v>-4.3075531247751125E-3</v>
      </c>
    </row>
    <row r="374" spans="1:3" x14ac:dyDescent="0.35">
      <c r="A374" s="74">
        <v>44835</v>
      </c>
      <c r="B374" s="75">
        <f>VLOOKUP(A374,Database!A:M,MATCH($A$1,Database!$A$1:$M$1,),)</f>
        <v>195690</v>
      </c>
      <c r="C374" s="113">
        <f>(Table535141516[[#This Row],[Durable Goods]]-B373)/B373</f>
        <v>1.0252756783546028E-2</v>
      </c>
    </row>
    <row r="375" spans="1:3" x14ac:dyDescent="0.35">
      <c r="A375" s="74">
        <v>44866</v>
      </c>
      <c r="B375" s="75">
        <f>VLOOKUP(A375,Database!A:M,MATCH($A$1,Database!$A$1:$M$1,),)</f>
        <v>189826</v>
      </c>
      <c r="C375" s="113">
        <f>(Table535141516[[#This Row],[Durable Goods]]-B374)/B374</f>
        <v>-2.9965762174868415E-2</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Note</vt:lpstr>
      <vt:lpstr>Official Data</vt:lpstr>
      <vt:lpstr>Database</vt:lpstr>
      <vt:lpstr>Recap</vt:lpstr>
      <vt:lpstr>New Orders</vt:lpstr>
      <vt:lpstr>New Orders ex Aircraft</vt:lpstr>
      <vt:lpstr>New Orders ex Transport</vt:lpstr>
      <vt:lpstr>Other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2018-04-26T13:12:53Z</dcterms:created>
  <dcterms:modified xsi:type="dcterms:W3CDTF">2023-01-21T03:47:53Z</dcterms:modified>
</cp:coreProperties>
</file>