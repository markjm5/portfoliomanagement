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B7D3997B-D56C-794F-BD73-601954E8FBD7}" xr6:coauthVersionLast="47" xr6:coauthVersionMax="47" xr10:uidLastSave="{00000000-0000-0000-0000-000000000000}"/>
  <bookViews>
    <workbookView xWindow="0" yWindow="500" windowWidth="28800" windowHeight="17500"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71" i="8" l="1"/>
  <c r="C371" i="8"/>
  <c r="B371" i="7"/>
  <c r="C371" i="7"/>
  <c r="B371" i="6"/>
  <c r="C371" i="6"/>
  <c r="B371" i="5"/>
  <c r="C371" i="5"/>
  <c r="B370" i="8"/>
  <c r="B369" i="8"/>
  <c r="C370" i="8" s="1"/>
  <c r="B368" i="8"/>
  <c r="C369" i="8" s="1"/>
  <c r="B367" i="8"/>
  <c r="C368" i="8" s="1"/>
  <c r="B366" i="8"/>
  <c r="C367" i="8" s="1"/>
  <c r="C365" i="8"/>
  <c r="B365" i="8"/>
  <c r="B364" i="8"/>
  <c r="B363" i="8"/>
  <c r="C364" i="8" s="1"/>
  <c r="B362" i="8"/>
  <c r="C363" i="8" s="1"/>
  <c r="C361" i="8"/>
  <c r="B361" i="8"/>
  <c r="B360" i="8"/>
  <c r="B359" i="8"/>
  <c r="C360" i="8" s="1"/>
  <c r="B358" i="8"/>
  <c r="C359" i="8" s="1"/>
  <c r="B357" i="8"/>
  <c r="C358" i="8" s="1"/>
  <c r="C356" i="8"/>
  <c r="B356" i="8"/>
  <c r="B355" i="8"/>
  <c r="B354" i="8"/>
  <c r="C355" i="8" s="1"/>
  <c r="B353" i="8"/>
  <c r="C354" i="8" s="1"/>
  <c r="C352" i="8"/>
  <c r="B352" i="8"/>
  <c r="C353" i="8" s="1"/>
  <c r="B351" i="8"/>
  <c r="B350" i="8"/>
  <c r="C351" i="8" s="1"/>
  <c r="B349" i="8"/>
  <c r="C350" i="8" s="1"/>
  <c r="B348" i="8"/>
  <c r="C349" i="8" s="1"/>
  <c r="B347" i="8"/>
  <c r="B346" i="8"/>
  <c r="C347" i="8" s="1"/>
  <c r="B345" i="8"/>
  <c r="C346" i="8" s="1"/>
  <c r="B344" i="8"/>
  <c r="C345" i="8" s="1"/>
  <c r="C343" i="8"/>
  <c r="B343" i="8"/>
  <c r="C344" i="8" s="1"/>
  <c r="B342" i="8"/>
  <c r="C341" i="8"/>
  <c r="B341" i="8"/>
  <c r="B340" i="8"/>
  <c r="B339" i="8"/>
  <c r="C340" i="8" s="1"/>
  <c r="B338" i="8"/>
  <c r="B337" i="8"/>
  <c r="C338" i="8" s="1"/>
  <c r="B336" i="8"/>
  <c r="C337" i="8" s="1"/>
  <c r="B335" i="8"/>
  <c r="C336" i="8" s="1"/>
  <c r="B334" i="8"/>
  <c r="C335" i="8" s="1"/>
  <c r="C333" i="8"/>
  <c r="B333" i="8"/>
  <c r="C332" i="8"/>
  <c r="B332" i="8"/>
  <c r="B331" i="8"/>
  <c r="B330" i="8"/>
  <c r="C331" i="8" s="1"/>
  <c r="C329" i="8"/>
  <c r="B329" i="8"/>
  <c r="B328" i="8"/>
  <c r="B327" i="8"/>
  <c r="C328" i="8" s="1"/>
  <c r="B326" i="8"/>
  <c r="C327" i="8" s="1"/>
  <c r="B325" i="8"/>
  <c r="C326" i="8" s="1"/>
  <c r="C324" i="8"/>
  <c r="B324" i="8"/>
  <c r="B323" i="8"/>
  <c r="B322" i="8"/>
  <c r="C323" i="8" s="1"/>
  <c r="B321" i="8"/>
  <c r="C322" i="8" s="1"/>
  <c r="C320" i="8"/>
  <c r="B320" i="8"/>
  <c r="C321" i="8" s="1"/>
  <c r="B319" i="8"/>
  <c r="B318" i="8"/>
  <c r="C319" i="8" s="1"/>
  <c r="B317" i="8"/>
  <c r="C318" i="8" s="1"/>
  <c r="C316" i="8"/>
  <c r="B316" i="8"/>
  <c r="C317" i="8" s="1"/>
  <c r="B315" i="8"/>
  <c r="B314" i="8"/>
  <c r="C315" i="8" s="1"/>
  <c r="B313" i="8"/>
  <c r="C314" i="8" s="1"/>
  <c r="B312" i="8"/>
  <c r="C313" i="8" s="1"/>
  <c r="C311" i="8"/>
  <c r="B311" i="8"/>
  <c r="B310" i="8"/>
  <c r="C309" i="8"/>
  <c r="B309" i="8"/>
  <c r="B308" i="8"/>
  <c r="C307" i="8"/>
  <c r="B307" i="8"/>
  <c r="C308" i="8" s="1"/>
  <c r="B306" i="8"/>
  <c r="B305" i="8"/>
  <c r="C306" i="8" s="1"/>
  <c r="B304" i="8"/>
  <c r="C305" i="8" s="1"/>
  <c r="B303" i="8"/>
  <c r="C304" i="8" s="1"/>
  <c r="B302" i="8"/>
  <c r="C303" i="8" s="1"/>
  <c r="C301" i="8"/>
  <c r="B301" i="8"/>
  <c r="C300" i="8"/>
  <c r="B300" i="8"/>
  <c r="B299" i="8"/>
  <c r="B298" i="8"/>
  <c r="C299" i="8" s="1"/>
  <c r="C297" i="8"/>
  <c r="B297" i="8"/>
  <c r="B296" i="8"/>
  <c r="B295" i="8"/>
  <c r="C296" i="8" s="1"/>
  <c r="B294" i="8"/>
  <c r="C295" i="8" s="1"/>
  <c r="C293" i="8"/>
  <c r="B293" i="8"/>
  <c r="C294" i="8" s="1"/>
  <c r="C292" i="8"/>
  <c r="B292" i="8"/>
  <c r="B291" i="8"/>
  <c r="B290" i="8"/>
  <c r="C291" i="8" s="1"/>
  <c r="B289" i="8"/>
  <c r="C290" i="8" s="1"/>
  <c r="C288" i="8"/>
  <c r="B288" i="8"/>
  <c r="C289" i="8" s="1"/>
  <c r="B287" i="8"/>
  <c r="B286" i="8"/>
  <c r="C287" i="8" s="1"/>
  <c r="B285" i="8"/>
  <c r="C286" i="8" s="1"/>
  <c r="B284" i="8"/>
  <c r="C285" i="8" s="1"/>
  <c r="B283" i="8"/>
  <c r="B282" i="8"/>
  <c r="C283" i="8" s="1"/>
  <c r="B281" i="8"/>
  <c r="B280" i="8"/>
  <c r="C281" i="8" s="1"/>
  <c r="C279" i="8"/>
  <c r="B279" i="8"/>
  <c r="B278" i="8"/>
  <c r="C277" i="8"/>
  <c r="B277" i="8"/>
  <c r="C276" i="8"/>
  <c r="B276" i="8"/>
  <c r="C275" i="8"/>
  <c r="B275" i="8"/>
  <c r="B274" i="8"/>
  <c r="B273" i="8"/>
  <c r="C274" i="8" s="1"/>
  <c r="B272" i="8"/>
  <c r="C273" i="8" s="1"/>
  <c r="B271" i="8"/>
  <c r="C272" i="8" s="1"/>
  <c r="B270" i="8"/>
  <c r="C269" i="8"/>
  <c r="B269" i="8"/>
  <c r="C268" i="8"/>
  <c r="B268" i="8"/>
  <c r="B267" i="8"/>
  <c r="B266" i="8"/>
  <c r="C267" i="8" s="1"/>
  <c r="C265" i="8"/>
  <c r="B265" i="8"/>
  <c r="B264" i="8"/>
  <c r="B263" i="8"/>
  <c r="B262" i="8"/>
  <c r="C263" i="8" s="1"/>
  <c r="B261" i="8"/>
  <c r="C262" i="8" s="1"/>
  <c r="C260" i="8"/>
  <c r="B260" i="8"/>
  <c r="B259" i="8"/>
  <c r="B258" i="8"/>
  <c r="C259" i="8" s="1"/>
  <c r="B257" i="8"/>
  <c r="C258" i="8" s="1"/>
  <c r="B256" i="8"/>
  <c r="C257" i="8" s="1"/>
  <c r="B255" i="8"/>
  <c r="C256" i="8" s="1"/>
  <c r="B254" i="8"/>
  <c r="B253" i="8"/>
  <c r="C254" i="8" s="1"/>
  <c r="B252" i="8"/>
  <c r="C253" i="8" s="1"/>
  <c r="B251" i="8"/>
  <c r="B250" i="8"/>
  <c r="C251" i="8" s="1"/>
  <c r="B249" i="8"/>
  <c r="C250" i="8" s="1"/>
  <c r="B248" i="8"/>
  <c r="C247" i="8"/>
  <c r="B247" i="8"/>
  <c r="B246" i="8"/>
  <c r="C245" i="8"/>
  <c r="B245" i="8"/>
  <c r="C244" i="8"/>
  <c r="B244" i="8"/>
  <c r="C243" i="8"/>
  <c r="B243" i="8"/>
  <c r="B242" i="8"/>
  <c r="B241" i="8"/>
  <c r="C242" i="8" s="1"/>
  <c r="B240" i="8"/>
  <c r="C241" i="8" s="1"/>
  <c r="B239" i="8"/>
  <c r="C240" i="8" s="1"/>
  <c r="B238" i="8"/>
  <c r="C239" i="8" s="1"/>
  <c r="C237" i="8"/>
  <c r="B237" i="8"/>
  <c r="C236" i="8"/>
  <c r="B236" i="8"/>
  <c r="B235" i="8"/>
  <c r="B234" i="8"/>
  <c r="C235" i="8" s="1"/>
  <c r="C233" i="8"/>
  <c r="B233" i="8"/>
  <c r="B232" i="8"/>
  <c r="B231" i="8"/>
  <c r="B230" i="8"/>
  <c r="C231" i="8" s="1"/>
  <c r="B229" i="8"/>
  <c r="C230" i="8" s="1"/>
  <c r="C228" i="8"/>
  <c r="B228" i="8"/>
  <c r="C227" i="8"/>
  <c r="B227" i="8"/>
  <c r="B226" i="8"/>
  <c r="B225" i="8"/>
  <c r="C226" i="8" s="1"/>
  <c r="B224" i="8"/>
  <c r="C225" i="8" s="1"/>
  <c r="B223" i="8"/>
  <c r="C223" i="8" s="1"/>
  <c r="B222" i="8"/>
  <c r="C221" i="8"/>
  <c r="B221" i="8"/>
  <c r="C222" i="8" s="1"/>
  <c r="B220" i="8"/>
  <c r="C220" i="8" s="1"/>
  <c r="B219" i="8"/>
  <c r="B218" i="8"/>
  <c r="C219" i="8" s="1"/>
  <c r="B217" i="8"/>
  <c r="B216" i="8"/>
  <c r="C217" i="8" s="1"/>
  <c r="C215" i="8"/>
  <c r="B215" i="8"/>
  <c r="B214" i="8"/>
  <c r="C213" i="8"/>
  <c r="B213" i="8"/>
  <c r="B212" i="8"/>
  <c r="B211" i="8"/>
  <c r="C212" i="8" s="1"/>
  <c r="B210" i="8"/>
  <c r="B209" i="8"/>
  <c r="C210" i="8" s="1"/>
  <c r="B208" i="8"/>
  <c r="C209" i="8" s="1"/>
  <c r="B207" i="8"/>
  <c r="B206" i="8"/>
  <c r="C207" i="8" s="1"/>
  <c r="C205" i="8"/>
  <c r="B205" i="8"/>
  <c r="C204" i="8"/>
  <c r="B204" i="8"/>
  <c r="B203" i="8"/>
  <c r="B202" i="8"/>
  <c r="C203" i="8" s="1"/>
  <c r="B201" i="8"/>
  <c r="B200" i="8"/>
  <c r="C201" i="8" s="1"/>
  <c r="B199" i="8"/>
  <c r="C200" i="8" s="1"/>
  <c r="B198" i="8"/>
  <c r="B197" i="8"/>
  <c r="C198" i="8" s="1"/>
  <c r="C196" i="8"/>
  <c r="B196" i="8"/>
  <c r="B195" i="8"/>
  <c r="B194" i="8"/>
  <c r="C195" i="8" s="1"/>
  <c r="B193" i="8"/>
  <c r="B192" i="8"/>
  <c r="C193" i="8" s="1"/>
  <c r="B191" i="8"/>
  <c r="C191" i="8" s="1"/>
  <c r="B190" i="8"/>
  <c r="B189" i="8"/>
  <c r="C190" i="8" s="1"/>
  <c r="C188" i="8"/>
  <c r="B188" i="8"/>
  <c r="C189" i="8" s="1"/>
  <c r="B187" i="8"/>
  <c r="B186" i="8"/>
  <c r="C187" i="8" s="1"/>
  <c r="B185" i="8"/>
  <c r="B184" i="8"/>
  <c r="C185" i="8" s="1"/>
  <c r="C183" i="8"/>
  <c r="B183" i="8"/>
  <c r="C184" i="8" s="1"/>
  <c r="B182" i="8"/>
  <c r="C181" i="8"/>
  <c r="B181" i="8"/>
  <c r="C180" i="8"/>
  <c r="B180" i="8"/>
  <c r="C179" i="8"/>
  <c r="B179" i="8"/>
  <c r="B178" i="8"/>
  <c r="B177" i="8"/>
  <c r="C178" i="8" s="1"/>
  <c r="B176" i="8"/>
  <c r="B175" i="8"/>
  <c r="B174" i="8"/>
  <c r="C175" i="8" s="1"/>
  <c r="C173" i="8"/>
  <c r="B173" i="8"/>
  <c r="C172" i="8"/>
  <c r="B172" i="8"/>
  <c r="C171" i="8"/>
  <c r="B171" i="8"/>
  <c r="B170" i="8"/>
  <c r="C169" i="8"/>
  <c r="B169" i="8"/>
  <c r="B168" i="8"/>
  <c r="B167" i="8"/>
  <c r="B166" i="8"/>
  <c r="C167" i="8" s="1"/>
  <c r="C165" i="8"/>
  <c r="B165" i="8"/>
  <c r="C166" i="8" s="1"/>
  <c r="C164" i="8"/>
  <c r="B164" i="8"/>
  <c r="B163" i="8"/>
  <c r="B162" i="8"/>
  <c r="C163" i="8" s="1"/>
  <c r="B161" i="8"/>
  <c r="C162" i="8" s="1"/>
  <c r="C160" i="8"/>
  <c r="B160" i="8"/>
  <c r="B159" i="8"/>
  <c r="C159" i="8" s="1"/>
  <c r="B158" i="8"/>
  <c r="B157" i="8"/>
  <c r="C158" i="8" s="1"/>
  <c r="B156" i="8"/>
  <c r="B155" i="8"/>
  <c r="B154" i="8"/>
  <c r="C155" i="8" s="1"/>
  <c r="B153" i="8"/>
  <c r="B152" i="8"/>
  <c r="C153" i="8" s="1"/>
  <c r="C151" i="8"/>
  <c r="B151" i="8"/>
  <c r="B150" i="8"/>
  <c r="C149" i="8"/>
  <c r="B149" i="8"/>
  <c r="C148" i="8"/>
  <c r="B148" i="8"/>
  <c r="C147" i="8"/>
  <c r="B147" i="8"/>
  <c r="B146" i="8"/>
  <c r="B145" i="8"/>
  <c r="C146" i="8" s="1"/>
  <c r="B144" i="8"/>
  <c r="C145" i="8" s="1"/>
  <c r="B143" i="8"/>
  <c r="B142" i="8"/>
  <c r="C141" i="8"/>
  <c r="B141" i="8"/>
  <c r="C140" i="8"/>
  <c r="B140" i="8"/>
  <c r="B139" i="8"/>
  <c r="B138" i="8"/>
  <c r="C139" i="8" s="1"/>
  <c r="B137" i="8"/>
  <c r="B136" i="8"/>
  <c r="C137" i="8" s="1"/>
  <c r="B135" i="8"/>
  <c r="B134" i="8"/>
  <c r="C135" i="8" s="1"/>
  <c r="B133" i="8"/>
  <c r="C132" i="8"/>
  <c r="B132" i="8"/>
  <c r="B131" i="8"/>
  <c r="B130" i="8"/>
  <c r="C131" i="8" s="1"/>
  <c r="B129" i="8"/>
  <c r="C130" i="8" s="1"/>
  <c r="B128" i="8"/>
  <c r="C129" i="8" s="1"/>
  <c r="B127" i="8"/>
  <c r="C127" i="8" s="1"/>
  <c r="B126" i="8"/>
  <c r="C125" i="8"/>
  <c r="B125" i="8"/>
  <c r="C126" i="8" s="1"/>
  <c r="C124" i="8"/>
  <c r="B124" i="8"/>
  <c r="C123" i="8"/>
  <c r="B123" i="8"/>
  <c r="B122" i="8"/>
  <c r="B121" i="8"/>
  <c r="C120" i="8"/>
  <c r="B120" i="8"/>
  <c r="C121" i="8" s="1"/>
  <c r="C119" i="8"/>
  <c r="B119" i="8"/>
  <c r="B118" i="8"/>
  <c r="C117" i="8"/>
  <c r="B117" i="8"/>
  <c r="B116" i="8"/>
  <c r="B115" i="8"/>
  <c r="C116" i="8" s="1"/>
  <c r="B114" i="8"/>
  <c r="C115" i="8" s="1"/>
  <c r="B113" i="8"/>
  <c r="C114" i="8" s="1"/>
  <c r="B112" i="8"/>
  <c r="C113" i="8" s="1"/>
  <c r="B111" i="8"/>
  <c r="B110" i="8"/>
  <c r="C111" i="8" s="1"/>
  <c r="C109" i="8"/>
  <c r="B109" i="8"/>
  <c r="B108" i="8"/>
  <c r="C107" i="8"/>
  <c r="B107" i="8"/>
  <c r="C108" i="8" s="1"/>
  <c r="B106" i="8"/>
  <c r="C105" i="8"/>
  <c r="B105" i="8"/>
  <c r="C106" i="8" s="1"/>
  <c r="B104" i="8"/>
  <c r="B103" i="8"/>
  <c r="B102" i="8"/>
  <c r="C103" i="8" s="1"/>
  <c r="C101" i="8"/>
  <c r="B101" i="8"/>
  <c r="C100" i="8"/>
  <c r="B100" i="8"/>
  <c r="B99" i="8"/>
  <c r="B98" i="8"/>
  <c r="C99" i="8" s="1"/>
  <c r="C97" i="8"/>
  <c r="B97" i="8"/>
  <c r="C98" i="8" s="1"/>
  <c r="B96" i="8"/>
  <c r="B95" i="8"/>
  <c r="B94" i="8"/>
  <c r="B93" i="8"/>
  <c r="C94" i="8" s="1"/>
  <c r="B92" i="8"/>
  <c r="C93" i="8" s="1"/>
  <c r="B91" i="8"/>
  <c r="B90" i="8"/>
  <c r="C91" i="8" s="1"/>
  <c r="B89" i="8"/>
  <c r="B88" i="8"/>
  <c r="C89" i="8" s="1"/>
  <c r="C87" i="8"/>
  <c r="B87" i="8"/>
  <c r="C88" i="8" s="1"/>
  <c r="B86" i="8"/>
  <c r="B85" i="8"/>
  <c r="B84" i="8"/>
  <c r="C85" i="8" s="1"/>
  <c r="B83" i="8"/>
  <c r="B82" i="8"/>
  <c r="B81" i="8"/>
  <c r="B80" i="8"/>
  <c r="C79" i="8"/>
  <c r="B79" i="8"/>
  <c r="C80" i="8" s="1"/>
  <c r="B78" i="8"/>
  <c r="C77" i="8"/>
  <c r="B77" i="8"/>
  <c r="B76" i="8"/>
  <c r="B75" i="8"/>
  <c r="C76" i="8" s="1"/>
  <c r="B74" i="8"/>
  <c r="C75" i="8" s="1"/>
  <c r="B73" i="8"/>
  <c r="C74" i="8" s="1"/>
  <c r="B72" i="8"/>
  <c r="C73" i="8" s="1"/>
  <c r="B71" i="8"/>
  <c r="C72" i="8" s="1"/>
  <c r="B70" i="8"/>
  <c r="C71" i="8" s="1"/>
  <c r="B69" i="8"/>
  <c r="C68" i="8"/>
  <c r="B68" i="8"/>
  <c r="B67" i="8"/>
  <c r="B66" i="8"/>
  <c r="C67" i="8" s="1"/>
  <c r="C65" i="8"/>
  <c r="B65" i="8"/>
  <c r="C64" i="8"/>
  <c r="B64" i="8"/>
  <c r="B63" i="8"/>
  <c r="C63" i="8" s="1"/>
  <c r="B62" i="8"/>
  <c r="B61" i="8"/>
  <c r="C60" i="8"/>
  <c r="B60" i="8"/>
  <c r="B59" i="8"/>
  <c r="B58" i="8"/>
  <c r="C59" i="8" s="1"/>
  <c r="B57" i="8"/>
  <c r="C58" i="8" s="1"/>
  <c r="B56" i="8"/>
  <c r="C55" i="8"/>
  <c r="B55" i="8"/>
  <c r="B54" i="8"/>
  <c r="B53" i="8"/>
  <c r="B52" i="8"/>
  <c r="C53" i="8" s="1"/>
  <c r="B51" i="8"/>
  <c r="B50" i="8"/>
  <c r="B49" i="8"/>
  <c r="C50" i="8" s="1"/>
  <c r="B48" i="8"/>
  <c r="B47" i="8"/>
  <c r="C48" i="8" s="1"/>
  <c r="B46" i="8"/>
  <c r="C47" i="8" s="1"/>
  <c r="C45" i="8"/>
  <c r="B45" i="8"/>
  <c r="B44" i="8"/>
  <c r="B43" i="8"/>
  <c r="C44" i="8" s="1"/>
  <c r="B42" i="8"/>
  <c r="B41" i="8"/>
  <c r="C42" i="8" s="1"/>
  <c r="B40" i="8"/>
  <c r="C41" i="8" s="1"/>
  <c r="B39" i="8"/>
  <c r="B38" i="8"/>
  <c r="C39" i="8" s="1"/>
  <c r="B37" i="8"/>
  <c r="C36" i="8"/>
  <c r="B36" i="8"/>
  <c r="C35" i="8"/>
  <c r="B35" i="8"/>
  <c r="B34" i="8"/>
  <c r="B33" i="8"/>
  <c r="C34" i="8" s="1"/>
  <c r="B32" i="8"/>
  <c r="B31" i="8"/>
  <c r="B30" i="8"/>
  <c r="C31" i="8" s="1"/>
  <c r="C29" i="8"/>
  <c r="B29" i="8"/>
  <c r="B28" i="8"/>
  <c r="B27" i="8"/>
  <c r="C28" i="8" s="1"/>
  <c r="B26" i="8"/>
  <c r="C27" i="8" s="1"/>
  <c r="B25" i="8"/>
  <c r="B24" i="8"/>
  <c r="B23" i="8"/>
  <c r="C24" i="8" s="1"/>
  <c r="B22" i="8"/>
  <c r="B21" i="8"/>
  <c r="B20" i="8"/>
  <c r="B19" i="8"/>
  <c r="C20" i="8" s="1"/>
  <c r="B18" i="8"/>
  <c r="B17" i="8"/>
  <c r="C18" i="8" s="1"/>
  <c r="B16" i="8"/>
  <c r="B15" i="8"/>
  <c r="B14" i="8"/>
  <c r="C15" i="8" s="1"/>
  <c r="C13" i="8"/>
  <c r="B13" i="8"/>
  <c r="B12" i="8"/>
  <c r="B11" i="8"/>
  <c r="C12" i="8" s="1"/>
  <c r="B10" i="8"/>
  <c r="C11" i="8" s="1"/>
  <c r="B9" i="8"/>
  <c r="B8" i="8"/>
  <c r="B7" i="8"/>
  <c r="C7" i="8" s="1"/>
  <c r="B6" i="8"/>
  <c r="B1" i="8"/>
  <c r="C370" i="7"/>
  <c r="B370" i="7"/>
  <c r="B369" i="7"/>
  <c r="C369" i="7" s="1"/>
  <c r="B368" i="7"/>
  <c r="B367" i="7"/>
  <c r="C368" i="7" s="1"/>
  <c r="B366" i="7"/>
  <c r="C367" i="7" s="1"/>
  <c r="B365" i="7"/>
  <c r="B364" i="7"/>
  <c r="B363" i="7"/>
  <c r="C364" i="7" s="1"/>
  <c r="B362" i="7"/>
  <c r="B361" i="7"/>
  <c r="C362" i="7" s="1"/>
  <c r="B360" i="7"/>
  <c r="C361" i="7" s="1"/>
  <c r="B359" i="7"/>
  <c r="C360" i="7" s="1"/>
  <c r="B358" i="7"/>
  <c r="B357" i="7"/>
  <c r="B356" i="7"/>
  <c r="C357" i="7" s="1"/>
  <c r="B355" i="7"/>
  <c r="C356" i="7" s="1"/>
  <c r="B354" i="7"/>
  <c r="C355" i="7" s="1"/>
  <c r="C353" i="7"/>
  <c r="B353" i="7"/>
  <c r="C354" i="7" s="1"/>
  <c r="B352" i="7"/>
  <c r="B351" i="7"/>
  <c r="C352" i="7" s="1"/>
  <c r="B350" i="7"/>
  <c r="C351" i="7" s="1"/>
  <c r="B349" i="7"/>
  <c r="C350" i="7" s="1"/>
  <c r="B348" i="7"/>
  <c r="C349" i="7" s="1"/>
  <c r="B347" i="7"/>
  <c r="C348" i="7" s="1"/>
  <c r="B346" i="7"/>
  <c r="B345" i="7"/>
  <c r="C346" i="7" s="1"/>
  <c r="B344" i="7"/>
  <c r="B343" i="7"/>
  <c r="C344" i="7" s="1"/>
  <c r="B342" i="7"/>
  <c r="C343" i="7" s="1"/>
  <c r="B341" i="7"/>
  <c r="C342" i="7" s="1"/>
  <c r="B340" i="7"/>
  <c r="C341" i="7" s="1"/>
  <c r="B339" i="7"/>
  <c r="C340" i="7" s="1"/>
  <c r="C338" i="7"/>
  <c r="B338" i="7"/>
  <c r="C337" i="7"/>
  <c r="B337" i="7"/>
  <c r="B336" i="7"/>
  <c r="B335" i="7"/>
  <c r="C336" i="7" s="1"/>
  <c r="B334" i="7"/>
  <c r="C335" i="7" s="1"/>
  <c r="B333" i="7"/>
  <c r="B332" i="7"/>
  <c r="C332" i="7" s="1"/>
  <c r="B331" i="7"/>
  <c r="B330" i="7"/>
  <c r="C331" i="7" s="1"/>
  <c r="C329" i="7"/>
  <c r="B329" i="7"/>
  <c r="C330" i="7" s="1"/>
  <c r="C328" i="7"/>
  <c r="B328" i="7"/>
  <c r="B327" i="7"/>
  <c r="B326" i="7"/>
  <c r="B325" i="7"/>
  <c r="C326" i="7" s="1"/>
  <c r="B324" i="7"/>
  <c r="C325" i="7" s="1"/>
  <c r="B323" i="7"/>
  <c r="C324" i="7" s="1"/>
  <c r="C322" i="7"/>
  <c r="B322" i="7"/>
  <c r="B321" i="7"/>
  <c r="B320" i="7"/>
  <c r="C321" i="7" s="1"/>
  <c r="B319" i="7"/>
  <c r="C320" i="7" s="1"/>
  <c r="B318" i="7"/>
  <c r="B317" i="7"/>
  <c r="B316" i="7"/>
  <c r="C317" i="7" s="1"/>
  <c r="B315" i="7"/>
  <c r="B314" i="7"/>
  <c r="C315" i="7" s="1"/>
  <c r="C313" i="7"/>
  <c r="B313" i="7"/>
  <c r="C312" i="7"/>
  <c r="B312" i="7"/>
  <c r="B311" i="7"/>
  <c r="B310" i="7"/>
  <c r="C311" i="7" s="1"/>
  <c r="B309" i="7"/>
  <c r="C310" i="7" s="1"/>
  <c r="B308" i="7"/>
  <c r="B307" i="7"/>
  <c r="C308" i="7" s="1"/>
  <c r="B306" i="7"/>
  <c r="C307" i="7" s="1"/>
  <c r="B305" i="7"/>
  <c r="C306" i="7" s="1"/>
  <c r="B304" i="7"/>
  <c r="B303" i="7"/>
  <c r="C304" i="7" s="1"/>
  <c r="B302" i="7"/>
  <c r="C303" i="7" s="1"/>
  <c r="B301" i="7"/>
  <c r="B300" i="7"/>
  <c r="C301" i="7" s="1"/>
  <c r="B299" i="7"/>
  <c r="C298" i="7"/>
  <c r="B298" i="7"/>
  <c r="C299" i="7" s="1"/>
  <c r="C297" i="7"/>
  <c r="B297" i="7"/>
  <c r="B296" i="7"/>
  <c r="B295" i="7"/>
  <c r="C296" i="7" s="1"/>
  <c r="B294" i="7"/>
  <c r="C295" i="7" s="1"/>
  <c r="B293" i="7"/>
  <c r="C294" i="7" s="1"/>
  <c r="B292" i="7"/>
  <c r="B291" i="7"/>
  <c r="C290" i="7"/>
  <c r="B290" i="7"/>
  <c r="B289" i="7"/>
  <c r="C288" i="7"/>
  <c r="B288" i="7"/>
  <c r="C289" i="7" s="1"/>
  <c r="B287" i="7"/>
  <c r="B286" i="7"/>
  <c r="B285" i="7"/>
  <c r="C286" i="7" s="1"/>
  <c r="B284" i="7"/>
  <c r="C285" i="7" s="1"/>
  <c r="B283" i="7"/>
  <c r="C284" i="7" s="1"/>
  <c r="C282" i="7"/>
  <c r="B282" i="7"/>
  <c r="C283" i="7" s="1"/>
  <c r="C281" i="7"/>
  <c r="B281" i="7"/>
  <c r="B280" i="7"/>
  <c r="B279" i="7"/>
  <c r="C280" i="7" s="1"/>
  <c r="B278" i="7"/>
  <c r="C279" i="7" s="1"/>
  <c r="B277" i="7"/>
  <c r="B276" i="7"/>
  <c r="B275" i="7"/>
  <c r="C276" i="7" s="1"/>
  <c r="B274" i="7"/>
  <c r="C275" i="7" s="1"/>
  <c r="B273" i="7"/>
  <c r="C272" i="7"/>
  <c r="B272" i="7"/>
  <c r="B271" i="7"/>
  <c r="B270" i="7"/>
  <c r="C271" i="7" s="1"/>
  <c r="B269" i="7"/>
  <c r="C270" i="7" s="1"/>
  <c r="B268" i="7"/>
  <c r="B267" i="7"/>
  <c r="C266" i="7"/>
  <c r="B266" i="7"/>
  <c r="C267" i="7" s="1"/>
  <c r="B265" i="7"/>
  <c r="B264" i="7"/>
  <c r="C265" i="7" s="1"/>
  <c r="B263" i="7"/>
  <c r="C264" i="7" s="1"/>
  <c r="B262" i="7"/>
  <c r="B261" i="7"/>
  <c r="C262" i="7" s="1"/>
  <c r="B260" i="7"/>
  <c r="B259" i="7"/>
  <c r="C260" i="7" s="1"/>
  <c r="C258" i="7"/>
  <c r="B258" i="7"/>
  <c r="C257" i="7"/>
  <c r="B257" i="7"/>
  <c r="C256" i="7"/>
  <c r="B256" i="7"/>
  <c r="B255" i="7"/>
  <c r="B254" i="7"/>
  <c r="C255" i="7" s="1"/>
  <c r="B253" i="7"/>
  <c r="C254" i="7" s="1"/>
  <c r="B252" i="7"/>
  <c r="C253" i="7" s="1"/>
  <c r="B251" i="7"/>
  <c r="C250" i="7"/>
  <c r="B250" i="7"/>
  <c r="C249" i="7"/>
  <c r="B249" i="7"/>
  <c r="B248" i="7"/>
  <c r="B247" i="7"/>
  <c r="C248" i="7" s="1"/>
  <c r="B246" i="7"/>
  <c r="B245" i="7"/>
  <c r="B244" i="7"/>
  <c r="C245" i="7" s="1"/>
  <c r="B243" i="7"/>
  <c r="C244" i="7" s="1"/>
  <c r="C242" i="7"/>
  <c r="B242" i="7"/>
  <c r="C243" i="7" s="1"/>
  <c r="B241" i="7"/>
  <c r="C241" i="7" s="1"/>
  <c r="B240" i="7"/>
  <c r="B239" i="7"/>
  <c r="C240" i="7" s="1"/>
  <c r="B238" i="7"/>
  <c r="C239" i="7" s="1"/>
  <c r="B237" i="7"/>
  <c r="C238" i="7" s="1"/>
  <c r="B236" i="7"/>
  <c r="C236" i="7" s="1"/>
  <c r="B235" i="7"/>
  <c r="B234" i="7"/>
  <c r="C235" i="7" s="1"/>
  <c r="B233" i="7"/>
  <c r="C234" i="7" s="1"/>
  <c r="B232" i="7"/>
  <c r="B231" i="7"/>
  <c r="C232" i="7" s="1"/>
  <c r="B230" i="7"/>
  <c r="B229" i="7"/>
  <c r="C230" i="7" s="1"/>
  <c r="B228" i="7"/>
  <c r="C229" i="7" s="1"/>
  <c r="B227" i="7"/>
  <c r="C228" i="7" s="1"/>
  <c r="C226" i="7"/>
  <c r="B226" i="7"/>
  <c r="C225" i="7"/>
  <c r="B225" i="7"/>
  <c r="B224" i="7"/>
  <c r="B223" i="7"/>
  <c r="C224" i="7" s="1"/>
  <c r="C222" i="7"/>
  <c r="B222" i="7"/>
  <c r="C223" i="7" s="1"/>
  <c r="B221" i="7"/>
  <c r="B220" i="7"/>
  <c r="C221" i="7" s="1"/>
  <c r="B219" i="7"/>
  <c r="B218" i="7"/>
  <c r="C219" i="7" s="1"/>
  <c r="B217" i="7"/>
  <c r="C218" i="7" s="1"/>
  <c r="B216" i="7"/>
  <c r="C217" i="7" s="1"/>
  <c r="B215" i="7"/>
  <c r="B214" i="7"/>
  <c r="B213" i="7"/>
  <c r="C214" i="7" s="1"/>
  <c r="B212" i="7"/>
  <c r="C213" i="7" s="1"/>
  <c r="B211" i="7"/>
  <c r="C212" i="7" s="1"/>
  <c r="B210" i="7"/>
  <c r="C210" i="7" s="1"/>
  <c r="B209" i="7"/>
  <c r="B208" i="7"/>
  <c r="C209" i="7" s="1"/>
  <c r="B207" i="7"/>
  <c r="C208" i="7" s="1"/>
  <c r="C206" i="7"/>
  <c r="B206" i="7"/>
  <c r="B205" i="7"/>
  <c r="B204" i="7"/>
  <c r="C205" i="7" s="1"/>
  <c r="B203" i="7"/>
  <c r="B202" i="7"/>
  <c r="C203" i="7" s="1"/>
  <c r="B201" i="7"/>
  <c r="B200" i="7"/>
  <c r="B199" i="7"/>
  <c r="B198" i="7"/>
  <c r="B197" i="7"/>
  <c r="C198" i="7" s="1"/>
  <c r="B196" i="7"/>
  <c r="C197" i="7" s="1"/>
  <c r="B195" i="7"/>
  <c r="B194" i="7"/>
  <c r="C194" i="7" s="1"/>
  <c r="B193" i="7"/>
  <c r="B192" i="7"/>
  <c r="C193" i="7" s="1"/>
  <c r="B191" i="7"/>
  <c r="C192" i="7" s="1"/>
  <c r="B190" i="7"/>
  <c r="C191" i="7" s="1"/>
  <c r="B189" i="7"/>
  <c r="B188" i="7"/>
  <c r="C189" i="7" s="1"/>
  <c r="B187" i="7"/>
  <c r="B186" i="7"/>
  <c r="C187" i="7" s="1"/>
  <c r="B185" i="7"/>
  <c r="C186" i="7" s="1"/>
  <c r="B184" i="7"/>
  <c r="B183" i="7"/>
  <c r="B182" i="7"/>
  <c r="B181" i="7"/>
  <c r="C182" i="7" s="1"/>
  <c r="B180" i="7"/>
  <c r="C181" i="7" s="1"/>
  <c r="B179" i="7"/>
  <c r="B178" i="7"/>
  <c r="B177" i="7"/>
  <c r="B176" i="7"/>
  <c r="C177" i="7" s="1"/>
  <c r="B175" i="7"/>
  <c r="C176" i="7" s="1"/>
  <c r="B174" i="7"/>
  <c r="B173" i="7"/>
  <c r="B172" i="7"/>
  <c r="C173" i="7" s="1"/>
  <c r="B171" i="7"/>
  <c r="B170" i="7"/>
  <c r="C171" i="7" s="1"/>
  <c r="B169" i="7"/>
  <c r="C170" i="7" s="1"/>
  <c r="B168" i="7"/>
  <c r="C169" i="7" s="1"/>
  <c r="B167" i="7"/>
  <c r="B166" i="7"/>
  <c r="B165" i="7"/>
  <c r="C166" i="7" s="1"/>
  <c r="B164" i="7"/>
  <c r="C165" i="7" s="1"/>
  <c r="C163" i="7"/>
  <c r="B163" i="7"/>
  <c r="B162" i="7"/>
  <c r="C162" i="7" s="1"/>
  <c r="B161" i="7"/>
  <c r="B160" i="7"/>
  <c r="C161" i="7" s="1"/>
  <c r="B159" i="7"/>
  <c r="C160" i="7" s="1"/>
  <c r="C158" i="7"/>
  <c r="B158" i="7"/>
  <c r="B157" i="7"/>
  <c r="B156" i="7"/>
  <c r="C157" i="7" s="1"/>
  <c r="B155" i="7"/>
  <c r="B154" i="7"/>
  <c r="C155" i="7" s="1"/>
  <c r="B153" i="7"/>
  <c r="C154" i="7" s="1"/>
  <c r="B152" i="7"/>
  <c r="C153" i="7" s="1"/>
  <c r="B151" i="7"/>
  <c r="B150" i="7"/>
  <c r="B149" i="7"/>
  <c r="C150" i="7" s="1"/>
  <c r="B148" i="7"/>
  <c r="C149" i="7" s="1"/>
  <c r="B147" i="7"/>
  <c r="C148" i="7" s="1"/>
  <c r="B146" i="7"/>
  <c r="B145" i="7"/>
  <c r="B144" i="7"/>
  <c r="C145" i="7" s="1"/>
  <c r="B143" i="7"/>
  <c r="C144" i="7" s="1"/>
  <c r="C142" i="7"/>
  <c r="B142" i="7"/>
  <c r="B141" i="7"/>
  <c r="B140" i="7"/>
  <c r="C141" i="7" s="1"/>
  <c r="B139" i="7"/>
  <c r="B138" i="7"/>
  <c r="C139" i="7" s="1"/>
  <c r="B137" i="7"/>
  <c r="C138" i="7" s="1"/>
  <c r="B136" i="7"/>
  <c r="B135" i="7"/>
  <c r="B134" i="7"/>
  <c r="B133" i="7"/>
  <c r="C134" i="7" s="1"/>
  <c r="B132" i="7"/>
  <c r="C133" i="7" s="1"/>
  <c r="B131" i="7"/>
  <c r="C132" i="7" s="1"/>
  <c r="B130" i="7"/>
  <c r="C130" i="7" s="1"/>
  <c r="B129" i="7"/>
  <c r="B128" i="7"/>
  <c r="C129" i="7" s="1"/>
  <c r="B127" i="7"/>
  <c r="C128" i="7" s="1"/>
  <c r="B126" i="7"/>
  <c r="C127" i="7" s="1"/>
  <c r="B125" i="7"/>
  <c r="B124" i="7"/>
  <c r="C125" i="7" s="1"/>
  <c r="B123" i="7"/>
  <c r="B122" i="7"/>
  <c r="C123" i="7" s="1"/>
  <c r="B121" i="7"/>
  <c r="C122" i="7" s="1"/>
  <c r="B120" i="7"/>
  <c r="B119" i="7"/>
  <c r="B118" i="7"/>
  <c r="B117" i="7"/>
  <c r="C118" i="7" s="1"/>
  <c r="B116" i="7"/>
  <c r="C117" i="7" s="1"/>
  <c r="C115" i="7"/>
  <c r="B115" i="7"/>
  <c r="B114" i="7"/>
  <c r="C114" i="7" s="1"/>
  <c r="B113" i="7"/>
  <c r="B112" i="7"/>
  <c r="C113" i="7" s="1"/>
  <c r="B111" i="7"/>
  <c r="C112" i="7" s="1"/>
  <c r="B110" i="7"/>
  <c r="C111" i="7" s="1"/>
  <c r="B109" i="7"/>
  <c r="B108" i="7"/>
  <c r="C109" i="7" s="1"/>
  <c r="B107" i="7"/>
  <c r="B106" i="7"/>
  <c r="C107" i="7" s="1"/>
  <c r="B105" i="7"/>
  <c r="C106" i="7" s="1"/>
  <c r="B104" i="7"/>
  <c r="C105" i="7" s="1"/>
  <c r="B103" i="7"/>
  <c r="B102" i="7"/>
  <c r="B101" i="7"/>
  <c r="C102" i="7" s="1"/>
  <c r="B100" i="7"/>
  <c r="C101" i="7" s="1"/>
  <c r="C99" i="7"/>
  <c r="B99" i="7"/>
  <c r="B98" i="7"/>
  <c r="C98" i="7" s="1"/>
  <c r="B97" i="7"/>
  <c r="B96" i="7"/>
  <c r="C97" i="7" s="1"/>
  <c r="B95" i="7"/>
  <c r="C96" i="7" s="1"/>
  <c r="B94" i="7"/>
  <c r="B93" i="7"/>
  <c r="B92" i="7"/>
  <c r="C93" i="7" s="1"/>
  <c r="B91" i="7"/>
  <c r="B90" i="7"/>
  <c r="C91" i="7" s="1"/>
  <c r="B89" i="7"/>
  <c r="C90" i="7" s="1"/>
  <c r="B88" i="7"/>
  <c r="C89" i="7" s="1"/>
  <c r="B87" i="7"/>
  <c r="B86" i="7"/>
  <c r="B85" i="7"/>
  <c r="C86" i="7" s="1"/>
  <c r="B84" i="7"/>
  <c r="C85" i="7" s="1"/>
  <c r="C83" i="7"/>
  <c r="B83" i="7"/>
  <c r="C84" i="7" s="1"/>
  <c r="C82" i="7"/>
  <c r="B82" i="7"/>
  <c r="B81" i="7"/>
  <c r="B80" i="7"/>
  <c r="C81" i="7" s="1"/>
  <c r="B79" i="7"/>
  <c r="C80" i="7" s="1"/>
  <c r="B78" i="7"/>
  <c r="C79" i="7" s="1"/>
  <c r="B77" i="7"/>
  <c r="C78" i="7" s="1"/>
  <c r="B76" i="7"/>
  <c r="B75" i="7"/>
  <c r="B74" i="7"/>
  <c r="C75" i="7" s="1"/>
  <c r="B73" i="7"/>
  <c r="B72" i="7"/>
  <c r="C73" i="7" s="1"/>
  <c r="B71" i="7"/>
  <c r="B70" i="7"/>
  <c r="B69" i="7"/>
  <c r="C70" i="7" s="1"/>
  <c r="B68" i="7"/>
  <c r="C69" i="7" s="1"/>
  <c r="C67" i="7"/>
  <c r="B67" i="7"/>
  <c r="B66" i="7"/>
  <c r="C66" i="7" s="1"/>
  <c r="B65" i="7"/>
  <c r="B64" i="7"/>
  <c r="C65" i="7" s="1"/>
  <c r="B63" i="7"/>
  <c r="C64" i="7" s="1"/>
  <c r="B62" i="7"/>
  <c r="B61" i="7"/>
  <c r="B60" i="7"/>
  <c r="C61" i="7" s="1"/>
  <c r="B59" i="7"/>
  <c r="B58" i="7"/>
  <c r="C59" i="7" s="1"/>
  <c r="B57" i="7"/>
  <c r="B56" i="7"/>
  <c r="C57" i="7" s="1"/>
  <c r="B55" i="7"/>
  <c r="B54" i="7"/>
  <c r="B53" i="7"/>
  <c r="C54" i="7" s="1"/>
  <c r="B52" i="7"/>
  <c r="C53" i="7" s="1"/>
  <c r="B51" i="7"/>
  <c r="C52" i="7" s="1"/>
  <c r="C50" i="7"/>
  <c r="B50" i="7"/>
  <c r="B49" i="7"/>
  <c r="B48" i="7"/>
  <c r="C49" i="7" s="1"/>
  <c r="B47" i="7"/>
  <c r="C48" i="7" s="1"/>
  <c r="B46" i="7"/>
  <c r="C47" i="7" s="1"/>
  <c r="B45" i="7"/>
  <c r="C46" i="7" s="1"/>
  <c r="B44" i="7"/>
  <c r="C45" i="7" s="1"/>
  <c r="B43" i="7"/>
  <c r="B42" i="7"/>
  <c r="C43" i="7" s="1"/>
  <c r="B41" i="7"/>
  <c r="B40" i="7"/>
  <c r="C41" i="7" s="1"/>
  <c r="B39" i="7"/>
  <c r="B38" i="7"/>
  <c r="B37" i="7"/>
  <c r="C38" i="7" s="1"/>
  <c r="B36" i="7"/>
  <c r="C37" i="7" s="1"/>
  <c r="C35" i="7"/>
  <c r="B35" i="7"/>
  <c r="B34" i="7"/>
  <c r="C34" i="7" s="1"/>
  <c r="B33" i="7"/>
  <c r="B32" i="7"/>
  <c r="C33" i="7" s="1"/>
  <c r="B31" i="7"/>
  <c r="C32" i="7" s="1"/>
  <c r="B30" i="7"/>
  <c r="B29" i="7"/>
  <c r="B28" i="7"/>
  <c r="C29" i="7" s="1"/>
  <c r="B27" i="7"/>
  <c r="B26" i="7"/>
  <c r="C27" i="7" s="1"/>
  <c r="B25" i="7"/>
  <c r="C26" i="7" s="1"/>
  <c r="B24" i="7"/>
  <c r="B23" i="7"/>
  <c r="B22" i="7"/>
  <c r="B21" i="7"/>
  <c r="C22" i="7" s="1"/>
  <c r="B20" i="7"/>
  <c r="C21" i="7" s="1"/>
  <c r="C19" i="7"/>
  <c r="B19" i="7"/>
  <c r="C20" i="7" s="1"/>
  <c r="C18" i="7"/>
  <c r="B18" i="7"/>
  <c r="B17" i="7"/>
  <c r="B16" i="7"/>
  <c r="C17" i="7" s="1"/>
  <c r="B15" i="7"/>
  <c r="C16" i="7" s="1"/>
  <c r="B14" i="7"/>
  <c r="C15" i="7" s="1"/>
  <c r="B13" i="7"/>
  <c r="C14" i="7" s="1"/>
  <c r="B12" i="7"/>
  <c r="B11" i="7"/>
  <c r="B10" i="7"/>
  <c r="C11" i="7" s="1"/>
  <c r="B9" i="7"/>
  <c r="B8" i="7"/>
  <c r="C9" i="7" s="1"/>
  <c r="B7" i="7"/>
  <c r="B6" i="7"/>
  <c r="C370" i="6"/>
  <c r="B370" i="6"/>
  <c r="C369" i="6"/>
  <c r="B369" i="6"/>
  <c r="B368" i="6"/>
  <c r="C368" i="6" s="1"/>
  <c r="C367" i="6"/>
  <c r="B367" i="6"/>
  <c r="C366" i="6"/>
  <c r="B366" i="6"/>
  <c r="C365" i="6"/>
  <c r="B365" i="6"/>
  <c r="B364" i="6"/>
  <c r="C364" i="6" s="1"/>
  <c r="C363" i="6"/>
  <c r="B363" i="6"/>
  <c r="C362" i="6"/>
  <c r="B362" i="6"/>
  <c r="C361" i="6"/>
  <c r="B361" i="6"/>
  <c r="B360" i="6"/>
  <c r="C360" i="6" s="1"/>
  <c r="C359" i="6"/>
  <c r="B359" i="6"/>
  <c r="C358" i="6"/>
  <c r="B358" i="6"/>
  <c r="C357" i="6"/>
  <c r="B357" i="6"/>
  <c r="B356" i="6"/>
  <c r="C356" i="6" s="1"/>
  <c r="C355" i="6"/>
  <c r="B355" i="6"/>
  <c r="C354" i="6"/>
  <c r="B354" i="6"/>
  <c r="C353" i="6"/>
  <c r="B353" i="6"/>
  <c r="B352" i="6"/>
  <c r="C352" i="6" s="1"/>
  <c r="C351" i="6"/>
  <c r="B351" i="6"/>
  <c r="C350" i="6"/>
  <c r="B350" i="6"/>
  <c r="C349" i="6"/>
  <c r="B349" i="6"/>
  <c r="B348" i="6"/>
  <c r="C348" i="6" s="1"/>
  <c r="C347" i="6"/>
  <c r="B347" i="6"/>
  <c r="C346" i="6"/>
  <c r="B346" i="6"/>
  <c r="C345" i="6"/>
  <c r="B345" i="6"/>
  <c r="B344" i="6"/>
  <c r="C344" i="6" s="1"/>
  <c r="C343" i="6"/>
  <c r="B343" i="6"/>
  <c r="C342" i="6"/>
  <c r="B342" i="6"/>
  <c r="C341" i="6"/>
  <c r="B341" i="6"/>
  <c r="B340" i="6"/>
  <c r="C340" i="6" s="1"/>
  <c r="C339" i="6"/>
  <c r="B339" i="6"/>
  <c r="C338" i="6"/>
  <c r="B338" i="6"/>
  <c r="C337" i="6"/>
  <c r="B337" i="6"/>
  <c r="B336" i="6"/>
  <c r="C336" i="6" s="1"/>
  <c r="C335" i="6"/>
  <c r="B335" i="6"/>
  <c r="C334" i="6"/>
  <c r="B334" i="6"/>
  <c r="C333" i="6"/>
  <c r="B333" i="6"/>
  <c r="B332" i="6"/>
  <c r="C332" i="6" s="1"/>
  <c r="C331" i="6"/>
  <c r="B331" i="6"/>
  <c r="C330" i="6"/>
  <c r="B330" i="6"/>
  <c r="C329" i="6"/>
  <c r="B329" i="6"/>
  <c r="B328" i="6"/>
  <c r="C328" i="6" s="1"/>
  <c r="C327" i="6"/>
  <c r="B327" i="6"/>
  <c r="C326" i="6"/>
  <c r="B326" i="6"/>
  <c r="C325" i="6"/>
  <c r="B325" i="6"/>
  <c r="B324" i="6"/>
  <c r="C324" i="6" s="1"/>
  <c r="C323" i="6"/>
  <c r="B323" i="6"/>
  <c r="C322" i="6"/>
  <c r="B322" i="6"/>
  <c r="C321" i="6"/>
  <c r="B321" i="6"/>
  <c r="B320" i="6"/>
  <c r="C320" i="6" s="1"/>
  <c r="C319" i="6"/>
  <c r="B319" i="6"/>
  <c r="C318" i="6"/>
  <c r="B318" i="6"/>
  <c r="C317" i="6"/>
  <c r="B317" i="6"/>
  <c r="B316" i="6"/>
  <c r="C316" i="6" s="1"/>
  <c r="C315" i="6"/>
  <c r="B315" i="6"/>
  <c r="C314" i="6"/>
  <c r="B314" i="6"/>
  <c r="C313" i="6"/>
  <c r="B313" i="6"/>
  <c r="B312" i="6"/>
  <c r="C312" i="6" s="1"/>
  <c r="C311" i="6"/>
  <c r="B311" i="6"/>
  <c r="C310" i="6"/>
  <c r="B310" i="6"/>
  <c r="C309" i="6"/>
  <c r="B309" i="6"/>
  <c r="B308" i="6"/>
  <c r="C308" i="6" s="1"/>
  <c r="C307" i="6"/>
  <c r="B307" i="6"/>
  <c r="C306" i="6"/>
  <c r="B306" i="6"/>
  <c r="C305" i="6"/>
  <c r="B305" i="6"/>
  <c r="B304" i="6"/>
  <c r="C304" i="6" s="1"/>
  <c r="C303" i="6"/>
  <c r="B303" i="6"/>
  <c r="C302" i="6"/>
  <c r="B302" i="6"/>
  <c r="C301" i="6"/>
  <c r="B301" i="6"/>
  <c r="B300" i="6"/>
  <c r="C300" i="6" s="1"/>
  <c r="C299" i="6"/>
  <c r="B299" i="6"/>
  <c r="C298" i="6"/>
  <c r="B298" i="6"/>
  <c r="C297" i="6"/>
  <c r="B297" i="6"/>
  <c r="B296" i="6"/>
  <c r="C296" i="6" s="1"/>
  <c r="C295" i="6"/>
  <c r="B295" i="6"/>
  <c r="C294" i="6"/>
  <c r="B294" i="6"/>
  <c r="C293" i="6"/>
  <c r="B293" i="6"/>
  <c r="B292" i="6"/>
  <c r="C292" i="6" s="1"/>
  <c r="C291" i="6"/>
  <c r="B291" i="6"/>
  <c r="C290" i="6"/>
  <c r="B290" i="6"/>
  <c r="C289" i="6"/>
  <c r="B289" i="6"/>
  <c r="B288" i="6"/>
  <c r="C288" i="6" s="1"/>
  <c r="C287" i="6"/>
  <c r="B287" i="6"/>
  <c r="C286" i="6"/>
  <c r="B286" i="6"/>
  <c r="C285" i="6"/>
  <c r="B285" i="6"/>
  <c r="B284" i="6"/>
  <c r="C284" i="6" s="1"/>
  <c r="C283" i="6"/>
  <c r="B283" i="6"/>
  <c r="C282" i="6"/>
  <c r="B282" i="6"/>
  <c r="C281" i="6"/>
  <c r="B281" i="6"/>
  <c r="B280" i="6"/>
  <c r="C280" i="6" s="1"/>
  <c r="C279" i="6"/>
  <c r="B279" i="6"/>
  <c r="C278" i="6"/>
  <c r="B278" i="6"/>
  <c r="C277" i="6"/>
  <c r="B277" i="6"/>
  <c r="B276" i="6"/>
  <c r="C276" i="6" s="1"/>
  <c r="C275" i="6"/>
  <c r="B275" i="6"/>
  <c r="C274" i="6"/>
  <c r="B274" i="6"/>
  <c r="C273" i="6"/>
  <c r="B273" i="6"/>
  <c r="B272" i="6"/>
  <c r="C272" i="6" s="1"/>
  <c r="C271" i="6"/>
  <c r="B271" i="6"/>
  <c r="C270" i="6"/>
  <c r="B270" i="6"/>
  <c r="C269" i="6"/>
  <c r="B269" i="6"/>
  <c r="B268" i="6"/>
  <c r="C268" i="6" s="1"/>
  <c r="C267" i="6"/>
  <c r="B267" i="6"/>
  <c r="C266" i="6"/>
  <c r="B266" i="6"/>
  <c r="C265" i="6"/>
  <c r="B265" i="6"/>
  <c r="B264" i="6"/>
  <c r="C264" i="6" s="1"/>
  <c r="C263" i="6"/>
  <c r="B263" i="6"/>
  <c r="C262" i="6"/>
  <c r="B262" i="6"/>
  <c r="C261" i="6"/>
  <c r="B261" i="6"/>
  <c r="B260" i="6"/>
  <c r="C260" i="6" s="1"/>
  <c r="C259" i="6"/>
  <c r="B259" i="6"/>
  <c r="C258" i="6"/>
  <c r="B258" i="6"/>
  <c r="C257" i="6"/>
  <c r="B257" i="6"/>
  <c r="B256" i="6"/>
  <c r="C256" i="6" s="1"/>
  <c r="C255" i="6"/>
  <c r="B255" i="6"/>
  <c r="C254" i="6"/>
  <c r="B254" i="6"/>
  <c r="C253" i="6"/>
  <c r="B253" i="6"/>
  <c r="B252" i="6"/>
  <c r="C252" i="6" s="1"/>
  <c r="C251" i="6"/>
  <c r="B251" i="6"/>
  <c r="C250" i="6"/>
  <c r="B250" i="6"/>
  <c r="C249" i="6"/>
  <c r="B249" i="6"/>
  <c r="B248" i="6"/>
  <c r="C248" i="6" s="1"/>
  <c r="C247" i="6"/>
  <c r="B247" i="6"/>
  <c r="C246" i="6"/>
  <c r="B246" i="6"/>
  <c r="C245" i="6"/>
  <c r="B245" i="6"/>
  <c r="B244" i="6"/>
  <c r="C244" i="6" s="1"/>
  <c r="C243" i="6"/>
  <c r="B243" i="6"/>
  <c r="C242" i="6"/>
  <c r="B242" i="6"/>
  <c r="C241" i="6"/>
  <c r="B241" i="6"/>
  <c r="B240" i="6"/>
  <c r="C240" i="6" s="1"/>
  <c r="C239" i="6"/>
  <c r="B239" i="6"/>
  <c r="C238" i="6"/>
  <c r="B238" i="6"/>
  <c r="C237" i="6"/>
  <c r="B237" i="6"/>
  <c r="B236" i="6"/>
  <c r="C236" i="6" s="1"/>
  <c r="C235" i="6"/>
  <c r="B235" i="6"/>
  <c r="C234" i="6"/>
  <c r="B234" i="6"/>
  <c r="C233" i="6"/>
  <c r="B233" i="6"/>
  <c r="B232" i="6"/>
  <c r="C232" i="6" s="1"/>
  <c r="C231" i="6"/>
  <c r="B231" i="6"/>
  <c r="C230" i="6"/>
  <c r="B230" i="6"/>
  <c r="C229" i="6"/>
  <c r="B229" i="6"/>
  <c r="B228" i="6"/>
  <c r="C228" i="6" s="1"/>
  <c r="C227" i="6"/>
  <c r="B227" i="6"/>
  <c r="C226" i="6"/>
  <c r="B226" i="6"/>
  <c r="C225" i="6"/>
  <c r="B225" i="6"/>
  <c r="B224" i="6"/>
  <c r="C224" i="6" s="1"/>
  <c r="C223" i="6"/>
  <c r="B223" i="6"/>
  <c r="C222" i="6"/>
  <c r="B222" i="6"/>
  <c r="C221" i="6"/>
  <c r="B221" i="6"/>
  <c r="B220" i="6"/>
  <c r="C220" i="6" s="1"/>
  <c r="C219" i="6"/>
  <c r="B219" i="6"/>
  <c r="C218" i="6"/>
  <c r="B218" i="6"/>
  <c r="C217" i="6"/>
  <c r="B217" i="6"/>
  <c r="B216" i="6"/>
  <c r="C216" i="6" s="1"/>
  <c r="C215" i="6"/>
  <c r="B215" i="6"/>
  <c r="C214" i="6"/>
  <c r="B214" i="6"/>
  <c r="C213" i="6"/>
  <c r="B213" i="6"/>
  <c r="B212" i="6"/>
  <c r="C212" i="6" s="1"/>
  <c r="C211" i="6"/>
  <c r="B211" i="6"/>
  <c r="C210" i="6"/>
  <c r="B210" i="6"/>
  <c r="C209" i="6"/>
  <c r="B209" i="6"/>
  <c r="B208" i="6"/>
  <c r="C208" i="6" s="1"/>
  <c r="C207" i="6"/>
  <c r="B207" i="6"/>
  <c r="C206" i="6"/>
  <c r="B206" i="6"/>
  <c r="C205" i="6"/>
  <c r="B205" i="6"/>
  <c r="B204" i="6"/>
  <c r="C204" i="6" s="1"/>
  <c r="C203" i="6"/>
  <c r="B203" i="6"/>
  <c r="C202" i="6"/>
  <c r="B202" i="6"/>
  <c r="C201" i="6"/>
  <c r="B201" i="6"/>
  <c r="B200" i="6"/>
  <c r="C200" i="6" s="1"/>
  <c r="C199" i="6"/>
  <c r="B199" i="6"/>
  <c r="C198" i="6"/>
  <c r="B198" i="6"/>
  <c r="C197" i="6"/>
  <c r="B197" i="6"/>
  <c r="B196" i="6"/>
  <c r="C196" i="6" s="1"/>
  <c r="C195" i="6"/>
  <c r="B195" i="6"/>
  <c r="C194" i="6"/>
  <c r="B194" i="6"/>
  <c r="C193" i="6"/>
  <c r="B193" i="6"/>
  <c r="B192" i="6"/>
  <c r="C192" i="6" s="1"/>
  <c r="C191" i="6"/>
  <c r="B191" i="6"/>
  <c r="C190" i="6"/>
  <c r="B190" i="6"/>
  <c r="C189" i="6"/>
  <c r="B189" i="6"/>
  <c r="B188" i="6"/>
  <c r="C188" i="6" s="1"/>
  <c r="C187" i="6"/>
  <c r="B187" i="6"/>
  <c r="C186" i="6"/>
  <c r="B186" i="6"/>
  <c r="C185" i="6"/>
  <c r="B185" i="6"/>
  <c r="B184" i="6"/>
  <c r="C184" i="6" s="1"/>
  <c r="C183" i="6"/>
  <c r="B183" i="6"/>
  <c r="C182" i="6"/>
  <c r="B182" i="6"/>
  <c r="C181" i="6"/>
  <c r="B181" i="6"/>
  <c r="B180" i="6"/>
  <c r="C180" i="6" s="1"/>
  <c r="C179" i="6"/>
  <c r="B179" i="6"/>
  <c r="C178" i="6"/>
  <c r="B178" i="6"/>
  <c r="C177" i="6"/>
  <c r="B177" i="6"/>
  <c r="B176" i="6"/>
  <c r="C176" i="6" s="1"/>
  <c r="C175" i="6"/>
  <c r="B175" i="6"/>
  <c r="C174" i="6"/>
  <c r="B174" i="6"/>
  <c r="C173" i="6"/>
  <c r="B173" i="6"/>
  <c r="B172" i="6"/>
  <c r="C172" i="6" s="1"/>
  <c r="C171" i="6"/>
  <c r="B171" i="6"/>
  <c r="C170" i="6"/>
  <c r="B170" i="6"/>
  <c r="C169" i="6"/>
  <c r="B169" i="6"/>
  <c r="B168" i="6"/>
  <c r="C168" i="6" s="1"/>
  <c r="C167" i="6"/>
  <c r="B167" i="6"/>
  <c r="C166" i="6"/>
  <c r="B166" i="6"/>
  <c r="C165" i="6"/>
  <c r="B165" i="6"/>
  <c r="B164" i="6"/>
  <c r="C164" i="6" s="1"/>
  <c r="C163" i="6"/>
  <c r="B163" i="6"/>
  <c r="C162" i="6"/>
  <c r="B162" i="6"/>
  <c r="C161" i="6"/>
  <c r="B161" i="6"/>
  <c r="B160" i="6"/>
  <c r="C160" i="6" s="1"/>
  <c r="C159" i="6"/>
  <c r="B159" i="6"/>
  <c r="C158" i="6"/>
  <c r="B158" i="6"/>
  <c r="C157" i="6"/>
  <c r="B157" i="6"/>
  <c r="B156" i="6"/>
  <c r="C156" i="6" s="1"/>
  <c r="C155" i="6"/>
  <c r="B155" i="6"/>
  <c r="C154" i="6"/>
  <c r="B154" i="6"/>
  <c r="C153" i="6"/>
  <c r="B153" i="6"/>
  <c r="B152" i="6"/>
  <c r="C152" i="6" s="1"/>
  <c r="C151" i="6"/>
  <c r="B151" i="6"/>
  <c r="C150" i="6"/>
  <c r="B150" i="6"/>
  <c r="C149" i="6"/>
  <c r="B149" i="6"/>
  <c r="B148" i="6"/>
  <c r="C148" i="6" s="1"/>
  <c r="C147" i="6"/>
  <c r="B147" i="6"/>
  <c r="C146" i="6"/>
  <c r="B146" i="6"/>
  <c r="C145" i="6"/>
  <c r="B145" i="6"/>
  <c r="B144" i="6"/>
  <c r="C144" i="6" s="1"/>
  <c r="C143" i="6"/>
  <c r="B143" i="6"/>
  <c r="C142" i="6"/>
  <c r="B142" i="6"/>
  <c r="C141" i="6"/>
  <c r="B141" i="6"/>
  <c r="B140" i="6"/>
  <c r="C140" i="6" s="1"/>
  <c r="C139" i="6"/>
  <c r="B139" i="6"/>
  <c r="C138" i="6"/>
  <c r="B138" i="6"/>
  <c r="C137" i="6"/>
  <c r="B137" i="6"/>
  <c r="B136" i="6"/>
  <c r="C136" i="6" s="1"/>
  <c r="C135" i="6"/>
  <c r="B135" i="6"/>
  <c r="C134" i="6"/>
  <c r="B134" i="6"/>
  <c r="C133" i="6"/>
  <c r="B133" i="6"/>
  <c r="B132" i="6"/>
  <c r="C132" i="6" s="1"/>
  <c r="C131" i="6"/>
  <c r="B131" i="6"/>
  <c r="C130" i="6"/>
  <c r="B130" i="6"/>
  <c r="C129" i="6"/>
  <c r="B129" i="6"/>
  <c r="B128" i="6"/>
  <c r="C128" i="6" s="1"/>
  <c r="C127" i="6"/>
  <c r="B127" i="6"/>
  <c r="C126" i="6"/>
  <c r="B126" i="6"/>
  <c r="C125" i="6"/>
  <c r="B125" i="6"/>
  <c r="B124" i="6"/>
  <c r="C124" i="6" s="1"/>
  <c r="C123" i="6"/>
  <c r="B123" i="6"/>
  <c r="C122" i="6"/>
  <c r="B122" i="6"/>
  <c r="C121" i="6"/>
  <c r="B121" i="6"/>
  <c r="B120" i="6"/>
  <c r="C120" i="6" s="1"/>
  <c r="C119" i="6"/>
  <c r="B119" i="6"/>
  <c r="C118" i="6"/>
  <c r="B118" i="6"/>
  <c r="C117" i="6"/>
  <c r="B117" i="6"/>
  <c r="B116" i="6"/>
  <c r="C116" i="6" s="1"/>
  <c r="C115" i="6"/>
  <c r="B115" i="6"/>
  <c r="C114" i="6"/>
  <c r="B114" i="6"/>
  <c r="C113" i="6"/>
  <c r="B113" i="6"/>
  <c r="B112" i="6"/>
  <c r="C112" i="6" s="1"/>
  <c r="C111" i="6"/>
  <c r="B111" i="6"/>
  <c r="C110" i="6"/>
  <c r="B110" i="6"/>
  <c r="C109" i="6"/>
  <c r="B109" i="6"/>
  <c r="B108" i="6"/>
  <c r="C108" i="6" s="1"/>
  <c r="C107" i="6"/>
  <c r="B107" i="6"/>
  <c r="C106" i="6"/>
  <c r="B106" i="6"/>
  <c r="C105" i="6"/>
  <c r="B105" i="6"/>
  <c r="B104" i="6"/>
  <c r="C104" i="6" s="1"/>
  <c r="C103" i="6"/>
  <c r="B103" i="6"/>
  <c r="C102" i="6"/>
  <c r="B102" i="6"/>
  <c r="C101" i="6"/>
  <c r="B101" i="6"/>
  <c r="B100" i="6"/>
  <c r="C100" i="6" s="1"/>
  <c r="C99" i="6"/>
  <c r="B99" i="6"/>
  <c r="C98" i="6"/>
  <c r="B98" i="6"/>
  <c r="C97" i="6"/>
  <c r="B97" i="6"/>
  <c r="B96" i="6"/>
  <c r="C96" i="6" s="1"/>
  <c r="C95" i="6"/>
  <c r="B95" i="6"/>
  <c r="C94" i="6"/>
  <c r="B94" i="6"/>
  <c r="C93" i="6"/>
  <c r="B93" i="6"/>
  <c r="B92" i="6"/>
  <c r="C92" i="6" s="1"/>
  <c r="C91" i="6"/>
  <c r="B91" i="6"/>
  <c r="C90" i="6"/>
  <c r="B90" i="6"/>
  <c r="C89" i="6"/>
  <c r="B89" i="6"/>
  <c r="B88" i="6"/>
  <c r="C88" i="6" s="1"/>
  <c r="C87" i="6"/>
  <c r="B87" i="6"/>
  <c r="C86" i="6"/>
  <c r="B86" i="6"/>
  <c r="C85" i="6"/>
  <c r="B85" i="6"/>
  <c r="B84" i="6"/>
  <c r="C84" i="6" s="1"/>
  <c r="C83" i="6"/>
  <c r="B83" i="6"/>
  <c r="C82" i="6"/>
  <c r="B82" i="6"/>
  <c r="C81" i="6"/>
  <c r="B81" i="6"/>
  <c r="B80" i="6"/>
  <c r="C80" i="6" s="1"/>
  <c r="C79" i="6"/>
  <c r="B79" i="6"/>
  <c r="C78" i="6"/>
  <c r="B78" i="6"/>
  <c r="C77" i="6"/>
  <c r="B77" i="6"/>
  <c r="B76" i="6"/>
  <c r="C76" i="6" s="1"/>
  <c r="C75" i="6"/>
  <c r="B75" i="6"/>
  <c r="C74" i="6"/>
  <c r="B74" i="6"/>
  <c r="B73" i="6"/>
  <c r="B72" i="6"/>
  <c r="C72" i="6" s="1"/>
  <c r="C71" i="6"/>
  <c r="B71" i="6"/>
  <c r="C70" i="6"/>
  <c r="B70" i="6"/>
  <c r="C69" i="6"/>
  <c r="B69" i="6"/>
  <c r="B68" i="6"/>
  <c r="C68" i="6" s="1"/>
  <c r="C67" i="6"/>
  <c r="B67" i="6"/>
  <c r="C66" i="6"/>
  <c r="B66" i="6"/>
  <c r="B65" i="6"/>
  <c r="B64" i="6"/>
  <c r="C64" i="6" s="1"/>
  <c r="C63" i="6"/>
  <c r="B63" i="6"/>
  <c r="C62" i="6"/>
  <c r="B62" i="6"/>
  <c r="B61" i="6"/>
  <c r="B60" i="6"/>
  <c r="C60" i="6" s="1"/>
  <c r="C59" i="6"/>
  <c r="B59" i="6"/>
  <c r="C58" i="6"/>
  <c r="B58" i="6"/>
  <c r="B57" i="6"/>
  <c r="B56" i="6"/>
  <c r="C56" i="6" s="1"/>
  <c r="C55" i="6"/>
  <c r="B55" i="6"/>
  <c r="C54" i="6"/>
  <c r="B54" i="6"/>
  <c r="B53" i="6"/>
  <c r="B52" i="6"/>
  <c r="C52" i="6" s="1"/>
  <c r="C51" i="6"/>
  <c r="B51" i="6"/>
  <c r="C50" i="6"/>
  <c r="B50" i="6"/>
  <c r="C49" i="6"/>
  <c r="B49" i="6"/>
  <c r="B48" i="6"/>
  <c r="C48" i="6" s="1"/>
  <c r="C47" i="6"/>
  <c r="B47" i="6"/>
  <c r="C46" i="6"/>
  <c r="B46" i="6"/>
  <c r="C45" i="6"/>
  <c r="B45" i="6"/>
  <c r="B44" i="6"/>
  <c r="C44" i="6" s="1"/>
  <c r="C43" i="6"/>
  <c r="B43" i="6"/>
  <c r="C42" i="6"/>
  <c r="B42" i="6"/>
  <c r="B41" i="6"/>
  <c r="B40" i="6"/>
  <c r="C40" i="6" s="1"/>
  <c r="C39" i="6"/>
  <c r="B39" i="6"/>
  <c r="C38" i="6"/>
  <c r="B38" i="6"/>
  <c r="C37" i="6"/>
  <c r="B37" i="6"/>
  <c r="B36" i="6"/>
  <c r="C36" i="6" s="1"/>
  <c r="C35" i="6"/>
  <c r="B35" i="6"/>
  <c r="C34" i="6"/>
  <c r="B34" i="6"/>
  <c r="B33" i="6"/>
  <c r="B32" i="6"/>
  <c r="C32" i="6" s="1"/>
  <c r="C31" i="6"/>
  <c r="B31" i="6"/>
  <c r="C30" i="6"/>
  <c r="B30" i="6"/>
  <c r="B29" i="6"/>
  <c r="B28" i="6"/>
  <c r="C28" i="6" s="1"/>
  <c r="C27" i="6"/>
  <c r="B27" i="6"/>
  <c r="C26" i="6"/>
  <c r="B26" i="6"/>
  <c r="B25" i="6"/>
  <c r="B24" i="6"/>
  <c r="C24" i="6" s="1"/>
  <c r="C23" i="6"/>
  <c r="B23" i="6"/>
  <c r="B22" i="6"/>
  <c r="B21" i="6"/>
  <c r="B20" i="6"/>
  <c r="C20" i="6" s="1"/>
  <c r="C19" i="6"/>
  <c r="B19" i="6"/>
  <c r="B18" i="6"/>
  <c r="C17" i="6"/>
  <c r="B17" i="6"/>
  <c r="C18" i="6" s="1"/>
  <c r="C16" i="6"/>
  <c r="B16" i="6"/>
  <c r="C15" i="6"/>
  <c r="B15" i="6"/>
  <c r="B14" i="6"/>
  <c r="B13" i="6"/>
  <c r="C14" i="6" s="1"/>
  <c r="B12" i="6"/>
  <c r="C12" i="6" s="1"/>
  <c r="C11" i="6"/>
  <c r="B11" i="6"/>
  <c r="B10" i="6"/>
  <c r="B9" i="6"/>
  <c r="C10" i="6" s="1"/>
  <c r="C8" i="6"/>
  <c r="B8" i="6"/>
  <c r="C7" i="6"/>
  <c r="B7" i="6"/>
  <c r="B6" i="6"/>
  <c r="B370" i="5"/>
  <c r="B369" i="5"/>
  <c r="C370" i="5" s="1"/>
  <c r="C368" i="5"/>
  <c r="B368" i="5"/>
  <c r="C367" i="5"/>
  <c r="B367" i="5"/>
  <c r="B366" i="5"/>
  <c r="B365" i="5"/>
  <c r="C366" i="5" s="1"/>
  <c r="B364" i="5"/>
  <c r="C365" i="5" s="1"/>
  <c r="C363" i="5"/>
  <c r="B363" i="5"/>
  <c r="B362" i="5"/>
  <c r="B361" i="5"/>
  <c r="B360" i="5"/>
  <c r="C361" i="5" s="1"/>
  <c r="B359" i="5"/>
  <c r="B358" i="5"/>
  <c r="C359" i="5" s="1"/>
  <c r="B357" i="5"/>
  <c r="B356" i="5"/>
  <c r="C357" i="5" s="1"/>
  <c r="B355" i="5"/>
  <c r="B354" i="5"/>
  <c r="C355" i="5" s="1"/>
  <c r="C353" i="5"/>
  <c r="B353" i="5"/>
  <c r="B352" i="5"/>
  <c r="B351" i="5"/>
  <c r="B350" i="5"/>
  <c r="B349" i="5"/>
  <c r="B348" i="5"/>
  <c r="B347" i="5"/>
  <c r="C348" i="5" s="1"/>
  <c r="B346" i="5"/>
  <c r="C347" i="5" s="1"/>
  <c r="B345" i="5"/>
  <c r="C344" i="5"/>
  <c r="B344" i="5"/>
  <c r="B343" i="5"/>
  <c r="B342" i="5"/>
  <c r="C343" i="5" s="1"/>
  <c r="B341" i="5"/>
  <c r="B340" i="5"/>
  <c r="C340" i="5" s="1"/>
  <c r="B339" i="5"/>
  <c r="C339" i="5" s="1"/>
  <c r="B338" i="5"/>
  <c r="B337" i="5"/>
  <c r="C338" i="5" s="1"/>
  <c r="B336" i="5"/>
  <c r="C337" i="5" s="1"/>
  <c r="C335" i="5"/>
  <c r="B335" i="5"/>
  <c r="B334" i="5"/>
  <c r="B333" i="5"/>
  <c r="C334" i="5" s="1"/>
  <c r="B332" i="5"/>
  <c r="C333" i="5" s="1"/>
  <c r="B331" i="5"/>
  <c r="C332" i="5" s="1"/>
  <c r="B330" i="5"/>
  <c r="B329" i="5"/>
  <c r="B328" i="5"/>
  <c r="C329" i="5" s="1"/>
  <c r="B327" i="5"/>
  <c r="C328" i="5" s="1"/>
  <c r="B326" i="5"/>
  <c r="C327" i="5" s="1"/>
  <c r="B325" i="5"/>
  <c r="B324" i="5"/>
  <c r="C325" i="5" s="1"/>
  <c r="C323" i="5"/>
  <c r="B323" i="5"/>
  <c r="B322" i="5"/>
  <c r="C321" i="5"/>
  <c r="B321" i="5"/>
  <c r="B320" i="5"/>
  <c r="C319" i="5"/>
  <c r="B319" i="5"/>
  <c r="C320" i="5" s="1"/>
  <c r="B318" i="5"/>
  <c r="B317" i="5"/>
  <c r="B316" i="5"/>
  <c r="B315" i="5"/>
  <c r="C316" i="5" s="1"/>
  <c r="B314" i="5"/>
  <c r="C315" i="5" s="1"/>
  <c r="C313" i="5"/>
  <c r="B313" i="5"/>
  <c r="C312" i="5"/>
  <c r="B312" i="5"/>
  <c r="B311" i="5"/>
  <c r="B310" i="5"/>
  <c r="C311" i="5" s="1"/>
  <c r="B309" i="5"/>
  <c r="C310" i="5" s="1"/>
  <c r="C308" i="5"/>
  <c r="B308" i="5"/>
  <c r="B307" i="5"/>
  <c r="C307" i="5" s="1"/>
  <c r="B306" i="5"/>
  <c r="B305" i="5"/>
  <c r="C306" i="5" s="1"/>
  <c r="B304" i="5"/>
  <c r="C303" i="5"/>
  <c r="B303" i="5"/>
  <c r="B302" i="5"/>
  <c r="B301" i="5"/>
  <c r="C302" i="5" s="1"/>
  <c r="B300" i="5"/>
  <c r="C301" i="5" s="1"/>
  <c r="C299" i="5"/>
  <c r="B299" i="5"/>
  <c r="B298" i="5"/>
  <c r="B297" i="5"/>
  <c r="B296" i="5"/>
  <c r="C297" i="5" s="1"/>
  <c r="B295" i="5"/>
  <c r="C296" i="5" s="1"/>
  <c r="B294" i="5"/>
  <c r="B293" i="5"/>
  <c r="B292" i="5"/>
  <c r="C293" i="5" s="1"/>
  <c r="B291" i="5"/>
  <c r="B290" i="5"/>
  <c r="C289" i="5"/>
  <c r="B289" i="5"/>
  <c r="B288" i="5"/>
  <c r="B287" i="5"/>
  <c r="C288" i="5" s="1"/>
  <c r="B286" i="5"/>
  <c r="C285" i="5"/>
  <c r="B285" i="5"/>
  <c r="B284" i="5"/>
  <c r="B283" i="5"/>
  <c r="C284" i="5" s="1"/>
  <c r="B282" i="5"/>
  <c r="C283" i="5" s="1"/>
  <c r="B281" i="5"/>
  <c r="C282" i="5" s="1"/>
  <c r="C280" i="5"/>
  <c r="B280" i="5"/>
  <c r="B279" i="5"/>
  <c r="B278" i="5"/>
  <c r="C279" i="5" s="1"/>
  <c r="B277" i="5"/>
  <c r="C278" i="5" s="1"/>
  <c r="B276" i="5"/>
  <c r="C277" i="5" s="1"/>
  <c r="B275" i="5"/>
  <c r="C275" i="5" s="1"/>
  <c r="B274" i="5"/>
  <c r="B273" i="5"/>
  <c r="C274" i="5" s="1"/>
  <c r="C272" i="5"/>
  <c r="B272" i="5"/>
  <c r="C273" i="5" s="1"/>
  <c r="C271" i="5"/>
  <c r="B271" i="5"/>
  <c r="B270" i="5"/>
  <c r="B269" i="5"/>
  <c r="C270" i="5" s="1"/>
  <c r="B268" i="5"/>
  <c r="B267" i="5"/>
  <c r="C268" i="5" s="1"/>
  <c r="B266" i="5"/>
  <c r="B265" i="5"/>
  <c r="B264" i="5"/>
  <c r="B263" i="5"/>
  <c r="B262" i="5"/>
  <c r="C263" i="5" s="1"/>
  <c r="B261" i="5"/>
  <c r="B260" i="5"/>
  <c r="C261" i="5" s="1"/>
  <c r="B259" i="5"/>
  <c r="B258" i="5"/>
  <c r="C259" i="5" s="1"/>
  <c r="C257" i="5"/>
  <c r="B257" i="5"/>
  <c r="B256" i="5"/>
  <c r="B255" i="5"/>
  <c r="C256" i="5" s="1"/>
  <c r="B254" i="5"/>
  <c r="C255" i="5" s="1"/>
  <c r="B253" i="5"/>
  <c r="B252" i="5"/>
  <c r="B251" i="5"/>
  <c r="C252" i="5" s="1"/>
  <c r="B250" i="5"/>
  <c r="C251" i="5" s="1"/>
  <c r="B249" i="5"/>
  <c r="C248" i="5"/>
  <c r="B248" i="5"/>
  <c r="B247" i="5"/>
  <c r="B246" i="5"/>
  <c r="C247" i="5" s="1"/>
  <c r="B245" i="5"/>
  <c r="C246" i="5" s="1"/>
  <c r="C244" i="5"/>
  <c r="B244" i="5"/>
  <c r="B243" i="5"/>
  <c r="C243" i="5" s="1"/>
  <c r="B242" i="5"/>
  <c r="B241" i="5"/>
  <c r="C242" i="5" s="1"/>
  <c r="B240" i="5"/>
  <c r="C240" i="5" s="1"/>
  <c r="C239" i="5"/>
  <c r="B239" i="5"/>
  <c r="B238" i="5"/>
  <c r="B237" i="5"/>
  <c r="C238" i="5" s="1"/>
  <c r="B236" i="5"/>
  <c r="B235" i="5"/>
  <c r="C235" i="5" s="1"/>
  <c r="B234" i="5"/>
  <c r="B233" i="5"/>
  <c r="C232" i="5"/>
  <c r="B232" i="5"/>
  <c r="C233" i="5" s="1"/>
  <c r="C231" i="5"/>
  <c r="B231" i="5"/>
  <c r="B230" i="5"/>
  <c r="B229" i="5"/>
  <c r="B228" i="5"/>
  <c r="C229" i="5" s="1"/>
  <c r="B227" i="5"/>
  <c r="C228" i="5" s="1"/>
  <c r="B226" i="5"/>
  <c r="C225" i="5"/>
  <c r="B225" i="5"/>
  <c r="B224" i="5"/>
  <c r="B223" i="5"/>
  <c r="C224" i="5" s="1"/>
  <c r="B222" i="5"/>
  <c r="C221" i="5"/>
  <c r="B221" i="5"/>
  <c r="B220" i="5"/>
  <c r="B219" i="5"/>
  <c r="C220" i="5" s="1"/>
  <c r="B218" i="5"/>
  <c r="C219" i="5" s="1"/>
  <c r="B217" i="5"/>
  <c r="C218" i="5" s="1"/>
  <c r="C216" i="5"/>
  <c r="B216" i="5"/>
  <c r="B215" i="5"/>
  <c r="B214" i="5"/>
  <c r="C215" i="5" s="1"/>
  <c r="B213" i="5"/>
  <c r="C212" i="5"/>
  <c r="B212" i="5"/>
  <c r="C213" i="5" s="1"/>
  <c r="B211" i="5"/>
  <c r="C211" i="5" s="1"/>
  <c r="B210" i="5"/>
  <c r="B209" i="5"/>
  <c r="B208" i="5"/>
  <c r="C208" i="5" s="1"/>
  <c r="C207" i="5"/>
  <c r="B207" i="5"/>
  <c r="B206" i="5"/>
  <c r="B205" i="5"/>
  <c r="C206" i="5" s="1"/>
  <c r="B204" i="5"/>
  <c r="B203" i="5"/>
  <c r="C203" i="5" s="1"/>
  <c r="B202" i="5"/>
  <c r="B201" i="5"/>
  <c r="B200" i="5"/>
  <c r="C201" i="5" s="1"/>
  <c r="B199" i="5"/>
  <c r="C199" i="5" s="1"/>
  <c r="B198" i="5"/>
  <c r="B197" i="5"/>
  <c r="B196" i="5"/>
  <c r="C197" i="5" s="1"/>
  <c r="C195" i="5"/>
  <c r="B195" i="5"/>
  <c r="B194" i="5"/>
  <c r="C193" i="5"/>
  <c r="B193" i="5"/>
  <c r="B192" i="5"/>
  <c r="B191" i="5"/>
  <c r="C192" i="5" s="1"/>
  <c r="B190" i="5"/>
  <c r="C189" i="5"/>
  <c r="B189" i="5"/>
  <c r="B188" i="5"/>
  <c r="B187" i="5"/>
  <c r="C188" i="5" s="1"/>
  <c r="B186" i="5"/>
  <c r="B185" i="5"/>
  <c r="C184" i="5"/>
  <c r="B184" i="5"/>
  <c r="B183" i="5"/>
  <c r="B182" i="5"/>
  <c r="C183" i="5" s="1"/>
  <c r="B181" i="5"/>
  <c r="B180" i="5"/>
  <c r="C180" i="5" s="1"/>
  <c r="B179" i="5"/>
  <c r="C179" i="5" s="1"/>
  <c r="B178" i="5"/>
  <c r="C177" i="5"/>
  <c r="B177" i="5"/>
  <c r="C178" i="5" s="1"/>
  <c r="C176" i="5"/>
  <c r="B176" i="5"/>
  <c r="C175" i="5"/>
  <c r="B175" i="5"/>
  <c r="B174" i="5"/>
  <c r="B173" i="5"/>
  <c r="C174" i="5" s="1"/>
  <c r="C172" i="5"/>
  <c r="B172" i="5"/>
  <c r="C171" i="5"/>
  <c r="B171" i="5"/>
  <c r="B170" i="5"/>
  <c r="B169" i="5"/>
  <c r="B168" i="5"/>
  <c r="C169" i="5" s="1"/>
  <c r="C167" i="5"/>
  <c r="B167" i="5"/>
  <c r="B166" i="5"/>
  <c r="B165" i="5"/>
  <c r="B164" i="5"/>
  <c r="C165" i="5" s="1"/>
  <c r="B163" i="5"/>
  <c r="C164" i="5" s="1"/>
  <c r="B162" i="5"/>
  <c r="C163" i="5" s="1"/>
  <c r="C161" i="5"/>
  <c r="B161" i="5"/>
  <c r="B160" i="5"/>
  <c r="B159" i="5"/>
  <c r="C160" i="5" s="1"/>
  <c r="B158" i="5"/>
  <c r="C159" i="5" s="1"/>
  <c r="B157" i="5"/>
  <c r="C158" i="5" s="1"/>
  <c r="B156" i="5"/>
  <c r="B155" i="5"/>
  <c r="C156" i="5" s="1"/>
  <c r="B154" i="5"/>
  <c r="C155" i="5" s="1"/>
  <c r="B153" i="5"/>
  <c r="C152" i="5"/>
  <c r="B152" i="5"/>
  <c r="B151" i="5"/>
  <c r="B150" i="5"/>
  <c r="C151" i="5" s="1"/>
  <c r="B149" i="5"/>
  <c r="B148" i="5"/>
  <c r="C148" i="5" s="1"/>
  <c r="B147" i="5"/>
  <c r="C147" i="5" s="1"/>
  <c r="B146" i="5"/>
  <c r="B145" i="5"/>
  <c r="C146" i="5" s="1"/>
  <c r="B144" i="5"/>
  <c r="C144" i="5" s="1"/>
  <c r="C143" i="5"/>
  <c r="B143" i="5"/>
  <c r="B142" i="5"/>
  <c r="B141" i="5"/>
  <c r="C142" i="5" s="1"/>
  <c r="B140" i="5"/>
  <c r="B139" i="5"/>
  <c r="C139" i="5" s="1"/>
  <c r="B138" i="5"/>
  <c r="B137" i="5"/>
  <c r="C136" i="5"/>
  <c r="B136" i="5"/>
  <c r="C137" i="5" s="1"/>
  <c r="C135" i="5"/>
  <c r="B135" i="5"/>
  <c r="B134" i="5"/>
  <c r="B133" i="5"/>
  <c r="B132" i="5"/>
  <c r="C133" i="5" s="1"/>
  <c r="B131" i="5"/>
  <c r="C132" i="5" s="1"/>
  <c r="B130" i="5"/>
  <c r="C131" i="5" s="1"/>
  <c r="C129" i="5"/>
  <c r="B129" i="5"/>
  <c r="B128" i="5"/>
  <c r="C127" i="5"/>
  <c r="B127" i="5"/>
  <c r="C128" i="5" s="1"/>
  <c r="B126" i="5"/>
  <c r="B125" i="5"/>
  <c r="C126" i="5" s="1"/>
  <c r="B124" i="5"/>
  <c r="B123" i="5"/>
  <c r="C124" i="5" s="1"/>
  <c r="B122" i="5"/>
  <c r="C121" i="5"/>
  <c r="B121" i="5"/>
  <c r="C120" i="5"/>
  <c r="B120" i="5"/>
  <c r="B119" i="5"/>
  <c r="B118" i="5"/>
  <c r="C119" i="5" s="1"/>
  <c r="C117" i="5"/>
  <c r="B117" i="5"/>
  <c r="C116" i="5"/>
  <c r="B116" i="5"/>
  <c r="B115" i="5"/>
  <c r="C115" i="5" s="1"/>
  <c r="B114" i="5"/>
  <c r="C113" i="5"/>
  <c r="B113" i="5"/>
  <c r="C114" i="5" s="1"/>
  <c r="C112" i="5"/>
  <c r="B112" i="5"/>
  <c r="C111" i="5"/>
  <c r="B111" i="5"/>
  <c r="B110" i="5"/>
  <c r="B109" i="5"/>
  <c r="C110" i="5" s="1"/>
  <c r="C108" i="5"/>
  <c r="B108" i="5"/>
  <c r="C107" i="5"/>
  <c r="B107" i="5"/>
  <c r="B106" i="5"/>
  <c r="B105" i="5"/>
  <c r="B104" i="5"/>
  <c r="C105" i="5" s="1"/>
  <c r="B103" i="5"/>
  <c r="C104" i="5" s="1"/>
  <c r="B102" i="5"/>
  <c r="B101" i="5"/>
  <c r="B100" i="5"/>
  <c r="C101" i="5" s="1"/>
  <c r="B99" i="5"/>
  <c r="B98" i="5"/>
  <c r="C99" i="5" s="1"/>
  <c r="C97" i="5"/>
  <c r="B97" i="5"/>
  <c r="B96" i="5"/>
  <c r="B95" i="5"/>
  <c r="B94" i="5"/>
  <c r="B93" i="5"/>
  <c r="B92" i="5"/>
  <c r="B91" i="5"/>
  <c r="C92" i="5" s="1"/>
  <c r="B90" i="5"/>
  <c r="C91" i="5" s="1"/>
  <c r="B89" i="5"/>
  <c r="C88" i="5"/>
  <c r="B88" i="5"/>
  <c r="B87" i="5"/>
  <c r="B86" i="5"/>
  <c r="C87" i="5" s="1"/>
  <c r="B85" i="5"/>
  <c r="C86" i="5" s="1"/>
  <c r="B84" i="5"/>
  <c r="C84" i="5" s="1"/>
  <c r="B83" i="5"/>
  <c r="B82" i="5"/>
  <c r="C83" i="5" s="1"/>
  <c r="B81" i="5"/>
  <c r="C82" i="5" s="1"/>
  <c r="B80" i="5"/>
  <c r="C80" i="5" s="1"/>
  <c r="B79" i="5"/>
  <c r="B78" i="5"/>
  <c r="C79" i="5" s="1"/>
  <c r="B77" i="5"/>
  <c r="C76" i="5"/>
  <c r="B76" i="5"/>
  <c r="C77" i="5" s="1"/>
  <c r="B75" i="5"/>
  <c r="B74" i="5"/>
  <c r="C75" i="5" s="1"/>
  <c r="B73" i="5"/>
  <c r="B72" i="5"/>
  <c r="C72" i="5" s="1"/>
  <c r="B71" i="5"/>
  <c r="B70" i="5"/>
  <c r="C71" i="5" s="1"/>
  <c r="B69" i="5"/>
  <c r="B68" i="5"/>
  <c r="C68" i="5" s="1"/>
  <c r="B67" i="5"/>
  <c r="B66" i="5"/>
  <c r="C67" i="5" s="1"/>
  <c r="B65" i="5"/>
  <c r="C66" i="5" s="1"/>
  <c r="B64" i="5"/>
  <c r="C65" i="5" s="1"/>
  <c r="B63" i="5"/>
  <c r="B62" i="5"/>
  <c r="C63" i="5" s="1"/>
  <c r="B61" i="5"/>
  <c r="B60" i="5"/>
  <c r="C61" i="5" s="1"/>
  <c r="B59" i="5"/>
  <c r="B58" i="5"/>
  <c r="C59" i="5" s="1"/>
  <c r="B57" i="5"/>
  <c r="B56" i="5"/>
  <c r="C56" i="5" s="1"/>
  <c r="B55" i="5"/>
  <c r="B54" i="5"/>
  <c r="C55" i="5" s="1"/>
  <c r="B53" i="5"/>
  <c r="C54" i="5" s="1"/>
  <c r="B52" i="5"/>
  <c r="C52" i="5" s="1"/>
  <c r="B51" i="5"/>
  <c r="B50" i="5"/>
  <c r="C51" i="5" s="1"/>
  <c r="B49" i="5"/>
  <c r="C50" i="5" s="1"/>
  <c r="B48" i="5"/>
  <c r="C48" i="5" s="1"/>
  <c r="B47" i="5"/>
  <c r="B46" i="5"/>
  <c r="C47" i="5" s="1"/>
  <c r="B45" i="5"/>
  <c r="C44" i="5"/>
  <c r="B44" i="5"/>
  <c r="C45" i="5" s="1"/>
  <c r="B43" i="5"/>
  <c r="B42" i="5"/>
  <c r="C43" i="5" s="1"/>
  <c r="B41" i="5"/>
  <c r="B40" i="5"/>
  <c r="C40" i="5" s="1"/>
  <c r="B39" i="5"/>
  <c r="B38" i="5"/>
  <c r="C39" i="5" s="1"/>
  <c r="B37" i="5"/>
  <c r="B36" i="5"/>
  <c r="C36" i="5" s="1"/>
  <c r="B35" i="5"/>
  <c r="B34" i="5"/>
  <c r="C35" i="5" s="1"/>
  <c r="B33" i="5"/>
  <c r="C34" i="5" s="1"/>
  <c r="B32" i="5"/>
  <c r="C33" i="5" s="1"/>
  <c r="B31" i="5"/>
  <c r="B30" i="5"/>
  <c r="C31" i="5" s="1"/>
  <c r="B29" i="5"/>
  <c r="B28" i="5"/>
  <c r="C29" i="5" s="1"/>
  <c r="B27" i="5"/>
  <c r="B26" i="5"/>
  <c r="C27" i="5" s="1"/>
  <c r="B25" i="5"/>
  <c r="C26" i="5" s="1"/>
  <c r="B24" i="5"/>
  <c r="C24" i="5" s="1"/>
  <c r="B23" i="5"/>
  <c r="B22" i="5"/>
  <c r="C23" i="5" s="1"/>
  <c r="B21" i="5"/>
  <c r="C22" i="5" s="1"/>
  <c r="B20" i="5"/>
  <c r="C20" i="5" s="1"/>
  <c r="B19" i="5"/>
  <c r="B18" i="5"/>
  <c r="C19" i="5" s="1"/>
  <c r="B17" i="5"/>
  <c r="C18" i="5" s="1"/>
  <c r="B16" i="5"/>
  <c r="C16" i="5" s="1"/>
  <c r="B15" i="5"/>
  <c r="B14" i="5"/>
  <c r="C15" i="5" s="1"/>
  <c r="B13" i="5"/>
  <c r="C12" i="5"/>
  <c r="B12" i="5"/>
  <c r="C13" i="5" s="1"/>
  <c r="B11" i="5"/>
  <c r="B10" i="5"/>
  <c r="C11" i="5" s="1"/>
  <c r="B9" i="5"/>
  <c r="C10" i="5" s="1"/>
  <c r="B8" i="5"/>
  <c r="C8" i="5" s="1"/>
  <c r="B7" i="5"/>
  <c r="C7" i="5" s="1"/>
  <c r="B6" i="5"/>
  <c r="V84" i="4"/>
  <c r="U84" i="4"/>
  <c r="S84" i="4"/>
  <c r="T84" i="4" s="1"/>
  <c r="Q84" i="4"/>
  <c r="O84" i="4"/>
  <c r="M84" i="4"/>
  <c r="N84" i="4" s="1"/>
  <c r="L84" i="4"/>
  <c r="K84" i="4"/>
  <c r="J84" i="4"/>
  <c r="I84" i="4"/>
  <c r="G84" i="4"/>
  <c r="E84" i="4"/>
  <c r="F84" i="4" s="1"/>
  <c r="C84" i="4"/>
  <c r="D84" i="4" s="1"/>
  <c r="V83" i="4"/>
  <c r="U83" i="4"/>
  <c r="S83" i="4"/>
  <c r="Q83" i="4"/>
  <c r="O83" i="4"/>
  <c r="P84" i="4" s="1"/>
  <c r="N83" i="4"/>
  <c r="M83" i="4"/>
  <c r="K83" i="4"/>
  <c r="I83" i="4"/>
  <c r="J83" i="4" s="1"/>
  <c r="H83" i="4"/>
  <c r="G83" i="4"/>
  <c r="H84" i="4" s="1"/>
  <c r="F83" i="4"/>
  <c r="E83" i="4"/>
  <c r="C83" i="4"/>
  <c r="V82" i="4"/>
  <c r="U82" i="4"/>
  <c r="S82" i="4"/>
  <c r="R82" i="4"/>
  <c r="Q82" i="4"/>
  <c r="O82" i="4"/>
  <c r="M82" i="4"/>
  <c r="N82" i="4" s="1"/>
  <c r="K82" i="4"/>
  <c r="L83" i="4" s="1"/>
  <c r="J82" i="4"/>
  <c r="I82" i="4"/>
  <c r="G82" i="4"/>
  <c r="F82" i="4"/>
  <c r="E82" i="4"/>
  <c r="D82" i="4"/>
  <c r="C82" i="4"/>
  <c r="D83" i="4" s="1"/>
  <c r="U81" i="4"/>
  <c r="S81" i="4"/>
  <c r="R81" i="4"/>
  <c r="Q81" i="4"/>
  <c r="O81" i="4"/>
  <c r="M81" i="4"/>
  <c r="K81" i="4"/>
  <c r="I81" i="4"/>
  <c r="J81" i="4" s="1"/>
  <c r="H81" i="4"/>
  <c r="G81" i="4"/>
  <c r="H82" i="4" s="1"/>
  <c r="F81" i="4"/>
  <c r="E81" i="4"/>
  <c r="C81" i="4"/>
  <c r="U80" i="4"/>
  <c r="V81" i="4" s="1"/>
  <c r="S80" i="4"/>
  <c r="T81" i="4" s="1"/>
  <c r="R80" i="4"/>
  <c r="Q80" i="4"/>
  <c r="O80" i="4"/>
  <c r="M80" i="4"/>
  <c r="K80" i="4"/>
  <c r="L81" i="4" s="1"/>
  <c r="J80" i="4"/>
  <c r="I80" i="4"/>
  <c r="G80" i="4"/>
  <c r="E80" i="4"/>
  <c r="F80" i="4" s="1"/>
  <c r="D80" i="4"/>
  <c r="C80" i="4"/>
  <c r="D81" i="4" s="1"/>
  <c r="V79" i="4"/>
  <c r="U79" i="4"/>
  <c r="S79" i="4"/>
  <c r="R79" i="4"/>
  <c r="Q79" i="4"/>
  <c r="O79" i="4"/>
  <c r="N79" i="4"/>
  <c r="M79" i="4"/>
  <c r="K79" i="4"/>
  <c r="I79" i="4"/>
  <c r="J79" i="4" s="1"/>
  <c r="G79" i="4"/>
  <c r="H80" i="4" s="1"/>
  <c r="F79" i="4"/>
  <c r="E79" i="4"/>
  <c r="C79" i="4"/>
  <c r="V78" i="4"/>
  <c r="U78" i="4"/>
  <c r="T78" i="4"/>
  <c r="S78" i="4"/>
  <c r="T79" i="4" s="1"/>
  <c r="Q78" i="4"/>
  <c r="O78" i="4"/>
  <c r="N78" i="4"/>
  <c r="M78" i="4"/>
  <c r="K78" i="4"/>
  <c r="I78" i="4"/>
  <c r="G78" i="4"/>
  <c r="E78" i="4"/>
  <c r="F78" i="4" s="1"/>
  <c r="D78" i="4"/>
  <c r="C78" i="4"/>
  <c r="D79" i="4" s="1"/>
  <c r="V77" i="4"/>
  <c r="U77" i="4"/>
  <c r="S77" i="4"/>
  <c r="Q77" i="4"/>
  <c r="R78" i="4" s="1"/>
  <c r="P77" i="4"/>
  <c r="O77" i="4"/>
  <c r="P78" i="4" s="1"/>
  <c r="M77" i="4"/>
  <c r="K77" i="4"/>
  <c r="I77" i="4"/>
  <c r="J78" i="4" s="1"/>
  <c r="H77" i="4"/>
  <c r="G77" i="4"/>
  <c r="H78" i="4" s="1"/>
  <c r="F77" i="4"/>
  <c r="E77" i="4"/>
  <c r="C77" i="4"/>
  <c r="V76" i="4"/>
  <c r="U76" i="4"/>
  <c r="T76" i="4"/>
  <c r="S76" i="4"/>
  <c r="T77" i="4" s="1"/>
  <c r="Q76" i="4"/>
  <c r="O76" i="4"/>
  <c r="M76" i="4"/>
  <c r="N77" i="4" s="1"/>
  <c r="L76" i="4"/>
  <c r="K76" i="4"/>
  <c r="L77" i="4" s="1"/>
  <c r="I76" i="4"/>
  <c r="G76" i="4"/>
  <c r="F76" i="4"/>
  <c r="E76" i="4"/>
  <c r="D76" i="4"/>
  <c r="C76" i="4"/>
  <c r="D77" i="4" s="1"/>
  <c r="U75" i="4"/>
  <c r="S75" i="4"/>
  <c r="Q75" i="4"/>
  <c r="R76" i="4" s="1"/>
  <c r="O75" i="4"/>
  <c r="P76" i="4" s="1"/>
  <c r="M75" i="4"/>
  <c r="K75" i="4"/>
  <c r="I75" i="4"/>
  <c r="J75" i="4" s="1"/>
  <c r="H75" i="4"/>
  <c r="G75" i="4"/>
  <c r="H76" i="4" s="1"/>
  <c r="F75" i="4"/>
  <c r="E75" i="4"/>
  <c r="C75" i="4"/>
  <c r="U74" i="4"/>
  <c r="V75" i="4" s="1"/>
  <c r="S74" i="4"/>
  <c r="T75" i="4" s="1"/>
  <c r="R74" i="4"/>
  <c r="Q74" i="4"/>
  <c r="O74" i="4"/>
  <c r="M74" i="4"/>
  <c r="N75" i="4" s="1"/>
  <c r="K74" i="4"/>
  <c r="L75" i="4" s="1"/>
  <c r="I74" i="4"/>
  <c r="G74" i="4"/>
  <c r="E74" i="4"/>
  <c r="F74" i="4" s="1"/>
  <c r="C74" i="4"/>
  <c r="D75" i="4" s="1"/>
  <c r="V73" i="4"/>
  <c r="U73" i="4"/>
  <c r="S73" i="4"/>
  <c r="R73" i="4"/>
  <c r="Q73" i="4"/>
  <c r="O73" i="4"/>
  <c r="P74" i="4" s="1"/>
  <c r="M73" i="4"/>
  <c r="K73" i="4"/>
  <c r="I73" i="4"/>
  <c r="J74" i="4" s="1"/>
  <c r="G73" i="4"/>
  <c r="H74" i="4" s="1"/>
  <c r="E73" i="4"/>
  <c r="C73" i="4"/>
  <c r="V72" i="4"/>
  <c r="U72" i="4"/>
  <c r="T72" i="4"/>
  <c r="S72" i="4"/>
  <c r="T73" i="4" s="1"/>
  <c r="Q72" i="4"/>
  <c r="O72" i="4"/>
  <c r="M72" i="4"/>
  <c r="N73" i="4" s="1"/>
  <c r="K72" i="4"/>
  <c r="L73" i="4" s="1"/>
  <c r="I72" i="4"/>
  <c r="G72" i="4"/>
  <c r="E72" i="4"/>
  <c r="F72" i="4" s="1"/>
  <c r="D72" i="4"/>
  <c r="C72" i="4"/>
  <c r="D73" i="4" s="1"/>
  <c r="V71" i="4"/>
  <c r="U71" i="4"/>
  <c r="S71" i="4"/>
  <c r="Q71" i="4"/>
  <c r="R72" i="4" s="1"/>
  <c r="O71" i="4"/>
  <c r="P72" i="4" s="1"/>
  <c r="N71" i="4"/>
  <c r="M71" i="4"/>
  <c r="K71" i="4"/>
  <c r="I71" i="4"/>
  <c r="J72" i="4" s="1"/>
  <c r="G71" i="4"/>
  <c r="H72" i="4" s="1"/>
  <c r="E71" i="4"/>
  <c r="C71" i="4"/>
  <c r="U70" i="4"/>
  <c r="V70" i="4" s="1"/>
  <c r="S70" i="4"/>
  <c r="T71" i="4" s="1"/>
  <c r="R70" i="4"/>
  <c r="Q70" i="4"/>
  <c r="O70" i="4"/>
  <c r="N70" i="4"/>
  <c r="M70" i="4"/>
  <c r="K70" i="4"/>
  <c r="L71" i="4" s="1"/>
  <c r="I70" i="4"/>
  <c r="G70" i="4"/>
  <c r="E70" i="4"/>
  <c r="F71" i="4" s="1"/>
  <c r="C70" i="4"/>
  <c r="D71" i="4" s="1"/>
  <c r="U69" i="4"/>
  <c r="S69" i="4"/>
  <c r="R69" i="4"/>
  <c r="Q69" i="4"/>
  <c r="P69" i="4"/>
  <c r="O69" i="4"/>
  <c r="P70" i="4" s="1"/>
  <c r="M69" i="4"/>
  <c r="K69" i="4"/>
  <c r="I69" i="4"/>
  <c r="J70" i="4" s="1"/>
  <c r="G69" i="4"/>
  <c r="H70" i="4" s="1"/>
  <c r="E69" i="4"/>
  <c r="C69" i="4"/>
  <c r="U68" i="4"/>
  <c r="V69" i="4" s="1"/>
  <c r="T68" i="4"/>
  <c r="S68" i="4"/>
  <c r="T69" i="4" s="1"/>
  <c r="R68" i="4"/>
  <c r="Q68" i="4"/>
  <c r="O68" i="4"/>
  <c r="M68" i="4"/>
  <c r="N69" i="4" s="1"/>
  <c r="K68" i="4"/>
  <c r="L69" i="4" s="1"/>
  <c r="J68" i="4"/>
  <c r="I68" i="4"/>
  <c r="G68" i="4"/>
  <c r="E68" i="4"/>
  <c r="F69" i="4" s="1"/>
  <c r="C68" i="4"/>
  <c r="D69" i="4" s="1"/>
  <c r="U67" i="4"/>
  <c r="S67" i="4"/>
  <c r="Q67" i="4"/>
  <c r="R67" i="4" s="1"/>
  <c r="O67" i="4"/>
  <c r="P68" i="4" s="1"/>
  <c r="N67" i="4"/>
  <c r="M67" i="4"/>
  <c r="K67" i="4"/>
  <c r="J67" i="4"/>
  <c r="I67" i="4"/>
  <c r="G67" i="4"/>
  <c r="H68" i="4" s="1"/>
  <c r="E67" i="4"/>
  <c r="C67" i="4"/>
  <c r="U66" i="4"/>
  <c r="V67" i="4" s="1"/>
  <c r="S66" i="4"/>
  <c r="T67" i="4" s="1"/>
  <c r="Q66" i="4"/>
  <c r="O66" i="4"/>
  <c r="N66" i="4"/>
  <c r="M66" i="4"/>
  <c r="L66" i="4"/>
  <c r="K66" i="4"/>
  <c r="L67" i="4" s="1"/>
  <c r="I66" i="4"/>
  <c r="G66" i="4"/>
  <c r="E66" i="4"/>
  <c r="F67" i="4" s="1"/>
  <c r="C66" i="4"/>
  <c r="D67" i="4" s="1"/>
  <c r="U65" i="4"/>
  <c r="S65" i="4"/>
  <c r="Q65" i="4"/>
  <c r="R65" i="4" s="1"/>
  <c r="P65" i="4"/>
  <c r="O65" i="4"/>
  <c r="P66" i="4" s="1"/>
  <c r="N65" i="4"/>
  <c r="M65" i="4"/>
  <c r="K65" i="4"/>
  <c r="I65" i="4"/>
  <c r="J66" i="4" s="1"/>
  <c r="G65" i="4"/>
  <c r="H66" i="4" s="1"/>
  <c r="F65" i="4"/>
  <c r="E65" i="4"/>
  <c r="C65" i="4"/>
  <c r="U64" i="4"/>
  <c r="V65" i="4" s="1"/>
  <c r="S64" i="4"/>
  <c r="T65" i="4" s="1"/>
  <c r="Q64" i="4"/>
  <c r="O64" i="4"/>
  <c r="M64" i="4"/>
  <c r="N64" i="4" s="1"/>
  <c r="K64" i="4"/>
  <c r="L65" i="4" s="1"/>
  <c r="J64" i="4"/>
  <c r="I64" i="4"/>
  <c r="G64" i="4"/>
  <c r="F64" i="4"/>
  <c r="E64" i="4"/>
  <c r="C64" i="4"/>
  <c r="D65" i="4" s="1"/>
  <c r="U63" i="4"/>
  <c r="S63" i="4"/>
  <c r="Q63" i="4"/>
  <c r="R64" i="4" s="1"/>
  <c r="O63" i="4"/>
  <c r="P64" i="4" s="1"/>
  <c r="M63" i="4"/>
  <c r="K63" i="4"/>
  <c r="J63" i="4"/>
  <c r="I63" i="4"/>
  <c r="H63" i="4"/>
  <c r="G63" i="4"/>
  <c r="H64" i="4" s="1"/>
  <c r="E63" i="4"/>
  <c r="C63" i="4"/>
  <c r="U62" i="4"/>
  <c r="V63" i="4" s="1"/>
  <c r="S62" i="4"/>
  <c r="T63" i="4" s="1"/>
  <c r="Q62" i="4"/>
  <c r="O62" i="4"/>
  <c r="M62" i="4"/>
  <c r="N62" i="4" s="1"/>
  <c r="L62" i="4"/>
  <c r="K62" i="4"/>
  <c r="L63" i="4" s="1"/>
  <c r="J62" i="4"/>
  <c r="I62" i="4"/>
  <c r="G62" i="4"/>
  <c r="E62" i="4"/>
  <c r="F63" i="4" s="1"/>
  <c r="C62" i="4"/>
  <c r="D63" i="4" s="1"/>
  <c r="V61" i="4"/>
  <c r="U61" i="4"/>
  <c r="S61" i="4"/>
  <c r="Q61" i="4"/>
  <c r="R62" i="4" s="1"/>
  <c r="O61" i="4"/>
  <c r="P62" i="4" s="1"/>
  <c r="N61" i="4"/>
  <c r="M61" i="4"/>
  <c r="K61" i="4"/>
  <c r="I61" i="4"/>
  <c r="J61" i="4" s="1"/>
  <c r="G61" i="4"/>
  <c r="H62" i="4" s="1"/>
  <c r="F61" i="4"/>
  <c r="E61" i="4"/>
  <c r="C61" i="4"/>
  <c r="V60" i="4"/>
  <c r="U60" i="4"/>
  <c r="S60" i="4"/>
  <c r="T61" i="4" s="1"/>
  <c r="R60" i="4"/>
  <c r="Q60" i="4"/>
  <c r="P60" i="4"/>
  <c r="O60" i="4"/>
  <c r="N60" i="4"/>
  <c r="M60" i="4"/>
  <c r="K60" i="4"/>
  <c r="L61" i="4" s="1"/>
  <c r="J60" i="4"/>
  <c r="I60" i="4"/>
  <c r="H60" i="4"/>
  <c r="G60" i="4"/>
  <c r="F60" i="4"/>
  <c r="E60" i="4"/>
  <c r="C60" i="4"/>
  <c r="D61" i="4" s="1"/>
  <c r="V59" i="4"/>
  <c r="U59" i="4"/>
  <c r="T59" i="4"/>
  <c r="S59" i="4"/>
  <c r="R59" i="4"/>
  <c r="Q59" i="4"/>
  <c r="O59" i="4"/>
  <c r="P59" i="4" s="1"/>
  <c r="N59" i="4"/>
  <c r="M59" i="4"/>
  <c r="L59" i="4"/>
  <c r="K59" i="4"/>
  <c r="J59" i="4"/>
  <c r="I59" i="4"/>
  <c r="G59" i="4"/>
  <c r="H59" i="4" s="1"/>
  <c r="F59" i="4"/>
  <c r="E59" i="4"/>
  <c r="D59" i="4"/>
  <c r="C59" i="4"/>
  <c r="V58" i="4"/>
  <c r="U58" i="4"/>
  <c r="S58" i="4"/>
  <c r="T58" i="4" s="1"/>
  <c r="R58" i="4"/>
  <c r="Q58" i="4"/>
  <c r="P58" i="4"/>
  <c r="O58" i="4"/>
  <c r="N58" i="4"/>
  <c r="M58" i="4"/>
  <c r="K58" i="4"/>
  <c r="L58" i="4" s="1"/>
  <c r="J58" i="4"/>
  <c r="I58" i="4"/>
  <c r="H58" i="4"/>
  <c r="G58" i="4"/>
  <c r="F58" i="4"/>
  <c r="E58" i="4"/>
  <c r="C58" i="4"/>
  <c r="D58" i="4" s="1"/>
  <c r="V57" i="4"/>
  <c r="U57" i="4"/>
  <c r="T57" i="4"/>
  <c r="S57" i="4"/>
  <c r="R57" i="4"/>
  <c r="Q57" i="4"/>
  <c r="O57" i="4"/>
  <c r="P57" i="4" s="1"/>
  <c r="N57" i="4"/>
  <c r="M57" i="4"/>
  <c r="L57" i="4"/>
  <c r="K57" i="4"/>
  <c r="J57" i="4"/>
  <c r="I57" i="4"/>
  <c r="G57" i="4"/>
  <c r="H57" i="4" s="1"/>
  <c r="F57" i="4"/>
  <c r="E57" i="4"/>
  <c r="D57" i="4"/>
  <c r="C57" i="4"/>
  <c r="V56" i="4"/>
  <c r="U56" i="4"/>
  <c r="S56" i="4"/>
  <c r="T56" i="4" s="1"/>
  <c r="R56" i="4"/>
  <c r="Q56" i="4"/>
  <c r="P56" i="4"/>
  <c r="O56" i="4"/>
  <c r="N56" i="4"/>
  <c r="M56" i="4"/>
  <c r="K56" i="4"/>
  <c r="L56" i="4" s="1"/>
  <c r="J56" i="4"/>
  <c r="I56" i="4"/>
  <c r="H56" i="4"/>
  <c r="G56" i="4"/>
  <c r="F56" i="4"/>
  <c r="E56" i="4"/>
  <c r="C56" i="4"/>
  <c r="D56" i="4" s="1"/>
  <c r="V55" i="4"/>
  <c r="U55" i="4"/>
  <c r="T55" i="4"/>
  <c r="S55" i="4"/>
  <c r="R55" i="4"/>
  <c r="Q55" i="4"/>
  <c r="O55" i="4"/>
  <c r="P55" i="4" s="1"/>
  <c r="N55" i="4"/>
  <c r="M55" i="4"/>
  <c r="L55" i="4"/>
  <c r="K55" i="4"/>
  <c r="J55" i="4"/>
  <c r="I55" i="4"/>
  <c r="G55" i="4"/>
  <c r="H55" i="4" s="1"/>
  <c r="F55" i="4"/>
  <c r="E55" i="4"/>
  <c r="D55" i="4"/>
  <c r="C55" i="4"/>
  <c r="V54" i="4"/>
  <c r="U54" i="4"/>
  <c r="S54" i="4"/>
  <c r="T54" i="4" s="1"/>
  <c r="R54" i="4"/>
  <c r="Q54" i="4"/>
  <c r="P54" i="4"/>
  <c r="O54" i="4"/>
  <c r="N54" i="4"/>
  <c r="M54" i="4"/>
  <c r="K54" i="4"/>
  <c r="L54" i="4" s="1"/>
  <c r="J54" i="4"/>
  <c r="I54" i="4"/>
  <c r="H54" i="4"/>
  <c r="G54" i="4"/>
  <c r="F54" i="4"/>
  <c r="E54" i="4"/>
  <c r="C54" i="4"/>
  <c r="D54" i="4" s="1"/>
  <c r="V53" i="4"/>
  <c r="U53" i="4"/>
  <c r="T53" i="4"/>
  <c r="S53" i="4"/>
  <c r="R53" i="4"/>
  <c r="Q53" i="4"/>
  <c r="O53" i="4"/>
  <c r="P53" i="4" s="1"/>
  <c r="N53" i="4"/>
  <c r="M53" i="4"/>
  <c r="L53" i="4"/>
  <c r="K53" i="4"/>
  <c r="J53" i="4"/>
  <c r="I53" i="4"/>
  <c r="G53" i="4"/>
  <c r="H53" i="4" s="1"/>
  <c r="E53" i="4"/>
  <c r="F53" i="4" s="1"/>
  <c r="D53" i="4"/>
  <c r="C53" i="4"/>
  <c r="V52" i="4"/>
  <c r="U52" i="4"/>
  <c r="S52" i="4"/>
  <c r="T52" i="4" s="1"/>
  <c r="Q52" i="4"/>
  <c r="R52" i="4" s="1"/>
  <c r="P52" i="4"/>
  <c r="O52" i="4"/>
  <c r="N52" i="4"/>
  <c r="M52" i="4"/>
  <c r="K52" i="4"/>
  <c r="L52" i="4" s="1"/>
  <c r="I52" i="4"/>
  <c r="J52" i="4" s="1"/>
  <c r="H52" i="4"/>
  <c r="G52" i="4"/>
  <c r="F52" i="4"/>
  <c r="E52" i="4"/>
  <c r="C52" i="4"/>
  <c r="D52" i="4" s="1"/>
  <c r="U51" i="4"/>
  <c r="V51" i="4" s="1"/>
  <c r="T51" i="4"/>
  <c r="S51" i="4"/>
  <c r="R51" i="4"/>
  <c r="Q51" i="4"/>
  <c r="O51" i="4"/>
  <c r="P51" i="4" s="1"/>
  <c r="M51" i="4"/>
  <c r="N51" i="4" s="1"/>
  <c r="L51" i="4"/>
  <c r="K51" i="4"/>
  <c r="J51" i="4"/>
  <c r="I51" i="4"/>
  <c r="G51" i="4"/>
  <c r="H51" i="4" s="1"/>
  <c r="E51" i="4"/>
  <c r="F51" i="4" s="1"/>
  <c r="D51" i="4"/>
  <c r="C51" i="4"/>
  <c r="V50" i="4"/>
  <c r="U50" i="4"/>
  <c r="S50" i="4"/>
  <c r="T50" i="4" s="1"/>
  <c r="Q50" i="4"/>
  <c r="R50" i="4" s="1"/>
  <c r="P50" i="4"/>
  <c r="O50" i="4"/>
  <c r="N50" i="4"/>
  <c r="M50" i="4"/>
  <c r="K50" i="4"/>
  <c r="L50" i="4" s="1"/>
  <c r="I50" i="4"/>
  <c r="J50" i="4" s="1"/>
  <c r="H50" i="4"/>
  <c r="G50" i="4"/>
  <c r="F50" i="4"/>
  <c r="E50" i="4"/>
  <c r="C50" i="4"/>
  <c r="D50" i="4" s="1"/>
  <c r="U49" i="4"/>
  <c r="V49" i="4" s="1"/>
  <c r="T49" i="4"/>
  <c r="S49" i="4"/>
  <c r="R49" i="4"/>
  <c r="Q49" i="4"/>
  <c r="O49" i="4"/>
  <c r="P49" i="4" s="1"/>
  <c r="M49" i="4"/>
  <c r="N49" i="4" s="1"/>
  <c r="L49" i="4"/>
  <c r="K49" i="4"/>
  <c r="J49" i="4"/>
  <c r="I49" i="4"/>
  <c r="G49" i="4"/>
  <c r="H49" i="4" s="1"/>
  <c r="E49" i="4"/>
  <c r="F49" i="4" s="1"/>
  <c r="D49" i="4"/>
  <c r="C49" i="4"/>
  <c r="V48" i="4"/>
  <c r="U48" i="4"/>
  <c r="S48" i="4"/>
  <c r="T48" i="4" s="1"/>
  <c r="Q48" i="4"/>
  <c r="R48" i="4" s="1"/>
  <c r="P48" i="4"/>
  <c r="O48" i="4"/>
  <c r="N48" i="4"/>
  <c r="M48" i="4"/>
  <c r="K48" i="4"/>
  <c r="L48" i="4" s="1"/>
  <c r="I48" i="4"/>
  <c r="J48" i="4" s="1"/>
  <c r="H48" i="4"/>
  <c r="G48" i="4"/>
  <c r="F48" i="4"/>
  <c r="E48" i="4"/>
  <c r="C48" i="4"/>
  <c r="D48" i="4" s="1"/>
  <c r="U47" i="4"/>
  <c r="V47" i="4" s="1"/>
  <c r="T47" i="4"/>
  <c r="S47" i="4"/>
  <c r="R47" i="4"/>
  <c r="Q47" i="4"/>
  <c r="O47" i="4"/>
  <c r="P47" i="4" s="1"/>
  <c r="M47" i="4"/>
  <c r="N47" i="4" s="1"/>
  <c r="L47" i="4"/>
  <c r="K47" i="4"/>
  <c r="J47" i="4"/>
  <c r="I47" i="4"/>
  <c r="G47" i="4"/>
  <c r="H47" i="4" s="1"/>
  <c r="E47" i="4"/>
  <c r="F47" i="4" s="1"/>
  <c r="D47" i="4"/>
  <c r="C47" i="4"/>
  <c r="V46" i="4"/>
  <c r="U46" i="4"/>
  <c r="S46" i="4"/>
  <c r="T46" i="4" s="1"/>
  <c r="Q46" i="4"/>
  <c r="R46" i="4" s="1"/>
  <c r="P46" i="4"/>
  <c r="O46" i="4"/>
  <c r="N46" i="4"/>
  <c r="M46" i="4"/>
  <c r="K46" i="4"/>
  <c r="L46" i="4" s="1"/>
  <c r="I46" i="4"/>
  <c r="J46" i="4" s="1"/>
  <c r="H46" i="4"/>
  <c r="G46" i="4"/>
  <c r="F46" i="4"/>
  <c r="E46" i="4"/>
  <c r="C46" i="4"/>
  <c r="D46" i="4" s="1"/>
  <c r="U45" i="4"/>
  <c r="V45" i="4" s="1"/>
  <c r="T45" i="4"/>
  <c r="S45" i="4"/>
  <c r="R45" i="4"/>
  <c r="Q45" i="4"/>
  <c r="O45" i="4"/>
  <c r="P45" i="4" s="1"/>
  <c r="M45" i="4"/>
  <c r="N45" i="4" s="1"/>
  <c r="L45" i="4"/>
  <c r="K45" i="4"/>
  <c r="J45" i="4"/>
  <c r="I45" i="4"/>
  <c r="G45" i="4"/>
  <c r="H45" i="4" s="1"/>
  <c r="E45" i="4"/>
  <c r="F45" i="4" s="1"/>
  <c r="D45" i="4"/>
  <c r="C45" i="4"/>
  <c r="V44" i="4"/>
  <c r="U44" i="4"/>
  <c r="S44" i="4"/>
  <c r="T44" i="4" s="1"/>
  <c r="Q44" i="4"/>
  <c r="R44" i="4" s="1"/>
  <c r="P44" i="4"/>
  <c r="O44" i="4"/>
  <c r="N44" i="4"/>
  <c r="M44" i="4"/>
  <c r="K44" i="4"/>
  <c r="L44" i="4" s="1"/>
  <c r="I44" i="4"/>
  <c r="J44" i="4" s="1"/>
  <c r="H44" i="4"/>
  <c r="G44" i="4"/>
  <c r="F44" i="4"/>
  <c r="E44" i="4"/>
  <c r="C44" i="4"/>
  <c r="D44" i="4" s="1"/>
  <c r="U43" i="4"/>
  <c r="V43" i="4" s="1"/>
  <c r="T43" i="4"/>
  <c r="S43" i="4"/>
  <c r="R43" i="4"/>
  <c r="Q43" i="4"/>
  <c r="O43" i="4"/>
  <c r="P43" i="4" s="1"/>
  <c r="M43" i="4"/>
  <c r="N43" i="4" s="1"/>
  <c r="L43" i="4"/>
  <c r="K43" i="4"/>
  <c r="J43" i="4"/>
  <c r="I43" i="4"/>
  <c r="G43" i="4"/>
  <c r="H43" i="4" s="1"/>
  <c r="E43" i="4"/>
  <c r="F43" i="4" s="1"/>
  <c r="D43" i="4"/>
  <c r="C43" i="4"/>
  <c r="V42" i="4"/>
  <c r="U42" i="4"/>
  <c r="S42" i="4"/>
  <c r="T42" i="4" s="1"/>
  <c r="Q42" i="4"/>
  <c r="R42" i="4" s="1"/>
  <c r="P42" i="4"/>
  <c r="O42" i="4"/>
  <c r="N42" i="4"/>
  <c r="M42" i="4"/>
  <c r="K42" i="4"/>
  <c r="L42" i="4" s="1"/>
  <c r="I42" i="4"/>
  <c r="J42" i="4" s="1"/>
  <c r="H42" i="4"/>
  <c r="G42" i="4"/>
  <c r="F42" i="4"/>
  <c r="E42" i="4"/>
  <c r="C42" i="4"/>
  <c r="D42" i="4" s="1"/>
  <c r="U41" i="4"/>
  <c r="V41" i="4" s="1"/>
  <c r="T41" i="4"/>
  <c r="S41" i="4"/>
  <c r="R41" i="4"/>
  <c r="Q41" i="4"/>
  <c r="O41" i="4"/>
  <c r="P41" i="4" s="1"/>
  <c r="M41" i="4"/>
  <c r="N41" i="4" s="1"/>
  <c r="L41" i="4"/>
  <c r="K41" i="4"/>
  <c r="J41" i="4"/>
  <c r="I41" i="4"/>
  <c r="G41" i="4"/>
  <c r="H41" i="4" s="1"/>
  <c r="E41" i="4"/>
  <c r="F41" i="4" s="1"/>
  <c r="D41" i="4"/>
  <c r="C41" i="4"/>
  <c r="V40" i="4"/>
  <c r="U40" i="4"/>
  <c r="S40" i="4"/>
  <c r="T40" i="4" s="1"/>
  <c r="Q40" i="4"/>
  <c r="R40" i="4" s="1"/>
  <c r="P40" i="4"/>
  <c r="O40" i="4"/>
  <c r="N40" i="4"/>
  <c r="M40" i="4"/>
  <c r="K40" i="4"/>
  <c r="L40" i="4" s="1"/>
  <c r="I40" i="4"/>
  <c r="J40" i="4" s="1"/>
  <c r="H40" i="4"/>
  <c r="G40" i="4"/>
  <c r="F40" i="4"/>
  <c r="E40" i="4"/>
  <c r="C40" i="4"/>
  <c r="D40" i="4" s="1"/>
  <c r="U39" i="4"/>
  <c r="V39" i="4" s="1"/>
  <c r="T39" i="4"/>
  <c r="S39" i="4"/>
  <c r="R39" i="4"/>
  <c r="Q39" i="4"/>
  <c r="O39" i="4"/>
  <c r="P39" i="4" s="1"/>
  <c r="M39" i="4"/>
  <c r="N39" i="4" s="1"/>
  <c r="L39" i="4"/>
  <c r="K39" i="4"/>
  <c r="J39" i="4"/>
  <c r="I39" i="4"/>
  <c r="G39" i="4"/>
  <c r="H39" i="4" s="1"/>
  <c r="E39" i="4"/>
  <c r="F39" i="4" s="1"/>
  <c r="D39" i="4"/>
  <c r="C39" i="4"/>
  <c r="V38" i="4"/>
  <c r="U38" i="4"/>
  <c r="S38" i="4"/>
  <c r="T38" i="4" s="1"/>
  <c r="Q38" i="4"/>
  <c r="R38" i="4" s="1"/>
  <c r="P38" i="4"/>
  <c r="O38" i="4"/>
  <c r="N38" i="4"/>
  <c r="M38" i="4"/>
  <c r="K38" i="4"/>
  <c r="L38" i="4" s="1"/>
  <c r="I38" i="4"/>
  <c r="J38" i="4" s="1"/>
  <c r="H38" i="4"/>
  <c r="G38" i="4"/>
  <c r="F38" i="4"/>
  <c r="E38" i="4"/>
  <c r="C38" i="4"/>
  <c r="D38" i="4" s="1"/>
  <c r="U37" i="4"/>
  <c r="V37" i="4" s="1"/>
  <c r="T37" i="4"/>
  <c r="S37" i="4"/>
  <c r="R37" i="4"/>
  <c r="Q37" i="4"/>
  <c r="O37" i="4"/>
  <c r="P37" i="4" s="1"/>
  <c r="M37" i="4"/>
  <c r="N37" i="4" s="1"/>
  <c r="L37" i="4"/>
  <c r="K37" i="4"/>
  <c r="J37" i="4"/>
  <c r="I37" i="4"/>
  <c r="G37" i="4"/>
  <c r="H37" i="4" s="1"/>
  <c r="E37" i="4"/>
  <c r="F37" i="4" s="1"/>
  <c r="D37" i="4"/>
  <c r="C37" i="4"/>
  <c r="V36" i="4"/>
  <c r="U36" i="4"/>
  <c r="S36" i="4"/>
  <c r="T36" i="4" s="1"/>
  <c r="Q36" i="4"/>
  <c r="R36" i="4" s="1"/>
  <c r="P36" i="4"/>
  <c r="O36" i="4"/>
  <c r="N36" i="4"/>
  <c r="M36" i="4"/>
  <c r="K36" i="4"/>
  <c r="L36" i="4" s="1"/>
  <c r="I36" i="4"/>
  <c r="J36" i="4" s="1"/>
  <c r="H36" i="4"/>
  <c r="G36" i="4"/>
  <c r="F36" i="4"/>
  <c r="E36" i="4"/>
  <c r="C36" i="4"/>
  <c r="D36" i="4" s="1"/>
  <c r="U35" i="4"/>
  <c r="V35" i="4" s="1"/>
  <c r="T35" i="4"/>
  <c r="S35" i="4"/>
  <c r="R35" i="4"/>
  <c r="Q35" i="4"/>
  <c r="O35" i="4"/>
  <c r="P35" i="4" s="1"/>
  <c r="M35" i="4"/>
  <c r="N35" i="4" s="1"/>
  <c r="L35" i="4"/>
  <c r="K35" i="4"/>
  <c r="J35" i="4"/>
  <c r="I35" i="4"/>
  <c r="G35" i="4"/>
  <c r="H35" i="4" s="1"/>
  <c r="E35" i="4"/>
  <c r="F35" i="4" s="1"/>
  <c r="D35" i="4"/>
  <c r="C35" i="4"/>
  <c r="V34" i="4"/>
  <c r="U34" i="4"/>
  <c r="S34" i="4"/>
  <c r="T34" i="4" s="1"/>
  <c r="Q34" i="4"/>
  <c r="R34" i="4" s="1"/>
  <c r="P34" i="4"/>
  <c r="O34" i="4"/>
  <c r="N34" i="4"/>
  <c r="M34" i="4"/>
  <c r="K34" i="4"/>
  <c r="L34" i="4" s="1"/>
  <c r="I34" i="4"/>
  <c r="J34" i="4" s="1"/>
  <c r="H34" i="4"/>
  <c r="G34" i="4"/>
  <c r="F34" i="4"/>
  <c r="E34" i="4"/>
  <c r="C34" i="4"/>
  <c r="D34" i="4" s="1"/>
  <c r="U33" i="4"/>
  <c r="V33" i="4" s="1"/>
  <c r="T33" i="4"/>
  <c r="S33" i="4"/>
  <c r="R33" i="4"/>
  <c r="Q33" i="4"/>
  <c r="O33" i="4"/>
  <c r="P33" i="4" s="1"/>
  <c r="M33" i="4"/>
  <c r="N33" i="4" s="1"/>
  <c r="L33" i="4"/>
  <c r="K33" i="4"/>
  <c r="J33" i="4"/>
  <c r="I33" i="4"/>
  <c r="G33" i="4"/>
  <c r="H33" i="4" s="1"/>
  <c r="E33" i="4"/>
  <c r="F33" i="4" s="1"/>
  <c r="D33" i="4"/>
  <c r="C33" i="4"/>
  <c r="V32" i="4"/>
  <c r="U32" i="4"/>
  <c r="S32" i="4"/>
  <c r="T32" i="4" s="1"/>
  <c r="Q32" i="4"/>
  <c r="R32" i="4" s="1"/>
  <c r="P32" i="4"/>
  <c r="O32" i="4"/>
  <c r="N32" i="4"/>
  <c r="M32" i="4"/>
  <c r="K32" i="4"/>
  <c r="L32" i="4" s="1"/>
  <c r="I32" i="4"/>
  <c r="J32" i="4" s="1"/>
  <c r="H32" i="4"/>
  <c r="G32" i="4"/>
  <c r="F32" i="4"/>
  <c r="E32" i="4"/>
  <c r="C32" i="4"/>
  <c r="D32" i="4" s="1"/>
  <c r="U31" i="4"/>
  <c r="V31" i="4" s="1"/>
  <c r="T31" i="4"/>
  <c r="S31" i="4"/>
  <c r="R31" i="4"/>
  <c r="Q31" i="4"/>
  <c r="O31" i="4"/>
  <c r="P31" i="4" s="1"/>
  <c r="M31" i="4"/>
  <c r="N31" i="4" s="1"/>
  <c r="L31" i="4"/>
  <c r="K31" i="4"/>
  <c r="J31" i="4"/>
  <c r="I31" i="4"/>
  <c r="G31" i="4"/>
  <c r="H31" i="4" s="1"/>
  <c r="E31" i="4"/>
  <c r="F31" i="4" s="1"/>
  <c r="D31" i="4"/>
  <c r="C31" i="4"/>
  <c r="V30" i="4"/>
  <c r="U30" i="4"/>
  <c r="S30" i="4"/>
  <c r="T30" i="4" s="1"/>
  <c r="Q30" i="4"/>
  <c r="R30" i="4" s="1"/>
  <c r="P30" i="4"/>
  <c r="O30" i="4"/>
  <c r="N30" i="4"/>
  <c r="M30" i="4"/>
  <c r="K30" i="4"/>
  <c r="L30" i="4" s="1"/>
  <c r="I30" i="4"/>
  <c r="J30" i="4" s="1"/>
  <c r="H30" i="4"/>
  <c r="G30" i="4"/>
  <c r="F30" i="4"/>
  <c r="E30" i="4"/>
  <c r="C30" i="4"/>
  <c r="D30" i="4" s="1"/>
  <c r="U29" i="4"/>
  <c r="V29" i="4" s="1"/>
  <c r="T29" i="4"/>
  <c r="S29" i="4"/>
  <c r="R29" i="4"/>
  <c r="Q29" i="4"/>
  <c r="O29" i="4"/>
  <c r="P29" i="4" s="1"/>
  <c r="M29" i="4"/>
  <c r="N29" i="4" s="1"/>
  <c r="L29" i="4"/>
  <c r="K29" i="4"/>
  <c r="J29" i="4"/>
  <c r="I29" i="4"/>
  <c r="G29" i="4"/>
  <c r="H29" i="4" s="1"/>
  <c r="E29" i="4"/>
  <c r="F29" i="4" s="1"/>
  <c r="D29" i="4"/>
  <c r="C29" i="4"/>
  <c r="V28" i="4"/>
  <c r="U28" i="4"/>
  <c r="S28" i="4"/>
  <c r="T28" i="4" s="1"/>
  <c r="Q28" i="4"/>
  <c r="R28" i="4" s="1"/>
  <c r="P28" i="4"/>
  <c r="O28" i="4"/>
  <c r="N28" i="4"/>
  <c r="M28" i="4"/>
  <c r="K28" i="4"/>
  <c r="L28" i="4" s="1"/>
  <c r="I28" i="4"/>
  <c r="J28" i="4" s="1"/>
  <c r="H28" i="4"/>
  <c r="G28" i="4"/>
  <c r="F28" i="4"/>
  <c r="E28" i="4"/>
  <c r="C28" i="4"/>
  <c r="D28" i="4" s="1"/>
  <c r="U27" i="4"/>
  <c r="V27" i="4" s="1"/>
  <c r="T27" i="4"/>
  <c r="S27" i="4"/>
  <c r="R27" i="4"/>
  <c r="Q27" i="4"/>
  <c r="O27" i="4"/>
  <c r="P27" i="4" s="1"/>
  <c r="M27" i="4"/>
  <c r="N27" i="4" s="1"/>
  <c r="L27" i="4"/>
  <c r="K27" i="4"/>
  <c r="J27" i="4"/>
  <c r="I27" i="4"/>
  <c r="G27" i="4"/>
  <c r="H27" i="4" s="1"/>
  <c r="E27" i="4"/>
  <c r="F27" i="4" s="1"/>
  <c r="D27" i="4"/>
  <c r="C27" i="4"/>
  <c r="V26" i="4"/>
  <c r="U26" i="4"/>
  <c r="S26" i="4"/>
  <c r="T26" i="4" s="1"/>
  <c r="Q26" i="4"/>
  <c r="R26" i="4" s="1"/>
  <c r="P26" i="4"/>
  <c r="O26" i="4"/>
  <c r="N26" i="4"/>
  <c r="M26" i="4"/>
  <c r="K26" i="4"/>
  <c r="L26" i="4" s="1"/>
  <c r="I26" i="4"/>
  <c r="J26" i="4" s="1"/>
  <c r="H26" i="4"/>
  <c r="G26" i="4"/>
  <c r="F26" i="4"/>
  <c r="E26" i="4"/>
  <c r="C26" i="4"/>
  <c r="D26" i="4" s="1"/>
  <c r="U25" i="4"/>
  <c r="V25" i="4" s="1"/>
  <c r="T25" i="4"/>
  <c r="S25" i="4"/>
  <c r="R25" i="4"/>
  <c r="Q25" i="4"/>
  <c r="O25" i="4"/>
  <c r="P25" i="4" s="1"/>
  <c r="M25" i="4"/>
  <c r="N25" i="4" s="1"/>
  <c r="L25" i="4"/>
  <c r="K25" i="4"/>
  <c r="J25" i="4"/>
  <c r="I25" i="4"/>
  <c r="G25" i="4"/>
  <c r="H25" i="4" s="1"/>
  <c r="E25" i="4"/>
  <c r="F25" i="4" s="1"/>
  <c r="D25" i="4"/>
  <c r="C25" i="4"/>
  <c r="V24" i="4"/>
  <c r="U24" i="4"/>
  <c r="S24" i="4"/>
  <c r="T24" i="4" s="1"/>
  <c r="Q24" i="4"/>
  <c r="R24" i="4" s="1"/>
  <c r="P24" i="4"/>
  <c r="O24" i="4"/>
  <c r="N24" i="4"/>
  <c r="M24" i="4"/>
  <c r="K24" i="4"/>
  <c r="L24" i="4" s="1"/>
  <c r="I24" i="4"/>
  <c r="J24" i="4" s="1"/>
  <c r="H24" i="4"/>
  <c r="G24" i="4"/>
  <c r="F24" i="4"/>
  <c r="E24" i="4"/>
  <c r="C24" i="4"/>
  <c r="D24" i="4" s="1"/>
  <c r="U23" i="4"/>
  <c r="V23" i="4" s="1"/>
  <c r="T23" i="4"/>
  <c r="S23" i="4"/>
  <c r="R23" i="4"/>
  <c r="Q23" i="4"/>
  <c r="O23" i="4"/>
  <c r="P23" i="4" s="1"/>
  <c r="M23" i="4"/>
  <c r="N23" i="4" s="1"/>
  <c r="L23" i="4"/>
  <c r="K23" i="4"/>
  <c r="J23" i="4"/>
  <c r="I23" i="4"/>
  <c r="G23" i="4"/>
  <c r="H23" i="4" s="1"/>
  <c r="E23" i="4"/>
  <c r="F23" i="4" s="1"/>
  <c r="D23" i="4"/>
  <c r="C23" i="4"/>
  <c r="V22" i="4"/>
  <c r="U22" i="4"/>
  <c r="S22" i="4"/>
  <c r="T22" i="4" s="1"/>
  <c r="Q22" i="4"/>
  <c r="R22" i="4" s="1"/>
  <c r="P22" i="4"/>
  <c r="O22" i="4"/>
  <c r="N22" i="4"/>
  <c r="M22" i="4"/>
  <c r="K22" i="4"/>
  <c r="L22" i="4" s="1"/>
  <c r="I22" i="4"/>
  <c r="J22" i="4" s="1"/>
  <c r="H22" i="4"/>
  <c r="G22" i="4"/>
  <c r="F22" i="4"/>
  <c r="E22" i="4"/>
  <c r="C22" i="4"/>
  <c r="D22" i="4" s="1"/>
  <c r="U21" i="4"/>
  <c r="V21" i="4" s="1"/>
  <c r="T21" i="4"/>
  <c r="S21" i="4"/>
  <c r="R21" i="4"/>
  <c r="Q21" i="4"/>
  <c r="O21" i="4"/>
  <c r="P21" i="4" s="1"/>
  <c r="M21" i="4"/>
  <c r="N21" i="4" s="1"/>
  <c r="L21" i="4"/>
  <c r="K21" i="4"/>
  <c r="J21" i="4"/>
  <c r="I21" i="4"/>
  <c r="G21" i="4"/>
  <c r="H21" i="4" s="1"/>
  <c r="E21" i="4"/>
  <c r="F21" i="4" s="1"/>
  <c r="D21" i="4"/>
  <c r="C21" i="4"/>
  <c r="V20" i="4"/>
  <c r="U20" i="4"/>
  <c r="S20" i="4"/>
  <c r="T20" i="4" s="1"/>
  <c r="Q20" i="4"/>
  <c r="R20" i="4" s="1"/>
  <c r="P20" i="4"/>
  <c r="O20" i="4"/>
  <c r="N20" i="4"/>
  <c r="M20" i="4"/>
  <c r="K20" i="4"/>
  <c r="L20" i="4" s="1"/>
  <c r="I20" i="4"/>
  <c r="J20" i="4" s="1"/>
  <c r="H20" i="4"/>
  <c r="G20" i="4"/>
  <c r="F20" i="4"/>
  <c r="E20" i="4"/>
  <c r="C20" i="4"/>
  <c r="D20" i="4" s="1"/>
  <c r="U19" i="4"/>
  <c r="V19" i="4" s="1"/>
  <c r="T19" i="4"/>
  <c r="S19" i="4"/>
  <c r="R19" i="4"/>
  <c r="Q19" i="4"/>
  <c r="O19" i="4"/>
  <c r="P19" i="4" s="1"/>
  <c r="M19" i="4"/>
  <c r="N19" i="4" s="1"/>
  <c r="L19" i="4"/>
  <c r="K19" i="4"/>
  <c r="J19" i="4"/>
  <c r="I19" i="4"/>
  <c r="G19" i="4"/>
  <c r="H19" i="4" s="1"/>
  <c r="E19" i="4"/>
  <c r="F19" i="4" s="1"/>
  <c r="D19" i="4"/>
  <c r="C19" i="4"/>
  <c r="V18" i="4"/>
  <c r="U18" i="4"/>
  <c r="S18" i="4"/>
  <c r="T18" i="4" s="1"/>
  <c r="Q18" i="4"/>
  <c r="R18" i="4" s="1"/>
  <c r="P18" i="4"/>
  <c r="O18" i="4"/>
  <c r="N18" i="4"/>
  <c r="M18" i="4"/>
  <c r="K18" i="4"/>
  <c r="L18" i="4" s="1"/>
  <c r="I18" i="4"/>
  <c r="J18" i="4" s="1"/>
  <c r="H18" i="4"/>
  <c r="G18" i="4"/>
  <c r="F18" i="4"/>
  <c r="E18" i="4"/>
  <c r="C18" i="4"/>
  <c r="D18" i="4" s="1"/>
  <c r="U17" i="4"/>
  <c r="V17" i="4" s="1"/>
  <c r="T17" i="4"/>
  <c r="S17" i="4"/>
  <c r="R17" i="4"/>
  <c r="Q17" i="4"/>
  <c r="O17" i="4"/>
  <c r="P17" i="4" s="1"/>
  <c r="M17" i="4"/>
  <c r="N17" i="4" s="1"/>
  <c r="L17" i="4"/>
  <c r="K17" i="4"/>
  <c r="J17" i="4"/>
  <c r="I17" i="4"/>
  <c r="G17" i="4"/>
  <c r="H17" i="4" s="1"/>
  <c r="E17" i="4"/>
  <c r="F17" i="4" s="1"/>
  <c r="D17" i="4"/>
  <c r="C17" i="4"/>
  <c r="V16" i="4"/>
  <c r="U16" i="4"/>
  <c r="S16" i="4"/>
  <c r="T16" i="4" s="1"/>
  <c r="Q16" i="4"/>
  <c r="R16" i="4" s="1"/>
  <c r="P16" i="4"/>
  <c r="O16" i="4"/>
  <c r="N16" i="4"/>
  <c r="M16" i="4"/>
  <c r="K16" i="4"/>
  <c r="L16" i="4" s="1"/>
  <c r="I16" i="4"/>
  <c r="J16" i="4" s="1"/>
  <c r="H16" i="4"/>
  <c r="G16" i="4"/>
  <c r="F16" i="4"/>
  <c r="E16" i="4"/>
  <c r="C16" i="4"/>
  <c r="D16" i="4" s="1"/>
  <c r="U15" i="4"/>
  <c r="V15" i="4" s="1"/>
  <c r="T15" i="4"/>
  <c r="S15" i="4"/>
  <c r="R15" i="4"/>
  <c r="Q15" i="4"/>
  <c r="O15" i="4"/>
  <c r="P15" i="4" s="1"/>
  <c r="M15" i="4"/>
  <c r="N15" i="4" s="1"/>
  <c r="L15" i="4"/>
  <c r="K15" i="4"/>
  <c r="J15" i="4"/>
  <c r="I15" i="4"/>
  <c r="G15" i="4"/>
  <c r="H15" i="4" s="1"/>
  <c r="E15" i="4"/>
  <c r="F15" i="4" s="1"/>
  <c r="D15" i="4"/>
  <c r="C15" i="4"/>
  <c r="V14" i="4"/>
  <c r="U14" i="4"/>
  <c r="S14" i="4"/>
  <c r="T14" i="4" s="1"/>
  <c r="Q14" i="4"/>
  <c r="R14" i="4" s="1"/>
  <c r="P14" i="4"/>
  <c r="O14" i="4"/>
  <c r="N14" i="4"/>
  <c r="M14" i="4"/>
  <c r="K14" i="4"/>
  <c r="L14" i="4" s="1"/>
  <c r="I14" i="4"/>
  <c r="J14" i="4" s="1"/>
  <c r="H14" i="4"/>
  <c r="G14" i="4"/>
  <c r="F14" i="4"/>
  <c r="E14" i="4"/>
  <c r="C14" i="4"/>
  <c r="D14" i="4" s="1"/>
  <c r="U13" i="4"/>
  <c r="V13" i="4" s="1"/>
  <c r="T13" i="4"/>
  <c r="S13" i="4"/>
  <c r="R13" i="4"/>
  <c r="Q13" i="4"/>
  <c r="O13" i="4"/>
  <c r="P13" i="4" s="1"/>
  <c r="M13" i="4"/>
  <c r="N13" i="4" s="1"/>
  <c r="L13" i="4"/>
  <c r="K13" i="4"/>
  <c r="J13" i="4"/>
  <c r="I13" i="4"/>
  <c r="G13" i="4"/>
  <c r="H13" i="4" s="1"/>
  <c r="E13" i="4"/>
  <c r="F13" i="4" s="1"/>
  <c r="D13" i="4"/>
  <c r="C13" i="4"/>
  <c r="V12" i="4"/>
  <c r="U12" i="4"/>
  <c r="S12" i="4"/>
  <c r="T12" i="4" s="1"/>
  <c r="Q12" i="4"/>
  <c r="R12" i="4" s="1"/>
  <c r="P12" i="4"/>
  <c r="O12" i="4"/>
  <c r="N12" i="4"/>
  <c r="M12" i="4"/>
  <c r="K12" i="4"/>
  <c r="L12" i="4" s="1"/>
  <c r="I12" i="4"/>
  <c r="J12" i="4" s="1"/>
  <c r="H12" i="4"/>
  <c r="G12" i="4"/>
  <c r="F12" i="4"/>
  <c r="E12" i="4"/>
  <c r="C12" i="4"/>
  <c r="D12" i="4" s="1"/>
  <c r="U11" i="4"/>
  <c r="V11" i="4" s="1"/>
  <c r="T11" i="4"/>
  <c r="S11" i="4"/>
  <c r="R11" i="4"/>
  <c r="Q11" i="4"/>
  <c r="O11" i="4"/>
  <c r="P11" i="4" s="1"/>
  <c r="M11" i="4"/>
  <c r="N11" i="4" s="1"/>
  <c r="L11" i="4"/>
  <c r="K11" i="4"/>
  <c r="J11" i="4"/>
  <c r="I11" i="4"/>
  <c r="G11" i="4"/>
  <c r="H11" i="4" s="1"/>
  <c r="E11" i="4"/>
  <c r="F11" i="4" s="1"/>
  <c r="D11" i="4"/>
  <c r="C11" i="4"/>
  <c r="V10" i="4"/>
  <c r="U10" i="4"/>
  <c r="S10" i="4"/>
  <c r="T10" i="4" s="1"/>
  <c r="Q10" i="4"/>
  <c r="R10" i="4" s="1"/>
  <c r="P10" i="4"/>
  <c r="O10" i="4"/>
  <c r="N10" i="4"/>
  <c r="M10" i="4"/>
  <c r="K10" i="4"/>
  <c r="L10" i="4" s="1"/>
  <c r="I10" i="4"/>
  <c r="J10" i="4" s="1"/>
  <c r="H10" i="4"/>
  <c r="G10" i="4"/>
  <c r="F10" i="4"/>
  <c r="E10" i="4"/>
  <c r="C10" i="4"/>
  <c r="D10" i="4" s="1"/>
  <c r="U9" i="4"/>
  <c r="V9" i="4" s="1"/>
  <c r="T9" i="4"/>
  <c r="S9" i="4"/>
  <c r="R9" i="4"/>
  <c r="Q9" i="4"/>
  <c r="O9" i="4"/>
  <c r="P9" i="4" s="1"/>
  <c r="M9" i="4"/>
  <c r="N9" i="4" s="1"/>
  <c r="L9" i="4"/>
  <c r="K9" i="4"/>
  <c r="J9" i="4"/>
  <c r="I9" i="4"/>
  <c r="G9" i="4"/>
  <c r="H9" i="4" s="1"/>
  <c r="E9" i="4"/>
  <c r="F9" i="4" s="1"/>
  <c r="D9" i="4"/>
  <c r="C9" i="4"/>
  <c r="V8" i="4"/>
  <c r="U8" i="4"/>
  <c r="S8" i="4"/>
  <c r="T8" i="4" s="1"/>
  <c r="Q8" i="4"/>
  <c r="R8" i="4" s="1"/>
  <c r="P8" i="4"/>
  <c r="O8" i="4"/>
  <c r="M8" i="4"/>
  <c r="K8" i="4"/>
  <c r="L8" i="4" s="1"/>
  <c r="I8" i="4"/>
  <c r="J8" i="4" s="1"/>
  <c r="H8" i="4"/>
  <c r="G8" i="4"/>
  <c r="F8" i="4"/>
  <c r="E8" i="4"/>
  <c r="C8" i="4"/>
  <c r="D8" i="4" s="1"/>
  <c r="U7" i="4"/>
  <c r="S7" i="4"/>
  <c r="Q7" i="4"/>
  <c r="O7" i="4"/>
  <c r="M7" i="4"/>
  <c r="N8" i="4" s="1"/>
  <c r="K7" i="4"/>
  <c r="I7" i="4"/>
  <c r="G7" i="4"/>
  <c r="E7" i="4"/>
  <c r="C7" i="4"/>
  <c r="R32" i="2"/>
  <c r="P25" i="1"/>
  <c r="P24" i="1"/>
  <c r="P23" i="1"/>
  <c r="P22" i="1"/>
  <c r="P21" i="1"/>
  <c r="P20" i="1"/>
  <c r="P19" i="1"/>
  <c r="P18" i="1"/>
  <c r="P17" i="1"/>
  <c r="P16" i="1"/>
  <c r="Q14" i="1"/>
  <c r="Q22" i="1" s="1"/>
  <c r="R22" i="1" s="1"/>
  <c r="Q23" i="1" l="1"/>
  <c r="R23" i="1" s="1"/>
  <c r="Q17" i="1"/>
  <c r="R17" i="1" s="1"/>
  <c r="Q25" i="1"/>
  <c r="R25" i="1" s="1"/>
  <c r="R18" i="1"/>
  <c r="L79" i="4"/>
  <c r="L78" i="4"/>
  <c r="P82" i="4"/>
  <c r="P81" i="4"/>
  <c r="C210" i="5"/>
  <c r="C209" i="5"/>
  <c r="C22" i="6"/>
  <c r="C21" i="6"/>
  <c r="C63" i="7"/>
  <c r="C62" i="7"/>
  <c r="C136" i="7"/>
  <c r="C135" i="7"/>
  <c r="C293" i="7"/>
  <c r="C292" i="7"/>
  <c r="C334" i="7"/>
  <c r="C333" i="7"/>
  <c r="Q20" i="1"/>
  <c r="R20" i="1" s="1"/>
  <c r="T62" i="4"/>
  <c r="R63" i="4"/>
  <c r="D66" i="4"/>
  <c r="V66" i="4"/>
  <c r="H69" i="4"/>
  <c r="F70" i="4"/>
  <c r="L72" i="4"/>
  <c r="J73" i="4"/>
  <c r="P75" i="4"/>
  <c r="N76" i="4"/>
  <c r="P80" i="4"/>
  <c r="P79" i="4"/>
  <c r="T83" i="4"/>
  <c r="T82" i="4"/>
  <c r="C17" i="5"/>
  <c r="C38" i="5"/>
  <c r="C49" i="5"/>
  <c r="C70" i="5"/>
  <c r="C81" i="5"/>
  <c r="C96" i="5"/>
  <c r="C95" i="5"/>
  <c r="C109" i="5"/>
  <c r="C191" i="5"/>
  <c r="C227" i="5"/>
  <c r="C265" i="5"/>
  <c r="C264" i="5"/>
  <c r="C276" i="5"/>
  <c r="C281" i="5"/>
  <c r="C287" i="5"/>
  <c r="C295" i="5"/>
  <c r="C342" i="5"/>
  <c r="C13" i="7"/>
  <c r="C56" i="7"/>
  <c r="C55" i="7"/>
  <c r="C37" i="5"/>
  <c r="C58" i="5"/>
  <c r="C57" i="5"/>
  <c r="C69" i="5"/>
  <c r="C150" i="5"/>
  <c r="C149" i="5"/>
  <c r="C205" i="5"/>
  <c r="C204" i="5"/>
  <c r="C341" i="5"/>
  <c r="C41" i="6"/>
  <c r="C73" i="6"/>
  <c r="C72" i="7"/>
  <c r="C71" i="7"/>
  <c r="C175" i="7"/>
  <c r="C174" i="7"/>
  <c r="D62" i="4"/>
  <c r="V62" i="4"/>
  <c r="H65" i="4"/>
  <c r="F66" i="4"/>
  <c r="L68" i="4"/>
  <c r="J69" i="4"/>
  <c r="P71" i="4"/>
  <c r="N72" i="4"/>
  <c r="T74" i="4"/>
  <c r="R75" i="4"/>
  <c r="C32" i="5"/>
  <c r="C64" i="5"/>
  <c r="C90" i="5"/>
  <c r="C89" i="5"/>
  <c r="C103" i="5"/>
  <c r="C125" i="5"/>
  <c r="C168" i="5"/>
  <c r="C186" i="5"/>
  <c r="C185" i="5"/>
  <c r="C217" i="5"/>
  <c r="C223" i="5"/>
  <c r="C254" i="5"/>
  <c r="C253" i="5"/>
  <c r="C331" i="5"/>
  <c r="C336" i="5"/>
  <c r="C350" i="5"/>
  <c r="C349" i="5"/>
  <c r="C58" i="7"/>
  <c r="C95" i="7"/>
  <c r="C94" i="7"/>
  <c r="C200" i="7"/>
  <c r="C199" i="7"/>
  <c r="H71" i="4"/>
  <c r="C157" i="5"/>
  <c r="C241" i="5"/>
  <c r="C13" i="6"/>
  <c r="C33" i="6"/>
  <c r="C65" i="6"/>
  <c r="C8" i="7"/>
  <c r="C7" i="7"/>
  <c r="C88" i="7"/>
  <c r="C87" i="7"/>
  <c r="C131" i="7"/>
  <c r="C146" i="7"/>
  <c r="C147" i="7"/>
  <c r="P61" i="4"/>
  <c r="V68" i="4"/>
  <c r="Q24" i="1"/>
  <c r="R24" i="1" s="1"/>
  <c r="H61" i="4"/>
  <c r="F62" i="4"/>
  <c r="N63" i="4"/>
  <c r="L64" i="4"/>
  <c r="J65" i="4"/>
  <c r="R66" i="4"/>
  <c r="P67" i="4"/>
  <c r="N68" i="4"/>
  <c r="T70" i="4"/>
  <c r="R71" i="4"/>
  <c r="F73" i="4"/>
  <c r="D74" i="4"/>
  <c r="V74" i="4"/>
  <c r="J76" i="4"/>
  <c r="C236" i="5"/>
  <c r="C267" i="5"/>
  <c r="C352" i="5"/>
  <c r="C351" i="5"/>
  <c r="C29" i="6"/>
  <c r="C61" i="6"/>
  <c r="C31" i="7"/>
  <c r="C30" i="7"/>
  <c r="C51" i="7"/>
  <c r="C104" i="7"/>
  <c r="C103" i="7"/>
  <c r="C110" i="7"/>
  <c r="Q18" i="1"/>
  <c r="L74" i="4"/>
  <c r="T80" i="4"/>
  <c r="Q16" i="1"/>
  <c r="R16" i="1" s="1"/>
  <c r="Q19" i="1"/>
  <c r="R19" i="1" s="1"/>
  <c r="D60" i="4"/>
  <c r="L60" i="4"/>
  <c r="T60" i="4"/>
  <c r="R61" i="4"/>
  <c r="D64" i="4"/>
  <c r="V64" i="4"/>
  <c r="H67" i="4"/>
  <c r="F68" i="4"/>
  <c r="L70" i="4"/>
  <c r="J71" i="4"/>
  <c r="P73" i="4"/>
  <c r="N74" i="4"/>
  <c r="R77" i="4"/>
  <c r="L80" i="4"/>
  <c r="V80" i="4"/>
  <c r="P83" i="4"/>
  <c r="C21" i="5"/>
  <c r="C28" i="5"/>
  <c r="C42" i="5"/>
  <c r="C41" i="5"/>
  <c r="C53" i="5"/>
  <c r="C60" i="5"/>
  <c r="C74" i="5"/>
  <c r="C73" i="5"/>
  <c r="C85" i="5"/>
  <c r="C141" i="5"/>
  <c r="C145" i="5"/>
  <c r="C181" i="5"/>
  <c r="C200" i="5"/>
  <c r="C250" i="5"/>
  <c r="C292" i="5"/>
  <c r="C291" i="5"/>
  <c r="C305" i="5"/>
  <c r="C309" i="5"/>
  <c r="C360" i="5"/>
  <c r="C364" i="5"/>
  <c r="C369" i="5"/>
  <c r="C9" i="6"/>
  <c r="C25" i="6"/>
  <c r="C57" i="6"/>
  <c r="C24" i="7"/>
  <c r="C23" i="7"/>
  <c r="C178" i="7"/>
  <c r="C179" i="7"/>
  <c r="Q21" i="1"/>
  <c r="R21" i="1" s="1"/>
  <c r="T64" i="4"/>
  <c r="D68" i="4"/>
  <c r="P63" i="4"/>
  <c r="T66" i="4"/>
  <c r="D70" i="4"/>
  <c r="H73" i="4"/>
  <c r="J77" i="4"/>
  <c r="N81" i="4"/>
  <c r="N80" i="4"/>
  <c r="R84" i="4"/>
  <c r="R83" i="4"/>
  <c r="C94" i="5"/>
  <c r="C93" i="5"/>
  <c r="C140" i="5"/>
  <c r="C190" i="5"/>
  <c r="C196" i="5"/>
  <c r="C245" i="5"/>
  <c r="C249" i="5"/>
  <c r="C300" i="5"/>
  <c r="C304" i="5"/>
  <c r="C346" i="5"/>
  <c r="C345" i="5"/>
  <c r="C53" i="6"/>
  <c r="C25" i="7"/>
  <c r="C40" i="7"/>
  <c r="C39" i="7"/>
  <c r="C77" i="7"/>
  <c r="C196" i="7"/>
  <c r="C195" i="7"/>
  <c r="C9" i="5"/>
  <c r="C25" i="5"/>
  <c r="C118" i="5"/>
  <c r="C123" i="5"/>
  <c r="C173" i="5"/>
  <c r="C222" i="5"/>
  <c r="C260" i="5"/>
  <c r="C314" i="5"/>
  <c r="C116" i="7"/>
  <c r="C137" i="7"/>
  <c r="C159" i="7"/>
  <c r="C180" i="7"/>
  <c r="C201" i="7"/>
  <c r="C274" i="7"/>
  <c r="C273" i="7"/>
  <c r="C62" i="8"/>
  <c r="C61" i="8"/>
  <c r="C157" i="8"/>
  <c r="C156" i="8"/>
  <c r="C152" i="7"/>
  <c r="C151" i="7"/>
  <c r="C202" i="7"/>
  <c r="C216" i="7"/>
  <c r="C215" i="7"/>
  <c r="C309" i="7"/>
  <c r="C269" i="7"/>
  <c r="C268" i="7"/>
  <c r="C366" i="7"/>
  <c r="C365" i="7"/>
  <c r="C22" i="8"/>
  <c r="C21" i="8"/>
  <c r="C57" i="8"/>
  <c r="C56" i="8"/>
  <c r="C168" i="7"/>
  <c r="C167" i="7"/>
  <c r="C359" i="7"/>
  <c r="C358" i="7"/>
  <c r="C84" i="8"/>
  <c r="C83" i="8"/>
  <c r="C237" i="7"/>
  <c r="C278" i="7"/>
  <c r="C277" i="7"/>
  <c r="C52" i="8"/>
  <c r="C51" i="8"/>
  <c r="C14" i="5"/>
  <c r="C30" i="5"/>
  <c r="C46" i="5"/>
  <c r="C62" i="5"/>
  <c r="C78" i="5"/>
  <c r="C100" i="5"/>
  <c r="C154" i="5"/>
  <c r="C214" i="5"/>
  <c r="C269" i="5"/>
  <c r="C318" i="5"/>
  <c r="C356" i="5"/>
  <c r="C120" i="7"/>
  <c r="C119" i="7"/>
  <c r="C126" i="7"/>
  <c r="C184" i="7"/>
  <c r="C183" i="7"/>
  <c r="C190" i="7"/>
  <c r="C211" i="7"/>
  <c r="C233" i="7"/>
  <c r="C319" i="7"/>
  <c r="C318" i="7"/>
  <c r="C17" i="8"/>
  <c r="C16" i="8"/>
  <c r="H79" i="4"/>
  <c r="L82" i="4"/>
  <c r="C122" i="5"/>
  <c r="C153" i="5"/>
  <c r="C182" i="5"/>
  <c r="C187" i="5"/>
  <c r="C237" i="5"/>
  <c r="C286" i="5"/>
  <c r="C317" i="5"/>
  <c r="C324" i="5"/>
  <c r="C10" i="7"/>
  <c r="C36" i="7"/>
  <c r="C42" i="7"/>
  <c r="C68" i="7"/>
  <c r="C74" i="7"/>
  <c r="C100" i="7"/>
  <c r="C121" i="7"/>
  <c r="C143" i="7"/>
  <c r="C164" i="7"/>
  <c r="C185" i="7"/>
  <c r="C207" i="7"/>
  <c r="C247" i="7"/>
  <c r="C246" i="7"/>
  <c r="C33" i="8"/>
  <c r="C32" i="8"/>
  <c r="C252" i="7"/>
  <c r="C263" i="7"/>
  <c r="C347" i="7"/>
  <c r="C38" i="8"/>
  <c r="C37" i="8"/>
  <c r="C134" i="8"/>
  <c r="C133" i="8"/>
  <c r="C314" i="7"/>
  <c r="C92" i="8"/>
  <c r="C106" i="5"/>
  <c r="C138" i="5"/>
  <c r="C170" i="5"/>
  <c r="C202" i="5"/>
  <c r="C234" i="5"/>
  <c r="C266" i="5"/>
  <c r="C298" i="5"/>
  <c r="C330" i="5"/>
  <c r="C362" i="5"/>
  <c r="C300" i="7"/>
  <c r="C305" i="7"/>
  <c r="C316" i="7"/>
  <c r="C327" i="7"/>
  <c r="C363" i="7"/>
  <c r="C8" i="8"/>
  <c r="C128" i="8"/>
  <c r="C102" i="5"/>
  <c r="C134" i="5"/>
  <c r="C166" i="5"/>
  <c r="C198" i="5"/>
  <c r="C230" i="5"/>
  <c r="C262" i="5"/>
  <c r="C294" i="5"/>
  <c r="C326" i="5"/>
  <c r="C358" i="5"/>
  <c r="C12" i="7"/>
  <c r="C28" i="7"/>
  <c r="C44" i="7"/>
  <c r="C60" i="7"/>
  <c r="C76" i="7"/>
  <c r="C92" i="7"/>
  <c r="C108" i="7"/>
  <c r="C124" i="7"/>
  <c r="C140" i="7"/>
  <c r="C156" i="7"/>
  <c r="C172" i="7"/>
  <c r="C188" i="7"/>
  <c r="C204" i="7"/>
  <c r="C220" i="7"/>
  <c r="C261" i="7"/>
  <c r="C287" i="7"/>
  <c r="C302" i="7"/>
  <c r="C10" i="8"/>
  <c r="C26" i="8"/>
  <c r="C98" i="5"/>
  <c r="C130" i="5"/>
  <c r="C162" i="5"/>
  <c r="C194" i="5"/>
  <c r="C226" i="5"/>
  <c r="C258" i="5"/>
  <c r="C290" i="5"/>
  <c r="C322" i="5"/>
  <c r="C354" i="5"/>
  <c r="C231" i="7"/>
  <c r="C251" i="7"/>
  <c r="C339" i="7"/>
  <c r="C345" i="7"/>
  <c r="C9" i="8"/>
  <c r="C25" i="8"/>
  <c r="C43" i="8"/>
  <c r="C70" i="8"/>
  <c r="C69" i="8"/>
  <c r="C95" i="8"/>
  <c r="C96" i="8"/>
  <c r="C144" i="8"/>
  <c r="C211" i="8"/>
  <c r="C82" i="8"/>
  <c r="C102" i="8"/>
  <c r="C143" i="8"/>
  <c r="C161" i="8"/>
  <c r="C177" i="8"/>
  <c r="C194" i="8"/>
  <c r="C199" i="8"/>
  <c r="C216" i="8"/>
  <c r="C249" i="8"/>
  <c r="C255" i="8"/>
  <c r="C271" i="8"/>
  <c r="C104" i="8"/>
  <c r="C168" i="8"/>
  <c r="C218" i="8"/>
  <c r="C261" i="8"/>
  <c r="C284" i="8"/>
  <c r="C152" i="8"/>
  <c r="C280" i="8"/>
  <c r="C23" i="8"/>
  <c r="C49" i="8"/>
  <c r="C90" i="8"/>
  <c r="C136" i="8"/>
  <c r="C186" i="8"/>
  <c r="C208" i="8"/>
  <c r="C224" i="8"/>
  <c r="C229" i="8"/>
  <c r="C252" i="8"/>
  <c r="C264" i="8"/>
  <c r="C248" i="8"/>
  <c r="C227" i="7"/>
  <c r="C259" i="7"/>
  <c r="C291" i="7"/>
  <c r="C323" i="7"/>
  <c r="C14" i="8"/>
  <c r="C19" i="8"/>
  <c r="C30" i="8"/>
  <c r="C40" i="8"/>
  <c r="C66" i="8"/>
  <c r="C81" i="8"/>
  <c r="C112" i="8"/>
  <c r="C122" i="8"/>
  <c r="C138" i="8"/>
  <c r="C154" i="8"/>
  <c r="C176" i="8"/>
  <c r="C192" i="8"/>
  <c r="C197" i="8"/>
  <c r="C232" i="8"/>
  <c r="C282" i="8"/>
  <c r="C312" i="8"/>
  <c r="C170" i="8"/>
  <c r="C202" i="8"/>
  <c r="C234" i="8"/>
  <c r="C266" i="8"/>
  <c r="C298" i="8"/>
  <c r="C330" i="8"/>
  <c r="C362" i="8"/>
  <c r="C325" i="8"/>
  <c r="C339" i="8"/>
  <c r="C348" i="8"/>
  <c r="C357" i="8"/>
  <c r="C54" i="8"/>
  <c r="C86" i="8"/>
  <c r="C118" i="8"/>
  <c r="C150" i="8"/>
  <c r="C182" i="8"/>
  <c r="C214" i="8"/>
  <c r="C246" i="8"/>
  <c r="C278" i="8"/>
  <c r="C310" i="8"/>
  <c r="C342" i="8"/>
  <c r="C46" i="8"/>
  <c r="C78" i="8"/>
  <c r="C110" i="8"/>
  <c r="C142" i="8"/>
  <c r="C174" i="8"/>
  <c r="C206" i="8"/>
  <c r="C238" i="8"/>
  <c r="C270" i="8"/>
  <c r="C302" i="8"/>
  <c r="C334" i="8"/>
  <c r="C366"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<sst xmlns="http://schemas.openxmlformats.org/spreadsheetml/2006/main" count="252" uniqueCount="117">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</sst>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8">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20" fillId="3" borderId="0" xfId="5" applyFill="1"/>
    <xf numFmtId="0" fontId="0" fillId="3" borderId="0" xfId="0" applyFill="1"/>
    <xf numFmtId="0" fontId="0" fillId="3" borderId="0" xfId="0" applyFill="1" applyAlignment="1">
      <alignment wrapText="1"/>
    </xf>
    <xf numFmtId="0" fontId="23" fillId="3" borderId="0" xfId="0" applyFont="1" applyFill="1" applyAlignment="1">
      <alignment wrapText="1"/>
    </xf>
    <xf numFmtId="0" fontId="1" fillId="6" borderId="1" xfId="0" applyFont="1" applyFill="1" applyBorder="1" applyAlignment="1">
      <alignment horizontal="center"/>
    </xf>
    <xf numFmtId="0" fontId="0" fillId="0" borderId="15" xfId="0" applyBorder="1"/>
    <xf numFmtId="0" fontId="0" fillId="0" borderId="16" xfId="0" applyBorder="1"/>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0" fillId="3" borderId="0" xfId="0" applyFill="1" applyAlignment="1">
      <alignment vertical="center" wrapText="1"/>
    </xf>
    <xf numFmtId="0" fontId="25" fillId="3" borderId="29" xfId="0" applyFont="1" applyFill="1" applyBorder="1" applyAlignment="1">
      <alignment wrapText="1"/>
    </xf>
    <xf numFmtId="0" fontId="1" fillId="3" borderId="29" xfId="0" applyFont="1" applyFill="1" applyBorder="1" applyAlignment="1">
      <alignment wrapText="1"/>
    </xf>
    <xf numFmtId="0" fontId="1" fillId="3" borderId="30" xfId="0" applyFont="1" applyFill="1" applyBorder="1" applyAlignment="1">
      <alignment wrapText="1"/>
    </xf>
    <xf numFmtId="0" fontId="0" fillId="0" borderId="27" xfId="0" applyBorder="1"/>
    <xf numFmtId="0" fontId="1" fillId="3" borderId="31" xfId="0" applyFont="1" applyFill="1" applyBorder="1" applyAlignment="1">
      <alignment wrapText="1"/>
    </xf>
    <xf numFmtId="0" fontId="0" fillId="0" borderId="26" xfId="0" applyBorder="1"/>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 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Orders'!$B$6:$B$372</c:f>
              <c:numCache>
                <c:formatCode>#,##0</c:formatCode>
                <c:ptCount val="367"/>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273186</c:v>
                </c:pt>
              </c:numCache>
            </c:numRef>
          </c:val>
          <c:smooth val="0"/>
          <c:extLst>
            <c:ext xmlns:c16="http://schemas.microsoft.com/office/drawing/2014/chart" uri="{C3380CC4-5D6E-409C-BE32-E72D297353CC}">
              <c16:uniqueId val="{00000000-8B90-7944-980E-A7E7DBB31B2B}"/>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Orders'!$C$6:$C$372</c:f>
              <c:numCache>
                <c:formatCode>0.0%</c:formatCode>
                <c:ptCount val="367"/>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-1.407312909628579E-3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064-8145-8159-1DD0D940649C}"/>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-1.407312909628579E-3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C394-FF4A-AE38-DF90632135A5}"/>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682"/>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Orders'!$B$6:$B$372</c:f>
              <c:numCache>
                <c:formatCode>#,##0</c:formatCode>
                <c:ptCount val="367"/>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273186</c:v>
                </c:pt>
              </c:numCache>
            </c:numRef>
          </c:val>
          <c:smooth val="0"/>
          <c:extLst>
            <c:ext xmlns:c16="http://schemas.microsoft.com/office/drawing/2014/chart" uri="{C3380CC4-5D6E-409C-BE32-E72D297353CC}">
              <c16:uniqueId val="{00000000-B51E-F34F-80A3-1A6B928E7BBC}"/>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 ex Aircraft'!$B$6:$B$372</c:f>
              <c:numCache>
                <c:formatCode>#,##0</c:formatCode>
                <c:ptCount val="367"/>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74440</c:v>
                </c:pt>
              </c:numCache>
            </c:numRef>
          </c:val>
          <c:smooth val="0"/>
          <c:extLst>
            <c:ext xmlns:c16="http://schemas.microsoft.com/office/drawing/2014/chart" uri="{C3380CC4-5D6E-409C-BE32-E72D297353CC}">
              <c16:uniqueId val="{00000000-82F8-FB42-976E-9DD78F5D13F5}"/>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74440</c:v>
                </c:pt>
              </c:numCache>
            </c:numRef>
          </c:val>
          <c:smooth val="0"/>
          <c:extLst>
            <c:ext xmlns:c16="http://schemas.microsoft.com/office/drawing/2014/chart" uri="{C3380CC4-5D6E-409C-BE32-E72D297353CC}">
              <c16:uniqueId val="{00000000-99DD-074A-BFB8-6A7A54449D6F}"/>
            </c:ext>
          </c:extLst>
        </c:ser>
        <c:dLbls>
          <c:showLegendKey val="0"/>
          <c:showVal val="0"/>
          <c:showCatName val="0"/>
          <c:showSerName val="0"/>
          <c:showPercent val="0"/>
          <c:showBubbleSize val="0"/>
        </c:dLbls>
        <c:smooth val="0"/>
        <c:axId val="504146408"/>
        <c:axId val="504146800"/>
      </c:lineChart>
      <c:dateAx>
        <c:axId val="504146408"/>
        <c:scaling>
          <c:orientation val="minMax"/>
          <c:max val="44682"/>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 ex Aircraft'!$C$6:$C$372</c:f>
              <c:numCache>
                <c:formatCode>0.0%</c:formatCode>
                <c:ptCount val="367"/>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3.3697263782180888E-3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DB1-BF4D-B79A-0059232C37B2}"/>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3.3697263782180888E-3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39BF-414F-9409-4F32CA539B51}"/>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682"/>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Transport'!$A$6:$A$374</c:f>
              <c:numCache>
                <c:formatCode>m/d/yy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 ex Transport'!$B$6:$B$374</c:f>
              <c:numCache>
                <c:formatCode>#,##0</c:formatCode>
                <c:ptCount val="369"/>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180262</c:v>
                </c:pt>
              </c:numCache>
            </c:numRef>
          </c:val>
          <c:smooth val="0"/>
          <c:extLst>
            <c:ext xmlns:c16="http://schemas.microsoft.com/office/drawing/2014/chart" uri="{C3380CC4-5D6E-409C-BE32-E72D297353CC}">
              <c16:uniqueId val="{00000000-BF24-2D4A-8699-F98668A1EE2B}"/>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 ex Transport'!$C$6:$C$372</c:f>
              <c:numCache>
                <c:formatCode>0.0%</c:formatCode>
                <c:ptCount val="367"/>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1.7616493928700437E-3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9F2-1C44-8B6F-76966D71B7F0}"/>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1.7616493928700437E-3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347F-034E-982F-E8BE4D9C694E}"/>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'New Orders ex Transport'!$B$6:$B$372</c:f>
              <c:numCache>
                <c:formatCode>#,##0</c:formatCode>
                <c:ptCount val="367"/>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180262</c:v>
                </c:pt>
              </c:numCache>
            </c:numRef>
          </c:val>
          <c:smooth val="0"/>
          <c:extLst>
            <c:ext xmlns:c16="http://schemas.microsoft.com/office/drawing/2014/chart" uri="{C3380CC4-5D6E-409C-BE32-E72D297353CC}">
              <c16:uniqueId val="{00000000-A887-F946-B20A-8281266A7680}"/>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194497</c:v>
                </c:pt>
              </c:numCache>
            </c:numRef>
          </c:val>
          <c:smooth val="0"/>
          <c:extLst>
            <c:ext xmlns:c16="http://schemas.microsoft.com/office/drawing/2014/chart" uri="{C3380CC4-5D6E-409C-BE32-E72D297353CC}">
              <c16:uniqueId val="{00000000-D24C-B84E-860A-142D40A0C64B}"/>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4.6275348607626178E-5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A66-BC44-A5CC-0181423E2F3C}"/>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4.6275348607626178E-5</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21C2-B74D-9E21-CA1FD1C74E2A}"/>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194497</c:v>
                </c:pt>
              </c:numCache>
            </c:numRef>
          </c:val>
          <c:smooth val="0"/>
          <c:extLst>
            <c:ext xmlns:c16="http://schemas.microsoft.com/office/drawing/2014/chart" uri="{C3380CC4-5D6E-409C-BE32-E72D297353CC}">
              <c16:uniqueId val="{00000000-4532-7145-816D-8CB019F498A1}"/>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660400</xdr:colOff>
      <xdr:row>327</xdr:row>
      <xdr:rowOff>84668</xdr:rowOff>
    </xdr:from>
    <xdr:to>
      <xdr:col>14</xdr:col>
      <xdr:colOff>601133</xdr:colOff>
      <xdr:row>349</xdr:row>
      <xdr:rowOff>93134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652991</xdr:colOff>
      <xdr:row>350</xdr:row>
      <xdr:rowOff>64029</xdr:rowOff>
    </xdr:from>
    <xdr:to>
      <xdr:col>14</xdr:col>
      <xdr:colOff>592666</xdr:colOff>
      <xdr:row>373</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118533</xdr:colOff>
      <xdr:row>327</xdr:row>
      <xdr:rowOff>87312</xdr:rowOff>
    </xdr:from>
    <xdr:to>
      <xdr:col>26</xdr:col>
      <xdr:colOff>364065</xdr:colOff>
      <xdr:row>349</xdr:row>
      <xdr:rowOff>135466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186267</xdr:colOff>
      <xdr:row>350</xdr:row>
      <xdr:rowOff>29632</xdr:rowOff>
    </xdr:from>
    <xdr:to>
      <xdr:col>26</xdr:col>
      <xdr:colOff>389466</xdr:colOff>
      <xdr:row>373</xdr:row>
      <xdr:rowOff>76200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142875</xdr:colOff>
      <xdr:row>326</xdr:row>
      <xdr:rowOff>87312</xdr:rowOff>
    </xdr:from>
    <xdr:to>
      <xdr:col>12</xdr:col>
      <xdr:colOff>660400</xdr:colOff>
      <xdr:row>346</xdr:row>
      <xdr:rowOff>115887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155574</xdr:colOff>
      <xdr:row>326</xdr:row>
      <xdr:rowOff>63498</xdr:rowOff>
    </xdr:from>
    <xdr:to>
      <xdr:col>23</xdr:col>
      <xdr:colOff>666749</xdr:colOff>
      <xdr:row>346</xdr:row>
      <xdr:rowOff>119061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123824</xdr:colOff>
      <xdr:row>347</xdr:row>
      <xdr:rowOff>31749</xdr:rowOff>
    </xdr:from>
    <xdr:to>
      <xdr:col>23</xdr:col>
      <xdr:colOff>666750</xdr:colOff>
      <xdr:row>369</xdr:row>
      <xdr:rowOff>87312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115887</xdr:colOff>
      <xdr:row>347</xdr:row>
      <xdr:rowOff>39686</xdr:rowOff>
    </xdr:from>
    <xdr:to>
      <xdr:col>12</xdr:col>
      <xdr:colOff>658812</xdr:colOff>
      <xdr:row>369</xdr:row>
      <xdr:rowOff>55561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397933</xdr:colOff>
      <xdr:row>325</xdr:row>
      <xdr:rowOff>135467</xdr:rowOff>
    </xdr:from>
    <xdr:to>
      <xdr:col>14</xdr:col>
      <xdr:colOff>225425</xdr:colOff>
      <xdr:row>346</xdr:row>
      <xdr:rowOff>176213</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397933</xdr:colOff>
      <xdr:row>325</xdr:row>
      <xdr:rowOff>152401</xdr:rowOff>
    </xdr:from>
    <xdr:to>
      <xdr:col>25</xdr:col>
      <xdr:colOff>389467</xdr:colOff>
      <xdr:row>347</xdr:row>
      <xdr:rowOff>6880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381001</xdr:colOff>
      <xdr:row>347</xdr:row>
      <xdr:rowOff>122766</xdr:rowOff>
    </xdr:from>
    <xdr:to>
      <xdr:col>25</xdr:col>
      <xdr:colOff>287867</xdr:colOff>
      <xdr:row>370</xdr:row>
      <xdr:rowOff>118533</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389467</xdr:colOff>
      <xdr:row>347</xdr:row>
      <xdr:rowOff>118533</xdr:rowOff>
    </xdr:from>
    <xdr:to>
      <xdr:col>14</xdr:col>
      <xdr:colOff>220133</xdr:colOff>
      <xdr:row>370</xdr:row>
      <xdr:rowOff>33866</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1" totalsRowShown="0" headerRowDxfId="23" dataDxfId="21" headerRowBorderDxfId="22">
  <autoFilter ref="A5:C371"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1" totalsRowShown="0" headerRowDxfId="17" dataDxfId="15" headerRowBorderDxfId="16">
  <autoFilter ref="A5:C371"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1" totalsRowShown="0" headerRowDxfId="11" dataDxfId="9" headerRowBorderDxfId="10">
  <autoFilter ref="A5:C371"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1" totalsRowShown="0" headerRowDxfId="5" dataDxfId="3" headerRowBorderDxfId="4">
  <autoFilter ref="A5:C371"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A7" zoomScale="150" zoomScaleNormal="150" workbookViewId="0">
      <selection activeCell="P15" sqref="P15"/>
    </sheetView>
  </sheetViews>
  <sheetFormatPr baseColWidth="10" defaultColWidth="9.1640625" defaultRowHeight="15"/>
  <cols>
    <col min="1" max="1" width="9.1640625" style="117" customWidth="1"/>
    <col min="2" max="10" width="12.83203125" style="117" customWidth="1"/>
    <col min="11" max="13" width="3.5" style="117" customWidth="1"/>
    <col min="14" max="14" width="21.33203125" style="117" customWidth="1"/>
    <col min="15" max="15" width="15.6640625" style="117" customWidth="1"/>
    <col min="16" max="17" width="10.6640625" style="117" bestFit="1" customWidth="1"/>
    <col min="18" max="18" width="9.1640625" style="117" customWidth="1"/>
    <col min="19" max="19" width="11.5" style="117" customWidth="1"/>
    <col min="20" max="25" width="9.1640625" style="117" customWidth="1"/>
    <col min="26" max="16384" width="9.1640625" style="117"/>
  </cols>
  <sheetData>
    <row r="1" spans="2:22">
      <c r="B1" s="129"/>
      <c r="C1" s="123"/>
      <c r="D1" s="123"/>
      <c r="E1" s="123"/>
      <c r="F1" s="123"/>
      <c r="G1" s="123"/>
      <c r="H1" s="123"/>
      <c r="I1" s="123"/>
      <c r="J1" s="123"/>
    </row>
    <row r="2" spans="2:22" ht="16" customHeight="1" thickBot="1">
      <c r="B2" s="130"/>
      <c r="C2" s="130"/>
      <c r="D2" s="130"/>
      <c r="E2" s="130"/>
      <c r="F2" s="130"/>
      <c r="G2" s="130"/>
      <c r="H2" s="130"/>
      <c r="I2" s="130"/>
      <c r="J2" s="130"/>
    </row>
    <row r="3" spans="2:22" ht="16" customHeight="1" thickBot="1">
      <c r="B3" s="131" t="s">
        <v>0</v>
      </c>
      <c r="C3" s="132"/>
      <c r="D3" s="132"/>
      <c r="E3" s="132"/>
      <c r="F3" s="132"/>
      <c r="G3" s="132"/>
      <c r="H3" s="132"/>
      <c r="I3" s="132"/>
      <c r="J3" s="133"/>
    </row>
    <row r="5" spans="2:22">
      <c r="B5" s="126" t="s">
        <v>1</v>
      </c>
      <c r="C5" s="127"/>
      <c r="D5" s="127"/>
      <c r="E5" s="127"/>
      <c r="F5" s="127"/>
      <c r="G5" s="127"/>
      <c r="H5" s="127"/>
      <c r="I5" s="127"/>
      <c r="J5" s="128"/>
    </row>
    <row r="7" spans="2:22" ht="129" customHeight="1">
      <c r="B7" s="134" t="s">
        <v>2</v>
      </c>
      <c r="C7" s="123"/>
      <c r="D7" s="123"/>
      <c r="E7" s="123"/>
      <c r="F7" s="123"/>
      <c r="G7" s="123"/>
      <c r="H7" s="123"/>
      <c r="I7" s="123"/>
      <c r="J7" s="123"/>
      <c r="P7" s="2"/>
    </row>
    <row r="8" spans="2:22" ht="33.75" customHeight="1">
      <c r="B8" s="122" t="s">
        <v>3</v>
      </c>
      <c r="C8" s="123"/>
      <c r="D8" s="123"/>
      <c r="E8" s="123"/>
      <c r="F8" s="123"/>
      <c r="G8" s="123"/>
      <c r="H8" s="123"/>
      <c r="I8" s="123"/>
      <c r="J8" s="123"/>
    </row>
    <row r="9" spans="2:22">
      <c r="B9" s="61"/>
      <c r="C9" s="61"/>
      <c r="D9" s="61"/>
      <c r="E9" s="61"/>
    </row>
    <row r="10" spans="2:22">
      <c r="B10" s="126" t="s">
        <v>4</v>
      </c>
      <c r="C10" s="127"/>
      <c r="D10" s="127"/>
      <c r="E10" s="127"/>
      <c r="F10" s="127"/>
      <c r="G10" s="127"/>
      <c r="H10" s="127"/>
      <c r="I10" s="127"/>
      <c r="J10" s="128"/>
      <c r="N10" s="126" t="s">
        <v>5</v>
      </c>
      <c r="O10" s="127"/>
      <c r="P10" s="127"/>
      <c r="Q10" s="127"/>
      <c r="R10" s="127"/>
      <c r="S10" s="128"/>
    </row>
    <row r="12" spans="2:22">
      <c r="B12" s="126" t="s">
        <v>6</v>
      </c>
      <c r="C12" s="127"/>
      <c r="D12" s="127"/>
      <c r="E12" s="127"/>
      <c r="F12" s="128"/>
      <c r="G12" s="126" t="s">
        <v>7</v>
      </c>
      <c r="H12" s="127"/>
      <c r="I12" s="127"/>
      <c r="J12" s="128"/>
    </row>
    <row r="13" spans="2:22" ht="16" customHeight="1" thickBot="1"/>
    <row r="14" spans="2:22" ht="19.5" customHeight="1">
      <c r="B14" s="116"/>
      <c r="G14" s="123"/>
      <c r="H14" s="123"/>
      <c r="I14" s="123"/>
      <c r="J14" s="123"/>
      <c r="P14" s="62">
        <v>44743</v>
      </c>
      <c r="Q14" s="83">
        <f>DATE(YEAR(P14),MONTH(P14)-1,DAY(P14))</f>
        <v>44713</v>
      </c>
      <c r="R14" s="63"/>
    </row>
    <row r="15" spans="2:22" ht="18" customHeight="1" thickBot="1">
      <c r="B15" s="122" t="s">
        <v>8</v>
      </c>
      <c r="C15" s="123"/>
      <c r="D15" s="123"/>
      <c r="E15" s="123"/>
      <c r="F15" s="123"/>
      <c r="G15" s="124" t="s">
        <v>9</v>
      </c>
      <c r="H15" s="123"/>
      <c r="I15" s="123"/>
      <c r="J15" s="123"/>
      <c r="P15" s="76" t="s">
        <v>10</v>
      </c>
      <c r="Q15" s="64" t="s">
        <v>10</v>
      </c>
      <c r="R15" s="65" t="s">
        <v>11</v>
      </c>
    </row>
    <row r="16" spans="2:22" ht="18" customHeight="1">
      <c r="B16" s="122" t="s">
        <v>12</v>
      </c>
      <c r="C16" s="123"/>
      <c r="D16" s="123"/>
      <c r="E16" s="123"/>
      <c r="F16" s="123"/>
      <c r="G16" s="124" t="s">
        <v>13</v>
      </c>
      <c r="H16" s="123"/>
      <c r="I16" s="123"/>
      <c r="J16" s="123"/>
      <c r="N16" s="139" t="s">
        <v>9</v>
      </c>
      <c r="O16" s="140"/>
      <c r="P16" s="77">
        <f>VLOOKUP($P$14,Database!$A:$M,MATCH(Note!S16,Database!$A$1:$M$1,),)</f>
        <v>273186</v>
      </c>
      <c r="Q16" s="77">
        <f>VLOOKUP($Q$14,Database!$A:$M,MATCH(Note!S16,Database!$A$1:$M$1,),)</f>
        <v>273571</v>
      </c>
      <c r="R16" s="97">
        <f t="shared" ref="R16:R25" si="0">(P16-Q16)/Q16</f>
        <v>-1.407312909628579E-3</v>
      </c>
      <c r="S16" s="78" t="s">
        <v>14</v>
      </c>
      <c r="U16" s="78" t="s">
        <v>14</v>
      </c>
      <c r="V16" s="117" t="s">
        <v>9</v>
      </c>
    </row>
    <row r="17" spans="2:22" ht="18" customHeight="1">
      <c r="B17" s="122" t="s">
        <v>15</v>
      </c>
      <c r="C17" s="123"/>
      <c r="D17" s="123"/>
      <c r="E17" s="123"/>
      <c r="F17" s="123"/>
      <c r="G17" s="125" t="s">
        <v>16</v>
      </c>
      <c r="H17" s="123"/>
      <c r="I17" s="123"/>
      <c r="J17" s="123"/>
      <c r="N17" s="136" t="s">
        <v>13</v>
      </c>
      <c r="O17" s="128"/>
      <c r="P17" s="94">
        <f>VLOOKUP($P$14,Database!$A:$M,MATCH(Note!S17,Database!$A$1:$M$1,),)</f>
        <v>180262</v>
      </c>
      <c r="Q17" s="94">
        <f>VLOOKUP($Q$14,Database!$A:$M,MATCH(Note!S17,Database!$A$1:$M$1,),)</f>
        <v>179945</v>
      </c>
      <c r="R17" s="98">
        <f t="shared" si="0"/>
        <v>1.7616493928700437E-3</v>
      </c>
      <c r="S17" s="79" t="s">
        <v>17</v>
      </c>
      <c r="U17" s="79" t="s">
        <v>17</v>
      </c>
      <c r="V17" s="117" t="s">
        <v>13</v>
      </c>
    </row>
    <row r="18" spans="2:22" ht="33.75" customHeight="1">
      <c r="B18" s="122" t="s">
        <v>18</v>
      </c>
      <c r="C18" s="123"/>
      <c r="D18" s="123"/>
      <c r="E18" s="123"/>
      <c r="F18" s="123"/>
      <c r="G18" s="125" t="s">
        <v>19</v>
      </c>
      <c r="H18" s="123"/>
      <c r="I18" s="123"/>
      <c r="J18" s="123"/>
      <c r="N18" s="135" t="s">
        <v>20</v>
      </c>
      <c r="O18" s="128"/>
      <c r="P18" s="94">
        <f>VLOOKUP($P$14,Database!$A:$M,MATCH(Note!S18,Database!$A$1:$M$1,),)</f>
        <v>74440</v>
      </c>
      <c r="Q18" s="94">
        <f>VLOOKUP($Q$14,Database!$A:$M,MATCH(Note!S18,Database!$A$1:$M$1,),)</f>
        <v>74190</v>
      </c>
      <c r="R18" s="98">
        <f t="shared" si="0"/>
        <v>3.3697263782180888E-3</v>
      </c>
      <c r="S18" s="80" t="s">
        <v>21</v>
      </c>
      <c r="U18" s="80" t="s">
        <v>21</v>
      </c>
      <c r="V18" s="117" t="s">
        <v>20</v>
      </c>
    </row>
    <row r="19" spans="2:22" ht="18" customHeight="1">
      <c r="B19" s="122" t="s">
        <v>22</v>
      </c>
      <c r="C19" s="123"/>
      <c r="D19" s="123"/>
      <c r="E19" s="123"/>
      <c r="F19" s="123"/>
      <c r="G19" s="125" t="s">
        <v>23</v>
      </c>
      <c r="H19" s="123"/>
      <c r="I19" s="123"/>
      <c r="J19" s="123"/>
      <c r="N19" s="136" t="s">
        <v>19</v>
      </c>
      <c r="O19" s="128"/>
      <c r="P19" s="94">
        <f>VLOOKUP($P$14,Database!$A:$M,MATCH(Note!S19,Database!$A$1:$M$1,),)</f>
        <v>194497</v>
      </c>
      <c r="Q19" s="94">
        <f>VLOOKUP($Q$14,Database!$A:$M,MATCH(Note!S19,Database!$A$1:$M$1,),)</f>
        <v>194488</v>
      </c>
      <c r="R19" s="98">
        <f t="shared" si="0"/>
        <v>4.6275348607626178E-5</v>
      </c>
      <c r="S19" s="79" t="s">
        <v>24</v>
      </c>
      <c r="U19" s="79" t="s">
        <v>24</v>
      </c>
      <c r="V19" s="117" t="s">
        <v>19</v>
      </c>
    </row>
    <row r="20" spans="2:22" ht="18" customHeight="1">
      <c r="B20" s="122" t="s">
        <v>25</v>
      </c>
      <c r="C20" s="123"/>
      <c r="D20" s="123"/>
      <c r="E20" s="123"/>
      <c r="F20" s="123"/>
      <c r="G20" s="125" t="s">
        <v>26</v>
      </c>
      <c r="H20" s="123"/>
      <c r="I20" s="123"/>
      <c r="J20" s="123"/>
      <c r="N20" s="136" t="s">
        <v>23</v>
      </c>
      <c r="O20" s="128"/>
      <c r="P20" s="94">
        <f>VLOOKUP($P$14,Database!$A:$M,MATCH(Note!S20,Database!$A$1:$M$1,),)</f>
        <v>92924</v>
      </c>
      <c r="Q20" s="94">
        <f>VLOOKUP($Q$14,Database!$A:$M,MATCH(Note!S20,Database!$A$1:$M$1,),)</f>
        <v>93626</v>
      </c>
      <c r="R20" s="98">
        <f t="shared" si="0"/>
        <v>-7.497917245209664E-3</v>
      </c>
      <c r="S20" s="80" t="s">
        <v>27</v>
      </c>
      <c r="U20" s="80" t="s">
        <v>27</v>
      </c>
      <c r="V20" s="117" t="s">
        <v>23</v>
      </c>
    </row>
    <row r="21" spans="2:22" ht="18" customHeight="1">
      <c r="B21" s="122" t="s">
        <v>28</v>
      </c>
      <c r="C21" s="123"/>
      <c r="D21" s="123"/>
      <c r="E21" s="123"/>
      <c r="F21" s="123"/>
      <c r="G21" s="125" t="s">
        <v>29</v>
      </c>
      <c r="H21" s="123"/>
      <c r="I21" s="123"/>
      <c r="J21" s="123"/>
      <c r="N21" s="136" t="s">
        <v>26</v>
      </c>
      <c r="O21" s="128"/>
      <c r="P21" s="94">
        <f>VLOOKUP($P$14,Database!$A:$M,MATCH(Note!S21,Database!$A$1:$M$1,),)</f>
        <v>37368</v>
      </c>
      <c r="Q21" s="94">
        <f>VLOOKUP($Q$14,Database!$A:$M,MATCH(Note!S21,Database!$A$1:$M$1,),)</f>
        <v>36922</v>
      </c>
      <c r="R21" s="98">
        <f t="shared" si="0"/>
        <v>1.2079518985970424E-2</v>
      </c>
      <c r="S21" s="80" t="s">
        <v>30</v>
      </c>
      <c r="U21" s="80" t="s">
        <v>30</v>
      </c>
      <c r="V21" s="117" t="s">
        <v>26</v>
      </c>
    </row>
    <row r="22" spans="2:22" ht="18" customHeight="1">
      <c r="B22" s="122" t="s">
        <v>31</v>
      </c>
      <c r="C22" s="123"/>
      <c r="D22" s="123"/>
      <c r="E22" s="123"/>
      <c r="F22" s="123"/>
      <c r="G22" s="125" t="s">
        <v>32</v>
      </c>
      <c r="H22" s="123"/>
      <c r="I22" s="123"/>
      <c r="J22" s="123"/>
      <c r="N22" s="136" t="s">
        <v>29</v>
      </c>
      <c r="O22" s="128"/>
      <c r="P22" s="94">
        <f>VLOOKUP($P$14,Database!$A:$M,MATCH(Note!S22,Database!$A$1:$M$1,),)</f>
        <v>38566</v>
      </c>
      <c r="Q22" s="94">
        <f>VLOOKUP($Q$14,Database!$A:$M,MATCH(Note!S22,Database!$A$1:$M$1,),)</f>
        <v>38434</v>
      </c>
      <c r="R22" s="98">
        <f t="shared" si="0"/>
        <v>3.4344590726960505E-3</v>
      </c>
      <c r="S22" s="80" t="s">
        <v>33</v>
      </c>
      <c r="U22" s="80" t="s">
        <v>33</v>
      </c>
      <c r="V22" s="117" t="s">
        <v>29</v>
      </c>
    </row>
    <row r="23" spans="2:22" ht="18" customHeight="1">
      <c r="B23" s="122" t="s">
        <v>34</v>
      </c>
      <c r="C23" s="123"/>
      <c r="D23" s="123"/>
      <c r="E23" s="123"/>
      <c r="F23" s="123"/>
      <c r="G23" s="125" t="s">
        <v>35</v>
      </c>
      <c r="H23" s="123"/>
      <c r="I23" s="123"/>
      <c r="J23" s="123"/>
      <c r="N23" s="136" t="s">
        <v>32</v>
      </c>
      <c r="O23" s="128"/>
      <c r="P23" s="94">
        <f>VLOOKUP($P$14,Database!$A:$M,MATCH(Note!S23,Database!$A$1:$M$1,),)</f>
        <v>24397</v>
      </c>
      <c r="Q23" s="94">
        <f>VLOOKUP($Q$14,Database!$A:$M,MATCH(Note!S23,Database!$A$1:$M$1,),)</f>
        <v>24211</v>
      </c>
      <c r="R23" s="98">
        <f t="shared" si="0"/>
        <v>7.6824583866837385E-3</v>
      </c>
      <c r="S23" s="80" t="s">
        <v>36</v>
      </c>
      <c r="U23" s="80" t="s">
        <v>36</v>
      </c>
      <c r="V23" s="117" t="s">
        <v>32</v>
      </c>
    </row>
    <row r="24" spans="2:22" ht="18" customHeight="1">
      <c r="B24" s="122" t="s">
        <v>37</v>
      </c>
      <c r="C24" s="123"/>
      <c r="D24" s="123"/>
      <c r="E24" s="123"/>
      <c r="F24" s="123"/>
      <c r="G24" s="125" t="s">
        <v>38</v>
      </c>
      <c r="H24" s="123"/>
      <c r="I24" s="123"/>
      <c r="J24" s="123"/>
      <c r="N24" s="136" t="s">
        <v>35</v>
      </c>
      <c r="O24" s="128"/>
      <c r="P24" s="94">
        <f>VLOOKUP($P$14,Database!$A:$M,MATCH(Note!S24,Database!$A$1:$M$1,),)</f>
        <v>20697</v>
      </c>
      <c r="Q24" s="94">
        <f>VLOOKUP($Q$14,Database!$A:$M,MATCH(Note!S24,Database!$A$1:$M$1,),)</f>
        <v>21050</v>
      </c>
      <c r="R24" s="98">
        <f t="shared" si="0"/>
        <v>-1.6769596199524939E-2</v>
      </c>
      <c r="S24" s="80" t="s">
        <v>39</v>
      </c>
      <c r="U24" s="80" t="s">
        <v>39</v>
      </c>
      <c r="V24" s="117" t="s">
        <v>35</v>
      </c>
    </row>
    <row r="25" spans="2:22" ht="16" customHeight="1" thickBot="1">
      <c r="N25" s="137" t="s">
        <v>38</v>
      </c>
      <c r="O25" s="138"/>
      <c r="P25" s="81">
        <f>VLOOKUP($P$14,Database!$A:$M,MATCH(Note!S25,Database!$A$1:$M$1,),)</f>
        <v>13555</v>
      </c>
      <c r="Q25" s="81">
        <f>VLOOKUP($Q$14,Database!$A:$M,MATCH(Note!S25,Database!$A$1:$M$1,),)</f>
        <v>13717</v>
      </c>
      <c r="R25" s="99">
        <f t="shared" si="0"/>
        <v>-1.1810162571990961E-2</v>
      </c>
      <c r="S25" s="82" t="s">
        <v>40</v>
      </c>
      <c r="U25" s="82" t="s">
        <v>40</v>
      </c>
      <c r="V25" s="117" t="s">
        <v>38</v>
      </c>
    </row>
    <row r="26" spans="2:22">
      <c r="B26" s="66"/>
      <c r="G26" s="124" t="s">
        <v>41</v>
      </c>
      <c r="H26" s="123"/>
      <c r="I26" s="123"/>
      <c r="J26" s="123"/>
      <c r="K26" s="123"/>
      <c r="L26" s="123"/>
      <c r="M26" s="123"/>
      <c r="N26" s="123"/>
      <c r="O26" s="123"/>
    </row>
    <row r="27" spans="2:22">
      <c r="N27" s="84" t="s">
        <v>42</v>
      </c>
    </row>
    <row r="28" spans="2:22">
      <c r="B28" s="67"/>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WVW204"/>
  <sheetViews>
    <sheetView zoomScale="70" zoomScaleNormal="70" workbookViewId="0">
      <selection activeCell="J55" sqref="J55"/>
    </sheetView>
  </sheetViews>
  <sheetFormatPr baseColWidth="10" defaultColWidth="8.83203125" defaultRowHeight="15"/>
  <cols>
    <col min="1" max="1" width="23.6640625" style="118" customWidth="1"/>
    <col min="2" max="2" width="16.33203125" style="118" customWidth="1"/>
    <col min="3" max="11" width="13.5" style="118" customWidth="1"/>
    <col min="12" max="12" width="15.6640625" style="118" customWidth="1"/>
    <col min="13" max="13" width="16.83203125" style="118" customWidth="1"/>
    <col min="14" max="14" width="13.5" style="119" customWidth="1"/>
    <col min="15" max="15" width="10.6640625" style="118" customWidth="1"/>
    <col min="18" max="18" width="21.33203125" style="118" customWidth="1"/>
    <col min="257" max="257" width="23.6640625" style="118" customWidth="1"/>
    <col min="258" max="258" width="16.33203125" style="118" customWidth="1"/>
    <col min="259" max="267" width="13.5" style="118" customWidth="1"/>
    <col min="268" max="268" width="15.6640625" style="118" customWidth="1"/>
    <col min="269" max="269" width="16.83203125" style="118" customWidth="1"/>
    <col min="270" max="270" width="13.5" style="118" customWidth="1"/>
    <col min="271" max="271" width="10.6640625" style="118" customWidth="1"/>
    <col min="513" max="513" width="23.6640625" style="118" customWidth="1"/>
    <col min="514" max="514" width="16.33203125" style="118" customWidth="1"/>
    <col min="515" max="523" width="13.5" style="118" customWidth="1"/>
    <col min="524" max="524" width="15.6640625" style="118" customWidth="1"/>
    <col min="525" max="525" width="16.83203125" style="118" customWidth="1"/>
    <col min="526" max="526" width="13.5" style="118" customWidth="1"/>
    <col min="527" max="527" width="10.6640625" style="118" customWidth="1"/>
    <col min="769" max="769" width="23.6640625" style="118" customWidth="1"/>
    <col min="770" max="770" width="16.33203125" style="118" customWidth="1"/>
    <col min="771" max="779" width="13.5" style="118" customWidth="1"/>
    <col min="780" max="780" width="15.6640625" style="118" customWidth="1"/>
    <col min="781" max="781" width="16.83203125" style="118" customWidth="1"/>
    <col min="782" max="782" width="13.5" style="118" customWidth="1"/>
    <col min="783" max="783" width="10.6640625" style="118" customWidth="1"/>
    <col min="1025" max="1025" width="23.6640625" style="118" customWidth="1"/>
    <col min="1026" max="1026" width="16.33203125" style="118" customWidth="1"/>
    <col min="1027" max="1035" width="13.5" style="118" customWidth="1"/>
    <col min="1036" max="1036" width="15.6640625" style="118" customWidth="1"/>
    <col min="1037" max="1037" width="16.83203125" style="118" customWidth="1"/>
    <col min="1038" max="1038" width="13.5" style="118" customWidth="1"/>
    <col min="1039" max="1039" width="10.6640625" style="118" customWidth="1"/>
    <col min="1281" max="1281" width="23.6640625" style="118" customWidth="1"/>
    <col min="1282" max="1282" width="16.33203125" style="118" customWidth="1"/>
    <col min="1283" max="1291" width="13.5" style="118" customWidth="1"/>
    <col min="1292" max="1292" width="15.6640625" style="118" customWidth="1"/>
    <col min="1293" max="1293" width="16.83203125" style="118" customWidth="1"/>
    <col min="1294" max="1294" width="13.5" style="118" customWidth="1"/>
    <col min="1295" max="1295" width="10.6640625" style="118" customWidth="1"/>
    <col min="1537" max="1537" width="23.6640625" style="118" customWidth="1"/>
    <col min="1538" max="1538" width="16.33203125" style="118" customWidth="1"/>
    <col min="1539" max="1547" width="13.5" style="118" customWidth="1"/>
    <col min="1548" max="1548" width="15.6640625" style="118" customWidth="1"/>
    <col min="1549" max="1549" width="16.83203125" style="118" customWidth="1"/>
    <col min="1550" max="1550" width="13.5" style="118" customWidth="1"/>
    <col min="1551" max="1551" width="10.6640625" style="118" customWidth="1"/>
    <col min="1793" max="1793" width="23.6640625" style="118" customWidth="1"/>
    <col min="1794" max="1794" width="16.33203125" style="118" customWidth="1"/>
    <col min="1795" max="1803" width="13.5" style="118" customWidth="1"/>
    <col min="1804" max="1804" width="15.6640625" style="118" customWidth="1"/>
    <col min="1805" max="1805" width="16.83203125" style="118" customWidth="1"/>
    <col min="1806" max="1806" width="13.5" style="118" customWidth="1"/>
    <col min="1807" max="1807" width="10.6640625" style="118" customWidth="1"/>
    <col min="2049" max="2049" width="23.6640625" style="118" customWidth="1"/>
    <col min="2050" max="2050" width="16.33203125" style="118" customWidth="1"/>
    <col min="2051" max="2059" width="13.5" style="118" customWidth="1"/>
    <col min="2060" max="2060" width="15.6640625" style="118" customWidth="1"/>
    <col min="2061" max="2061" width="16.83203125" style="118" customWidth="1"/>
    <col min="2062" max="2062" width="13.5" style="118" customWidth="1"/>
    <col min="2063" max="2063" width="10.6640625" style="118" customWidth="1"/>
    <col min="2305" max="2305" width="23.6640625" style="118" customWidth="1"/>
    <col min="2306" max="2306" width="16.33203125" style="118" customWidth="1"/>
    <col min="2307" max="2315" width="13.5" style="118" customWidth="1"/>
    <col min="2316" max="2316" width="15.6640625" style="118" customWidth="1"/>
    <col min="2317" max="2317" width="16.83203125" style="118" customWidth="1"/>
    <col min="2318" max="2318" width="13.5" style="118" customWidth="1"/>
    <col min="2319" max="2319" width="10.6640625" style="118" customWidth="1"/>
    <col min="2561" max="2561" width="23.6640625" style="118" customWidth="1"/>
    <col min="2562" max="2562" width="16.33203125" style="118" customWidth="1"/>
    <col min="2563" max="2571" width="13.5" style="118" customWidth="1"/>
    <col min="2572" max="2572" width="15.6640625" style="118" customWidth="1"/>
    <col min="2573" max="2573" width="16.83203125" style="118" customWidth="1"/>
    <col min="2574" max="2574" width="13.5" style="118" customWidth="1"/>
    <col min="2575" max="2575" width="10.6640625" style="118" customWidth="1"/>
    <col min="2817" max="2817" width="23.6640625" style="118" customWidth="1"/>
    <col min="2818" max="2818" width="16.33203125" style="118" customWidth="1"/>
    <col min="2819" max="2827" width="13.5" style="118" customWidth="1"/>
    <col min="2828" max="2828" width="15.6640625" style="118" customWidth="1"/>
    <col min="2829" max="2829" width="16.83203125" style="118" customWidth="1"/>
    <col min="2830" max="2830" width="13.5" style="118" customWidth="1"/>
    <col min="2831" max="2831" width="10.6640625" style="118" customWidth="1"/>
    <col min="3073" max="3073" width="23.6640625" style="118" customWidth="1"/>
    <col min="3074" max="3074" width="16.33203125" style="118" customWidth="1"/>
    <col min="3075" max="3083" width="13.5" style="118" customWidth="1"/>
    <col min="3084" max="3084" width="15.6640625" style="118" customWidth="1"/>
    <col min="3085" max="3085" width="16.83203125" style="118" customWidth="1"/>
    <col min="3086" max="3086" width="13.5" style="118" customWidth="1"/>
    <col min="3087" max="3087" width="10.6640625" style="118" customWidth="1"/>
    <col min="3329" max="3329" width="23.6640625" style="118" customWidth="1"/>
    <col min="3330" max="3330" width="16.33203125" style="118" customWidth="1"/>
    <col min="3331" max="3339" width="13.5" style="118" customWidth="1"/>
    <col min="3340" max="3340" width="15.6640625" style="118" customWidth="1"/>
    <col min="3341" max="3341" width="16.83203125" style="118" customWidth="1"/>
    <col min="3342" max="3342" width="13.5" style="118" customWidth="1"/>
    <col min="3343" max="3343" width="10.6640625" style="118" customWidth="1"/>
    <col min="3585" max="3585" width="23.6640625" style="118" customWidth="1"/>
    <col min="3586" max="3586" width="16.33203125" style="118" customWidth="1"/>
    <col min="3587" max="3595" width="13.5" style="118" customWidth="1"/>
    <col min="3596" max="3596" width="15.6640625" style="118" customWidth="1"/>
    <col min="3597" max="3597" width="16.83203125" style="118" customWidth="1"/>
    <col min="3598" max="3598" width="13.5" style="118" customWidth="1"/>
    <col min="3599" max="3599" width="10.6640625" style="118" customWidth="1"/>
    <col min="3841" max="3841" width="23.6640625" style="118" customWidth="1"/>
    <col min="3842" max="3842" width="16.33203125" style="118" customWidth="1"/>
    <col min="3843" max="3851" width="13.5" style="118" customWidth="1"/>
    <col min="3852" max="3852" width="15.6640625" style="118" customWidth="1"/>
    <col min="3853" max="3853" width="16.83203125" style="118" customWidth="1"/>
    <col min="3854" max="3854" width="13.5" style="118" customWidth="1"/>
    <col min="3855" max="3855" width="10.6640625" style="118" customWidth="1"/>
    <col min="4097" max="4097" width="23.6640625" style="118" customWidth="1"/>
    <col min="4098" max="4098" width="16.33203125" style="118" customWidth="1"/>
    <col min="4099" max="4107" width="13.5" style="118" customWidth="1"/>
    <col min="4108" max="4108" width="15.6640625" style="118" customWidth="1"/>
    <col min="4109" max="4109" width="16.83203125" style="118" customWidth="1"/>
    <col min="4110" max="4110" width="13.5" style="118" customWidth="1"/>
    <col min="4111" max="4111" width="10.6640625" style="118" customWidth="1"/>
    <col min="4353" max="4353" width="23.6640625" style="118" customWidth="1"/>
    <col min="4354" max="4354" width="16.33203125" style="118" customWidth="1"/>
    <col min="4355" max="4363" width="13.5" style="118" customWidth="1"/>
    <col min="4364" max="4364" width="15.6640625" style="118" customWidth="1"/>
    <col min="4365" max="4365" width="16.83203125" style="118" customWidth="1"/>
    <col min="4366" max="4366" width="13.5" style="118" customWidth="1"/>
    <col min="4367" max="4367" width="10.6640625" style="118" customWidth="1"/>
    <col min="4609" max="4609" width="23.6640625" style="118" customWidth="1"/>
    <col min="4610" max="4610" width="16.33203125" style="118" customWidth="1"/>
    <col min="4611" max="4619" width="13.5" style="118" customWidth="1"/>
    <col min="4620" max="4620" width="15.6640625" style="118" customWidth="1"/>
    <col min="4621" max="4621" width="16.83203125" style="118" customWidth="1"/>
    <col min="4622" max="4622" width="13.5" style="118" customWidth="1"/>
    <col min="4623" max="4623" width="10.6640625" style="118" customWidth="1"/>
    <col min="4865" max="4865" width="23.6640625" style="118" customWidth="1"/>
    <col min="4866" max="4866" width="16.33203125" style="118" customWidth="1"/>
    <col min="4867" max="4875" width="13.5" style="118" customWidth="1"/>
    <col min="4876" max="4876" width="15.6640625" style="118" customWidth="1"/>
    <col min="4877" max="4877" width="16.83203125" style="118" customWidth="1"/>
    <col min="4878" max="4878" width="13.5" style="118" customWidth="1"/>
    <col min="4879" max="4879" width="10.6640625" style="118" customWidth="1"/>
    <col min="5121" max="5121" width="23.6640625" style="118" customWidth="1"/>
    <col min="5122" max="5122" width="16.33203125" style="118" customWidth="1"/>
    <col min="5123" max="5131" width="13.5" style="118" customWidth="1"/>
    <col min="5132" max="5132" width="15.6640625" style="118" customWidth="1"/>
    <col min="5133" max="5133" width="16.83203125" style="118" customWidth="1"/>
    <col min="5134" max="5134" width="13.5" style="118" customWidth="1"/>
    <col min="5135" max="5135" width="10.6640625" style="118" customWidth="1"/>
    <col min="5377" max="5377" width="23.6640625" style="118" customWidth="1"/>
    <col min="5378" max="5378" width="16.33203125" style="118" customWidth="1"/>
    <col min="5379" max="5387" width="13.5" style="118" customWidth="1"/>
    <col min="5388" max="5388" width="15.6640625" style="118" customWidth="1"/>
    <col min="5389" max="5389" width="16.83203125" style="118" customWidth="1"/>
    <col min="5390" max="5390" width="13.5" style="118" customWidth="1"/>
    <col min="5391" max="5391" width="10.6640625" style="118" customWidth="1"/>
    <col min="5633" max="5633" width="23.6640625" style="118" customWidth="1"/>
    <col min="5634" max="5634" width="16.33203125" style="118" customWidth="1"/>
    <col min="5635" max="5643" width="13.5" style="118" customWidth="1"/>
    <col min="5644" max="5644" width="15.6640625" style="118" customWidth="1"/>
    <col min="5645" max="5645" width="16.83203125" style="118" customWidth="1"/>
    <col min="5646" max="5646" width="13.5" style="118" customWidth="1"/>
    <col min="5647" max="5647" width="10.6640625" style="118" customWidth="1"/>
    <col min="5889" max="5889" width="23.6640625" style="118" customWidth="1"/>
    <col min="5890" max="5890" width="16.33203125" style="118" customWidth="1"/>
    <col min="5891" max="5899" width="13.5" style="118" customWidth="1"/>
    <col min="5900" max="5900" width="15.6640625" style="118" customWidth="1"/>
    <col min="5901" max="5901" width="16.83203125" style="118" customWidth="1"/>
    <col min="5902" max="5902" width="13.5" style="118" customWidth="1"/>
    <col min="5903" max="5903" width="10.6640625" style="118" customWidth="1"/>
    <col min="6145" max="6145" width="23.6640625" style="118" customWidth="1"/>
    <col min="6146" max="6146" width="16.33203125" style="118" customWidth="1"/>
    <col min="6147" max="6155" width="13.5" style="118" customWidth="1"/>
    <col min="6156" max="6156" width="15.6640625" style="118" customWidth="1"/>
    <col min="6157" max="6157" width="16.83203125" style="118" customWidth="1"/>
    <col min="6158" max="6158" width="13.5" style="118" customWidth="1"/>
    <col min="6159" max="6159" width="10.6640625" style="118" customWidth="1"/>
    <col min="6401" max="6401" width="23.6640625" style="118" customWidth="1"/>
    <col min="6402" max="6402" width="16.33203125" style="118" customWidth="1"/>
    <col min="6403" max="6411" width="13.5" style="118" customWidth="1"/>
    <col min="6412" max="6412" width="15.6640625" style="118" customWidth="1"/>
    <col min="6413" max="6413" width="16.83203125" style="118" customWidth="1"/>
    <col min="6414" max="6414" width="13.5" style="118" customWidth="1"/>
    <col min="6415" max="6415" width="10.6640625" style="118" customWidth="1"/>
    <col min="6657" max="6657" width="23.6640625" style="118" customWidth="1"/>
    <col min="6658" max="6658" width="16.33203125" style="118" customWidth="1"/>
    <col min="6659" max="6667" width="13.5" style="118" customWidth="1"/>
    <col min="6668" max="6668" width="15.6640625" style="118" customWidth="1"/>
    <col min="6669" max="6669" width="16.83203125" style="118" customWidth="1"/>
    <col min="6670" max="6670" width="13.5" style="118" customWidth="1"/>
    <col min="6671" max="6671" width="10.6640625" style="118" customWidth="1"/>
    <col min="6913" max="6913" width="23.6640625" style="118" customWidth="1"/>
    <col min="6914" max="6914" width="16.33203125" style="118" customWidth="1"/>
    <col min="6915" max="6923" width="13.5" style="118" customWidth="1"/>
    <col min="6924" max="6924" width="15.6640625" style="118" customWidth="1"/>
    <col min="6925" max="6925" width="16.83203125" style="118" customWidth="1"/>
    <col min="6926" max="6926" width="13.5" style="118" customWidth="1"/>
    <col min="6927" max="6927" width="10.6640625" style="118" customWidth="1"/>
    <col min="7169" max="7169" width="23.6640625" style="118" customWidth="1"/>
    <col min="7170" max="7170" width="16.33203125" style="118" customWidth="1"/>
    <col min="7171" max="7179" width="13.5" style="118" customWidth="1"/>
    <col min="7180" max="7180" width="15.6640625" style="118" customWidth="1"/>
    <col min="7181" max="7181" width="16.83203125" style="118" customWidth="1"/>
    <col min="7182" max="7182" width="13.5" style="118" customWidth="1"/>
    <col min="7183" max="7183" width="10.6640625" style="118" customWidth="1"/>
    <col min="7425" max="7425" width="23.6640625" style="118" customWidth="1"/>
    <col min="7426" max="7426" width="16.33203125" style="118" customWidth="1"/>
    <col min="7427" max="7435" width="13.5" style="118" customWidth="1"/>
    <col min="7436" max="7436" width="15.6640625" style="118" customWidth="1"/>
    <col min="7437" max="7437" width="16.83203125" style="118" customWidth="1"/>
    <col min="7438" max="7438" width="13.5" style="118" customWidth="1"/>
    <col min="7439" max="7439" width="10.6640625" style="118" customWidth="1"/>
    <col min="7681" max="7681" width="23.6640625" style="118" customWidth="1"/>
    <col min="7682" max="7682" width="16.33203125" style="118" customWidth="1"/>
    <col min="7683" max="7691" width="13.5" style="118" customWidth="1"/>
    <col min="7692" max="7692" width="15.6640625" style="118" customWidth="1"/>
    <col min="7693" max="7693" width="16.83203125" style="118" customWidth="1"/>
    <col min="7694" max="7694" width="13.5" style="118" customWidth="1"/>
    <col min="7695" max="7695" width="10.6640625" style="118" customWidth="1"/>
    <col min="7937" max="7937" width="23.6640625" style="118" customWidth="1"/>
    <col min="7938" max="7938" width="16.33203125" style="118" customWidth="1"/>
    <col min="7939" max="7947" width="13.5" style="118" customWidth="1"/>
    <col min="7948" max="7948" width="15.6640625" style="118" customWidth="1"/>
    <col min="7949" max="7949" width="16.83203125" style="118" customWidth="1"/>
    <col min="7950" max="7950" width="13.5" style="118" customWidth="1"/>
    <col min="7951" max="7951" width="10.6640625" style="118" customWidth="1"/>
    <col min="8193" max="8193" width="23.6640625" style="118" customWidth="1"/>
    <col min="8194" max="8194" width="16.33203125" style="118" customWidth="1"/>
    <col min="8195" max="8203" width="13.5" style="118" customWidth="1"/>
    <col min="8204" max="8204" width="15.6640625" style="118" customWidth="1"/>
    <col min="8205" max="8205" width="16.83203125" style="118" customWidth="1"/>
    <col min="8206" max="8206" width="13.5" style="118" customWidth="1"/>
    <col min="8207" max="8207" width="10.6640625" style="118" customWidth="1"/>
    <col min="8449" max="8449" width="23.6640625" style="118" customWidth="1"/>
    <col min="8450" max="8450" width="16.33203125" style="118" customWidth="1"/>
    <col min="8451" max="8459" width="13.5" style="118" customWidth="1"/>
    <col min="8460" max="8460" width="15.6640625" style="118" customWidth="1"/>
    <col min="8461" max="8461" width="16.83203125" style="118" customWidth="1"/>
    <col min="8462" max="8462" width="13.5" style="118" customWidth="1"/>
    <col min="8463" max="8463" width="10.6640625" style="118" customWidth="1"/>
    <col min="8705" max="8705" width="23.6640625" style="118" customWidth="1"/>
    <col min="8706" max="8706" width="16.33203125" style="118" customWidth="1"/>
    <col min="8707" max="8715" width="13.5" style="118" customWidth="1"/>
    <col min="8716" max="8716" width="15.6640625" style="118" customWidth="1"/>
    <col min="8717" max="8717" width="16.83203125" style="118" customWidth="1"/>
    <col min="8718" max="8718" width="13.5" style="118" customWidth="1"/>
    <col min="8719" max="8719" width="10.6640625" style="118" customWidth="1"/>
    <col min="8961" max="8961" width="23.6640625" style="118" customWidth="1"/>
    <col min="8962" max="8962" width="16.33203125" style="118" customWidth="1"/>
    <col min="8963" max="8971" width="13.5" style="118" customWidth="1"/>
    <col min="8972" max="8972" width="15.6640625" style="118" customWidth="1"/>
    <col min="8973" max="8973" width="16.83203125" style="118" customWidth="1"/>
    <col min="8974" max="8974" width="13.5" style="118" customWidth="1"/>
    <col min="8975" max="8975" width="10.6640625" style="118" customWidth="1"/>
    <col min="9217" max="9217" width="23.6640625" style="118" customWidth="1"/>
    <col min="9218" max="9218" width="16.33203125" style="118" customWidth="1"/>
    <col min="9219" max="9227" width="13.5" style="118" customWidth="1"/>
    <col min="9228" max="9228" width="15.6640625" style="118" customWidth="1"/>
    <col min="9229" max="9229" width="16.83203125" style="118" customWidth="1"/>
    <col min="9230" max="9230" width="13.5" style="118" customWidth="1"/>
    <col min="9231" max="9231" width="10.6640625" style="118" customWidth="1"/>
    <col min="9473" max="9473" width="23.6640625" style="118" customWidth="1"/>
    <col min="9474" max="9474" width="16.33203125" style="118" customWidth="1"/>
    <col min="9475" max="9483" width="13.5" style="118" customWidth="1"/>
    <col min="9484" max="9484" width="15.6640625" style="118" customWidth="1"/>
    <col min="9485" max="9485" width="16.83203125" style="118" customWidth="1"/>
    <col min="9486" max="9486" width="13.5" style="118" customWidth="1"/>
    <col min="9487" max="9487" width="10.6640625" style="118" customWidth="1"/>
    <col min="9729" max="9729" width="23.6640625" style="118" customWidth="1"/>
    <col min="9730" max="9730" width="16.33203125" style="118" customWidth="1"/>
    <col min="9731" max="9739" width="13.5" style="118" customWidth="1"/>
    <col min="9740" max="9740" width="15.6640625" style="118" customWidth="1"/>
    <col min="9741" max="9741" width="16.83203125" style="118" customWidth="1"/>
    <col min="9742" max="9742" width="13.5" style="118" customWidth="1"/>
    <col min="9743" max="9743" width="10.6640625" style="118" customWidth="1"/>
    <col min="9985" max="9985" width="23.6640625" style="118" customWidth="1"/>
    <col min="9986" max="9986" width="16.33203125" style="118" customWidth="1"/>
    <col min="9987" max="9995" width="13.5" style="118" customWidth="1"/>
    <col min="9996" max="9996" width="15.6640625" style="118" customWidth="1"/>
    <col min="9997" max="9997" width="16.83203125" style="118" customWidth="1"/>
    <col min="9998" max="9998" width="13.5" style="118" customWidth="1"/>
    <col min="9999" max="9999" width="10.6640625" style="118" customWidth="1"/>
    <col min="10241" max="10241" width="23.6640625" style="118" customWidth="1"/>
    <col min="10242" max="10242" width="16.33203125" style="118" customWidth="1"/>
    <col min="10243" max="10251" width="13.5" style="118" customWidth="1"/>
    <col min="10252" max="10252" width="15.6640625" style="118" customWidth="1"/>
    <col min="10253" max="10253" width="16.83203125" style="118" customWidth="1"/>
    <col min="10254" max="10254" width="13.5" style="118" customWidth="1"/>
    <col min="10255" max="10255" width="10.6640625" style="118" customWidth="1"/>
    <col min="10497" max="10497" width="23.6640625" style="118" customWidth="1"/>
    <col min="10498" max="10498" width="16.33203125" style="118" customWidth="1"/>
    <col min="10499" max="10507" width="13.5" style="118" customWidth="1"/>
    <col min="10508" max="10508" width="15.6640625" style="118" customWidth="1"/>
    <col min="10509" max="10509" width="16.83203125" style="118" customWidth="1"/>
    <col min="10510" max="10510" width="13.5" style="118" customWidth="1"/>
    <col min="10511" max="10511" width="10.6640625" style="118" customWidth="1"/>
    <col min="10753" max="10753" width="23.6640625" style="118" customWidth="1"/>
    <col min="10754" max="10754" width="16.33203125" style="118" customWidth="1"/>
    <col min="10755" max="10763" width="13.5" style="118" customWidth="1"/>
    <col min="10764" max="10764" width="15.6640625" style="118" customWidth="1"/>
    <col min="10765" max="10765" width="16.83203125" style="118" customWidth="1"/>
    <col min="10766" max="10766" width="13.5" style="118" customWidth="1"/>
    <col min="10767" max="10767" width="10.6640625" style="118" customWidth="1"/>
    <col min="11009" max="11009" width="23.6640625" style="118" customWidth="1"/>
    <col min="11010" max="11010" width="16.33203125" style="118" customWidth="1"/>
    <col min="11011" max="11019" width="13.5" style="118" customWidth="1"/>
    <col min="11020" max="11020" width="15.6640625" style="118" customWidth="1"/>
    <col min="11021" max="11021" width="16.83203125" style="118" customWidth="1"/>
    <col min="11022" max="11022" width="13.5" style="118" customWidth="1"/>
    <col min="11023" max="11023" width="10.6640625" style="118" customWidth="1"/>
    <col min="11265" max="11265" width="23.6640625" style="118" customWidth="1"/>
    <col min="11266" max="11266" width="16.33203125" style="118" customWidth="1"/>
    <col min="11267" max="11275" width="13.5" style="118" customWidth="1"/>
    <col min="11276" max="11276" width="15.6640625" style="118" customWidth="1"/>
    <col min="11277" max="11277" width="16.83203125" style="118" customWidth="1"/>
    <col min="11278" max="11278" width="13.5" style="118" customWidth="1"/>
    <col min="11279" max="11279" width="10.6640625" style="118" customWidth="1"/>
    <col min="11521" max="11521" width="23.6640625" style="118" customWidth="1"/>
    <col min="11522" max="11522" width="16.33203125" style="118" customWidth="1"/>
    <col min="11523" max="11531" width="13.5" style="118" customWidth="1"/>
    <col min="11532" max="11532" width="15.6640625" style="118" customWidth="1"/>
    <col min="11533" max="11533" width="16.83203125" style="118" customWidth="1"/>
    <col min="11534" max="11534" width="13.5" style="118" customWidth="1"/>
    <col min="11535" max="11535" width="10.6640625" style="118" customWidth="1"/>
    <col min="11777" max="11777" width="23.6640625" style="118" customWidth="1"/>
    <col min="11778" max="11778" width="16.33203125" style="118" customWidth="1"/>
    <col min="11779" max="11787" width="13.5" style="118" customWidth="1"/>
    <col min="11788" max="11788" width="15.6640625" style="118" customWidth="1"/>
    <col min="11789" max="11789" width="16.83203125" style="118" customWidth="1"/>
    <col min="11790" max="11790" width="13.5" style="118" customWidth="1"/>
    <col min="11791" max="11791" width="10.6640625" style="118" customWidth="1"/>
    <col min="12033" max="12033" width="23.6640625" style="118" customWidth="1"/>
    <col min="12034" max="12034" width="16.33203125" style="118" customWidth="1"/>
    <col min="12035" max="12043" width="13.5" style="118" customWidth="1"/>
    <col min="12044" max="12044" width="15.6640625" style="118" customWidth="1"/>
    <col min="12045" max="12045" width="16.83203125" style="118" customWidth="1"/>
    <col min="12046" max="12046" width="13.5" style="118" customWidth="1"/>
    <col min="12047" max="12047" width="10.6640625" style="118" customWidth="1"/>
    <col min="12289" max="12289" width="23.6640625" style="118" customWidth="1"/>
    <col min="12290" max="12290" width="16.33203125" style="118" customWidth="1"/>
    <col min="12291" max="12299" width="13.5" style="118" customWidth="1"/>
    <col min="12300" max="12300" width="15.6640625" style="118" customWidth="1"/>
    <col min="12301" max="12301" width="16.83203125" style="118" customWidth="1"/>
    <col min="12302" max="12302" width="13.5" style="118" customWidth="1"/>
    <col min="12303" max="12303" width="10.6640625" style="118" customWidth="1"/>
    <col min="12545" max="12545" width="23.6640625" style="118" customWidth="1"/>
    <col min="12546" max="12546" width="16.33203125" style="118" customWidth="1"/>
    <col min="12547" max="12555" width="13.5" style="118" customWidth="1"/>
    <col min="12556" max="12556" width="15.6640625" style="118" customWidth="1"/>
    <col min="12557" max="12557" width="16.83203125" style="118" customWidth="1"/>
    <col min="12558" max="12558" width="13.5" style="118" customWidth="1"/>
    <col min="12559" max="12559" width="10.6640625" style="118" customWidth="1"/>
    <col min="12801" max="12801" width="23.6640625" style="118" customWidth="1"/>
    <col min="12802" max="12802" width="16.33203125" style="118" customWidth="1"/>
    <col min="12803" max="12811" width="13.5" style="118" customWidth="1"/>
    <col min="12812" max="12812" width="15.6640625" style="118" customWidth="1"/>
    <col min="12813" max="12813" width="16.83203125" style="118" customWidth="1"/>
    <col min="12814" max="12814" width="13.5" style="118" customWidth="1"/>
    <col min="12815" max="12815" width="10.6640625" style="118" customWidth="1"/>
    <col min="13057" max="13057" width="23.6640625" style="118" customWidth="1"/>
    <col min="13058" max="13058" width="16.33203125" style="118" customWidth="1"/>
    <col min="13059" max="13067" width="13.5" style="118" customWidth="1"/>
    <col min="13068" max="13068" width="15.6640625" style="118" customWidth="1"/>
    <col min="13069" max="13069" width="16.83203125" style="118" customWidth="1"/>
    <col min="13070" max="13070" width="13.5" style="118" customWidth="1"/>
    <col min="13071" max="13071" width="10.6640625" style="118" customWidth="1"/>
    <col min="13313" max="13313" width="23.6640625" style="118" customWidth="1"/>
    <col min="13314" max="13314" width="16.33203125" style="118" customWidth="1"/>
    <col min="13315" max="13323" width="13.5" style="118" customWidth="1"/>
    <col min="13324" max="13324" width="15.6640625" style="118" customWidth="1"/>
    <col min="13325" max="13325" width="16.83203125" style="118" customWidth="1"/>
    <col min="13326" max="13326" width="13.5" style="118" customWidth="1"/>
    <col min="13327" max="13327" width="10.6640625" style="118" customWidth="1"/>
    <col min="13569" max="13569" width="23.6640625" style="118" customWidth="1"/>
    <col min="13570" max="13570" width="16.33203125" style="118" customWidth="1"/>
    <col min="13571" max="13579" width="13.5" style="118" customWidth="1"/>
    <col min="13580" max="13580" width="15.6640625" style="118" customWidth="1"/>
    <col min="13581" max="13581" width="16.83203125" style="118" customWidth="1"/>
    <col min="13582" max="13582" width="13.5" style="118" customWidth="1"/>
    <col min="13583" max="13583" width="10.6640625" style="118" customWidth="1"/>
    <col min="13825" max="13825" width="23.6640625" style="118" customWidth="1"/>
    <col min="13826" max="13826" width="16.33203125" style="118" customWidth="1"/>
    <col min="13827" max="13835" width="13.5" style="118" customWidth="1"/>
    <col min="13836" max="13836" width="15.6640625" style="118" customWidth="1"/>
    <col min="13837" max="13837" width="16.83203125" style="118" customWidth="1"/>
    <col min="13838" max="13838" width="13.5" style="118" customWidth="1"/>
    <col min="13839" max="13839" width="10.6640625" style="118" customWidth="1"/>
    <col min="14081" max="14081" width="23.6640625" style="118" customWidth="1"/>
    <col min="14082" max="14082" width="16.33203125" style="118" customWidth="1"/>
    <col min="14083" max="14091" width="13.5" style="118" customWidth="1"/>
    <col min="14092" max="14092" width="15.6640625" style="118" customWidth="1"/>
    <col min="14093" max="14093" width="16.83203125" style="118" customWidth="1"/>
    <col min="14094" max="14094" width="13.5" style="118" customWidth="1"/>
    <col min="14095" max="14095" width="10.6640625" style="118" customWidth="1"/>
    <col min="14337" max="14337" width="23.6640625" style="118" customWidth="1"/>
    <col min="14338" max="14338" width="16.33203125" style="118" customWidth="1"/>
    <col min="14339" max="14347" width="13.5" style="118" customWidth="1"/>
    <col min="14348" max="14348" width="15.6640625" style="118" customWidth="1"/>
    <col min="14349" max="14349" width="16.83203125" style="118" customWidth="1"/>
    <col min="14350" max="14350" width="13.5" style="118" customWidth="1"/>
    <col min="14351" max="14351" width="10.6640625" style="118" customWidth="1"/>
    <col min="14593" max="14593" width="23.6640625" style="118" customWidth="1"/>
    <col min="14594" max="14594" width="16.33203125" style="118" customWidth="1"/>
    <col min="14595" max="14603" width="13.5" style="118" customWidth="1"/>
    <col min="14604" max="14604" width="15.6640625" style="118" customWidth="1"/>
    <col min="14605" max="14605" width="16.83203125" style="118" customWidth="1"/>
    <col min="14606" max="14606" width="13.5" style="118" customWidth="1"/>
    <col min="14607" max="14607" width="10.6640625" style="118" customWidth="1"/>
    <col min="14849" max="14849" width="23.6640625" style="118" customWidth="1"/>
    <col min="14850" max="14850" width="16.33203125" style="118" customWidth="1"/>
    <col min="14851" max="14859" width="13.5" style="118" customWidth="1"/>
    <col min="14860" max="14860" width="15.6640625" style="118" customWidth="1"/>
    <col min="14861" max="14861" width="16.83203125" style="118" customWidth="1"/>
    <col min="14862" max="14862" width="13.5" style="118" customWidth="1"/>
    <col min="14863" max="14863" width="10.6640625" style="118" customWidth="1"/>
    <col min="15105" max="15105" width="23.6640625" style="118" customWidth="1"/>
    <col min="15106" max="15106" width="16.33203125" style="118" customWidth="1"/>
    <col min="15107" max="15115" width="13.5" style="118" customWidth="1"/>
    <col min="15116" max="15116" width="15.6640625" style="118" customWidth="1"/>
    <col min="15117" max="15117" width="16.83203125" style="118" customWidth="1"/>
    <col min="15118" max="15118" width="13.5" style="118" customWidth="1"/>
    <col min="15119" max="15119" width="10.6640625" style="118" customWidth="1"/>
    <col min="15361" max="15361" width="23.6640625" style="118" customWidth="1"/>
    <col min="15362" max="15362" width="16.33203125" style="118" customWidth="1"/>
    <col min="15363" max="15371" width="13.5" style="118" customWidth="1"/>
    <col min="15372" max="15372" width="15.6640625" style="118" customWidth="1"/>
    <col min="15373" max="15373" width="16.83203125" style="118" customWidth="1"/>
    <col min="15374" max="15374" width="13.5" style="118" customWidth="1"/>
    <col min="15375" max="15375" width="10.6640625" style="118" customWidth="1"/>
    <col min="15617" max="15617" width="23.6640625" style="118" customWidth="1"/>
    <col min="15618" max="15618" width="16.33203125" style="118" customWidth="1"/>
    <col min="15619" max="15627" width="13.5" style="118" customWidth="1"/>
    <col min="15628" max="15628" width="15.6640625" style="118" customWidth="1"/>
    <col min="15629" max="15629" width="16.83203125" style="118" customWidth="1"/>
    <col min="15630" max="15630" width="13.5" style="118" customWidth="1"/>
    <col min="15631" max="15631" width="10.6640625" style="118" customWidth="1"/>
    <col min="15873" max="15873" width="23.6640625" style="118" customWidth="1"/>
    <col min="15874" max="15874" width="16.33203125" style="118" customWidth="1"/>
    <col min="15875" max="15883" width="13.5" style="118" customWidth="1"/>
    <col min="15884" max="15884" width="15.6640625" style="118" customWidth="1"/>
    <col min="15885" max="15885" width="16.83203125" style="118" customWidth="1"/>
    <col min="15886" max="15886" width="13.5" style="118" customWidth="1"/>
    <col min="15887" max="15887" width="10.6640625" style="118" customWidth="1"/>
    <col min="16129" max="16129" width="23.6640625" style="118" customWidth="1"/>
    <col min="16130" max="16130" width="16.33203125" style="118" customWidth="1"/>
    <col min="16131" max="16139" width="13.5" style="118" customWidth="1"/>
    <col min="16140" max="16140" width="15.6640625" style="118" customWidth="1"/>
    <col min="16141" max="16141" width="16.83203125" style="118" customWidth="1"/>
    <col min="16142" max="16142" width="13.5" style="118" customWidth="1"/>
    <col min="16143" max="16143" width="10.6640625" style="118" customWidth="1"/>
  </cols>
  <sheetData>
    <row r="1" spans="1:14" ht="12.75" customHeight="1">
      <c r="A1" s="3"/>
      <c r="B1" s="4"/>
      <c r="C1" s="4"/>
      <c r="D1" s="4"/>
      <c r="E1" s="4"/>
      <c r="F1" s="4"/>
      <c r="G1" s="4"/>
      <c r="H1" s="4"/>
      <c r="I1" s="4"/>
      <c r="J1" s="4"/>
      <c r="K1" s="4"/>
      <c r="L1" s="4"/>
      <c r="M1" s="4"/>
      <c r="N1" s="5"/>
    </row>
    <row r="2" spans="1:14" ht="24" customHeight="1">
      <c r="A2" s="6" t="s">
        <v>43</v>
      </c>
      <c r="B2" s="4"/>
      <c r="C2" s="4"/>
      <c r="D2" s="4"/>
      <c r="E2" s="4"/>
      <c r="F2" s="4"/>
      <c r="G2" s="4"/>
      <c r="H2" s="4"/>
      <c r="I2" s="4"/>
      <c r="J2" s="4"/>
      <c r="K2" s="4"/>
      <c r="L2" s="4"/>
      <c r="M2" s="4"/>
      <c r="N2" s="5"/>
    </row>
    <row r="3" spans="1:14" ht="10.5" customHeight="1">
      <c r="A3" s="6"/>
      <c r="B3" s="4"/>
      <c r="C3" s="4"/>
      <c r="D3" s="4"/>
      <c r="E3" s="4"/>
      <c r="F3" s="4"/>
      <c r="G3" s="4"/>
      <c r="H3" s="4"/>
      <c r="I3" s="4"/>
      <c r="J3" s="4"/>
      <c r="K3" s="4"/>
      <c r="L3" s="4"/>
      <c r="M3" s="4"/>
      <c r="N3" s="5"/>
    </row>
    <row r="4" spans="1:14" ht="16.5" customHeight="1" thickBot="1">
      <c r="A4" s="7" t="s">
        <v>44</v>
      </c>
      <c r="B4" s="4"/>
      <c r="C4" s="4"/>
      <c r="D4" s="4"/>
      <c r="E4" s="4"/>
      <c r="F4" s="4"/>
      <c r="G4" s="4"/>
      <c r="H4" s="4"/>
      <c r="I4" s="4"/>
      <c r="J4" s="4"/>
      <c r="K4" s="4"/>
      <c r="L4" s="4"/>
      <c r="M4" s="4"/>
      <c r="N4" s="5"/>
    </row>
    <row r="5" spans="1:14" ht="20" customHeight="1" thickBot="1">
      <c r="A5" s="8"/>
      <c r="B5" s="9"/>
      <c r="C5" s="10" t="s">
        <v>45</v>
      </c>
      <c r="D5" s="11"/>
      <c r="E5" s="11"/>
      <c r="F5" s="11"/>
      <c r="G5" s="11"/>
      <c r="H5" s="12"/>
      <c r="I5" s="13" t="s">
        <v>46</v>
      </c>
      <c r="J5" s="14"/>
      <c r="K5" s="14"/>
      <c r="L5" s="14"/>
      <c r="M5" s="14"/>
      <c r="N5" s="15"/>
    </row>
    <row r="6" spans="1:14" ht="18" customHeight="1" thickBot="1">
      <c r="A6" s="16"/>
      <c r="B6" s="17"/>
      <c r="C6" s="18" t="s">
        <v>47</v>
      </c>
      <c r="D6" s="12"/>
      <c r="E6" s="12"/>
      <c r="F6" s="18" t="s">
        <v>48</v>
      </c>
      <c r="G6" s="12"/>
      <c r="H6" s="12"/>
      <c r="I6" s="18" t="s">
        <v>47</v>
      </c>
      <c r="J6" s="12"/>
      <c r="K6" s="12"/>
      <c r="L6" s="19" t="s">
        <v>49</v>
      </c>
      <c r="M6" s="12"/>
      <c r="N6" s="20"/>
    </row>
    <row r="7" spans="1:14" ht="15" customHeight="1">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c r="A10" s="30"/>
      <c r="B10" s="31"/>
      <c r="C10" s="31"/>
      <c r="D10" s="31"/>
      <c r="E10" s="31"/>
      <c r="F10" s="31"/>
      <c r="G10" s="31"/>
      <c r="H10" s="31"/>
      <c r="I10" s="31"/>
      <c r="J10" s="31"/>
      <c r="K10" s="31"/>
      <c r="L10" s="31"/>
      <c r="M10" s="31"/>
      <c r="N10" s="32"/>
    </row>
    <row r="11" spans="1:14" ht="9" customHeight="1">
      <c r="A11" s="3"/>
      <c r="B11" s="33"/>
      <c r="C11" s="34"/>
      <c r="D11" s="34"/>
      <c r="E11" s="34"/>
      <c r="F11" s="100"/>
      <c r="G11" s="100"/>
      <c r="H11" s="100"/>
      <c r="I11" s="34"/>
      <c r="J11" s="34"/>
      <c r="K11" s="34"/>
      <c r="L11" s="34"/>
      <c r="M11" s="34"/>
      <c r="N11" s="101"/>
    </row>
    <row r="12" spans="1:14" ht="18" customHeight="1">
      <c r="A12" s="35" t="s">
        <v>65</v>
      </c>
      <c r="B12" s="36"/>
      <c r="C12" s="37"/>
      <c r="D12" s="37"/>
      <c r="E12" s="37"/>
      <c r="F12" s="102"/>
      <c r="G12" s="102"/>
      <c r="H12" s="102"/>
      <c r="I12" s="37"/>
      <c r="J12" s="37"/>
      <c r="K12" s="37"/>
      <c r="L12" s="37"/>
      <c r="M12" s="37"/>
      <c r="N12" s="103"/>
    </row>
    <row r="13" spans="1:14" ht="9" customHeight="1">
      <c r="A13" s="38"/>
      <c r="B13" s="33"/>
      <c r="C13" s="37"/>
      <c r="D13" s="37"/>
      <c r="E13" s="37"/>
      <c r="F13" s="102"/>
      <c r="G13" s="102"/>
      <c r="H13" s="102"/>
      <c r="I13" s="37"/>
      <c r="J13" s="37"/>
      <c r="K13" s="37"/>
      <c r="L13" s="37"/>
      <c r="M13" s="37"/>
      <c r="N13" s="103"/>
    </row>
    <row r="14" spans="1:14" ht="17" customHeight="1">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c r="A17" s="40"/>
      <c r="B17" s="33"/>
      <c r="C17" s="41"/>
      <c r="D17" s="41"/>
      <c r="E17" s="41"/>
      <c r="F17" s="104"/>
      <c r="G17" s="104"/>
      <c r="H17" s="104"/>
      <c r="I17" s="41"/>
      <c r="J17" s="41"/>
      <c r="K17" s="41"/>
      <c r="L17" s="41"/>
      <c r="M17" s="41"/>
      <c r="N17" s="105"/>
    </row>
    <row r="18" spans="1:18" ht="20" customHeight="1">
      <c r="A18" s="42" t="s">
        <v>69</v>
      </c>
      <c r="B18" s="33"/>
      <c r="C18" s="41"/>
      <c r="D18" s="41"/>
      <c r="E18" s="41"/>
      <c r="F18" s="104"/>
      <c r="G18" s="104"/>
      <c r="H18" s="104"/>
      <c r="I18" s="41"/>
      <c r="J18" s="41"/>
      <c r="K18" s="41"/>
      <c r="L18" s="41"/>
      <c r="M18" s="41"/>
      <c r="N18" s="105"/>
    </row>
    <row r="19" spans="1:18" ht="17.25" customHeight="1">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c r="A21" s="40"/>
      <c r="B21" s="33"/>
      <c r="C21" s="41"/>
      <c r="D21" s="41"/>
      <c r="E21" s="41"/>
      <c r="F21" s="104"/>
      <c r="G21" s="104"/>
      <c r="H21" s="104"/>
      <c r="I21" s="41"/>
      <c r="J21" s="41"/>
      <c r="K21" s="41"/>
      <c r="L21" s="41"/>
      <c r="M21" s="41"/>
      <c r="N21" s="105"/>
    </row>
    <row r="22" spans="1:18" ht="20" customHeight="1">
      <c r="A22" s="42" t="s">
        <v>70</v>
      </c>
      <c r="B22" s="33"/>
      <c r="C22" s="41"/>
      <c r="D22" s="41"/>
      <c r="E22" s="41"/>
      <c r="F22" s="104"/>
      <c r="G22" s="104"/>
      <c r="H22" s="104"/>
      <c r="I22" s="41"/>
      <c r="J22" s="41"/>
      <c r="K22" s="41"/>
      <c r="L22" s="41"/>
      <c r="M22" s="41"/>
      <c r="N22" s="105"/>
    </row>
    <row r="23" spans="1:18" ht="17.25" customHeight="1">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c r="A25" s="43"/>
      <c r="B25" s="33"/>
      <c r="C25" s="41"/>
      <c r="D25" s="41"/>
      <c r="E25" s="41"/>
      <c r="F25" s="104"/>
      <c r="G25" s="104"/>
      <c r="H25" s="104"/>
      <c r="I25" s="41"/>
      <c r="J25" s="41"/>
      <c r="K25" s="41"/>
      <c r="L25" s="41"/>
      <c r="M25" s="41"/>
      <c r="N25" s="105"/>
    </row>
    <row r="26" spans="1:18" ht="20" customHeight="1">
      <c r="A26" s="42" t="s">
        <v>71</v>
      </c>
      <c r="B26" s="33"/>
      <c r="C26" s="41"/>
      <c r="D26" s="41"/>
      <c r="E26" s="41"/>
      <c r="F26" s="104"/>
      <c r="G26" s="104"/>
      <c r="H26" s="104"/>
      <c r="I26" s="41"/>
      <c r="J26" s="41"/>
      <c r="K26" s="41"/>
      <c r="L26" s="41"/>
      <c r="M26" s="41"/>
      <c r="N26" s="105"/>
    </row>
    <row r="27" spans="1:18" ht="17.25" customHeight="1">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c r="A29" s="40"/>
      <c r="B29" s="33"/>
      <c r="C29" s="41"/>
      <c r="D29" s="41"/>
      <c r="E29" s="41"/>
      <c r="F29" s="104"/>
      <c r="G29" s="104"/>
      <c r="H29" s="104"/>
      <c r="I29" s="41"/>
      <c r="J29" s="41"/>
      <c r="K29" s="41"/>
      <c r="L29" s="41"/>
      <c r="M29" s="41"/>
      <c r="N29" s="105"/>
    </row>
    <row r="30" spans="1:18" ht="16.5" customHeight="1">
      <c r="A30" s="42" t="s">
        <v>73</v>
      </c>
      <c r="B30" s="33"/>
      <c r="C30" s="41"/>
      <c r="D30" s="41"/>
      <c r="E30" s="41"/>
      <c r="F30" s="104"/>
      <c r="G30" s="104"/>
      <c r="H30" s="104"/>
      <c r="I30" s="41"/>
      <c r="J30" s="41"/>
      <c r="K30" s="41"/>
      <c r="L30" s="41"/>
      <c r="M30" s="41"/>
      <c r="N30" s="105"/>
    </row>
    <row r="31" spans="1:18" ht="18" customHeight="1">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c r="A33" s="44"/>
      <c r="B33" s="33"/>
      <c r="C33" s="41"/>
      <c r="D33" s="41"/>
      <c r="E33" s="41"/>
      <c r="F33" s="104"/>
      <c r="G33" s="104"/>
      <c r="H33" s="104"/>
      <c r="I33" s="41"/>
      <c r="J33" s="41"/>
      <c r="K33" s="41"/>
      <c r="L33" s="41"/>
      <c r="M33" s="41"/>
      <c r="N33" s="105"/>
    </row>
    <row r="34" spans="1:14" ht="18" customHeight="1">
      <c r="A34" s="44" t="s">
        <v>74</v>
      </c>
      <c r="B34" s="33"/>
      <c r="C34" s="41"/>
      <c r="D34" s="41"/>
      <c r="E34" s="41"/>
      <c r="F34" s="104"/>
      <c r="G34" s="104"/>
      <c r="H34" s="104"/>
      <c r="I34" s="41"/>
      <c r="J34" s="41"/>
      <c r="K34" s="41"/>
      <c r="L34" s="41"/>
      <c r="M34" s="41"/>
      <c r="N34" s="105"/>
    </row>
    <row r="35" spans="1:14" ht="18" customHeight="1">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c r="A37" s="43"/>
      <c r="B37" s="33"/>
      <c r="C37" s="41"/>
      <c r="D37" s="41"/>
      <c r="E37" s="41"/>
      <c r="F37" s="104"/>
      <c r="G37" s="104"/>
      <c r="H37" s="104"/>
      <c r="I37" s="41"/>
      <c r="J37" s="41"/>
      <c r="K37" s="41"/>
      <c r="L37" s="41"/>
      <c r="M37" s="41"/>
      <c r="N37" s="105"/>
    </row>
    <row r="38" spans="1:14" ht="18.75" customHeight="1">
      <c r="A38" s="40" t="s">
        <v>75</v>
      </c>
      <c r="B38" s="33"/>
      <c r="C38" s="41"/>
      <c r="D38" s="41"/>
      <c r="E38" s="41"/>
      <c r="F38" s="104"/>
      <c r="G38" s="104"/>
      <c r="H38" s="104"/>
      <c r="I38" s="41"/>
      <c r="J38" s="41"/>
      <c r="K38" s="41"/>
      <c r="L38" s="41"/>
      <c r="M38" s="41"/>
      <c r="N38" s="105"/>
    </row>
    <row r="39" spans="1:14" ht="19.5" customHeight="1">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c r="A41" s="42"/>
      <c r="B41" s="33"/>
      <c r="C41" s="41"/>
      <c r="D41" s="41"/>
      <c r="E41" s="41"/>
      <c r="F41" s="104"/>
      <c r="G41" s="104"/>
      <c r="H41" s="104"/>
      <c r="I41" s="41"/>
      <c r="J41" s="41"/>
      <c r="K41" s="41"/>
      <c r="L41" s="41"/>
      <c r="M41" s="41"/>
      <c r="N41" s="105"/>
    </row>
    <row r="42" spans="1:14" ht="20" customHeight="1">
      <c r="A42" s="40" t="s">
        <v>76</v>
      </c>
      <c r="B42" s="33"/>
      <c r="C42" s="41"/>
      <c r="D42" s="41"/>
      <c r="E42" s="41"/>
      <c r="F42" s="104"/>
      <c r="G42" s="104"/>
      <c r="H42" s="104"/>
      <c r="I42" s="41"/>
      <c r="J42" s="41"/>
      <c r="K42" s="41"/>
      <c r="L42" s="41"/>
      <c r="M42" s="41"/>
      <c r="N42" s="105"/>
    </row>
    <row r="43" spans="1:14" ht="18" customHeight="1">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c r="A45" s="44"/>
      <c r="B45" s="33"/>
      <c r="C45" s="41"/>
      <c r="D45" s="41"/>
      <c r="E45" s="41"/>
      <c r="F45" s="104"/>
      <c r="G45" s="104"/>
      <c r="H45" s="104"/>
      <c r="I45" s="41"/>
      <c r="J45" s="41"/>
      <c r="K45" s="41"/>
      <c r="L45" s="41"/>
      <c r="M45" s="41"/>
      <c r="N45" s="105"/>
    </row>
    <row r="46" spans="1:14" ht="18.75" customHeight="1">
      <c r="A46" s="42" t="s">
        <v>77</v>
      </c>
      <c r="B46" s="33"/>
      <c r="C46" s="41"/>
      <c r="D46" s="41"/>
      <c r="E46" s="41"/>
      <c r="F46" s="104"/>
      <c r="G46" s="104"/>
      <c r="H46" s="104"/>
      <c r="I46" s="41"/>
      <c r="J46" s="41"/>
      <c r="K46" s="41"/>
      <c r="L46" s="41"/>
      <c r="M46" s="41"/>
      <c r="N46" s="105"/>
    </row>
    <row r="47" spans="1:14" ht="18.75" customHeight="1">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c r="A49" s="45" t="s">
        <v>78</v>
      </c>
      <c r="B49" s="33"/>
      <c r="C49" s="41"/>
      <c r="D49" s="41"/>
      <c r="E49" s="41"/>
      <c r="F49" s="104"/>
      <c r="G49" s="104"/>
      <c r="H49" s="104"/>
      <c r="I49" s="41"/>
      <c r="J49" s="41"/>
      <c r="K49" s="41"/>
      <c r="L49" s="41"/>
      <c r="M49" s="41"/>
      <c r="N49" s="105"/>
    </row>
    <row r="50" spans="1:14" ht="18.75" customHeight="1">
      <c r="A50" s="40" t="s">
        <v>79</v>
      </c>
      <c r="B50" s="33"/>
      <c r="C50" s="41"/>
      <c r="D50" s="41"/>
      <c r="E50" s="41"/>
      <c r="F50" s="104"/>
      <c r="G50" s="104"/>
      <c r="H50" s="104"/>
      <c r="I50" s="41"/>
      <c r="J50" s="41"/>
      <c r="K50" s="41"/>
      <c r="L50" s="41"/>
      <c r="M50" s="41"/>
      <c r="N50" s="105"/>
    </row>
    <row r="51" spans="1:14" ht="18.75" customHeight="1">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c r="A53" s="40"/>
      <c r="B53" s="33"/>
      <c r="C53" s="41"/>
      <c r="D53" s="41"/>
      <c r="E53" s="41"/>
      <c r="F53" s="104"/>
      <c r="G53" s="104"/>
      <c r="H53" s="104"/>
      <c r="I53" s="41"/>
      <c r="J53" s="41"/>
      <c r="K53" s="41"/>
      <c r="L53" s="41"/>
      <c r="M53" s="41"/>
      <c r="N53" s="106"/>
    </row>
    <row r="54" spans="1:14" ht="18.75" customHeight="1">
      <c r="A54" s="42" t="s">
        <v>80</v>
      </c>
      <c r="B54" s="33"/>
      <c r="C54" s="41"/>
      <c r="D54" s="41"/>
      <c r="E54" s="41"/>
      <c r="F54" s="104"/>
      <c r="G54" s="104"/>
      <c r="H54" s="104"/>
      <c r="I54" s="41"/>
      <c r="J54" s="41"/>
      <c r="K54" s="41"/>
      <c r="L54" s="41"/>
      <c r="M54" s="41"/>
      <c r="N54" s="106"/>
    </row>
    <row r="55" spans="1:14" ht="18.75" customHeight="1">
      <c r="A55" s="40" t="s">
        <v>81</v>
      </c>
      <c r="B55" s="33"/>
      <c r="C55" s="41"/>
      <c r="D55" s="41"/>
      <c r="E55" s="41"/>
      <c r="F55" s="104"/>
      <c r="G55" s="104"/>
      <c r="H55" s="104"/>
      <c r="I55" s="41"/>
      <c r="J55" s="41"/>
      <c r="K55" s="41"/>
      <c r="L55" s="41"/>
      <c r="M55" s="41"/>
      <c r="N55" s="106"/>
    </row>
    <row r="56" spans="1:14" ht="15" customHeight="1">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c r="A58" s="44"/>
      <c r="B58" s="33"/>
      <c r="C58" s="41"/>
      <c r="D58" s="41"/>
      <c r="E58" s="41"/>
      <c r="F58" s="104"/>
      <c r="G58" s="104"/>
      <c r="H58" s="104"/>
      <c r="I58" s="41"/>
      <c r="J58" s="41"/>
      <c r="K58" s="41"/>
      <c r="L58" s="41"/>
      <c r="M58" s="41"/>
      <c r="N58" s="105"/>
    </row>
    <row r="59" spans="1:14" ht="15" customHeight="1">
      <c r="A59" s="42" t="s">
        <v>82</v>
      </c>
      <c r="B59" s="33"/>
      <c r="C59" s="41"/>
      <c r="D59" s="41"/>
      <c r="E59" s="41"/>
      <c r="F59" s="104"/>
      <c r="G59" s="104"/>
      <c r="H59" s="104"/>
      <c r="I59" s="41"/>
      <c r="J59" s="41"/>
      <c r="K59" s="41"/>
      <c r="L59" s="41"/>
      <c r="M59" s="41"/>
      <c r="N59" s="105"/>
    </row>
    <row r="60" spans="1:14" ht="20.25" customHeight="1">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c r="A62" s="40"/>
      <c r="B62" s="33"/>
      <c r="C62" s="41"/>
      <c r="D62" s="41"/>
      <c r="E62" s="41"/>
      <c r="F62" s="104"/>
      <c r="G62" s="104"/>
      <c r="H62" s="104"/>
      <c r="I62" s="41"/>
      <c r="J62" s="41"/>
      <c r="K62" s="41"/>
      <c r="L62" s="41"/>
      <c r="M62" s="41"/>
      <c r="N62" s="105"/>
    </row>
    <row r="63" spans="1:14" ht="18.75" customHeight="1">
      <c r="A63" s="44" t="s">
        <v>83</v>
      </c>
      <c r="B63" s="33"/>
      <c r="C63" s="41"/>
      <c r="D63" s="41"/>
      <c r="E63" s="41"/>
      <c r="F63" s="104"/>
      <c r="G63" s="104"/>
      <c r="H63" s="104"/>
      <c r="I63" s="41"/>
      <c r="J63" s="41"/>
      <c r="K63" s="41"/>
      <c r="L63" s="41"/>
      <c r="M63" s="41"/>
      <c r="N63" s="105"/>
    </row>
    <row r="64" spans="1:14" ht="18" customHeight="1">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c r="A66" s="45" t="s">
        <v>84</v>
      </c>
      <c r="B66" s="33"/>
      <c r="C66" s="41"/>
      <c r="D66" s="41"/>
      <c r="E66" s="41"/>
      <c r="F66" s="104"/>
      <c r="G66" s="104"/>
      <c r="H66" s="104"/>
      <c r="I66" s="41"/>
      <c r="J66" s="41"/>
      <c r="K66" s="41"/>
      <c r="L66" s="41"/>
      <c r="M66" s="41"/>
      <c r="N66" s="105"/>
    </row>
    <row r="67" spans="1:14" ht="18.75" customHeight="1">
      <c r="A67" s="40" t="s">
        <v>85</v>
      </c>
      <c r="B67" s="33"/>
      <c r="C67" s="41"/>
      <c r="D67" s="41"/>
      <c r="E67" s="41"/>
      <c r="F67" s="104"/>
      <c r="G67" s="104"/>
      <c r="H67" s="104"/>
      <c r="I67" s="41"/>
      <c r="J67" s="41"/>
      <c r="K67" s="41"/>
      <c r="L67" s="41"/>
      <c r="M67" s="41"/>
      <c r="N67" s="105"/>
    </row>
    <row r="68" spans="1:14" ht="20.25" customHeight="1">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c r="A70" s="40"/>
      <c r="B70" s="33"/>
      <c r="C70" s="41"/>
      <c r="D70" s="41"/>
      <c r="E70" s="41"/>
      <c r="F70" s="104"/>
      <c r="G70" s="104"/>
      <c r="H70" s="104"/>
      <c r="I70" s="41"/>
      <c r="J70" s="41"/>
      <c r="K70" s="41"/>
      <c r="L70" s="41"/>
      <c r="M70" s="41"/>
      <c r="N70" s="105"/>
    </row>
    <row r="71" spans="1:14" ht="18.75" customHeight="1">
      <c r="A71" s="40" t="s">
        <v>86</v>
      </c>
      <c r="B71" s="33"/>
      <c r="C71" s="41"/>
      <c r="D71" s="41"/>
      <c r="E71" s="41"/>
      <c r="F71" s="104"/>
      <c r="G71" s="104"/>
      <c r="H71" s="104"/>
      <c r="I71" s="41"/>
      <c r="J71" s="41"/>
      <c r="K71" s="41"/>
      <c r="L71" s="41"/>
      <c r="M71" s="41"/>
      <c r="N71" s="105"/>
    </row>
    <row r="72" spans="1:14" ht="18.75" customHeight="1">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c r="A74" s="40"/>
      <c r="B74" s="33"/>
      <c r="C74" s="41"/>
      <c r="D74" s="41"/>
      <c r="E74" s="41"/>
      <c r="F74" s="104"/>
      <c r="G74" s="104"/>
      <c r="H74" s="104"/>
      <c r="I74" s="41"/>
      <c r="J74" s="41"/>
      <c r="K74" s="41"/>
      <c r="L74" s="41"/>
      <c r="M74" s="41"/>
      <c r="N74" s="105"/>
    </row>
    <row r="75" spans="1:14" ht="18.75" customHeight="1">
      <c r="A75" s="40" t="s">
        <v>87</v>
      </c>
      <c r="B75" s="33"/>
      <c r="C75" s="41"/>
      <c r="D75" s="41"/>
      <c r="E75" s="41"/>
      <c r="F75" s="104"/>
      <c r="G75" s="104"/>
      <c r="H75" s="104"/>
      <c r="I75" s="41"/>
      <c r="J75" s="41"/>
      <c r="K75" s="41"/>
      <c r="L75" s="41"/>
      <c r="M75" s="41"/>
      <c r="N75" s="105"/>
    </row>
    <row r="76" spans="1:14" ht="18" customHeight="1">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c r="A78" s="40"/>
      <c r="B78" s="33"/>
      <c r="C78" s="41"/>
      <c r="D78" s="41"/>
      <c r="E78" s="41"/>
      <c r="F78" s="104"/>
      <c r="G78" s="104"/>
      <c r="H78" s="104"/>
      <c r="I78" s="41"/>
      <c r="J78" s="41"/>
      <c r="K78" s="41"/>
      <c r="L78" s="41"/>
      <c r="M78" s="41"/>
      <c r="N78" s="105"/>
    </row>
    <row r="79" spans="1:14" ht="21.75" customHeight="1">
      <c r="A79" s="40" t="s">
        <v>88</v>
      </c>
      <c r="B79" s="33"/>
      <c r="C79" s="41"/>
      <c r="D79" s="41"/>
      <c r="E79" s="41"/>
      <c r="F79" s="104"/>
      <c r="G79" s="104"/>
      <c r="H79" s="104"/>
      <c r="I79" s="41"/>
      <c r="J79" s="41"/>
      <c r="K79" s="41"/>
      <c r="L79" s="41"/>
      <c r="M79" s="41"/>
      <c r="N79" s="105"/>
    </row>
    <row r="80" spans="1:14" ht="18" customHeight="1">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c r="A82" s="40"/>
      <c r="B82" s="33"/>
      <c r="C82" s="41"/>
      <c r="D82" s="41"/>
      <c r="E82" s="41"/>
      <c r="F82" s="104"/>
      <c r="G82" s="104"/>
      <c r="H82" s="104"/>
      <c r="I82" s="41"/>
      <c r="J82" s="41"/>
      <c r="K82" s="41"/>
      <c r="L82" s="41"/>
      <c r="M82" s="41"/>
      <c r="N82" s="105"/>
    </row>
    <row r="83" spans="1:14" ht="18.75" customHeight="1">
      <c r="A83" s="40" t="s">
        <v>89</v>
      </c>
      <c r="B83" s="33"/>
      <c r="C83" s="41"/>
      <c r="D83" s="41"/>
      <c r="E83" s="41"/>
      <c r="F83" s="104"/>
      <c r="G83" s="104"/>
      <c r="H83" s="104"/>
      <c r="I83" s="41"/>
      <c r="J83" s="41"/>
      <c r="K83" s="41"/>
      <c r="L83" s="41"/>
      <c r="M83" s="41"/>
      <c r="N83" s="105"/>
    </row>
    <row r="84" spans="1:14" ht="20.25" customHeight="1">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c r="A86" s="43"/>
      <c r="B86" s="33"/>
      <c r="C86" s="41"/>
      <c r="D86" s="41"/>
      <c r="E86" s="41"/>
      <c r="F86" s="104"/>
      <c r="G86" s="104"/>
      <c r="H86" s="104"/>
      <c r="I86" s="41"/>
      <c r="J86" s="41"/>
      <c r="K86" s="41"/>
      <c r="L86" s="41"/>
      <c r="M86" s="41"/>
      <c r="N86" s="105"/>
    </row>
    <row r="87" spans="1:14" ht="20.25" customHeight="1">
      <c r="A87" s="40" t="s">
        <v>90</v>
      </c>
      <c r="B87" s="33"/>
      <c r="C87" s="41"/>
      <c r="D87" s="41"/>
      <c r="E87" s="41"/>
      <c r="F87" s="104"/>
      <c r="G87" s="104"/>
      <c r="H87" s="104"/>
      <c r="I87" s="41"/>
      <c r="J87" s="41"/>
      <c r="K87" s="41"/>
      <c r="L87" s="41"/>
      <c r="M87" s="41"/>
      <c r="N87" s="105"/>
    </row>
    <row r="88" spans="1:14" ht="20.25" customHeight="1">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c r="A90" s="43"/>
      <c r="B90" s="33"/>
      <c r="C90" s="41"/>
      <c r="D90" s="41"/>
      <c r="E90" s="41"/>
      <c r="F90" s="104"/>
      <c r="G90" s="104"/>
      <c r="H90" s="104"/>
      <c r="I90" s="41"/>
      <c r="J90" s="41"/>
      <c r="K90" s="41"/>
      <c r="L90" s="41"/>
      <c r="M90" s="41"/>
      <c r="N90" s="105"/>
    </row>
    <row r="91" spans="1:14" ht="18.75" customHeight="1">
      <c r="A91" s="40" t="s">
        <v>93</v>
      </c>
      <c r="B91" s="33"/>
      <c r="C91" s="41"/>
      <c r="D91" s="41"/>
      <c r="E91" s="41"/>
      <c r="F91" s="104"/>
      <c r="G91" s="104"/>
      <c r="H91" s="104"/>
      <c r="I91" s="41"/>
      <c r="J91" s="41"/>
      <c r="K91" s="41"/>
      <c r="L91" s="41"/>
      <c r="M91" s="41"/>
      <c r="N91" s="105"/>
    </row>
    <row r="92" spans="1:14" ht="18" customHeight="1">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c r="A94" s="30"/>
      <c r="B94" s="31"/>
      <c r="C94" s="46"/>
      <c r="D94" s="46"/>
      <c r="E94" s="46"/>
      <c r="F94" s="108"/>
      <c r="G94" s="108"/>
      <c r="H94" s="108"/>
      <c r="I94" s="46"/>
      <c r="J94" s="46"/>
      <c r="K94" s="46"/>
      <c r="L94" s="46"/>
      <c r="M94" s="46"/>
      <c r="N94" s="109"/>
    </row>
    <row r="95" spans="1:14" ht="9" customHeight="1">
      <c r="A95" s="3"/>
      <c r="B95" s="3"/>
      <c r="C95" s="47"/>
      <c r="D95" s="47"/>
      <c r="E95" s="47"/>
      <c r="F95" s="110"/>
      <c r="G95" s="110"/>
      <c r="H95" s="110"/>
      <c r="I95" s="47"/>
      <c r="J95" s="47"/>
      <c r="K95" s="47"/>
      <c r="L95" s="47"/>
      <c r="M95" s="47"/>
      <c r="N95" s="101"/>
    </row>
    <row r="96" spans="1:14" ht="9" customHeight="1">
      <c r="A96" s="3"/>
      <c r="B96" s="3"/>
      <c r="C96" s="47"/>
      <c r="D96" s="47"/>
      <c r="E96" s="47"/>
      <c r="F96" s="110"/>
      <c r="G96" s="110"/>
      <c r="H96" s="110"/>
      <c r="I96" s="47"/>
      <c r="J96" s="47"/>
      <c r="K96" s="47"/>
      <c r="L96" s="47"/>
      <c r="M96" s="47"/>
      <c r="N96" s="101"/>
    </row>
    <row r="97" spans="1:14" ht="9" customHeight="1">
      <c r="A97" s="3"/>
      <c r="B97" s="3"/>
      <c r="C97" s="3"/>
      <c r="D97" s="3"/>
      <c r="E97" s="3"/>
      <c r="F97" s="3"/>
      <c r="G97" s="3"/>
      <c r="H97" s="3"/>
      <c r="I97" s="3"/>
      <c r="J97" s="3"/>
      <c r="K97" s="3"/>
      <c r="L97" s="3"/>
      <c r="M97" s="3"/>
      <c r="N97" s="5"/>
    </row>
    <row r="98" spans="1:14" ht="320.25" customHeight="1">
      <c r="A98" s="141" t="s">
        <v>94</v>
      </c>
      <c r="B98" s="142"/>
      <c r="C98" s="142"/>
      <c r="D98" s="142"/>
      <c r="E98" s="142"/>
      <c r="F98" s="142"/>
      <c r="G98" s="142"/>
      <c r="H98" s="142"/>
      <c r="I98" s="142"/>
      <c r="J98" s="142"/>
      <c r="K98" s="142"/>
      <c r="L98" s="142"/>
      <c r="M98" s="142"/>
      <c r="N98" s="143"/>
    </row>
    <row r="99" spans="1:14" ht="18" customHeight="1">
      <c r="A99" s="48"/>
      <c r="B99" s="49"/>
      <c r="C99" s="49"/>
      <c r="D99" s="49"/>
      <c r="E99" s="49"/>
      <c r="F99" s="49"/>
      <c r="G99" s="49"/>
      <c r="H99" s="49"/>
      <c r="I99" s="49"/>
      <c r="J99" s="49"/>
      <c r="K99" s="49"/>
      <c r="L99" s="49"/>
      <c r="M99" s="49"/>
      <c r="N99" s="49"/>
    </row>
    <row r="100" spans="1:14" ht="12" customHeight="1">
      <c r="A100" s="50"/>
      <c r="B100" s="51"/>
    </row>
    <row r="101" spans="1:14" ht="18" customHeight="1">
      <c r="A101" s="52"/>
      <c r="B101" s="51"/>
    </row>
    <row r="102" spans="1:14" ht="6.5" customHeight="1">
      <c r="A102" s="50"/>
      <c r="B102" s="51"/>
    </row>
    <row r="103" spans="1:14" ht="18" customHeight="1">
      <c r="A103" s="52"/>
      <c r="B103" s="51"/>
    </row>
    <row r="104" spans="1:14" ht="6.5" customHeight="1">
      <c r="A104" s="50"/>
      <c r="B104" s="51"/>
    </row>
    <row r="105" spans="1:14" ht="12" customHeight="1">
      <c r="B105" s="51"/>
    </row>
    <row r="106" spans="1:14" ht="12.75" customHeight="1"/>
    <row r="107" spans="1:14" ht="12.75" customHeight="1">
      <c r="B107" s="53"/>
      <c r="C107" s="53"/>
      <c r="D107" s="53"/>
      <c r="E107" s="53"/>
      <c r="F107" s="53"/>
      <c r="G107" s="53"/>
      <c r="H107" s="53"/>
      <c r="I107" s="53"/>
      <c r="J107" s="53"/>
      <c r="K107" s="53"/>
      <c r="L107" s="53"/>
      <c r="M107" s="53"/>
    </row>
    <row r="108" spans="1:14" ht="12.75" customHeight="1">
      <c r="B108" s="53"/>
      <c r="C108" s="53"/>
      <c r="D108" s="53"/>
      <c r="E108" s="53"/>
      <c r="F108" s="53"/>
      <c r="G108" s="53"/>
      <c r="H108" s="53"/>
      <c r="I108" s="53"/>
      <c r="J108" s="53"/>
      <c r="K108" s="53"/>
      <c r="L108" s="53"/>
      <c r="M108" s="53"/>
    </row>
    <row r="109" spans="1:14" ht="12" customHeight="1">
      <c r="B109" s="53"/>
      <c r="C109" s="53"/>
      <c r="D109" s="53"/>
      <c r="E109" s="53"/>
      <c r="F109" s="53"/>
      <c r="G109" s="53"/>
      <c r="H109" s="53"/>
      <c r="I109" s="53"/>
      <c r="J109" s="53"/>
      <c r="K109" s="53"/>
      <c r="L109" s="53"/>
      <c r="M109" s="53"/>
    </row>
    <row r="110" spans="1:14" ht="12.75" customHeight="1">
      <c r="B110" s="53"/>
      <c r="C110" s="53"/>
      <c r="D110" s="53"/>
      <c r="E110" s="53"/>
      <c r="F110" s="53"/>
      <c r="G110" s="53"/>
      <c r="H110" s="53"/>
      <c r="I110" s="53"/>
      <c r="J110" s="53"/>
      <c r="K110" s="53"/>
      <c r="L110" s="53"/>
      <c r="M110" s="53"/>
    </row>
    <row r="111" spans="1:14" ht="12.75" customHeight="1">
      <c r="B111" s="53"/>
      <c r="C111" s="53"/>
      <c r="D111" s="53"/>
      <c r="E111" s="53"/>
      <c r="F111" s="53"/>
      <c r="G111" s="53"/>
      <c r="H111" s="53"/>
      <c r="I111" s="53"/>
      <c r="J111" s="53"/>
      <c r="K111" s="53"/>
      <c r="L111" s="53"/>
      <c r="M111" s="53"/>
    </row>
    <row r="112" spans="1:14" ht="12.75" customHeight="1">
      <c r="B112" s="53"/>
      <c r="C112" s="53"/>
      <c r="D112" s="53"/>
      <c r="E112" s="53"/>
      <c r="F112" s="53"/>
      <c r="G112" s="53"/>
      <c r="H112" s="53"/>
      <c r="I112" s="53"/>
      <c r="J112" s="53"/>
      <c r="K112" s="53"/>
      <c r="L112" s="53"/>
      <c r="M112" s="53"/>
    </row>
    <row r="113" spans="1:15" ht="12.75" customHeight="1">
      <c r="B113" s="53"/>
      <c r="C113" s="53"/>
      <c r="D113" s="53"/>
      <c r="E113" s="53"/>
      <c r="F113" s="53"/>
      <c r="G113" s="53"/>
      <c r="H113" s="53"/>
      <c r="I113" s="53"/>
      <c r="J113" s="53"/>
      <c r="K113" s="53"/>
      <c r="L113" s="53"/>
      <c r="M113" s="53"/>
    </row>
    <row r="114" spans="1:15" ht="12.75" customHeight="1">
      <c r="B114" s="53"/>
      <c r="C114" s="53"/>
      <c r="D114" s="53"/>
      <c r="E114" s="53"/>
      <c r="F114" s="53"/>
      <c r="G114" s="53"/>
      <c r="H114" s="53"/>
      <c r="I114" s="53"/>
      <c r="J114" s="53"/>
      <c r="K114" s="53"/>
      <c r="L114" s="53"/>
      <c r="M114" s="53"/>
    </row>
    <row r="115" spans="1:15" ht="20.25" customHeight="1">
      <c r="A115" s="54"/>
      <c r="B115" s="53"/>
      <c r="C115" s="53"/>
      <c r="D115" s="53"/>
      <c r="E115" s="53"/>
      <c r="F115" s="53"/>
      <c r="G115" s="53"/>
      <c r="H115" s="53"/>
      <c r="I115" s="53"/>
      <c r="J115" s="53"/>
      <c r="K115" s="53"/>
      <c r="L115" s="53"/>
      <c r="M115" s="53"/>
    </row>
    <row r="116" spans="1:15" ht="15" customHeight="1">
      <c r="A116" s="55"/>
      <c r="B116" s="53"/>
      <c r="C116" s="53"/>
      <c r="D116" s="53"/>
      <c r="E116" s="53"/>
      <c r="F116" s="53"/>
      <c r="G116" s="53"/>
      <c r="H116" s="53"/>
      <c r="I116" s="53"/>
      <c r="J116" s="53"/>
      <c r="K116" s="53"/>
      <c r="L116" s="53"/>
      <c r="M116" s="53"/>
    </row>
    <row r="117" spans="1:15" ht="12.75" customHeight="1"/>
    <row r="118" spans="1:15" ht="18" customHeight="1"/>
    <row r="119" spans="1:15" ht="18" customHeight="1"/>
    <row r="120" spans="1:15" ht="15" customHeight="1"/>
    <row r="122" spans="1:15">
      <c r="O122" s="56"/>
    </row>
    <row r="123" spans="1:15">
      <c r="O123" s="57"/>
    </row>
    <row r="127" spans="1:15">
      <c r="O127" s="57"/>
    </row>
    <row r="129" spans="15:15">
      <c r="O129" s="57"/>
    </row>
    <row r="130" spans="15:15">
      <c r="O130" s="57"/>
    </row>
    <row r="131" spans="15:15">
      <c r="O131" s="57"/>
    </row>
    <row r="132" spans="15:15">
      <c r="O132" s="57"/>
    </row>
    <row r="133" spans="15:15">
      <c r="O133" s="57"/>
    </row>
    <row r="134" spans="15:15">
      <c r="O134" s="57"/>
    </row>
    <row r="135" spans="15:15">
      <c r="O135" s="57"/>
    </row>
    <row r="136" spans="15:15">
      <c r="O136" s="57"/>
    </row>
    <row r="137" spans="15:15">
      <c r="O137" s="57"/>
    </row>
    <row r="139" spans="15:15">
      <c r="O139" s="57"/>
    </row>
    <row r="140" spans="15:15">
      <c r="O140" s="57"/>
    </row>
    <row r="142" spans="15:15">
      <c r="O142" s="57"/>
    </row>
    <row r="144" spans="15:15">
      <c r="O144" s="57"/>
    </row>
    <row r="146" spans="15:15">
      <c r="O146" s="57"/>
    </row>
    <row r="147" spans="15:15">
      <c r="O147" s="57"/>
    </row>
    <row r="148" spans="15:15">
      <c r="O148" s="57"/>
    </row>
    <row r="150" spans="15:15">
      <c r="O150" s="57"/>
    </row>
    <row r="151" spans="15:15">
      <c r="O151" s="57"/>
    </row>
    <row r="152" spans="15:15">
      <c r="O152" s="57"/>
    </row>
    <row r="153" spans="15:15">
      <c r="O153" s="57"/>
    </row>
    <row r="155" spans="15:15">
      <c r="O155" s="57"/>
    </row>
    <row r="204" spans="3:13">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75"/>
  <sheetViews>
    <sheetView zoomScale="160" zoomScaleNormal="160" workbookViewId="0">
      <pane ySplit="1" topLeftCell="A748" activePane="bottomLeft" state="frozen"/>
      <selection pane="bottomLeft" activeCell="Q21" sqref="Q21"/>
    </sheetView>
  </sheetViews>
  <sheetFormatPr baseColWidth="10" defaultColWidth="8.83203125" defaultRowHeight="15"/>
  <cols>
    <col min="1" max="1" width="12.6640625" style="118" customWidth="1"/>
    <col min="2" max="7" width="9.6640625" style="118" customWidth="1"/>
    <col min="8" max="10" width="10.6640625" style="118" customWidth="1"/>
    <col min="11" max="11" width="9.6640625" style="118" customWidth="1"/>
    <col min="12" max="12" width="10.6640625" style="118" customWidth="1"/>
    <col min="13" max="13" width="9.6640625" style="118" customWidth="1"/>
    <col min="14" max="256" width="9.1640625" style="118" customWidth="1"/>
    <col min="257" max="257" width="12.6640625" style="118" customWidth="1"/>
    <col min="258" max="262" width="9.6640625" style="118" customWidth="1"/>
    <col min="263" max="266" width="10.6640625" style="118" customWidth="1"/>
    <col min="267" max="267" width="9.6640625" style="118" customWidth="1"/>
    <col min="268" max="268" width="10.6640625" style="118" customWidth="1"/>
    <col min="269" max="269" width="9.6640625" style="118" customWidth="1"/>
    <col min="270" max="512" width="9.1640625" style="118" customWidth="1"/>
    <col min="513" max="513" width="12.6640625" style="118" customWidth="1"/>
    <col min="514" max="518" width="9.6640625" style="118" customWidth="1"/>
    <col min="519" max="522" width="10.6640625" style="118" customWidth="1"/>
    <col min="523" max="523" width="9.6640625" style="118" customWidth="1"/>
    <col min="524" max="524" width="10.6640625" style="118" customWidth="1"/>
    <col min="525" max="525" width="9.6640625" style="118" customWidth="1"/>
    <col min="526" max="768" width="9.1640625" style="118" customWidth="1"/>
    <col min="769" max="769" width="12.6640625" style="118" customWidth="1"/>
    <col min="770" max="774" width="9.6640625" style="118" customWidth="1"/>
    <col min="775" max="778" width="10.6640625" style="118" customWidth="1"/>
    <col min="779" max="779" width="9.6640625" style="118" customWidth="1"/>
    <col min="780" max="780" width="10.6640625" style="118" customWidth="1"/>
    <col min="781" max="781" width="9.6640625" style="118" customWidth="1"/>
    <col min="782" max="1024" width="9.1640625" style="118" customWidth="1"/>
    <col min="1025" max="1025" width="12.6640625" style="118" customWidth="1"/>
    <col min="1026" max="1030" width="9.6640625" style="118" customWidth="1"/>
    <col min="1031" max="1034" width="10.6640625" style="118" customWidth="1"/>
    <col min="1035" max="1035" width="9.6640625" style="118" customWidth="1"/>
    <col min="1036" max="1036" width="10.6640625" style="118" customWidth="1"/>
    <col min="1037" max="1037" width="9.6640625" style="118" customWidth="1"/>
    <col min="1038" max="1280" width="9.1640625" style="118" customWidth="1"/>
    <col min="1281" max="1281" width="12.6640625" style="118" customWidth="1"/>
    <col min="1282" max="1286" width="9.6640625" style="118" customWidth="1"/>
    <col min="1287" max="1290" width="10.6640625" style="118" customWidth="1"/>
    <col min="1291" max="1291" width="9.6640625" style="118" customWidth="1"/>
    <col min="1292" max="1292" width="10.6640625" style="118" customWidth="1"/>
    <col min="1293" max="1293" width="9.6640625" style="118" customWidth="1"/>
    <col min="1294" max="1536" width="9.1640625" style="118" customWidth="1"/>
    <col min="1537" max="1537" width="12.6640625" style="118" customWidth="1"/>
    <col min="1538" max="1542" width="9.6640625" style="118" customWidth="1"/>
    <col min="1543" max="1546" width="10.6640625" style="118" customWidth="1"/>
    <col min="1547" max="1547" width="9.6640625" style="118" customWidth="1"/>
    <col min="1548" max="1548" width="10.6640625" style="118" customWidth="1"/>
    <col min="1549" max="1549" width="9.6640625" style="118" customWidth="1"/>
    <col min="1550" max="1792" width="9.1640625" style="118" customWidth="1"/>
    <col min="1793" max="1793" width="12.6640625" style="118" customWidth="1"/>
    <col min="1794" max="1798" width="9.6640625" style="118" customWidth="1"/>
    <col min="1799" max="1802" width="10.6640625" style="118" customWidth="1"/>
    <col min="1803" max="1803" width="9.6640625" style="118" customWidth="1"/>
    <col min="1804" max="1804" width="10.6640625" style="118" customWidth="1"/>
    <col min="1805" max="1805" width="9.6640625" style="118" customWidth="1"/>
    <col min="1806" max="2048" width="9.1640625" style="118" customWidth="1"/>
    <col min="2049" max="2049" width="12.6640625" style="118" customWidth="1"/>
    <col min="2050" max="2054" width="9.6640625" style="118" customWidth="1"/>
    <col min="2055" max="2058" width="10.6640625" style="118" customWidth="1"/>
    <col min="2059" max="2059" width="9.6640625" style="118" customWidth="1"/>
    <col min="2060" max="2060" width="10.6640625" style="118" customWidth="1"/>
    <col min="2061" max="2061" width="9.6640625" style="118" customWidth="1"/>
    <col min="2062" max="2304" width="9.1640625" style="118" customWidth="1"/>
    <col min="2305" max="2305" width="12.6640625" style="118" customWidth="1"/>
    <col min="2306" max="2310" width="9.6640625" style="118" customWidth="1"/>
    <col min="2311" max="2314" width="10.6640625" style="118" customWidth="1"/>
    <col min="2315" max="2315" width="9.6640625" style="118" customWidth="1"/>
    <col min="2316" max="2316" width="10.6640625" style="118" customWidth="1"/>
    <col min="2317" max="2317" width="9.6640625" style="118" customWidth="1"/>
    <col min="2318" max="2560" width="9.1640625" style="118" customWidth="1"/>
    <col min="2561" max="2561" width="12.6640625" style="118" customWidth="1"/>
    <col min="2562" max="2566" width="9.6640625" style="118" customWidth="1"/>
    <col min="2567" max="2570" width="10.6640625" style="118" customWidth="1"/>
    <col min="2571" max="2571" width="9.6640625" style="118" customWidth="1"/>
    <col min="2572" max="2572" width="10.6640625" style="118" customWidth="1"/>
    <col min="2573" max="2573" width="9.6640625" style="118" customWidth="1"/>
    <col min="2574" max="2816" width="9.1640625" style="118" customWidth="1"/>
    <col min="2817" max="2817" width="12.6640625" style="118" customWidth="1"/>
    <col min="2818" max="2822" width="9.6640625" style="118" customWidth="1"/>
    <col min="2823" max="2826" width="10.6640625" style="118" customWidth="1"/>
    <col min="2827" max="2827" width="9.6640625" style="118" customWidth="1"/>
    <col min="2828" max="2828" width="10.6640625" style="118" customWidth="1"/>
    <col min="2829" max="2829" width="9.6640625" style="118" customWidth="1"/>
    <col min="2830" max="3072" width="9.1640625" style="118" customWidth="1"/>
    <col min="3073" max="3073" width="12.6640625" style="118" customWidth="1"/>
    <col min="3074" max="3078" width="9.6640625" style="118" customWidth="1"/>
    <col min="3079" max="3082" width="10.6640625" style="118" customWidth="1"/>
    <col min="3083" max="3083" width="9.6640625" style="118" customWidth="1"/>
    <col min="3084" max="3084" width="10.6640625" style="118" customWidth="1"/>
    <col min="3085" max="3085" width="9.6640625" style="118" customWidth="1"/>
    <col min="3086" max="3328" width="9.1640625" style="118" customWidth="1"/>
    <col min="3329" max="3329" width="12.6640625" style="118" customWidth="1"/>
    <col min="3330" max="3334" width="9.6640625" style="118" customWidth="1"/>
    <col min="3335" max="3338" width="10.6640625" style="118" customWidth="1"/>
    <col min="3339" max="3339" width="9.6640625" style="118" customWidth="1"/>
    <col min="3340" max="3340" width="10.6640625" style="118" customWidth="1"/>
    <col min="3341" max="3341" width="9.6640625" style="118" customWidth="1"/>
    <col min="3342" max="3584" width="9.1640625" style="118" customWidth="1"/>
    <col min="3585" max="3585" width="12.6640625" style="118" customWidth="1"/>
    <col min="3586" max="3590" width="9.6640625" style="118" customWidth="1"/>
    <col min="3591" max="3594" width="10.6640625" style="118" customWidth="1"/>
    <col min="3595" max="3595" width="9.6640625" style="118" customWidth="1"/>
    <col min="3596" max="3596" width="10.6640625" style="118" customWidth="1"/>
    <col min="3597" max="3597" width="9.6640625" style="118" customWidth="1"/>
    <col min="3598" max="3840" width="9.1640625" style="118" customWidth="1"/>
    <col min="3841" max="3841" width="12.6640625" style="118" customWidth="1"/>
    <col min="3842" max="3846" width="9.6640625" style="118" customWidth="1"/>
    <col min="3847" max="3850" width="10.6640625" style="118" customWidth="1"/>
    <col min="3851" max="3851" width="9.6640625" style="118" customWidth="1"/>
    <col min="3852" max="3852" width="10.6640625" style="118" customWidth="1"/>
    <col min="3853" max="3853" width="9.6640625" style="118" customWidth="1"/>
    <col min="3854" max="4096" width="9.1640625" style="118" customWidth="1"/>
    <col min="4097" max="4097" width="12.6640625" style="118" customWidth="1"/>
    <col min="4098" max="4102" width="9.6640625" style="118" customWidth="1"/>
    <col min="4103" max="4106" width="10.6640625" style="118" customWidth="1"/>
    <col min="4107" max="4107" width="9.6640625" style="118" customWidth="1"/>
    <col min="4108" max="4108" width="10.6640625" style="118" customWidth="1"/>
    <col min="4109" max="4109" width="9.6640625" style="118" customWidth="1"/>
    <col min="4110" max="4352" width="9.1640625" style="118" customWidth="1"/>
    <col min="4353" max="4353" width="12.6640625" style="118" customWidth="1"/>
    <col min="4354" max="4358" width="9.6640625" style="118" customWidth="1"/>
    <col min="4359" max="4362" width="10.6640625" style="118" customWidth="1"/>
    <col min="4363" max="4363" width="9.6640625" style="118" customWidth="1"/>
    <col min="4364" max="4364" width="10.6640625" style="118" customWidth="1"/>
    <col min="4365" max="4365" width="9.6640625" style="118" customWidth="1"/>
    <col min="4366" max="4608" width="9.1640625" style="118" customWidth="1"/>
    <col min="4609" max="4609" width="12.6640625" style="118" customWidth="1"/>
    <col min="4610" max="4614" width="9.6640625" style="118" customWidth="1"/>
    <col min="4615" max="4618" width="10.6640625" style="118" customWidth="1"/>
    <col min="4619" max="4619" width="9.6640625" style="118" customWidth="1"/>
    <col min="4620" max="4620" width="10.6640625" style="118" customWidth="1"/>
    <col min="4621" max="4621" width="9.6640625" style="118" customWidth="1"/>
    <col min="4622" max="4864" width="9.1640625" style="118" customWidth="1"/>
    <col min="4865" max="4865" width="12.6640625" style="118" customWidth="1"/>
    <col min="4866" max="4870" width="9.6640625" style="118" customWidth="1"/>
    <col min="4871" max="4874" width="10.6640625" style="118" customWidth="1"/>
    <col min="4875" max="4875" width="9.6640625" style="118" customWidth="1"/>
    <col min="4876" max="4876" width="10.6640625" style="118" customWidth="1"/>
    <col min="4877" max="4877" width="9.6640625" style="118" customWidth="1"/>
    <col min="4878" max="5120" width="9.1640625" style="118" customWidth="1"/>
    <col min="5121" max="5121" width="12.6640625" style="118" customWidth="1"/>
    <col min="5122" max="5126" width="9.6640625" style="118" customWidth="1"/>
    <col min="5127" max="5130" width="10.6640625" style="118" customWidth="1"/>
    <col min="5131" max="5131" width="9.6640625" style="118" customWidth="1"/>
    <col min="5132" max="5132" width="10.6640625" style="118" customWidth="1"/>
    <col min="5133" max="5133" width="9.6640625" style="118" customWidth="1"/>
    <col min="5134" max="5376" width="9.1640625" style="118" customWidth="1"/>
    <col min="5377" max="5377" width="12.6640625" style="118" customWidth="1"/>
    <col min="5378" max="5382" width="9.6640625" style="118" customWidth="1"/>
    <col min="5383" max="5386" width="10.6640625" style="118" customWidth="1"/>
    <col min="5387" max="5387" width="9.6640625" style="118" customWidth="1"/>
    <col min="5388" max="5388" width="10.6640625" style="118" customWidth="1"/>
    <col min="5389" max="5389" width="9.6640625" style="118" customWidth="1"/>
    <col min="5390" max="5632" width="9.1640625" style="118" customWidth="1"/>
    <col min="5633" max="5633" width="12.6640625" style="118" customWidth="1"/>
    <col min="5634" max="5638" width="9.6640625" style="118" customWidth="1"/>
    <col min="5639" max="5642" width="10.6640625" style="118" customWidth="1"/>
    <col min="5643" max="5643" width="9.6640625" style="118" customWidth="1"/>
    <col min="5644" max="5644" width="10.6640625" style="118" customWidth="1"/>
    <col min="5645" max="5645" width="9.6640625" style="118" customWidth="1"/>
    <col min="5646" max="5888" width="9.1640625" style="118" customWidth="1"/>
    <col min="5889" max="5889" width="12.6640625" style="118" customWidth="1"/>
    <col min="5890" max="5894" width="9.6640625" style="118" customWidth="1"/>
    <col min="5895" max="5898" width="10.6640625" style="118" customWidth="1"/>
    <col min="5899" max="5899" width="9.6640625" style="118" customWidth="1"/>
    <col min="5900" max="5900" width="10.6640625" style="118" customWidth="1"/>
    <col min="5901" max="5901" width="9.6640625" style="118" customWidth="1"/>
    <col min="5902" max="6144" width="9.1640625" style="118" customWidth="1"/>
    <col min="6145" max="6145" width="12.6640625" style="118" customWidth="1"/>
    <col min="6146" max="6150" width="9.6640625" style="118" customWidth="1"/>
    <col min="6151" max="6154" width="10.6640625" style="118" customWidth="1"/>
    <col min="6155" max="6155" width="9.6640625" style="118" customWidth="1"/>
    <col min="6156" max="6156" width="10.6640625" style="118" customWidth="1"/>
    <col min="6157" max="6157" width="9.6640625" style="118" customWidth="1"/>
    <col min="6158" max="6400" width="9.1640625" style="118" customWidth="1"/>
    <col min="6401" max="6401" width="12.6640625" style="118" customWidth="1"/>
    <col min="6402" max="6406" width="9.6640625" style="118" customWidth="1"/>
    <col min="6407" max="6410" width="10.6640625" style="118" customWidth="1"/>
    <col min="6411" max="6411" width="9.6640625" style="118" customWidth="1"/>
    <col min="6412" max="6412" width="10.6640625" style="118" customWidth="1"/>
    <col min="6413" max="6413" width="9.6640625" style="118" customWidth="1"/>
    <col min="6414" max="6656" width="9.1640625" style="118" customWidth="1"/>
    <col min="6657" max="6657" width="12.6640625" style="118" customWidth="1"/>
    <col min="6658" max="6662" width="9.6640625" style="118" customWidth="1"/>
    <col min="6663" max="6666" width="10.6640625" style="118" customWidth="1"/>
    <col min="6667" max="6667" width="9.6640625" style="118" customWidth="1"/>
    <col min="6668" max="6668" width="10.6640625" style="118" customWidth="1"/>
    <col min="6669" max="6669" width="9.6640625" style="118" customWidth="1"/>
    <col min="6670" max="6912" width="9.1640625" style="118" customWidth="1"/>
    <col min="6913" max="6913" width="12.6640625" style="118" customWidth="1"/>
    <col min="6914" max="6918" width="9.6640625" style="118" customWidth="1"/>
    <col min="6919" max="6922" width="10.6640625" style="118" customWidth="1"/>
    <col min="6923" max="6923" width="9.6640625" style="118" customWidth="1"/>
    <col min="6924" max="6924" width="10.6640625" style="118" customWidth="1"/>
    <col min="6925" max="6925" width="9.6640625" style="118" customWidth="1"/>
    <col min="6926" max="7168" width="9.1640625" style="118" customWidth="1"/>
    <col min="7169" max="7169" width="12.6640625" style="118" customWidth="1"/>
    <col min="7170" max="7174" width="9.6640625" style="118" customWidth="1"/>
    <col min="7175" max="7178" width="10.6640625" style="118" customWidth="1"/>
    <col min="7179" max="7179" width="9.6640625" style="118" customWidth="1"/>
    <col min="7180" max="7180" width="10.6640625" style="118" customWidth="1"/>
    <col min="7181" max="7181" width="9.6640625" style="118" customWidth="1"/>
    <col min="7182" max="7424" width="9.1640625" style="118" customWidth="1"/>
    <col min="7425" max="7425" width="12.6640625" style="118" customWidth="1"/>
    <col min="7426" max="7430" width="9.6640625" style="118" customWidth="1"/>
    <col min="7431" max="7434" width="10.6640625" style="118" customWidth="1"/>
    <col min="7435" max="7435" width="9.6640625" style="118" customWidth="1"/>
    <col min="7436" max="7436" width="10.6640625" style="118" customWidth="1"/>
    <col min="7437" max="7437" width="9.6640625" style="118" customWidth="1"/>
    <col min="7438" max="7680" width="9.1640625" style="118" customWidth="1"/>
    <col min="7681" max="7681" width="12.6640625" style="118" customWidth="1"/>
    <col min="7682" max="7686" width="9.6640625" style="118" customWidth="1"/>
    <col min="7687" max="7690" width="10.6640625" style="118" customWidth="1"/>
    <col min="7691" max="7691" width="9.6640625" style="118" customWidth="1"/>
    <col min="7692" max="7692" width="10.6640625" style="118" customWidth="1"/>
    <col min="7693" max="7693" width="9.6640625" style="118" customWidth="1"/>
    <col min="7694" max="7936" width="9.1640625" style="118" customWidth="1"/>
    <col min="7937" max="7937" width="12.6640625" style="118" customWidth="1"/>
    <col min="7938" max="7942" width="9.6640625" style="118" customWidth="1"/>
    <col min="7943" max="7946" width="10.6640625" style="118" customWidth="1"/>
    <col min="7947" max="7947" width="9.6640625" style="118" customWidth="1"/>
    <col min="7948" max="7948" width="10.6640625" style="118" customWidth="1"/>
    <col min="7949" max="7949" width="9.6640625" style="118" customWidth="1"/>
    <col min="7950" max="8192" width="9.1640625" style="118" customWidth="1"/>
    <col min="8193" max="8193" width="12.6640625" style="118" customWidth="1"/>
    <col min="8194" max="8198" width="9.6640625" style="118" customWidth="1"/>
    <col min="8199" max="8202" width="10.6640625" style="118" customWidth="1"/>
    <col min="8203" max="8203" width="9.6640625" style="118" customWidth="1"/>
    <col min="8204" max="8204" width="10.6640625" style="118" customWidth="1"/>
    <col min="8205" max="8205" width="9.6640625" style="118" customWidth="1"/>
    <col min="8206" max="8448" width="9.1640625" style="118" customWidth="1"/>
    <col min="8449" max="8449" width="12.6640625" style="118" customWidth="1"/>
    <col min="8450" max="8454" width="9.6640625" style="118" customWidth="1"/>
    <col min="8455" max="8458" width="10.6640625" style="118" customWidth="1"/>
    <col min="8459" max="8459" width="9.6640625" style="118" customWidth="1"/>
    <col min="8460" max="8460" width="10.6640625" style="118" customWidth="1"/>
    <col min="8461" max="8461" width="9.6640625" style="118" customWidth="1"/>
    <col min="8462" max="8704" width="9.1640625" style="118" customWidth="1"/>
    <col min="8705" max="8705" width="12.6640625" style="118" customWidth="1"/>
    <col min="8706" max="8710" width="9.6640625" style="118" customWidth="1"/>
    <col min="8711" max="8714" width="10.6640625" style="118" customWidth="1"/>
    <col min="8715" max="8715" width="9.6640625" style="118" customWidth="1"/>
    <col min="8716" max="8716" width="10.6640625" style="118" customWidth="1"/>
    <col min="8717" max="8717" width="9.6640625" style="118" customWidth="1"/>
    <col min="8718" max="8960" width="9.1640625" style="118" customWidth="1"/>
    <col min="8961" max="8961" width="12.6640625" style="118" customWidth="1"/>
    <col min="8962" max="8966" width="9.6640625" style="118" customWidth="1"/>
    <col min="8967" max="8970" width="10.6640625" style="118" customWidth="1"/>
    <col min="8971" max="8971" width="9.6640625" style="118" customWidth="1"/>
    <col min="8972" max="8972" width="10.6640625" style="118" customWidth="1"/>
    <col min="8973" max="8973" width="9.6640625" style="118" customWidth="1"/>
    <col min="8974" max="9216" width="9.1640625" style="118" customWidth="1"/>
    <col min="9217" max="9217" width="12.6640625" style="118" customWidth="1"/>
    <col min="9218" max="9222" width="9.6640625" style="118" customWidth="1"/>
    <col min="9223" max="9226" width="10.6640625" style="118" customWidth="1"/>
    <col min="9227" max="9227" width="9.6640625" style="118" customWidth="1"/>
    <col min="9228" max="9228" width="10.6640625" style="118" customWidth="1"/>
    <col min="9229" max="9229" width="9.6640625" style="118" customWidth="1"/>
    <col min="9230" max="9472" width="9.1640625" style="118" customWidth="1"/>
    <col min="9473" max="9473" width="12.6640625" style="118" customWidth="1"/>
    <col min="9474" max="9478" width="9.6640625" style="118" customWidth="1"/>
    <col min="9479" max="9482" width="10.6640625" style="118" customWidth="1"/>
    <col min="9483" max="9483" width="9.6640625" style="118" customWidth="1"/>
    <col min="9484" max="9484" width="10.6640625" style="118" customWidth="1"/>
    <col min="9485" max="9485" width="9.6640625" style="118" customWidth="1"/>
    <col min="9486" max="9728" width="9.1640625" style="118" customWidth="1"/>
    <col min="9729" max="9729" width="12.6640625" style="118" customWidth="1"/>
    <col min="9730" max="9734" width="9.6640625" style="118" customWidth="1"/>
    <col min="9735" max="9738" width="10.6640625" style="118" customWidth="1"/>
    <col min="9739" max="9739" width="9.6640625" style="118" customWidth="1"/>
    <col min="9740" max="9740" width="10.6640625" style="118" customWidth="1"/>
    <col min="9741" max="9741" width="9.6640625" style="118" customWidth="1"/>
    <col min="9742" max="9984" width="9.1640625" style="118" customWidth="1"/>
    <col min="9985" max="9985" width="12.6640625" style="118" customWidth="1"/>
    <col min="9986" max="9990" width="9.6640625" style="118" customWidth="1"/>
    <col min="9991" max="9994" width="10.6640625" style="118" customWidth="1"/>
    <col min="9995" max="9995" width="9.6640625" style="118" customWidth="1"/>
    <col min="9996" max="9996" width="10.6640625" style="118" customWidth="1"/>
    <col min="9997" max="9997" width="9.6640625" style="118" customWidth="1"/>
    <col min="9998" max="10240" width="9.1640625" style="118" customWidth="1"/>
    <col min="10241" max="10241" width="12.6640625" style="118" customWidth="1"/>
    <col min="10242" max="10246" width="9.6640625" style="118" customWidth="1"/>
    <col min="10247" max="10250" width="10.6640625" style="118" customWidth="1"/>
    <col min="10251" max="10251" width="9.6640625" style="118" customWidth="1"/>
    <col min="10252" max="10252" width="10.6640625" style="118" customWidth="1"/>
    <col min="10253" max="10253" width="9.6640625" style="118" customWidth="1"/>
    <col min="10254" max="10496" width="9.1640625" style="118" customWidth="1"/>
    <col min="10497" max="10497" width="12.6640625" style="118" customWidth="1"/>
    <col min="10498" max="10502" width="9.6640625" style="118" customWidth="1"/>
    <col min="10503" max="10506" width="10.6640625" style="118" customWidth="1"/>
    <col min="10507" max="10507" width="9.6640625" style="118" customWidth="1"/>
    <col min="10508" max="10508" width="10.6640625" style="118" customWidth="1"/>
    <col min="10509" max="10509" width="9.6640625" style="118" customWidth="1"/>
    <col min="10510" max="10752" width="9.1640625" style="118" customWidth="1"/>
    <col min="10753" max="10753" width="12.6640625" style="118" customWidth="1"/>
    <col min="10754" max="10758" width="9.6640625" style="118" customWidth="1"/>
    <col min="10759" max="10762" width="10.6640625" style="118" customWidth="1"/>
    <col min="10763" max="10763" width="9.6640625" style="118" customWidth="1"/>
    <col min="10764" max="10764" width="10.6640625" style="118" customWidth="1"/>
    <col min="10765" max="10765" width="9.6640625" style="118" customWidth="1"/>
    <col min="10766" max="11008" width="9.1640625" style="118" customWidth="1"/>
    <col min="11009" max="11009" width="12.6640625" style="118" customWidth="1"/>
    <col min="11010" max="11014" width="9.6640625" style="118" customWidth="1"/>
    <col min="11015" max="11018" width="10.6640625" style="118" customWidth="1"/>
    <col min="11019" max="11019" width="9.6640625" style="118" customWidth="1"/>
    <col min="11020" max="11020" width="10.6640625" style="118" customWidth="1"/>
    <col min="11021" max="11021" width="9.6640625" style="118" customWidth="1"/>
    <col min="11022" max="11264" width="9.1640625" style="118" customWidth="1"/>
    <col min="11265" max="11265" width="12.6640625" style="118" customWidth="1"/>
    <col min="11266" max="11270" width="9.6640625" style="118" customWidth="1"/>
    <col min="11271" max="11274" width="10.6640625" style="118" customWidth="1"/>
    <col min="11275" max="11275" width="9.6640625" style="118" customWidth="1"/>
    <col min="11276" max="11276" width="10.6640625" style="118" customWidth="1"/>
    <col min="11277" max="11277" width="9.6640625" style="118" customWidth="1"/>
    <col min="11278" max="11520" width="9.1640625" style="118" customWidth="1"/>
    <col min="11521" max="11521" width="12.6640625" style="118" customWidth="1"/>
    <col min="11522" max="11526" width="9.6640625" style="118" customWidth="1"/>
    <col min="11527" max="11530" width="10.6640625" style="118" customWidth="1"/>
    <col min="11531" max="11531" width="9.6640625" style="118" customWidth="1"/>
    <col min="11532" max="11532" width="10.6640625" style="118" customWidth="1"/>
    <col min="11533" max="11533" width="9.6640625" style="118" customWidth="1"/>
    <col min="11534" max="11776" width="9.1640625" style="118" customWidth="1"/>
    <col min="11777" max="11777" width="12.6640625" style="118" customWidth="1"/>
    <col min="11778" max="11782" width="9.6640625" style="118" customWidth="1"/>
    <col min="11783" max="11786" width="10.6640625" style="118" customWidth="1"/>
    <col min="11787" max="11787" width="9.6640625" style="118" customWidth="1"/>
    <col min="11788" max="11788" width="10.6640625" style="118" customWidth="1"/>
    <col min="11789" max="11789" width="9.6640625" style="118" customWidth="1"/>
    <col min="11790" max="12032" width="9.1640625" style="118" customWidth="1"/>
    <col min="12033" max="12033" width="12.6640625" style="118" customWidth="1"/>
    <col min="12034" max="12038" width="9.6640625" style="118" customWidth="1"/>
    <col min="12039" max="12042" width="10.6640625" style="118" customWidth="1"/>
    <col min="12043" max="12043" width="9.6640625" style="118" customWidth="1"/>
    <col min="12044" max="12044" width="10.6640625" style="118" customWidth="1"/>
    <col min="12045" max="12045" width="9.6640625" style="118" customWidth="1"/>
    <col min="12046" max="12288" width="9.1640625" style="118" customWidth="1"/>
    <col min="12289" max="12289" width="12.6640625" style="118" customWidth="1"/>
    <col min="12290" max="12294" width="9.6640625" style="118" customWidth="1"/>
    <col min="12295" max="12298" width="10.6640625" style="118" customWidth="1"/>
    <col min="12299" max="12299" width="9.6640625" style="118" customWidth="1"/>
    <col min="12300" max="12300" width="10.6640625" style="118" customWidth="1"/>
    <col min="12301" max="12301" width="9.6640625" style="118" customWidth="1"/>
    <col min="12302" max="12544" width="9.1640625" style="118" customWidth="1"/>
    <col min="12545" max="12545" width="12.6640625" style="118" customWidth="1"/>
    <col min="12546" max="12550" width="9.6640625" style="118" customWidth="1"/>
    <col min="12551" max="12554" width="10.6640625" style="118" customWidth="1"/>
    <col min="12555" max="12555" width="9.6640625" style="118" customWidth="1"/>
    <col min="12556" max="12556" width="10.6640625" style="118" customWidth="1"/>
    <col min="12557" max="12557" width="9.6640625" style="118" customWidth="1"/>
    <col min="12558" max="12800" width="9.1640625" style="118" customWidth="1"/>
    <col min="12801" max="12801" width="12.6640625" style="118" customWidth="1"/>
    <col min="12802" max="12806" width="9.6640625" style="118" customWidth="1"/>
    <col min="12807" max="12810" width="10.6640625" style="118" customWidth="1"/>
    <col min="12811" max="12811" width="9.6640625" style="118" customWidth="1"/>
    <col min="12812" max="12812" width="10.6640625" style="118" customWidth="1"/>
    <col min="12813" max="12813" width="9.6640625" style="118" customWidth="1"/>
    <col min="12814" max="13056" width="9.1640625" style="118" customWidth="1"/>
    <col min="13057" max="13057" width="12.6640625" style="118" customWidth="1"/>
    <col min="13058" max="13062" width="9.6640625" style="118" customWidth="1"/>
    <col min="13063" max="13066" width="10.6640625" style="118" customWidth="1"/>
    <col min="13067" max="13067" width="9.6640625" style="118" customWidth="1"/>
    <col min="13068" max="13068" width="10.6640625" style="118" customWidth="1"/>
    <col min="13069" max="13069" width="9.6640625" style="118" customWidth="1"/>
    <col min="13070" max="13312" width="9.1640625" style="118" customWidth="1"/>
    <col min="13313" max="13313" width="12.6640625" style="118" customWidth="1"/>
    <col min="13314" max="13318" width="9.6640625" style="118" customWidth="1"/>
    <col min="13319" max="13322" width="10.6640625" style="118" customWidth="1"/>
    <col min="13323" max="13323" width="9.6640625" style="118" customWidth="1"/>
    <col min="13324" max="13324" width="10.6640625" style="118" customWidth="1"/>
    <col min="13325" max="13325" width="9.6640625" style="118" customWidth="1"/>
    <col min="13326" max="13568" width="9.1640625" style="118" customWidth="1"/>
    <col min="13569" max="13569" width="12.6640625" style="118" customWidth="1"/>
    <col min="13570" max="13574" width="9.6640625" style="118" customWidth="1"/>
    <col min="13575" max="13578" width="10.6640625" style="118" customWidth="1"/>
    <col min="13579" max="13579" width="9.6640625" style="118" customWidth="1"/>
    <col min="13580" max="13580" width="10.6640625" style="118" customWidth="1"/>
    <col min="13581" max="13581" width="9.6640625" style="118" customWidth="1"/>
    <col min="13582" max="13824" width="9.1640625" style="118" customWidth="1"/>
    <col min="13825" max="13825" width="12.6640625" style="118" customWidth="1"/>
    <col min="13826" max="13830" width="9.6640625" style="118" customWidth="1"/>
    <col min="13831" max="13834" width="10.6640625" style="118" customWidth="1"/>
    <col min="13835" max="13835" width="9.6640625" style="118" customWidth="1"/>
    <col min="13836" max="13836" width="10.6640625" style="118" customWidth="1"/>
    <col min="13837" max="13837" width="9.6640625" style="118" customWidth="1"/>
    <col min="13838" max="14080" width="9.1640625" style="118" customWidth="1"/>
    <col min="14081" max="14081" width="12.6640625" style="118" customWidth="1"/>
    <col min="14082" max="14086" width="9.6640625" style="118" customWidth="1"/>
    <col min="14087" max="14090" width="10.6640625" style="118" customWidth="1"/>
    <col min="14091" max="14091" width="9.6640625" style="118" customWidth="1"/>
    <col min="14092" max="14092" width="10.6640625" style="118" customWidth="1"/>
    <col min="14093" max="14093" width="9.6640625" style="118" customWidth="1"/>
    <col min="14094" max="14336" width="9.1640625" style="118" customWidth="1"/>
    <col min="14337" max="14337" width="12.6640625" style="118" customWidth="1"/>
    <col min="14338" max="14342" width="9.6640625" style="118" customWidth="1"/>
    <col min="14343" max="14346" width="10.6640625" style="118" customWidth="1"/>
    <col min="14347" max="14347" width="9.6640625" style="118" customWidth="1"/>
    <col min="14348" max="14348" width="10.6640625" style="118" customWidth="1"/>
    <col min="14349" max="14349" width="9.6640625" style="118" customWidth="1"/>
    <col min="14350" max="14592" width="9.1640625" style="118" customWidth="1"/>
    <col min="14593" max="14593" width="12.6640625" style="118" customWidth="1"/>
    <col min="14594" max="14598" width="9.6640625" style="118" customWidth="1"/>
    <col min="14599" max="14602" width="10.6640625" style="118" customWidth="1"/>
    <col min="14603" max="14603" width="9.6640625" style="118" customWidth="1"/>
    <col min="14604" max="14604" width="10.6640625" style="118" customWidth="1"/>
    <col min="14605" max="14605" width="9.6640625" style="118" customWidth="1"/>
    <col min="14606" max="14848" width="9.1640625" style="118" customWidth="1"/>
    <col min="14849" max="14849" width="12.6640625" style="118" customWidth="1"/>
    <col min="14850" max="14854" width="9.6640625" style="118" customWidth="1"/>
    <col min="14855" max="14858" width="10.6640625" style="118" customWidth="1"/>
    <col min="14859" max="14859" width="9.6640625" style="118" customWidth="1"/>
    <col min="14860" max="14860" width="10.6640625" style="118" customWidth="1"/>
    <col min="14861" max="14861" width="9.6640625" style="118" customWidth="1"/>
    <col min="14862" max="15104" width="9.1640625" style="118" customWidth="1"/>
    <col min="15105" max="15105" width="12.6640625" style="118" customWidth="1"/>
    <col min="15106" max="15110" width="9.6640625" style="118" customWidth="1"/>
    <col min="15111" max="15114" width="10.6640625" style="118" customWidth="1"/>
    <col min="15115" max="15115" width="9.6640625" style="118" customWidth="1"/>
    <col min="15116" max="15116" width="10.6640625" style="118" customWidth="1"/>
    <col min="15117" max="15117" width="9.6640625" style="118" customWidth="1"/>
    <col min="15118" max="15360" width="9.1640625" style="118" customWidth="1"/>
    <col min="15361" max="15361" width="12.6640625" style="118" customWidth="1"/>
    <col min="15362" max="15366" width="9.6640625" style="118" customWidth="1"/>
    <col min="15367" max="15370" width="10.6640625" style="118" customWidth="1"/>
    <col min="15371" max="15371" width="9.6640625" style="118" customWidth="1"/>
    <col min="15372" max="15372" width="10.6640625" style="118" customWidth="1"/>
    <col min="15373" max="15373" width="9.6640625" style="118" customWidth="1"/>
    <col min="15374" max="15616" width="9.1640625" style="118" customWidth="1"/>
    <col min="15617" max="15617" width="12.6640625" style="118" customWidth="1"/>
    <col min="15618" max="15622" width="9.6640625" style="118" customWidth="1"/>
    <col min="15623" max="15626" width="10.6640625" style="118" customWidth="1"/>
    <col min="15627" max="15627" width="9.6640625" style="118" customWidth="1"/>
    <col min="15628" max="15628" width="10.6640625" style="118" customWidth="1"/>
    <col min="15629" max="15629" width="9.6640625" style="118" customWidth="1"/>
    <col min="15630" max="15872" width="9.1640625" style="118" customWidth="1"/>
    <col min="15873" max="15873" width="12.6640625" style="118" customWidth="1"/>
    <col min="15874" max="15878" width="9.6640625" style="118" customWidth="1"/>
    <col min="15879" max="15882" width="10.6640625" style="118" customWidth="1"/>
    <col min="15883" max="15883" width="9.6640625" style="118" customWidth="1"/>
    <col min="15884" max="15884" width="10.6640625" style="118" customWidth="1"/>
    <col min="15885" max="15885" width="9.6640625" style="118" customWidth="1"/>
    <col min="15886" max="16128" width="9.1640625" style="118" customWidth="1"/>
    <col min="16129" max="16129" width="12.6640625" style="118" customWidth="1"/>
    <col min="16130" max="16134" width="9.6640625" style="118" customWidth="1"/>
    <col min="16135" max="16138" width="10.6640625" style="118" customWidth="1"/>
    <col min="16139" max="16139" width="9.6640625" style="118" customWidth="1"/>
    <col min="16140" max="16140" width="10.6640625" style="118" customWidth="1"/>
    <col min="16141" max="16141" width="9.6640625" style="118" customWidth="1"/>
    <col min="16142" max="16384" width="9.1640625" style="118" customWidth="1"/>
  </cols>
  <sheetData>
    <row r="1" spans="1:13">
      <c r="A1" t="s">
        <v>95</v>
      </c>
      <c r="B1" t="s">
        <v>39</v>
      </c>
      <c r="C1" t="s">
        <v>30</v>
      </c>
      <c r="D1" t="s">
        <v>33</v>
      </c>
      <c r="E1" t="s">
        <v>36</v>
      </c>
      <c r="F1" t="s">
        <v>40</v>
      </c>
      <c r="G1" t="s">
        <v>27</v>
      </c>
      <c r="H1" t="s">
        <v>96</v>
      </c>
      <c r="I1" t="s">
        <v>17</v>
      </c>
      <c r="J1" t="s">
        <v>24</v>
      </c>
      <c r="K1" t="s">
        <v>97</v>
      </c>
      <c r="L1" t="s">
        <v>14</v>
      </c>
      <c r="M1" t="s">
        <v>21</v>
      </c>
    </row>
    <row r="2" spans="1:13">
      <c r="A2" s="121">
        <v>21217</v>
      </c>
      <c r="B2"/>
      <c r="C2"/>
      <c r="D2"/>
      <c r="E2"/>
      <c r="F2"/>
      <c r="G2"/>
      <c r="H2"/>
      <c r="I2"/>
      <c r="J2"/>
      <c r="K2"/>
      <c r="L2">
        <v>0</v>
      </c>
      <c r="M2"/>
    </row>
    <row r="3" spans="1:13">
      <c r="A3" s="121">
        <v>21245</v>
      </c>
      <c r="B3"/>
      <c r="C3"/>
      <c r="D3"/>
      <c r="E3"/>
      <c r="F3"/>
      <c r="G3"/>
      <c r="H3"/>
      <c r="I3"/>
      <c r="J3"/>
      <c r="K3"/>
      <c r="L3">
        <v>0</v>
      </c>
      <c r="M3"/>
    </row>
    <row r="4" spans="1:13">
      <c r="A4" s="121">
        <v>21276</v>
      </c>
      <c r="B4"/>
      <c r="C4"/>
      <c r="D4"/>
      <c r="E4"/>
      <c r="F4"/>
      <c r="G4"/>
      <c r="H4"/>
      <c r="I4"/>
      <c r="J4"/>
      <c r="K4"/>
      <c r="L4">
        <v>0</v>
      </c>
      <c r="M4"/>
    </row>
    <row r="5" spans="1:13">
      <c r="A5" s="121">
        <v>21306</v>
      </c>
      <c r="B5"/>
      <c r="C5"/>
      <c r="D5"/>
      <c r="E5"/>
      <c r="F5"/>
      <c r="G5"/>
      <c r="H5"/>
      <c r="I5"/>
      <c r="J5"/>
      <c r="K5"/>
      <c r="L5">
        <v>0</v>
      </c>
      <c r="M5"/>
    </row>
    <row r="6" spans="1:13">
      <c r="A6" s="121">
        <v>21337</v>
      </c>
      <c r="B6"/>
      <c r="C6"/>
      <c r="D6"/>
      <c r="E6"/>
      <c r="F6"/>
      <c r="G6"/>
      <c r="H6"/>
      <c r="I6"/>
      <c r="J6"/>
      <c r="K6"/>
      <c r="L6">
        <v>0</v>
      </c>
      <c r="M6"/>
    </row>
    <row r="7" spans="1:13">
      <c r="A7" s="121">
        <v>21367</v>
      </c>
      <c r="B7"/>
      <c r="C7"/>
      <c r="D7"/>
      <c r="E7"/>
      <c r="F7"/>
      <c r="G7"/>
      <c r="H7"/>
      <c r="I7"/>
      <c r="J7"/>
      <c r="K7"/>
      <c r="L7">
        <v>0</v>
      </c>
      <c r="M7"/>
    </row>
    <row r="8" spans="1:13">
      <c r="A8" s="121">
        <v>21398</v>
      </c>
      <c r="B8"/>
      <c r="C8"/>
      <c r="D8"/>
      <c r="E8"/>
      <c r="F8"/>
      <c r="G8"/>
      <c r="H8"/>
      <c r="I8"/>
      <c r="J8"/>
      <c r="K8"/>
      <c r="L8">
        <v>0</v>
      </c>
      <c r="M8"/>
    </row>
    <row r="9" spans="1:13">
      <c r="A9" s="121">
        <v>21429</v>
      </c>
      <c r="B9"/>
      <c r="C9"/>
      <c r="D9"/>
      <c r="E9"/>
      <c r="F9"/>
      <c r="G9"/>
      <c r="H9"/>
      <c r="I9"/>
      <c r="J9"/>
      <c r="K9"/>
      <c r="L9">
        <v>0</v>
      </c>
      <c r="M9"/>
    </row>
    <row r="10" spans="1:13">
      <c r="A10" s="121">
        <v>21459</v>
      </c>
      <c r="B10"/>
      <c r="C10"/>
      <c r="D10"/>
      <c r="E10"/>
      <c r="F10"/>
      <c r="G10"/>
      <c r="H10"/>
      <c r="I10"/>
      <c r="J10"/>
      <c r="K10"/>
      <c r="L10">
        <v>0</v>
      </c>
      <c r="M10"/>
    </row>
    <row r="11" spans="1:13">
      <c r="A11" s="121">
        <v>21490</v>
      </c>
      <c r="B11"/>
      <c r="C11"/>
      <c r="D11"/>
      <c r="E11"/>
      <c r="F11"/>
      <c r="G11"/>
      <c r="H11"/>
      <c r="I11"/>
      <c r="J11"/>
      <c r="K11"/>
      <c r="L11">
        <v>0</v>
      </c>
      <c r="M11"/>
    </row>
    <row r="12" spans="1:13">
      <c r="A12" s="121">
        <v>21520</v>
      </c>
      <c r="B12"/>
      <c r="C12"/>
      <c r="D12"/>
      <c r="E12"/>
      <c r="F12"/>
      <c r="G12"/>
      <c r="H12"/>
      <c r="I12"/>
      <c r="J12"/>
      <c r="K12"/>
      <c r="L12">
        <v>0</v>
      </c>
      <c r="M12"/>
    </row>
    <row r="13" spans="1:13">
      <c r="A13" s="121">
        <v>21551</v>
      </c>
      <c r="B13"/>
      <c r="C13"/>
      <c r="D13"/>
      <c r="E13"/>
      <c r="F13"/>
      <c r="G13"/>
      <c r="H13"/>
      <c r="I13"/>
      <c r="J13"/>
      <c r="K13"/>
      <c r="L13">
        <v>0</v>
      </c>
      <c r="M13"/>
    </row>
    <row r="14" spans="1:13">
      <c r="A14" s="121">
        <v>21582</v>
      </c>
      <c r="B14"/>
      <c r="C14"/>
      <c r="D14"/>
      <c r="E14"/>
      <c r="F14"/>
      <c r="G14"/>
      <c r="H14"/>
      <c r="I14"/>
      <c r="J14"/>
      <c r="K14"/>
      <c r="L14">
        <v>0</v>
      </c>
      <c r="M14"/>
    </row>
    <row r="15" spans="1:13">
      <c r="A15" s="121">
        <v>21610</v>
      </c>
      <c r="B15"/>
      <c r="C15"/>
      <c r="D15"/>
      <c r="E15"/>
      <c r="F15"/>
      <c r="G15"/>
      <c r="H15"/>
      <c r="I15"/>
      <c r="J15"/>
      <c r="K15"/>
      <c r="L15">
        <v>0</v>
      </c>
      <c r="M15"/>
    </row>
    <row r="16" spans="1:13">
      <c r="A16" s="121">
        <v>21641</v>
      </c>
      <c r="B16"/>
      <c r="C16"/>
      <c r="D16"/>
      <c r="E16"/>
      <c r="F16"/>
      <c r="G16"/>
      <c r="H16"/>
      <c r="I16"/>
      <c r="J16"/>
      <c r="K16"/>
      <c r="L16">
        <v>0</v>
      </c>
      <c r="M16"/>
    </row>
    <row r="17" spans="1:13">
      <c r="A17" s="121">
        <v>21671</v>
      </c>
      <c r="B17"/>
      <c r="C17"/>
      <c r="D17"/>
      <c r="E17"/>
      <c r="F17"/>
      <c r="G17"/>
      <c r="H17"/>
      <c r="I17"/>
      <c r="J17"/>
      <c r="K17"/>
      <c r="L17">
        <v>0</v>
      </c>
      <c r="M17"/>
    </row>
    <row r="18" spans="1:13">
      <c r="A18" s="121">
        <v>21702</v>
      </c>
      <c r="B18"/>
      <c r="C18"/>
      <c r="D18"/>
      <c r="E18"/>
      <c r="F18"/>
      <c r="G18"/>
      <c r="H18"/>
      <c r="I18"/>
      <c r="J18"/>
      <c r="K18"/>
      <c r="L18">
        <v>0</v>
      </c>
      <c r="M18"/>
    </row>
    <row r="19" spans="1:13">
      <c r="A19" s="121">
        <v>21732</v>
      </c>
      <c r="B19"/>
      <c r="C19"/>
      <c r="D19"/>
      <c r="E19"/>
      <c r="F19"/>
      <c r="G19"/>
      <c r="H19"/>
      <c r="I19"/>
      <c r="J19"/>
      <c r="K19"/>
      <c r="L19">
        <v>0</v>
      </c>
      <c r="M19"/>
    </row>
    <row r="20" spans="1:13">
      <c r="A20" s="121">
        <v>21763</v>
      </c>
      <c r="B20"/>
      <c r="C20"/>
      <c r="D20"/>
      <c r="E20"/>
      <c r="F20"/>
      <c r="G20"/>
      <c r="H20"/>
      <c r="I20"/>
      <c r="J20"/>
      <c r="K20"/>
      <c r="L20">
        <v>0</v>
      </c>
      <c r="M20"/>
    </row>
    <row r="21" spans="1:13">
      <c r="A21" s="121">
        <v>21794</v>
      </c>
      <c r="B21"/>
      <c r="C21"/>
      <c r="D21"/>
      <c r="E21"/>
      <c r="F21"/>
      <c r="G21"/>
      <c r="H21"/>
      <c r="I21"/>
      <c r="J21"/>
      <c r="K21"/>
      <c r="L21">
        <v>0</v>
      </c>
      <c r="M21"/>
    </row>
    <row r="22" spans="1:13">
      <c r="A22" s="121">
        <v>21824</v>
      </c>
      <c r="B22"/>
      <c r="C22"/>
      <c r="D22"/>
      <c r="E22"/>
      <c r="F22"/>
      <c r="G22"/>
      <c r="H22"/>
      <c r="I22"/>
      <c r="J22"/>
      <c r="K22"/>
      <c r="L22">
        <v>0</v>
      </c>
      <c r="M22"/>
    </row>
    <row r="23" spans="1:13">
      <c r="A23" s="121">
        <v>21855</v>
      </c>
      <c r="B23"/>
      <c r="C23"/>
      <c r="D23"/>
      <c r="E23"/>
      <c r="F23"/>
      <c r="G23"/>
      <c r="H23"/>
      <c r="I23"/>
      <c r="J23"/>
      <c r="K23"/>
      <c r="L23">
        <v>0</v>
      </c>
      <c r="M23"/>
    </row>
    <row r="24" spans="1:13">
      <c r="A24" s="121">
        <v>21885</v>
      </c>
      <c r="B24"/>
      <c r="C24"/>
      <c r="D24"/>
      <c r="E24"/>
      <c r="F24"/>
      <c r="G24"/>
      <c r="H24"/>
      <c r="I24"/>
      <c r="J24"/>
      <c r="K24"/>
      <c r="L24">
        <v>0</v>
      </c>
      <c r="M24"/>
    </row>
    <row r="25" spans="1:13">
      <c r="A25" s="121">
        <v>21916</v>
      </c>
      <c r="B25"/>
      <c r="C25"/>
      <c r="D25"/>
      <c r="E25"/>
      <c r="F25"/>
      <c r="G25"/>
      <c r="H25"/>
      <c r="I25"/>
      <c r="J25"/>
      <c r="K25"/>
      <c r="L25">
        <v>0</v>
      </c>
      <c r="M25"/>
    </row>
    <row r="26" spans="1:13">
      <c r="A26" s="121">
        <v>21947</v>
      </c>
      <c r="B26"/>
      <c r="C26"/>
      <c r="D26"/>
      <c r="E26"/>
      <c r="F26"/>
      <c r="G26"/>
      <c r="H26"/>
      <c r="I26"/>
      <c r="J26"/>
      <c r="K26"/>
      <c r="L26">
        <v>0</v>
      </c>
      <c r="M26"/>
    </row>
    <row r="27" spans="1:13">
      <c r="A27" s="121">
        <v>21976</v>
      </c>
      <c r="B27"/>
      <c r="C27"/>
      <c r="D27"/>
      <c r="E27"/>
      <c r="F27"/>
      <c r="G27"/>
      <c r="H27"/>
      <c r="I27"/>
      <c r="J27"/>
      <c r="K27"/>
      <c r="L27">
        <v>0</v>
      </c>
      <c r="M27"/>
    </row>
    <row r="28" spans="1:13">
      <c r="A28" s="121">
        <v>22007</v>
      </c>
      <c r="B28"/>
      <c r="C28"/>
      <c r="D28"/>
      <c r="E28"/>
      <c r="F28"/>
      <c r="G28"/>
      <c r="H28"/>
      <c r="I28"/>
      <c r="J28"/>
      <c r="K28"/>
      <c r="L28">
        <v>0</v>
      </c>
      <c r="M28"/>
    </row>
    <row r="29" spans="1:13">
      <c r="A29" s="121">
        <v>22037</v>
      </c>
      <c r="B29"/>
      <c r="C29"/>
      <c r="D29"/>
      <c r="E29"/>
      <c r="F29"/>
      <c r="G29"/>
      <c r="H29"/>
      <c r="I29"/>
      <c r="J29"/>
      <c r="K29"/>
      <c r="L29">
        <v>0</v>
      </c>
      <c r="M29"/>
    </row>
    <row r="30" spans="1:13">
      <c r="A30" s="121">
        <v>22068</v>
      </c>
      <c r="B30"/>
      <c r="C30"/>
      <c r="D30"/>
      <c r="E30"/>
      <c r="F30"/>
      <c r="G30"/>
      <c r="H30"/>
      <c r="I30"/>
      <c r="J30"/>
      <c r="K30"/>
      <c r="L30">
        <v>0</v>
      </c>
      <c r="M30"/>
    </row>
    <row r="31" spans="1:13">
      <c r="A31" s="121">
        <v>22098</v>
      </c>
      <c r="B31"/>
      <c r="C31"/>
      <c r="D31"/>
      <c r="E31"/>
      <c r="F31"/>
      <c r="G31"/>
      <c r="H31"/>
      <c r="I31"/>
      <c r="J31"/>
      <c r="K31"/>
      <c r="L31">
        <v>0</v>
      </c>
      <c r="M31"/>
    </row>
    <row r="32" spans="1:13">
      <c r="A32" s="121">
        <v>22129</v>
      </c>
      <c r="B32"/>
      <c r="C32"/>
      <c r="D32"/>
      <c r="E32"/>
      <c r="F32"/>
      <c r="G32"/>
      <c r="H32"/>
      <c r="I32"/>
      <c r="J32"/>
      <c r="K32"/>
      <c r="L32">
        <v>0</v>
      </c>
      <c r="M32"/>
    </row>
    <row r="33" spans="1:13">
      <c r="A33" s="121">
        <v>22160</v>
      </c>
      <c r="B33"/>
      <c r="C33"/>
      <c r="D33"/>
      <c r="E33"/>
      <c r="F33"/>
      <c r="G33"/>
      <c r="H33"/>
      <c r="I33"/>
      <c r="J33"/>
      <c r="K33"/>
      <c r="L33">
        <v>0</v>
      </c>
      <c r="M33"/>
    </row>
    <row r="34" spans="1:13">
      <c r="A34" s="121">
        <v>22190</v>
      </c>
      <c r="B34"/>
      <c r="C34"/>
      <c r="D34"/>
      <c r="E34"/>
      <c r="F34"/>
      <c r="G34"/>
      <c r="H34"/>
      <c r="I34"/>
      <c r="J34"/>
      <c r="K34"/>
      <c r="L34">
        <v>0</v>
      </c>
      <c r="M34"/>
    </row>
    <row r="35" spans="1:13">
      <c r="A35" s="121">
        <v>22221</v>
      </c>
      <c r="B35"/>
      <c r="C35"/>
      <c r="D35"/>
      <c r="E35"/>
      <c r="F35"/>
      <c r="G35"/>
      <c r="H35"/>
      <c r="I35"/>
      <c r="J35"/>
      <c r="K35"/>
      <c r="L35">
        <v>0</v>
      </c>
      <c r="M35"/>
    </row>
    <row r="36" spans="1:13">
      <c r="A36" s="121">
        <v>22251</v>
      </c>
      <c r="B36"/>
      <c r="C36"/>
      <c r="D36"/>
      <c r="E36"/>
      <c r="F36"/>
      <c r="G36"/>
      <c r="H36"/>
      <c r="I36"/>
      <c r="J36"/>
      <c r="K36"/>
      <c r="L36">
        <v>0</v>
      </c>
      <c r="M36"/>
    </row>
    <row r="37" spans="1:13">
      <c r="A37" s="121">
        <v>22282</v>
      </c>
      <c r="B37"/>
      <c r="C37"/>
      <c r="D37"/>
      <c r="E37"/>
      <c r="F37"/>
      <c r="G37"/>
      <c r="H37"/>
      <c r="I37"/>
      <c r="J37"/>
      <c r="K37"/>
      <c r="L37">
        <v>0</v>
      </c>
      <c r="M37"/>
    </row>
    <row r="38" spans="1:13">
      <c r="A38" s="121">
        <v>22313</v>
      </c>
      <c r="B38"/>
      <c r="C38"/>
      <c r="D38"/>
      <c r="E38"/>
      <c r="F38"/>
      <c r="G38"/>
      <c r="H38"/>
      <c r="I38"/>
      <c r="J38"/>
      <c r="K38"/>
      <c r="L38">
        <v>0</v>
      </c>
      <c r="M38"/>
    </row>
    <row r="39" spans="1:13">
      <c r="A39" s="121">
        <v>22341</v>
      </c>
      <c r="B39"/>
      <c r="C39"/>
      <c r="D39"/>
      <c r="E39"/>
      <c r="F39"/>
      <c r="G39"/>
      <c r="H39"/>
      <c r="I39"/>
      <c r="J39"/>
      <c r="K39"/>
      <c r="L39">
        <v>0</v>
      </c>
      <c r="M39"/>
    </row>
    <row r="40" spans="1:13">
      <c r="A40" s="121">
        <v>22372</v>
      </c>
      <c r="B40"/>
      <c r="C40"/>
      <c r="D40"/>
      <c r="E40"/>
      <c r="F40"/>
      <c r="G40"/>
      <c r="H40"/>
      <c r="I40"/>
      <c r="J40"/>
      <c r="K40"/>
      <c r="L40">
        <v>0</v>
      </c>
      <c r="M40"/>
    </row>
    <row r="41" spans="1:13">
      <c r="A41" s="121">
        <v>22402</v>
      </c>
      <c r="B41"/>
      <c r="C41"/>
      <c r="D41"/>
      <c r="E41"/>
      <c r="F41"/>
      <c r="G41"/>
      <c r="H41"/>
      <c r="I41"/>
      <c r="J41"/>
      <c r="K41"/>
      <c r="L41">
        <v>0</v>
      </c>
      <c r="M41"/>
    </row>
    <row r="42" spans="1:13">
      <c r="A42" s="121">
        <v>22433</v>
      </c>
      <c r="B42"/>
      <c r="C42"/>
      <c r="D42"/>
      <c r="E42"/>
      <c r="F42"/>
      <c r="G42"/>
      <c r="H42"/>
      <c r="I42"/>
      <c r="J42"/>
      <c r="K42"/>
      <c r="L42">
        <v>0</v>
      </c>
      <c r="M42"/>
    </row>
    <row r="43" spans="1:13">
      <c r="A43" s="121">
        <v>22463</v>
      </c>
      <c r="B43"/>
      <c r="C43"/>
      <c r="D43"/>
      <c r="E43"/>
      <c r="F43"/>
      <c r="G43"/>
      <c r="H43"/>
      <c r="I43"/>
      <c r="J43"/>
      <c r="K43"/>
      <c r="L43">
        <v>0</v>
      </c>
      <c r="M43"/>
    </row>
    <row r="44" spans="1:13">
      <c r="A44" s="121">
        <v>22494</v>
      </c>
      <c r="B44"/>
      <c r="C44"/>
      <c r="D44"/>
      <c r="E44"/>
      <c r="F44"/>
      <c r="G44"/>
      <c r="H44"/>
      <c r="I44"/>
      <c r="J44"/>
      <c r="K44"/>
      <c r="L44">
        <v>0</v>
      </c>
      <c r="M44"/>
    </row>
    <row r="45" spans="1:13">
      <c r="A45" s="121">
        <v>22525</v>
      </c>
      <c r="B45"/>
      <c r="C45"/>
      <c r="D45"/>
      <c r="E45"/>
      <c r="F45"/>
      <c r="G45"/>
      <c r="H45"/>
      <c r="I45"/>
      <c r="J45"/>
      <c r="K45"/>
      <c r="L45">
        <v>0</v>
      </c>
      <c r="M45"/>
    </row>
    <row r="46" spans="1:13">
      <c r="A46" s="121">
        <v>22555</v>
      </c>
      <c r="B46"/>
      <c r="C46"/>
      <c r="D46"/>
      <c r="E46"/>
      <c r="F46"/>
      <c r="G46"/>
      <c r="H46"/>
      <c r="I46"/>
      <c r="J46"/>
      <c r="K46"/>
      <c r="L46">
        <v>0</v>
      </c>
      <c r="M46"/>
    </row>
    <row r="47" spans="1:13">
      <c r="A47" s="121">
        <v>22586</v>
      </c>
      <c r="B47"/>
      <c r="C47"/>
      <c r="D47"/>
      <c r="E47"/>
      <c r="F47"/>
      <c r="G47"/>
      <c r="H47"/>
      <c r="I47"/>
      <c r="J47"/>
      <c r="K47"/>
      <c r="L47">
        <v>0</v>
      </c>
      <c r="M47"/>
    </row>
    <row r="48" spans="1:13">
      <c r="A48" s="121">
        <v>22616</v>
      </c>
      <c r="B48"/>
      <c r="C48"/>
      <c r="D48"/>
      <c r="E48"/>
      <c r="F48"/>
      <c r="G48"/>
      <c r="H48"/>
      <c r="I48"/>
      <c r="J48"/>
      <c r="K48"/>
      <c r="L48">
        <v>0</v>
      </c>
      <c r="M48"/>
    </row>
    <row r="49" spans="1:13">
      <c r="A49" s="121">
        <v>22647</v>
      </c>
      <c r="B49"/>
      <c r="C49"/>
      <c r="D49"/>
      <c r="E49"/>
      <c r="F49"/>
      <c r="G49"/>
      <c r="H49"/>
      <c r="I49"/>
      <c r="J49"/>
      <c r="K49"/>
      <c r="L49">
        <v>0</v>
      </c>
      <c r="M49"/>
    </row>
    <row r="50" spans="1:13">
      <c r="A50" s="121">
        <v>22678</v>
      </c>
      <c r="B50"/>
      <c r="C50"/>
      <c r="D50"/>
      <c r="E50"/>
      <c r="F50"/>
      <c r="G50"/>
      <c r="H50"/>
      <c r="I50"/>
      <c r="J50"/>
      <c r="K50"/>
      <c r="L50">
        <v>0</v>
      </c>
      <c r="M50"/>
    </row>
    <row r="51" spans="1:13">
      <c r="A51" s="121">
        <v>22706</v>
      </c>
      <c r="B51"/>
      <c r="C51"/>
      <c r="D51"/>
      <c r="E51"/>
      <c r="F51"/>
      <c r="G51"/>
      <c r="H51"/>
      <c r="I51"/>
      <c r="J51"/>
      <c r="K51"/>
      <c r="L51">
        <v>0</v>
      </c>
      <c r="M51"/>
    </row>
    <row r="52" spans="1:13">
      <c r="A52" s="121">
        <v>22737</v>
      </c>
      <c r="B52"/>
      <c r="C52"/>
      <c r="D52"/>
      <c r="E52"/>
      <c r="F52"/>
      <c r="G52"/>
      <c r="H52"/>
      <c r="I52"/>
      <c r="J52"/>
      <c r="K52"/>
      <c r="L52">
        <v>0</v>
      </c>
      <c r="M52"/>
    </row>
    <row r="53" spans="1:13">
      <c r="A53" s="121">
        <v>22767</v>
      </c>
      <c r="B53"/>
      <c r="C53"/>
      <c r="D53"/>
      <c r="E53"/>
      <c r="F53"/>
      <c r="G53"/>
      <c r="H53"/>
      <c r="I53"/>
      <c r="J53"/>
      <c r="K53"/>
      <c r="L53">
        <v>0</v>
      </c>
      <c r="M53"/>
    </row>
    <row r="54" spans="1:13">
      <c r="A54" s="121">
        <v>22798</v>
      </c>
      <c r="B54"/>
      <c r="C54"/>
      <c r="D54"/>
      <c r="E54"/>
      <c r="F54"/>
      <c r="G54"/>
      <c r="H54"/>
      <c r="I54"/>
      <c r="J54"/>
      <c r="K54"/>
      <c r="L54">
        <v>0</v>
      </c>
      <c r="M54"/>
    </row>
    <row r="55" spans="1:13">
      <c r="A55" s="121">
        <v>22828</v>
      </c>
      <c r="B55"/>
      <c r="C55"/>
      <c r="D55"/>
      <c r="E55"/>
      <c r="F55"/>
      <c r="G55"/>
      <c r="H55"/>
      <c r="I55"/>
      <c r="J55"/>
      <c r="K55"/>
      <c r="L55">
        <v>0</v>
      </c>
      <c r="M55"/>
    </row>
    <row r="56" spans="1:13">
      <c r="A56" s="121">
        <v>22859</v>
      </c>
      <c r="B56"/>
      <c r="C56"/>
      <c r="D56"/>
      <c r="E56"/>
      <c r="F56"/>
      <c r="G56"/>
      <c r="H56"/>
      <c r="I56"/>
      <c r="J56"/>
      <c r="K56"/>
      <c r="L56">
        <v>0</v>
      </c>
      <c r="M56"/>
    </row>
    <row r="57" spans="1:13">
      <c r="A57" s="121">
        <v>22890</v>
      </c>
      <c r="B57"/>
      <c r="C57"/>
      <c r="D57"/>
      <c r="E57"/>
      <c r="F57"/>
      <c r="G57"/>
      <c r="H57"/>
      <c r="I57"/>
      <c r="J57"/>
      <c r="K57"/>
      <c r="L57">
        <v>0</v>
      </c>
      <c r="M57"/>
    </row>
    <row r="58" spans="1:13">
      <c r="A58" s="121">
        <v>22920</v>
      </c>
      <c r="B58"/>
      <c r="C58"/>
      <c r="D58"/>
      <c r="E58"/>
      <c r="F58"/>
      <c r="G58"/>
      <c r="H58"/>
      <c r="I58"/>
      <c r="J58"/>
      <c r="K58"/>
      <c r="L58">
        <v>0</v>
      </c>
      <c r="M58"/>
    </row>
    <row r="59" spans="1:13">
      <c r="A59" s="121">
        <v>22951</v>
      </c>
      <c r="B59"/>
      <c r="C59"/>
      <c r="D59"/>
      <c r="E59"/>
      <c r="F59"/>
      <c r="G59"/>
      <c r="H59"/>
      <c r="I59"/>
      <c r="J59"/>
      <c r="K59"/>
      <c r="L59">
        <v>0</v>
      </c>
      <c r="M59"/>
    </row>
    <row r="60" spans="1:13">
      <c r="A60" s="121">
        <v>22981</v>
      </c>
      <c r="B60"/>
      <c r="C60"/>
      <c r="D60"/>
      <c r="E60"/>
      <c r="F60"/>
      <c r="G60"/>
      <c r="H60"/>
      <c r="I60"/>
      <c r="J60"/>
      <c r="K60"/>
      <c r="L60">
        <v>0</v>
      </c>
      <c r="M60"/>
    </row>
    <row r="61" spans="1:13">
      <c r="A61" s="121">
        <v>23012</v>
      </c>
      <c r="B61"/>
      <c r="C61"/>
      <c r="D61"/>
      <c r="E61"/>
      <c r="F61"/>
      <c r="G61"/>
      <c r="H61"/>
      <c r="I61"/>
      <c r="J61"/>
      <c r="K61"/>
      <c r="L61">
        <v>0</v>
      </c>
      <c r="M61"/>
    </row>
    <row r="62" spans="1:13">
      <c r="A62" s="121">
        <v>23043</v>
      </c>
      <c r="B62"/>
      <c r="C62"/>
      <c r="D62"/>
      <c r="E62"/>
      <c r="F62"/>
      <c r="G62"/>
      <c r="H62"/>
      <c r="I62"/>
      <c r="J62"/>
      <c r="K62"/>
      <c r="L62">
        <v>0</v>
      </c>
      <c r="M62"/>
    </row>
    <row r="63" spans="1:13">
      <c r="A63" s="121">
        <v>23071</v>
      </c>
      <c r="B63"/>
      <c r="C63"/>
      <c r="D63"/>
      <c r="E63"/>
      <c r="F63"/>
      <c r="G63"/>
      <c r="H63"/>
      <c r="I63"/>
      <c r="J63"/>
      <c r="K63"/>
      <c r="L63">
        <v>0</v>
      </c>
      <c r="M63"/>
    </row>
    <row r="64" spans="1:13">
      <c r="A64" s="121">
        <v>23102</v>
      </c>
      <c r="B64"/>
      <c r="C64"/>
      <c r="D64"/>
      <c r="E64"/>
      <c r="F64"/>
      <c r="G64"/>
      <c r="H64"/>
      <c r="I64"/>
      <c r="J64"/>
      <c r="K64"/>
      <c r="L64">
        <v>0</v>
      </c>
      <c r="M64"/>
    </row>
    <row r="65" spans="1:13">
      <c r="A65" s="121">
        <v>23132</v>
      </c>
      <c r="B65"/>
      <c r="C65"/>
      <c r="D65"/>
      <c r="E65"/>
      <c r="F65"/>
      <c r="G65"/>
      <c r="H65"/>
      <c r="I65"/>
      <c r="J65"/>
      <c r="K65"/>
      <c r="L65">
        <v>0</v>
      </c>
      <c r="M65"/>
    </row>
    <row r="66" spans="1:13">
      <c r="A66" s="121">
        <v>23163</v>
      </c>
      <c r="B66"/>
      <c r="C66"/>
      <c r="D66"/>
      <c r="E66"/>
      <c r="F66"/>
      <c r="G66"/>
      <c r="H66"/>
      <c r="I66"/>
      <c r="J66"/>
      <c r="K66"/>
      <c r="L66">
        <v>0</v>
      </c>
      <c r="M66"/>
    </row>
    <row r="67" spans="1:13">
      <c r="A67" s="121">
        <v>23193</v>
      </c>
      <c r="B67"/>
      <c r="C67"/>
      <c r="D67"/>
      <c r="E67"/>
      <c r="F67"/>
      <c r="G67"/>
      <c r="H67"/>
      <c r="I67"/>
      <c r="J67"/>
      <c r="K67"/>
      <c r="L67">
        <v>0</v>
      </c>
      <c r="M67"/>
    </row>
    <row r="68" spans="1:13">
      <c r="A68" s="121">
        <v>23224</v>
      </c>
      <c r="B68"/>
      <c r="C68"/>
      <c r="D68"/>
      <c r="E68"/>
      <c r="F68"/>
      <c r="G68"/>
      <c r="H68"/>
      <c r="I68"/>
      <c r="J68"/>
      <c r="K68"/>
      <c r="L68">
        <v>0</v>
      </c>
      <c r="M68"/>
    </row>
    <row r="69" spans="1:13">
      <c r="A69" s="121">
        <v>23255</v>
      </c>
      <c r="B69"/>
      <c r="C69"/>
      <c r="D69"/>
      <c r="E69"/>
      <c r="F69"/>
      <c r="G69"/>
      <c r="H69"/>
      <c r="I69"/>
      <c r="J69"/>
      <c r="K69"/>
      <c r="L69">
        <v>0</v>
      </c>
      <c r="M69"/>
    </row>
    <row r="70" spans="1:13">
      <c r="A70" s="121">
        <v>23285</v>
      </c>
      <c r="B70"/>
      <c r="C70"/>
      <c r="D70"/>
      <c r="E70"/>
      <c r="F70"/>
      <c r="G70"/>
      <c r="H70"/>
      <c r="I70"/>
      <c r="J70"/>
      <c r="K70"/>
      <c r="L70">
        <v>0</v>
      </c>
      <c r="M70"/>
    </row>
    <row r="71" spans="1:13">
      <c r="A71" s="121">
        <v>23316</v>
      </c>
      <c r="B71"/>
      <c r="C71"/>
      <c r="D71"/>
      <c r="E71"/>
      <c r="F71"/>
      <c r="G71"/>
      <c r="H71"/>
      <c r="I71"/>
      <c r="J71"/>
      <c r="K71"/>
      <c r="L71">
        <v>0</v>
      </c>
      <c r="M71"/>
    </row>
    <row r="72" spans="1:13">
      <c r="A72" s="121">
        <v>23346</v>
      </c>
      <c r="B72"/>
      <c r="C72"/>
      <c r="D72"/>
      <c r="E72"/>
      <c r="F72"/>
      <c r="G72"/>
      <c r="H72"/>
      <c r="I72"/>
      <c r="J72"/>
      <c r="K72"/>
      <c r="L72">
        <v>0</v>
      </c>
      <c r="M72"/>
    </row>
    <row r="73" spans="1:13">
      <c r="A73" s="121">
        <v>23377</v>
      </c>
      <c r="B73"/>
      <c r="C73"/>
      <c r="D73"/>
      <c r="E73"/>
      <c r="F73"/>
      <c r="G73"/>
      <c r="H73"/>
      <c r="I73"/>
      <c r="J73"/>
      <c r="K73"/>
      <c r="L73">
        <v>0</v>
      </c>
      <c r="M73"/>
    </row>
    <row r="74" spans="1:13">
      <c r="A74" s="121">
        <v>23408</v>
      </c>
      <c r="B74"/>
      <c r="C74"/>
      <c r="D74"/>
      <c r="E74"/>
      <c r="F74"/>
      <c r="G74"/>
      <c r="H74"/>
      <c r="I74"/>
      <c r="J74"/>
      <c r="K74"/>
      <c r="L74">
        <v>0</v>
      </c>
      <c r="M74"/>
    </row>
    <row r="75" spans="1:13">
      <c r="A75" s="121">
        <v>23437</v>
      </c>
      <c r="B75"/>
      <c r="C75"/>
      <c r="D75"/>
      <c r="E75"/>
      <c r="F75"/>
      <c r="G75"/>
      <c r="H75"/>
      <c r="I75"/>
      <c r="J75"/>
      <c r="K75"/>
      <c r="L75">
        <v>0</v>
      </c>
      <c r="M75"/>
    </row>
    <row r="76" spans="1:13">
      <c r="A76" s="121">
        <v>23468</v>
      </c>
      <c r="B76"/>
      <c r="C76"/>
      <c r="D76"/>
      <c r="E76"/>
      <c r="F76"/>
      <c r="G76"/>
      <c r="H76"/>
      <c r="I76"/>
      <c r="J76"/>
      <c r="K76"/>
      <c r="L76">
        <v>0</v>
      </c>
      <c r="M76"/>
    </row>
    <row r="77" spans="1:13">
      <c r="A77" s="121">
        <v>23498</v>
      </c>
      <c r="B77"/>
      <c r="C77"/>
      <c r="D77"/>
      <c r="E77"/>
      <c r="F77"/>
      <c r="G77"/>
      <c r="H77"/>
      <c r="I77"/>
      <c r="J77"/>
      <c r="K77"/>
      <c r="L77">
        <v>0</v>
      </c>
      <c r="M77"/>
    </row>
    <row r="78" spans="1:13">
      <c r="A78" s="121">
        <v>23529</v>
      </c>
      <c r="B78"/>
      <c r="C78"/>
      <c r="D78"/>
      <c r="E78"/>
      <c r="F78"/>
      <c r="G78"/>
      <c r="H78"/>
      <c r="I78"/>
      <c r="J78"/>
      <c r="K78"/>
      <c r="L78">
        <v>0</v>
      </c>
      <c r="M78"/>
    </row>
    <row r="79" spans="1:13">
      <c r="A79" s="121">
        <v>23559</v>
      </c>
      <c r="B79"/>
      <c r="C79"/>
      <c r="D79"/>
      <c r="E79"/>
      <c r="F79"/>
      <c r="G79"/>
      <c r="H79"/>
      <c r="I79"/>
      <c r="J79"/>
      <c r="K79"/>
      <c r="L79">
        <v>0</v>
      </c>
      <c r="M79"/>
    </row>
    <row r="80" spans="1:13">
      <c r="A80" s="121">
        <v>23590</v>
      </c>
      <c r="B80"/>
      <c r="C80"/>
      <c r="D80"/>
      <c r="E80"/>
      <c r="F80"/>
      <c r="G80"/>
      <c r="H80"/>
      <c r="I80"/>
      <c r="J80"/>
      <c r="K80"/>
      <c r="L80">
        <v>0</v>
      </c>
      <c r="M80"/>
    </row>
    <row r="81" spans="1:13">
      <c r="A81" s="121">
        <v>23621</v>
      </c>
      <c r="B81"/>
      <c r="C81"/>
      <c r="D81"/>
      <c r="E81"/>
      <c r="F81"/>
      <c r="G81"/>
      <c r="H81"/>
      <c r="I81"/>
      <c r="J81"/>
      <c r="K81"/>
      <c r="L81">
        <v>0</v>
      </c>
      <c r="M81"/>
    </row>
    <row r="82" spans="1:13">
      <c r="A82" s="121">
        <v>23651</v>
      </c>
      <c r="B82"/>
      <c r="C82"/>
      <c r="D82"/>
      <c r="E82"/>
      <c r="F82"/>
      <c r="G82"/>
      <c r="H82"/>
      <c r="I82"/>
      <c r="J82"/>
      <c r="K82"/>
      <c r="L82">
        <v>0</v>
      </c>
      <c r="M82"/>
    </row>
    <row r="83" spans="1:13">
      <c r="A83" s="121">
        <v>23682</v>
      </c>
      <c r="B83"/>
      <c r="C83"/>
      <c r="D83"/>
      <c r="E83"/>
      <c r="F83"/>
      <c r="G83"/>
      <c r="H83"/>
      <c r="I83"/>
      <c r="J83"/>
      <c r="K83"/>
      <c r="L83">
        <v>0</v>
      </c>
      <c r="M83"/>
    </row>
    <row r="84" spans="1:13">
      <c r="A84" s="121">
        <v>23712</v>
      </c>
      <c r="B84"/>
      <c r="C84"/>
      <c r="D84"/>
      <c r="E84"/>
      <c r="F84"/>
      <c r="G84"/>
      <c r="H84"/>
      <c r="I84"/>
      <c r="J84"/>
      <c r="K84"/>
      <c r="L84">
        <v>0</v>
      </c>
      <c r="M84"/>
    </row>
    <row r="85" spans="1:13">
      <c r="A85" s="121">
        <v>23743</v>
      </c>
      <c r="B85"/>
      <c r="C85"/>
      <c r="D85"/>
      <c r="E85"/>
      <c r="F85"/>
      <c r="G85"/>
      <c r="H85"/>
      <c r="I85"/>
      <c r="J85"/>
      <c r="K85"/>
      <c r="L85">
        <v>0</v>
      </c>
      <c r="M85"/>
    </row>
    <row r="86" spans="1:13">
      <c r="A86" s="121">
        <v>23774</v>
      </c>
      <c r="B86"/>
      <c r="C86"/>
      <c r="D86"/>
      <c r="E86"/>
      <c r="F86"/>
      <c r="G86"/>
      <c r="H86"/>
      <c r="I86"/>
      <c r="J86"/>
      <c r="K86"/>
      <c r="L86">
        <v>0</v>
      </c>
      <c r="M86"/>
    </row>
    <row r="87" spans="1:13">
      <c r="A87" s="121">
        <v>23802</v>
      </c>
      <c r="B87"/>
      <c r="C87"/>
      <c r="D87"/>
      <c r="E87"/>
      <c r="F87"/>
      <c r="G87"/>
      <c r="H87"/>
      <c r="I87"/>
      <c r="J87"/>
      <c r="K87"/>
      <c r="L87">
        <v>0</v>
      </c>
      <c r="M87"/>
    </row>
    <row r="88" spans="1:13">
      <c r="A88" s="121">
        <v>23833</v>
      </c>
      <c r="B88"/>
      <c r="C88"/>
      <c r="D88"/>
      <c r="E88"/>
      <c r="F88"/>
      <c r="G88"/>
      <c r="H88"/>
      <c r="I88"/>
      <c r="J88"/>
      <c r="K88"/>
      <c r="L88">
        <v>0</v>
      </c>
      <c r="M88"/>
    </row>
    <row r="89" spans="1:13">
      <c r="A89" s="121">
        <v>23863</v>
      </c>
      <c r="B89"/>
      <c r="C89"/>
      <c r="D89"/>
      <c r="E89"/>
      <c r="F89"/>
      <c r="G89"/>
      <c r="H89"/>
      <c r="I89"/>
      <c r="J89"/>
      <c r="K89"/>
      <c r="L89">
        <v>0</v>
      </c>
      <c r="M89"/>
    </row>
    <row r="90" spans="1:13">
      <c r="A90" s="121">
        <v>23894</v>
      </c>
      <c r="B90"/>
      <c r="C90"/>
      <c r="D90"/>
      <c r="E90"/>
      <c r="F90"/>
      <c r="G90"/>
      <c r="H90"/>
      <c r="I90"/>
      <c r="J90"/>
      <c r="K90"/>
      <c r="L90">
        <v>0</v>
      </c>
      <c r="M90"/>
    </row>
    <row r="91" spans="1:13">
      <c r="A91" s="121">
        <v>23924</v>
      </c>
      <c r="B91"/>
      <c r="C91"/>
      <c r="D91"/>
      <c r="E91"/>
      <c r="F91"/>
      <c r="G91"/>
      <c r="H91"/>
      <c r="I91"/>
      <c r="J91"/>
      <c r="K91"/>
      <c r="L91">
        <v>0</v>
      </c>
      <c r="M91"/>
    </row>
    <row r="92" spans="1:13">
      <c r="A92" s="121">
        <v>23955</v>
      </c>
      <c r="B92"/>
      <c r="C92"/>
      <c r="D92"/>
      <c r="E92"/>
      <c r="F92"/>
      <c r="G92"/>
      <c r="H92"/>
      <c r="I92"/>
      <c r="J92"/>
      <c r="K92"/>
      <c r="L92">
        <v>0</v>
      </c>
      <c r="M92"/>
    </row>
    <row r="93" spans="1:13">
      <c r="A93" s="121">
        <v>23986</v>
      </c>
      <c r="B93"/>
      <c r="C93"/>
      <c r="D93"/>
      <c r="E93"/>
      <c r="F93"/>
      <c r="G93"/>
      <c r="H93"/>
      <c r="I93"/>
      <c r="J93"/>
      <c r="K93"/>
      <c r="L93">
        <v>0</v>
      </c>
      <c r="M93"/>
    </row>
    <row r="94" spans="1:13">
      <c r="A94" s="121">
        <v>24016</v>
      </c>
      <c r="B94"/>
      <c r="C94"/>
      <c r="D94"/>
      <c r="E94"/>
      <c r="F94"/>
      <c r="G94"/>
      <c r="H94"/>
      <c r="I94"/>
      <c r="J94"/>
      <c r="K94"/>
      <c r="L94">
        <v>0</v>
      </c>
      <c r="M94"/>
    </row>
    <row r="95" spans="1:13">
      <c r="A95" s="121">
        <v>24047</v>
      </c>
      <c r="B95"/>
      <c r="C95"/>
      <c r="D95"/>
      <c r="E95"/>
      <c r="F95"/>
      <c r="G95"/>
      <c r="H95"/>
      <c r="I95"/>
      <c r="J95"/>
      <c r="K95"/>
      <c r="L95">
        <v>0</v>
      </c>
      <c r="M95"/>
    </row>
    <row r="96" spans="1:13">
      <c r="A96" s="121">
        <v>24077</v>
      </c>
      <c r="B96"/>
      <c r="C96"/>
      <c r="D96"/>
      <c r="E96"/>
      <c r="F96"/>
      <c r="G96"/>
      <c r="H96"/>
      <c r="I96"/>
      <c r="J96"/>
      <c r="K96"/>
      <c r="L96">
        <v>0</v>
      </c>
      <c r="M96"/>
    </row>
    <row r="97" spans="1:13">
      <c r="A97" s="121">
        <v>24108</v>
      </c>
      <c r="B97"/>
      <c r="C97"/>
      <c r="D97"/>
      <c r="E97"/>
      <c r="F97"/>
      <c r="G97"/>
      <c r="H97"/>
      <c r="I97"/>
      <c r="J97"/>
      <c r="K97"/>
      <c r="L97">
        <v>0</v>
      </c>
      <c r="M97"/>
    </row>
    <row r="98" spans="1:13">
      <c r="A98" s="121">
        <v>24139</v>
      </c>
      <c r="B98"/>
      <c r="C98"/>
      <c r="D98"/>
      <c r="E98"/>
      <c r="F98"/>
      <c r="G98"/>
      <c r="H98"/>
      <c r="I98"/>
      <c r="J98"/>
      <c r="K98"/>
      <c r="L98">
        <v>0</v>
      </c>
      <c r="M98"/>
    </row>
    <row r="99" spans="1:13">
      <c r="A99" s="121">
        <v>24167</v>
      </c>
      <c r="B99"/>
      <c r="C99"/>
      <c r="D99"/>
      <c r="E99"/>
      <c r="F99"/>
      <c r="G99"/>
      <c r="H99"/>
      <c r="I99"/>
      <c r="J99"/>
      <c r="K99"/>
      <c r="L99">
        <v>0</v>
      </c>
      <c r="M99"/>
    </row>
    <row r="100" spans="1:13">
      <c r="A100" s="121">
        <v>24198</v>
      </c>
      <c r="B100"/>
      <c r="C100"/>
      <c r="D100"/>
      <c r="E100"/>
      <c r="F100"/>
      <c r="G100"/>
      <c r="H100"/>
      <c r="I100"/>
      <c r="J100"/>
      <c r="K100"/>
      <c r="L100">
        <v>0</v>
      </c>
      <c r="M100"/>
    </row>
    <row r="101" spans="1:13">
      <c r="A101" s="121">
        <v>24228</v>
      </c>
      <c r="B101"/>
      <c r="C101"/>
      <c r="D101"/>
      <c r="E101"/>
      <c r="F101"/>
      <c r="G101"/>
      <c r="H101"/>
      <c r="I101"/>
      <c r="J101"/>
      <c r="K101"/>
      <c r="L101">
        <v>0</v>
      </c>
      <c r="M101"/>
    </row>
    <row r="102" spans="1:13">
      <c r="A102" s="121">
        <v>24259</v>
      </c>
      <c r="B102"/>
      <c r="C102"/>
      <c r="D102"/>
      <c r="E102"/>
      <c r="F102"/>
      <c r="G102"/>
      <c r="H102"/>
      <c r="I102"/>
      <c r="J102"/>
      <c r="K102"/>
      <c r="L102">
        <v>0</v>
      </c>
      <c r="M102"/>
    </row>
    <row r="103" spans="1:13">
      <c r="A103" s="121">
        <v>24289</v>
      </c>
      <c r="B103"/>
      <c r="C103"/>
      <c r="D103"/>
      <c r="E103"/>
      <c r="F103"/>
      <c r="G103"/>
      <c r="H103"/>
      <c r="I103"/>
      <c r="J103"/>
      <c r="K103"/>
      <c r="L103">
        <v>0</v>
      </c>
      <c r="M103"/>
    </row>
    <row r="104" spans="1:13">
      <c r="A104" s="121">
        <v>24320</v>
      </c>
      <c r="B104"/>
      <c r="C104"/>
      <c r="D104"/>
      <c r="E104"/>
      <c r="F104"/>
      <c r="G104"/>
      <c r="H104"/>
      <c r="I104"/>
      <c r="J104"/>
      <c r="K104"/>
      <c r="L104">
        <v>0</v>
      </c>
      <c r="M104"/>
    </row>
    <row r="105" spans="1:13">
      <c r="A105" s="121">
        <v>24351</v>
      </c>
      <c r="B105"/>
      <c r="C105"/>
      <c r="D105"/>
      <c r="E105"/>
      <c r="F105"/>
      <c r="G105"/>
      <c r="H105"/>
      <c r="I105"/>
      <c r="J105"/>
      <c r="K105"/>
      <c r="L105">
        <v>0</v>
      </c>
      <c r="M105"/>
    </row>
    <row r="106" spans="1:13">
      <c r="A106" s="121">
        <v>24381</v>
      </c>
      <c r="B106"/>
      <c r="C106"/>
      <c r="D106"/>
      <c r="E106"/>
      <c r="F106"/>
      <c r="G106"/>
      <c r="H106"/>
      <c r="I106"/>
      <c r="J106"/>
      <c r="K106"/>
      <c r="L106">
        <v>0</v>
      </c>
      <c r="M106"/>
    </row>
    <row r="107" spans="1:13">
      <c r="A107" s="121">
        <v>24412</v>
      </c>
      <c r="B107"/>
      <c r="C107"/>
      <c r="D107"/>
      <c r="E107"/>
      <c r="F107"/>
      <c r="G107"/>
      <c r="H107"/>
      <c r="I107"/>
      <c r="J107"/>
      <c r="K107"/>
      <c r="L107">
        <v>0</v>
      </c>
      <c r="M107"/>
    </row>
    <row r="108" spans="1:13">
      <c r="A108" s="121">
        <v>24442</v>
      </c>
      <c r="B108"/>
      <c r="C108"/>
      <c r="D108"/>
      <c r="E108"/>
      <c r="F108"/>
      <c r="G108"/>
      <c r="H108"/>
      <c r="I108"/>
      <c r="J108"/>
      <c r="K108"/>
      <c r="L108">
        <v>0</v>
      </c>
      <c r="M108"/>
    </row>
    <row r="109" spans="1:13">
      <c r="A109" s="121">
        <v>24473</v>
      </c>
      <c r="B109"/>
      <c r="C109"/>
      <c r="D109"/>
      <c r="E109"/>
      <c r="F109"/>
      <c r="G109"/>
      <c r="H109"/>
      <c r="I109"/>
      <c r="J109"/>
      <c r="K109"/>
      <c r="L109">
        <v>0</v>
      </c>
      <c r="M109"/>
    </row>
    <row r="110" spans="1:13">
      <c r="A110" s="121">
        <v>24504</v>
      </c>
      <c r="B110"/>
      <c r="C110"/>
      <c r="D110"/>
      <c r="E110"/>
      <c r="F110"/>
      <c r="G110"/>
      <c r="H110"/>
      <c r="I110"/>
      <c r="J110"/>
      <c r="K110"/>
      <c r="L110">
        <v>0</v>
      </c>
      <c r="M110"/>
    </row>
    <row r="111" spans="1:13">
      <c r="A111" s="121">
        <v>24532</v>
      </c>
      <c r="B111"/>
      <c r="C111"/>
      <c r="D111"/>
      <c r="E111"/>
      <c r="F111"/>
      <c r="G111"/>
      <c r="H111"/>
      <c r="I111"/>
      <c r="J111"/>
      <c r="K111"/>
      <c r="L111">
        <v>0</v>
      </c>
      <c r="M111"/>
    </row>
    <row r="112" spans="1:13">
      <c r="A112" s="121">
        <v>24563</v>
      </c>
      <c r="B112"/>
      <c r="C112"/>
      <c r="D112"/>
      <c r="E112"/>
      <c r="F112"/>
      <c r="G112"/>
      <c r="H112"/>
      <c r="I112"/>
      <c r="J112"/>
      <c r="K112"/>
      <c r="L112">
        <v>0</v>
      </c>
      <c r="M112"/>
    </row>
    <row r="113" spans="1:13">
      <c r="A113" s="121">
        <v>24593</v>
      </c>
      <c r="B113"/>
      <c r="C113"/>
      <c r="D113"/>
      <c r="E113"/>
      <c r="F113"/>
      <c r="G113"/>
      <c r="H113"/>
      <c r="I113"/>
      <c r="J113"/>
      <c r="K113"/>
      <c r="L113">
        <v>0</v>
      </c>
      <c r="M113"/>
    </row>
    <row r="114" spans="1:13">
      <c r="A114" s="121">
        <v>24624</v>
      </c>
      <c r="B114"/>
      <c r="C114"/>
      <c r="D114"/>
      <c r="E114"/>
      <c r="F114"/>
      <c r="G114"/>
      <c r="H114"/>
      <c r="I114"/>
      <c r="J114"/>
      <c r="K114"/>
      <c r="L114">
        <v>0</v>
      </c>
      <c r="M114"/>
    </row>
    <row r="115" spans="1:13">
      <c r="A115" s="121">
        <v>24654</v>
      </c>
      <c r="B115"/>
      <c r="C115"/>
      <c r="D115"/>
      <c r="E115"/>
      <c r="F115"/>
      <c r="G115"/>
      <c r="H115"/>
      <c r="I115"/>
      <c r="J115"/>
      <c r="K115"/>
      <c r="L115">
        <v>0</v>
      </c>
      <c r="M115"/>
    </row>
    <row r="116" spans="1:13">
      <c r="A116" s="121">
        <v>24685</v>
      </c>
      <c r="B116"/>
      <c r="C116"/>
      <c r="D116"/>
      <c r="E116"/>
      <c r="F116"/>
      <c r="G116"/>
      <c r="H116"/>
      <c r="I116"/>
      <c r="J116"/>
      <c r="K116"/>
      <c r="L116">
        <v>0</v>
      </c>
      <c r="M116"/>
    </row>
    <row r="117" spans="1:13">
      <c r="A117" s="121">
        <v>24716</v>
      </c>
      <c r="B117"/>
      <c r="C117"/>
      <c r="D117"/>
      <c r="E117"/>
      <c r="F117"/>
      <c r="G117"/>
      <c r="H117"/>
      <c r="I117"/>
      <c r="J117"/>
      <c r="K117"/>
      <c r="L117">
        <v>0</v>
      </c>
      <c r="M117"/>
    </row>
    <row r="118" spans="1:13">
      <c r="A118" s="121">
        <v>24746</v>
      </c>
      <c r="B118"/>
      <c r="C118"/>
      <c r="D118"/>
      <c r="E118"/>
      <c r="F118"/>
      <c r="G118"/>
      <c r="H118"/>
      <c r="I118"/>
      <c r="J118"/>
      <c r="K118"/>
      <c r="L118">
        <v>0</v>
      </c>
      <c r="M118"/>
    </row>
    <row r="119" spans="1:13">
      <c r="A119" s="121">
        <v>24777</v>
      </c>
      <c r="B119"/>
      <c r="C119"/>
      <c r="D119"/>
      <c r="E119"/>
      <c r="F119"/>
      <c r="G119"/>
      <c r="H119"/>
      <c r="I119"/>
      <c r="J119"/>
      <c r="K119"/>
      <c r="L119">
        <v>0</v>
      </c>
      <c r="M119"/>
    </row>
    <row r="120" spans="1:13">
      <c r="A120" s="121">
        <v>24807</v>
      </c>
      <c r="B120"/>
      <c r="C120"/>
      <c r="D120"/>
      <c r="E120"/>
      <c r="F120"/>
      <c r="G120"/>
      <c r="H120"/>
      <c r="I120"/>
      <c r="J120"/>
      <c r="K120"/>
      <c r="L120">
        <v>0</v>
      </c>
      <c r="M120"/>
    </row>
    <row r="121" spans="1:13">
      <c r="A121" s="121">
        <v>24838</v>
      </c>
      <c r="B121"/>
      <c r="C121"/>
      <c r="D121"/>
      <c r="E121"/>
      <c r="F121"/>
      <c r="G121"/>
      <c r="H121"/>
      <c r="I121"/>
      <c r="J121"/>
      <c r="K121"/>
      <c r="L121">
        <v>0</v>
      </c>
      <c r="M121"/>
    </row>
    <row r="122" spans="1:13">
      <c r="A122" s="121">
        <v>24869</v>
      </c>
      <c r="B122"/>
      <c r="C122"/>
      <c r="D122"/>
      <c r="E122"/>
      <c r="F122"/>
      <c r="G122"/>
      <c r="H122"/>
      <c r="I122"/>
      <c r="J122"/>
      <c r="K122"/>
      <c r="L122">
        <v>0</v>
      </c>
      <c r="M122">
        <v>0</v>
      </c>
    </row>
    <row r="123" spans="1:13">
      <c r="A123" s="121">
        <v>24898</v>
      </c>
      <c r="B123"/>
      <c r="C123"/>
      <c r="D123"/>
      <c r="E123"/>
      <c r="F123"/>
      <c r="G123"/>
      <c r="H123"/>
      <c r="I123"/>
      <c r="J123"/>
      <c r="K123"/>
      <c r="L123">
        <v>0</v>
      </c>
      <c r="M123">
        <v>0</v>
      </c>
    </row>
    <row r="124" spans="1:13">
      <c r="A124" s="121">
        <v>24929</v>
      </c>
      <c r="B124"/>
      <c r="C124"/>
      <c r="D124"/>
      <c r="E124"/>
      <c r="F124"/>
      <c r="G124"/>
      <c r="H124"/>
      <c r="I124"/>
      <c r="J124"/>
      <c r="K124"/>
      <c r="L124">
        <v>0</v>
      </c>
      <c r="M124">
        <v>0</v>
      </c>
    </row>
    <row r="125" spans="1:13">
      <c r="A125" s="121">
        <v>24959</v>
      </c>
      <c r="B125"/>
      <c r="C125"/>
      <c r="D125"/>
      <c r="E125"/>
      <c r="F125"/>
      <c r="G125"/>
      <c r="H125"/>
      <c r="I125"/>
      <c r="J125"/>
      <c r="K125"/>
      <c r="L125">
        <v>0</v>
      </c>
      <c r="M125">
        <v>0</v>
      </c>
    </row>
    <row r="126" spans="1:13">
      <c r="A126" s="121">
        <v>24990</v>
      </c>
      <c r="B126"/>
      <c r="C126"/>
      <c r="D126"/>
      <c r="E126"/>
      <c r="F126"/>
      <c r="G126"/>
      <c r="H126"/>
      <c r="I126"/>
      <c r="J126"/>
      <c r="K126"/>
      <c r="L126">
        <v>0</v>
      </c>
      <c r="M126">
        <v>0</v>
      </c>
    </row>
    <row r="127" spans="1:13">
      <c r="A127" s="121">
        <v>25020</v>
      </c>
      <c r="B127"/>
      <c r="C127"/>
      <c r="D127"/>
      <c r="E127"/>
      <c r="F127"/>
      <c r="G127"/>
      <c r="H127"/>
      <c r="I127"/>
      <c r="J127"/>
      <c r="K127"/>
      <c r="L127">
        <v>0</v>
      </c>
      <c r="M127">
        <v>0</v>
      </c>
    </row>
    <row r="128" spans="1:13">
      <c r="A128" s="121">
        <v>25051</v>
      </c>
      <c r="B128"/>
      <c r="C128"/>
      <c r="D128"/>
      <c r="E128"/>
      <c r="F128"/>
      <c r="G128"/>
      <c r="H128"/>
      <c r="I128"/>
      <c r="J128"/>
      <c r="K128"/>
      <c r="L128">
        <v>0</v>
      </c>
      <c r="M128">
        <v>0</v>
      </c>
    </row>
    <row r="129" spans="1:13">
      <c r="A129" s="121">
        <v>25082</v>
      </c>
      <c r="B129"/>
      <c r="C129"/>
      <c r="D129"/>
      <c r="E129"/>
      <c r="F129"/>
      <c r="G129"/>
      <c r="H129"/>
      <c r="I129"/>
      <c r="J129"/>
      <c r="K129"/>
      <c r="L129">
        <v>0</v>
      </c>
      <c r="M129">
        <v>0</v>
      </c>
    </row>
    <row r="130" spans="1:13">
      <c r="A130" s="121">
        <v>25112</v>
      </c>
      <c r="B130"/>
      <c r="C130"/>
      <c r="D130"/>
      <c r="E130"/>
      <c r="F130"/>
      <c r="G130"/>
      <c r="H130"/>
      <c r="I130"/>
      <c r="J130"/>
      <c r="K130"/>
      <c r="L130">
        <v>0</v>
      </c>
      <c r="M130">
        <v>0</v>
      </c>
    </row>
    <row r="131" spans="1:13">
      <c r="A131" s="121">
        <v>25143</v>
      </c>
      <c r="B131"/>
      <c r="C131"/>
      <c r="D131"/>
      <c r="E131"/>
      <c r="F131"/>
      <c r="G131"/>
      <c r="H131"/>
      <c r="I131"/>
      <c r="J131"/>
      <c r="K131"/>
      <c r="L131">
        <v>0</v>
      </c>
      <c r="M131">
        <v>0</v>
      </c>
    </row>
    <row r="132" spans="1:13">
      <c r="A132" s="121">
        <v>25173</v>
      </c>
      <c r="B132"/>
      <c r="C132"/>
      <c r="D132"/>
      <c r="E132"/>
      <c r="F132"/>
      <c r="G132"/>
      <c r="H132"/>
      <c r="I132"/>
      <c r="J132"/>
      <c r="K132"/>
      <c r="L132">
        <v>0</v>
      </c>
      <c r="M132">
        <v>0</v>
      </c>
    </row>
    <row r="133" spans="1:13">
      <c r="A133" s="121">
        <v>25204</v>
      </c>
      <c r="B133"/>
      <c r="C133"/>
      <c r="D133"/>
      <c r="E133"/>
      <c r="F133"/>
      <c r="G133"/>
      <c r="H133"/>
      <c r="I133"/>
      <c r="J133"/>
      <c r="K133"/>
      <c r="L133">
        <v>0</v>
      </c>
      <c r="M133">
        <v>0</v>
      </c>
    </row>
    <row r="134" spans="1:13">
      <c r="A134" s="121">
        <v>25235</v>
      </c>
      <c r="B134"/>
      <c r="C134"/>
      <c r="D134"/>
      <c r="E134"/>
      <c r="F134"/>
      <c r="G134"/>
      <c r="H134"/>
      <c r="I134"/>
      <c r="J134"/>
      <c r="K134"/>
      <c r="L134">
        <v>0</v>
      </c>
      <c r="M134">
        <v>0</v>
      </c>
    </row>
    <row r="135" spans="1:13">
      <c r="A135" s="121">
        <v>25263</v>
      </c>
      <c r="B135"/>
      <c r="C135"/>
      <c r="D135"/>
      <c r="E135"/>
      <c r="F135"/>
      <c r="G135"/>
      <c r="H135"/>
      <c r="I135"/>
      <c r="J135"/>
      <c r="K135"/>
      <c r="L135">
        <v>0</v>
      </c>
      <c r="M135">
        <v>0</v>
      </c>
    </row>
    <row r="136" spans="1:13">
      <c r="A136" s="121">
        <v>25294</v>
      </c>
      <c r="B136"/>
      <c r="C136"/>
      <c r="D136"/>
      <c r="E136"/>
      <c r="F136"/>
      <c r="G136"/>
      <c r="H136"/>
      <c r="I136"/>
      <c r="J136"/>
      <c r="K136"/>
      <c r="L136">
        <v>0</v>
      </c>
      <c r="M136">
        <v>0</v>
      </c>
    </row>
    <row r="137" spans="1:13">
      <c r="A137" s="121">
        <v>25324</v>
      </c>
      <c r="B137"/>
      <c r="C137"/>
      <c r="D137"/>
      <c r="E137"/>
      <c r="F137"/>
      <c r="G137"/>
      <c r="H137"/>
      <c r="I137"/>
      <c r="J137"/>
      <c r="K137"/>
      <c r="L137">
        <v>0</v>
      </c>
      <c r="M137">
        <v>0</v>
      </c>
    </row>
    <row r="138" spans="1:13">
      <c r="A138" s="121">
        <v>25355</v>
      </c>
      <c r="B138"/>
      <c r="C138"/>
      <c r="D138"/>
      <c r="E138"/>
      <c r="F138"/>
      <c r="G138"/>
      <c r="H138"/>
      <c r="I138"/>
      <c r="J138"/>
      <c r="K138"/>
      <c r="L138">
        <v>0</v>
      </c>
      <c r="M138">
        <v>0</v>
      </c>
    </row>
    <row r="139" spans="1:13">
      <c r="A139" s="121">
        <v>25385</v>
      </c>
      <c r="B139"/>
      <c r="C139"/>
      <c r="D139"/>
      <c r="E139"/>
      <c r="F139"/>
      <c r="G139"/>
      <c r="H139"/>
      <c r="I139"/>
      <c r="J139"/>
      <c r="K139"/>
      <c r="L139">
        <v>0</v>
      </c>
      <c r="M139">
        <v>0</v>
      </c>
    </row>
    <row r="140" spans="1:13">
      <c r="A140" s="121">
        <v>25416</v>
      </c>
      <c r="B140"/>
      <c r="C140"/>
      <c r="D140"/>
      <c r="E140"/>
      <c r="F140"/>
      <c r="G140"/>
      <c r="H140"/>
      <c r="I140"/>
      <c r="J140"/>
      <c r="K140"/>
      <c r="L140">
        <v>0</v>
      </c>
      <c r="M140">
        <v>0</v>
      </c>
    </row>
    <row r="141" spans="1:13">
      <c r="A141" s="121">
        <v>25447</v>
      </c>
      <c r="B141"/>
      <c r="C141"/>
      <c r="D141"/>
      <c r="E141"/>
      <c r="F141"/>
      <c r="G141"/>
      <c r="H141"/>
      <c r="I141"/>
      <c r="J141"/>
      <c r="K141"/>
      <c r="L141">
        <v>0</v>
      </c>
      <c r="M141">
        <v>0</v>
      </c>
    </row>
    <row r="142" spans="1:13">
      <c r="A142" s="121">
        <v>25477</v>
      </c>
      <c r="B142"/>
      <c r="C142"/>
      <c r="D142"/>
      <c r="E142"/>
      <c r="F142"/>
      <c r="G142"/>
      <c r="H142"/>
      <c r="I142"/>
      <c r="J142"/>
      <c r="K142"/>
      <c r="L142">
        <v>0</v>
      </c>
      <c r="M142">
        <v>0</v>
      </c>
    </row>
    <row r="143" spans="1:13">
      <c r="A143" s="121">
        <v>25508</v>
      </c>
      <c r="B143"/>
      <c r="C143"/>
      <c r="D143"/>
      <c r="E143"/>
      <c r="F143"/>
      <c r="G143"/>
      <c r="H143"/>
      <c r="I143"/>
      <c r="J143"/>
      <c r="K143"/>
      <c r="L143">
        <v>0</v>
      </c>
      <c r="M143">
        <v>0</v>
      </c>
    </row>
    <row r="144" spans="1:13">
      <c r="A144" s="121">
        <v>25538</v>
      </c>
      <c r="B144"/>
      <c r="C144"/>
      <c r="D144"/>
      <c r="E144"/>
      <c r="F144"/>
      <c r="G144"/>
      <c r="H144"/>
      <c r="I144"/>
      <c r="J144"/>
      <c r="K144"/>
      <c r="L144">
        <v>0</v>
      </c>
      <c r="M144">
        <v>0</v>
      </c>
    </row>
    <row r="145" spans="1:13">
      <c r="A145" s="121">
        <v>25569</v>
      </c>
      <c r="B145"/>
      <c r="C145"/>
      <c r="D145"/>
      <c r="E145"/>
      <c r="F145"/>
      <c r="G145"/>
      <c r="H145"/>
      <c r="I145"/>
      <c r="J145"/>
      <c r="K145"/>
      <c r="L145">
        <v>0</v>
      </c>
      <c r="M145">
        <v>0</v>
      </c>
    </row>
    <row r="146" spans="1:13">
      <c r="A146" s="121">
        <v>25600</v>
      </c>
      <c r="B146"/>
      <c r="C146"/>
      <c r="D146"/>
      <c r="E146"/>
      <c r="F146"/>
      <c r="G146"/>
      <c r="H146"/>
      <c r="I146"/>
      <c r="J146"/>
      <c r="K146"/>
      <c r="L146">
        <v>0</v>
      </c>
      <c r="M146">
        <v>0</v>
      </c>
    </row>
    <row r="147" spans="1:13">
      <c r="A147" s="121">
        <v>25628</v>
      </c>
      <c r="B147"/>
      <c r="C147"/>
      <c r="D147"/>
      <c r="E147"/>
      <c r="F147"/>
      <c r="G147"/>
      <c r="H147"/>
      <c r="I147"/>
      <c r="J147"/>
      <c r="K147"/>
      <c r="L147">
        <v>0</v>
      </c>
      <c r="M147">
        <v>0</v>
      </c>
    </row>
    <row r="148" spans="1:13">
      <c r="A148" s="121">
        <v>25659</v>
      </c>
      <c r="B148"/>
      <c r="C148"/>
      <c r="D148"/>
      <c r="E148"/>
      <c r="F148"/>
      <c r="G148"/>
      <c r="H148"/>
      <c r="I148"/>
      <c r="J148"/>
      <c r="K148"/>
      <c r="L148">
        <v>0</v>
      </c>
      <c r="M148">
        <v>0</v>
      </c>
    </row>
    <row r="149" spans="1:13">
      <c r="A149" s="121">
        <v>25689</v>
      </c>
      <c r="B149"/>
      <c r="C149"/>
      <c r="D149"/>
      <c r="E149"/>
      <c r="F149"/>
      <c r="G149"/>
      <c r="H149"/>
      <c r="I149"/>
      <c r="J149"/>
      <c r="K149"/>
      <c r="L149">
        <v>0</v>
      </c>
      <c r="M149">
        <v>0</v>
      </c>
    </row>
    <row r="150" spans="1:13">
      <c r="A150" s="121">
        <v>25720</v>
      </c>
      <c r="B150"/>
      <c r="C150"/>
      <c r="D150"/>
      <c r="E150"/>
      <c r="F150"/>
      <c r="G150"/>
      <c r="H150"/>
      <c r="I150"/>
      <c r="J150"/>
      <c r="K150"/>
      <c r="L150">
        <v>0</v>
      </c>
      <c r="M150">
        <v>0</v>
      </c>
    </row>
    <row r="151" spans="1:13">
      <c r="A151" s="121">
        <v>25750</v>
      </c>
      <c r="B151"/>
      <c r="C151"/>
      <c r="D151"/>
      <c r="E151"/>
      <c r="F151"/>
      <c r="G151"/>
      <c r="H151"/>
      <c r="I151"/>
      <c r="J151"/>
      <c r="K151"/>
      <c r="L151">
        <v>0</v>
      </c>
      <c r="M151">
        <v>0</v>
      </c>
    </row>
    <row r="152" spans="1:13">
      <c r="A152" s="121">
        <v>25781</v>
      </c>
      <c r="B152"/>
      <c r="C152"/>
      <c r="D152"/>
      <c r="E152"/>
      <c r="F152"/>
      <c r="G152"/>
      <c r="H152"/>
      <c r="I152"/>
      <c r="J152"/>
      <c r="K152"/>
      <c r="L152">
        <v>0</v>
      </c>
      <c r="M152">
        <v>0</v>
      </c>
    </row>
    <row r="153" spans="1:13">
      <c r="A153" s="121">
        <v>25812</v>
      </c>
      <c r="B153"/>
      <c r="C153"/>
      <c r="D153"/>
      <c r="E153"/>
      <c r="F153"/>
      <c r="G153"/>
      <c r="H153"/>
      <c r="I153"/>
      <c r="J153"/>
      <c r="K153"/>
      <c r="L153">
        <v>0</v>
      </c>
      <c r="M153">
        <v>0</v>
      </c>
    </row>
    <row r="154" spans="1:13">
      <c r="A154" s="121">
        <v>25842</v>
      </c>
      <c r="B154"/>
      <c r="C154"/>
      <c r="D154"/>
      <c r="E154"/>
      <c r="F154"/>
      <c r="G154"/>
      <c r="H154"/>
      <c r="I154"/>
      <c r="J154"/>
      <c r="K154"/>
      <c r="L154">
        <v>0</v>
      </c>
      <c r="M154">
        <v>0</v>
      </c>
    </row>
    <row r="155" spans="1:13">
      <c r="A155" s="121">
        <v>25873</v>
      </c>
      <c r="B155"/>
      <c r="C155"/>
      <c r="D155"/>
      <c r="E155"/>
      <c r="F155"/>
      <c r="G155"/>
      <c r="H155"/>
      <c r="I155"/>
      <c r="J155"/>
      <c r="K155"/>
      <c r="L155">
        <v>0</v>
      </c>
      <c r="M155">
        <v>0</v>
      </c>
    </row>
    <row r="156" spans="1:13">
      <c r="A156" s="121">
        <v>25903</v>
      </c>
      <c r="B156"/>
      <c r="C156"/>
      <c r="D156"/>
      <c r="E156"/>
      <c r="F156"/>
      <c r="G156"/>
      <c r="H156"/>
      <c r="I156"/>
      <c r="J156"/>
      <c r="K156"/>
      <c r="L156">
        <v>0</v>
      </c>
      <c r="M156">
        <v>0</v>
      </c>
    </row>
    <row r="157" spans="1:13">
      <c r="A157" s="121">
        <v>25934</v>
      </c>
      <c r="B157"/>
      <c r="C157"/>
      <c r="D157"/>
      <c r="E157"/>
      <c r="F157"/>
      <c r="G157"/>
      <c r="H157"/>
      <c r="I157"/>
      <c r="J157"/>
      <c r="K157"/>
      <c r="L157">
        <v>0</v>
      </c>
      <c r="M157">
        <v>0</v>
      </c>
    </row>
    <row r="158" spans="1:13">
      <c r="A158" s="121">
        <v>25965</v>
      </c>
      <c r="B158"/>
      <c r="C158"/>
      <c r="D158"/>
      <c r="E158"/>
      <c r="F158"/>
      <c r="G158"/>
      <c r="H158"/>
      <c r="I158"/>
      <c r="J158"/>
      <c r="K158"/>
      <c r="L158">
        <v>0</v>
      </c>
      <c r="M158">
        <v>0</v>
      </c>
    </row>
    <row r="159" spans="1:13">
      <c r="A159" s="121">
        <v>25993</v>
      </c>
      <c r="B159"/>
      <c r="C159"/>
      <c r="D159"/>
      <c r="E159"/>
      <c r="F159"/>
      <c r="G159"/>
      <c r="H159"/>
      <c r="I159"/>
      <c r="J159"/>
      <c r="K159"/>
      <c r="L159">
        <v>0</v>
      </c>
      <c r="M159">
        <v>0</v>
      </c>
    </row>
    <row r="160" spans="1:13">
      <c r="A160" s="121">
        <v>26024</v>
      </c>
      <c r="B160"/>
      <c r="C160"/>
      <c r="D160"/>
      <c r="E160"/>
      <c r="F160"/>
      <c r="G160"/>
      <c r="H160"/>
      <c r="I160"/>
      <c r="J160"/>
      <c r="K160"/>
      <c r="L160">
        <v>0</v>
      </c>
      <c r="M160">
        <v>0</v>
      </c>
    </row>
    <row r="161" spans="1:13">
      <c r="A161" s="121">
        <v>26054</v>
      </c>
      <c r="B161"/>
      <c r="C161"/>
      <c r="D161"/>
      <c r="E161"/>
      <c r="F161"/>
      <c r="G161"/>
      <c r="H161"/>
      <c r="I161"/>
      <c r="J161"/>
      <c r="K161"/>
      <c r="L161">
        <v>0</v>
      </c>
      <c r="M161">
        <v>0</v>
      </c>
    </row>
    <row r="162" spans="1:13">
      <c r="A162" s="121">
        <v>26085</v>
      </c>
      <c r="B162"/>
      <c r="C162"/>
      <c r="D162"/>
      <c r="E162"/>
      <c r="F162"/>
      <c r="G162"/>
      <c r="H162"/>
      <c r="I162"/>
      <c r="J162"/>
      <c r="K162"/>
      <c r="L162">
        <v>0</v>
      </c>
      <c r="M162">
        <v>0</v>
      </c>
    </row>
    <row r="163" spans="1:13">
      <c r="A163" s="121">
        <v>26115</v>
      </c>
      <c r="B163"/>
      <c r="C163"/>
      <c r="D163"/>
      <c r="E163"/>
      <c r="F163"/>
      <c r="G163"/>
      <c r="H163"/>
      <c r="I163"/>
      <c r="J163"/>
      <c r="K163"/>
      <c r="L163">
        <v>0</v>
      </c>
      <c r="M163">
        <v>0</v>
      </c>
    </row>
    <row r="164" spans="1:13">
      <c r="A164" s="121">
        <v>26146</v>
      </c>
      <c r="B164"/>
      <c r="C164"/>
      <c r="D164"/>
      <c r="E164"/>
      <c r="F164"/>
      <c r="G164"/>
      <c r="H164"/>
      <c r="I164"/>
      <c r="J164"/>
      <c r="K164"/>
      <c r="L164">
        <v>0</v>
      </c>
      <c r="M164">
        <v>0</v>
      </c>
    </row>
    <row r="165" spans="1:13">
      <c r="A165" s="121">
        <v>26177</v>
      </c>
      <c r="B165"/>
      <c r="C165"/>
      <c r="D165"/>
      <c r="E165"/>
      <c r="F165"/>
      <c r="G165"/>
      <c r="H165"/>
      <c r="I165"/>
      <c r="J165"/>
      <c r="K165"/>
      <c r="L165">
        <v>0</v>
      </c>
      <c r="M165">
        <v>0</v>
      </c>
    </row>
    <row r="166" spans="1:13">
      <c r="A166" s="121">
        <v>26207</v>
      </c>
      <c r="B166"/>
      <c r="C166"/>
      <c r="D166"/>
      <c r="E166"/>
      <c r="F166"/>
      <c r="G166"/>
      <c r="H166"/>
      <c r="I166"/>
      <c r="J166"/>
      <c r="K166"/>
      <c r="L166">
        <v>0</v>
      </c>
      <c r="M166">
        <v>0</v>
      </c>
    </row>
    <row r="167" spans="1:13">
      <c r="A167" s="121">
        <v>26238</v>
      </c>
      <c r="B167"/>
      <c r="C167"/>
      <c r="D167"/>
      <c r="E167"/>
      <c r="F167"/>
      <c r="G167"/>
      <c r="H167"/>
      <c r="I167"/>
      <c r="J167"/>
      <c r="K167"/>
      <c r="L167">
        <v>0</v>
      </c>
      <c r="M167">
        <v>0</v>
      </c>
    </row>
    <row r="168" spans="1:13">
      <c r="A168" s="121">
        <v>26268</v>
      </c>
      <c r="B168"/>
      <c r="C168"/>
      <c r="D168"/>
      <c r="E168"/>
      <c r="F168"/>
      <c r="G168"/>
      <c r="H168"/>
      <c r="I168"/>
      <c r="J168"/>
      <c r="K168"/>
      <c r="L168">
        <v>0</v>
      </c>
      <c r="M168">
        <v>0</v>
      </c>
    </row>
    <row r="169" spans="1:13">
      <c r="A169" s="121">
        <v>26299</v>
      </c>
      <c r="B169"/>
      <c r="C169"/>
      <c r="D169"/>
      <c r="E169"/>
      <c r="F169"/>
      <c r="G169"/>
      <c r="H169"/>
      <c r="I169"/>
      <c r="J169"/>
      <c r="K169"/>
      <c r="L169">
        <v>0</v>
      </c>
      <c r="M169">
        <v>0</v>
      </c>
    </row>
    <row r="170" spans="1:13">
      <c r="A170" s="121">
        <v>26330</v>
      </c>
      <c r="B170"/>
      <c r="C170"/>
      <c r="D170"/>
      <c r="E170"/>
      <c r="F170"/>
      <c r="G170"/>
      <c r="H170"/>
      <c r="I170"/>
      <c r="J170"/>
      <c r="K170"/>
      <c r="L170">
        <v>0</v>
      </c>
      <c r="M170">
        <v>0</v>
      </c>
    </row>
    <row r="171" spans="1:13">
      <c r="A171" s="121">
        <v>26359</v>
      </c>
      <c r="B171"/>
      <c r="C171"/>
      <c r="D171"/>
      <c r="E171"/>
      <c r="F171"/>
      <c r="G171"/>
      <c r="H171"/>
      <c r="I171"/>
      <c r="J171"/>
      <c r="K171"/>
      <c r="L171">
        <v>0</v>
      </c>
      <c r="M171">
        <v>0</v>
      </c>
    </row>
    <row r="172" spans="1:13">
      <c r="A172" s="121">
        <v>26390</v>
      </c>
      <c r="B172"/>
      <c r="C172"/>
      <c r="D172"/>
      <c r="E172"/>
      <c r="F172"/>
      <c r="G172"/>
      <c r="H172"/>
      <c r="I172"/>
      <c r="J172"/>
      <c r="K172"/>
      <c r="L172">
        <v>0</v>
      </c>
      <c r="M172">
        <v>0</v>
      </c>
    </row>
    <row r="173" spans="1:13">
      <c r="A173" s="121">
        <v>26420</v>
      </c>
      <c r="B173"/>
      <c r="C173"/>
      <c r="D173"/>
      <c r="E173"/>
      <c r="F173"/>
      <c r="G173"/>
      <c r="H173"/>
      <c r="I173"/>
      <c r="J173"/>
      <c r="K173"/>
      <c r="L173">
        <v>0</v>
      </c>
      <c r="M173">
        <v>0</v>
      </c>
    </row>
    <row r="174" spans="1:13">
      <c r="A174" s="121">
        <v>26451</v>
      </c>
      <c r="B174"/>
      <c r="C174"/>
      <c r="D174"/>
      <c r="E174"/>
      <c r="F174"/>
      <c r="G174"/>
      <c r="H174"/>
      <c r="I174"/>
      <c r="J174"/>
      <c r="K174"/>
      <c r="L174">
        <v>0</v>
      </c>
      <c r="M174">
        <v>0</v>
      </c>
    </row>
    <row r="175" spans="1:13">
      <c r="A175" s="121">
        <v>26481</v>
      </c>
      <c r="B175"/>
      <c r="C175"/>
      <c r="D175"/>
      <c r="E175"/>
      <c r="F175"/>
      <c r="G175"/>
      <c r="H175"/>
      <c r="I175"/>
      <c r="J175"/>
      <c r="K175"/>
      <c r="L175">
        <v>0</v>
      </c>
      <c r="M175">
        <v>0</v>
      </c>
    </row>
    <row r="176" spans="1:13">
      <c r="A176" s="121">
        <v>26512</v>
      </c>
      <c r="B176"/>
      <c r="C176"/>
      <c r="D176"/>
      <c r="E176"/>
      <c r="F176"/>
      <c r="G176"/>
      <c r="H176"/>
      <c r="I176"/>
      <c r="J176"/>
      <c r="K176"/>
      <c r="L176">
        <v>0</v>
      </c>
      <c r="M176">
        <v>0</v>
      </c>
    </row>
    <row r="177" spans="1:13">
      <c r="A177" s="121">
        <v>26543</v>
      </c>
      <c r="B177"/>
      <c r="C177"/>
      <c r="D177"/>
      <c r="E177"/>
      <c r="F177"/>
      <c r="G177"/>
      <c r="H177"/>
      <c r="I177"/>
      <c r="J177"/>
      <c r="K177"/>
      <c r="L177">
        <v>0</v>
      </c>
      <c r="M177">
        <v>0</v>
      </c>
    </row>
    <row r="178" spans="1:13">
      <c r="A178" s="121">
        <v>26573</v>
      </c>
      <c r="B178"/>
      <c r="C178"/>
      <c r="D178"/>
      <c r="E178"/>
      <c r="F178"/>
      <c r="G178"/>
      <c r="H178"/>
      <c r="I178"/>
      <c r="J178"/>
      <c r="K178"/>
      <c r="L178">
        <v>0</v>
      </c>
      <c r="M178">
        <v>0</v>
      </c>
    </row>
    <row r="179" spans="1:13">
      <c r="A179" s="121">
        <v>26604</v>
      </c>
      <c r="B179"/>
      <c r="C179"/>
      <c r="D179"/>
      <c r="E179"/>
      <c r="F179"/>
      <c r="G179"/>
      <c r="H179"/>
      <c r="I179"/>
      <c r="J179"/>
      <c r="K179"/>
      <c r="L179">
        <v>0</v>
      </c>
      <c r="M179">
        <v>0</v>
      </c>
    </row>
    <row r="180" spans="1:13">
      <c r="A180" s="121">
        <v>26634</v>
      </c>
      <c r="B180"/>
      <c r="C180"/>
      <c r="D180"/>
      <c r="E180"/>
      <c r="F180"/>
      <c r="G180"/>
      <c r="H180"/>
      <c r="I180"/>
      <c r="J180"/>
      <c r="K180"/>
      <c r="L180">
        <v>0</v>
      </c>
      <c r="M180">
        <v>0</v>
      </c>
    </row>
    <row r="181" spans="1:13">
      <c r="A181" s="121">
        <v>26665</v>
      </c>
      <c r="B181"/>
      <c r="C181"/>
      <c r="D181"/>
      <c r="E181"/>
      <c r="F181"/>
      <c r="G181"/>
      <c r="H181"/>
      <c r="I181"/>
      <c r="J181"/>
      <c r="K181"/>
      <c r="L181">
        <v>0</v>
      </c>
      <c r="M181">
        <v>0</v>
      </c>
    </row>
    <row r="182" spans="1:13">
      <c r="A182" s="121">
        <v>26696</v>
      </c>
      <c r="B182"/>
      <c r="C182"/>
      <c r="D182"/>
      <c r="E182"/>
      <c r="F182"/>
      <c r="G182"/>
      <c r="H182"/>
      <c r="I182"/>
      <c r="J182"/>
      <c r="K182"/>
      <c r="L182">
        <v>0</v>
      </c>
      <c r="M182">
        <v>0</v>
      </c>
    </row>
    <row r="183" spans="1:13">
      <c r="A183" s="121">
        <v>26724</v>
      </c>
      <c r="B183"/>
      <c r="C183"/>
      <c r="D183"/>
      <c r="E183"/>
      <c r="F183"/>
      <c r="G183"/>
      <c r="H183"/>
      <c r="I183"/>
      <c r="J183"/>
      <c r="K183"/>
      <c r="L183">
        <v>0</v>
      </c>
      <c r="M183">
        <v>0</v>
      </c>
    </row>
    <row r="184" spans="1:13">
      <c r="A184" s="121">
        <v>26755</v>
      </c>
      <c r="B184"/>
      <c r="C184"/>
      <c r="D184"/>
      <c r="E184"/>
      <c r="F184"/>
      <c r="G184"/>
      <c r="H184"/>
      <c r="I184"/>
      <c r="J184"/>
      <c r="K184"/>
      <c r="L184">
        <v>0</v>
      </c>
      <c r="M184">
        <v>0</v>
      </c>
    </row>
    <row r="185" spans="1:13">
      <c r="A185" s="121">
        <v>26785</v>
      </c>
      <c r="B185"/>
      <c r="C185"/>
      <c r="D185"/>
      <c r="E185"/>
      <c r="F185"/>
      <c r="G185"/>
      <c r="H185"/>
      <c r="I185"/>
      <c r="J185"/>
      <c r="K185"/>
      <c r="L185">
        <v>0</v>
      </c>
      <c r="M185">
        <v>0</v>
      </c>
    </row>
    <row r="186" spans="1:13">
      <c r="A186" s="121">
        <v>26816</v>
      </c>
      <c r="B186"/>
      <c r="C186"/>
      <c r="D186"/>
      <c r="E186"/>
      <c r="F186"/>
      <c r="G186"/>
      <c r="H186"/>
      <c r="I186"/>
      <c r="J186"/>
      <c r="K186"/>
      <c r="L186">
        <v>0</v>
      </c>
      <c r="M186">
        <v>0</v>
      </c>
    </row>
    <row r="187" spans="1:13">
      <c r="A187" s="121">
        <v>26846</v>
      </c>
      <c r="B187"/>
      <c r="C187"/>
      <c r="D187"/>
      <c r="E187"/>
      <c r="F187"/>
      <c r="G187"/>
      <c r="H187"/>
      <c r="I187"/>
      <c r="J187"/>
      <c r="K187"/>
      <c r="L187">
        <v>0</v>
      </c>
      <c r="M187">
        <v>0</v>
      </c>
    </row>
    <row r="188" spans="1:13">
      <c r="A188" s="121">
        <v>26877</v>
      </c>
      <c r="B188"/>
      <c r="C188"/>
      <c r="D188"/>
      <c r="E188"/>
      <c r="F188"/>
      <c r="G188"/>
      <c r="H188"/>
      <c r="I188"/>
      <c r="J188"/>
      <c r="K188"/>
      <c r="L188">
        <v>0</v>
      </c>
      <c r="M188">
        <v>0</v>
      </c>
    </row>
    <row r="189" spans="1:13">
      <c r="A189" s="121">
        <v>26908</v>
      </c>
      <c r="B189"/>
      <c r="C189"/>
      <c r="D189"/>
      <c r="E189"/>
      <c r="F189"/>
      <c r="G189"/>
      <c r="H189"/>
      <c r="I189"/>
      <c r="J189"/>
      <c r="K189"/>
      <c r="L189">
        <v>0</v>
      </c>
      <c r="M189">
        <v>0</v>
      </c>
    </row>
    <row r="190" spans="1:13">
      <c r="A190" s="121">
        <v>26938</v>
      </c>
      <c r="B190"/>
      <c r="C190"/>
      <c r="D190"/>
      <c r="E190"/>
      <c r="F190"/>
      <c r="G190"/>
      <c r="H190"/>
      <c r="I190"/>
      <c r="J190"/>
      <c r="K190"/>
      <c r="L190">
        <v>0</v>
      </c>
      <c r="M190">
        <v>0</v>
      </c>
    </row>
    <row r="191" spans="1:13">
      <c r="A191" s="121">
        <v>26969</v>
      </c>
      <c r="B191"/>
      <c r="C191"/>
      <c r="D191"/>
      <c r="E191"/>
      <c r="F191"/>
      <c r="G191"/>
      <c r="H191"/>
      <c r="I191"/>
      <c r="J191"/>
      <c r="K191"/>
      <c r="L191">
        <v>0</v>
      </c>
      <c r="M191">
        <v>0</v>
      </c>
    </row>
    <row r="192" spans="1:13">
      <c r="A192" s="121">
        <v>26999</v>
      </c>
      <c r="B192"/>
      <c r="C192"/>
      <c r="D192"/>
      <c r="E192"/>
      <c r="F192"/>
      <c r="G192"/>
      <c r="H192"/>
      <c r="I192"/>
      <c r="J192"/>
      <c r="K192"/>
      <c r="L192">
        <v>0</v>
      </c>
      <c r="M192">
        <v>0</v>
      </c>
    </row>
    <row r="193" spans="1:13">
      <c r="A193" s="121">
        <v>27030</v>
      </c>
      <c r="B193"/>
      <c r="C193"/>
      <c r="D193"/>
      <c r="E193"/>
      <c r="F193"/>
      <c r="G193"/>
      <c r="H193"/>
      <c r="I193"/>
      <c r="J193"/>
      <c r="K193"/>
      <c r="L193">
        <v>0</v>
      </c>
      <c r="M193">
        <v>0</v>
      </c>
    </row>
    <row r="194" spans="1:13">
      <c r="A194" s="121">
        <v>27061</v>
      </c>
      <c r="B194"/>
      <c r="C194"/>
      <c r="D194"/>
      <c r="E194"/>
      <c r="F194"/>
      <c r="G194"/>
      <c r="H194"/>
      <c r="I194"/>
      <c r="J194"/>
      <c r="K194"/>
      <c r="L194">
        <v>0</v>
      </c>
      <c r="M194">
        <v>0</v>
      </c>
    </row>
    <row r="195" spans="1:13">
      <c r="A195" s="121">
        <v>27089</v>
      </c>
      <c r="B195"/>
      <c r="C195"/>
      <c r="D195"/>
      <c r="E195"/>
      <c r="F195"/>
      <c r="G195"/>
      <c r="H195"/>
      <c r="I195"/>
      <c r="J195"/>
      <c r="K195"/>
      <c r="L195">
        <v>0</v>
      </c>
      <c r="M195">
        <v>0</v>
      </c>
    </row>
    <row r="196" spans="1:13">
      <c r="A196" s="121">
        <v>27120</v>
      </c>
      <c r="B196"/>
      <c r="C196"/>
      <c r="D196"/>
      <c r="E196"/>
      <c r="F196"/>
      <c r="G196"/>
      <c r="H196"/>
      <c r="I196"/>
      <c r="J196"/>
      <c r="K196"/>
      <c r="L196">
        <v>0</v>
      </c>
      <c r="M196">
        <v>0</v>
      </c>
    </row>
    <row r="197" spans="1:13">
      <c r="A197" s="121">
        <v>27150</v>
      </c>
      <c r="B197"/>
      <c r="C197"/>
      <c r="D197"/>
      <c r="E197"/>
      <c r="F197"/>
      <c r="G197"/>
      <c r="H197"/>
      <c r="I197"/>
      <c r="J197"/>
      <c r="K197"/>
      <c r="L197">
        <v>0</v>
      </c>
      <c r="M197">
        <v>0</v>
      </c>
    </row>
    <row r="198" spans="1:13">
      <c r="A198" s="121">
        <v>27181</v>
      </c>
      <c r="B198"/>
      <c r="C198"/>
      <c r="D198"/>
      <c r="E198"/>
      <c r="F198"/>
      <c r="G198"/>
      <c r="H198"/>
      <c r="I198"/>
      <c r="J198"/>
      <c r="K198"/>
      <c r="L198">
        <v>0</v>
      </c>
      <c r="M198">
        <v>0</v>
      </c>
    </row>
    <row r="199" spans="1:13">
      <c r="A199" s="121">
        <v>27211</v>
      </c>
      <c r="B199"/>
      <c r="C199"/>
      <c r="D199"/>
      <c r="E199"/>
      <c r="F199"/>
      <c r="G199"/>
      <c r="H199"/>
      <c r="I199"/>
      <c r="J199"/>
      <c r="K199"/>
      <c r="L199">
        <v>0</v>
      </c>
      <c r="M199">
        <v>0</v>
      </c>
    </row>
    <row r="200" spans="1:13">
      <c r="A200" s="121">
        <v>27242</v>
      </c>
      <c r="B200"/>
      <c r="C200"/>
      <c r="D200"/>
      <c r="E200"/>
      <c r="F200"/>
      <c r="G200"/>
      <c r="H200"/>
      <c r="I200"/>
      <c r="J200"/>
      <c r="K200"/>
      <c r="L200">
        <v>0</v>
      </c>
      <c r="M200">
        <v>0</v>
      </c>
    </row>
    <row r="201" spans="1:13">
      <c r="A201" s="121">
        <v>27273</v>
      </c>
      <c r="B201"/>
      <c r="C201"/>
      <c r="D201"/>
      <c r="E201"/>
      <c r="F201"/>
      <c r="G201"/>
      <c r="H201"/>
      <c r="I201"/>
      <c r="J201"/>
      <c r="K201"/>
      <c r="L201">
        <v>0</v>
      </c>
      <c r="M201">
        <v>0</v>
      </c>
    </row>
    <row r="202" spans="1:13">
      <c r="A202" s="121">
        <v>27303</v>
      </c>
      <c r="B202"/>
      <c r="C202"/>
      <c r="D202"/>
      <c r="E202"/>
      <c r="F202"/>
      <c r="G202"/>
      <c r="H202"/>
      <c r="I202"/>
      <c r="J202"/>
      <c r="K202"/>
      <c r="L202">
        <v>0</v>
      </c>
      <c r="M202">
        <v>0</v>
      </c>
    </row>
    <row r="203" spans="1:13">
      <c r="A203" s="121">
        <v>27334</v>
      </c>
      <c r="B203"/>
      <c r="C203"/>
      <c r="D203"/>
      <c r="E203"/>
      <c r="F203"/>
      <c r="G203"/>
      <c r="H203"/>
      <c r="I203"/>
      <c r="J203"/>
      <c r="K203"/>
      <c r="L203">
        <v>0</v>
      </c>
      <c r="M203">
        <v>0</v>
      </c>
    </row>
    <row r="204" spans="1:13">
      <c r="A204" s="121">
        <v>27364</v>
      </c>
      <c r="B204"/>
      <c r="C204"/>
      <c r="D204"/>
      <c r="E204"/>
      <c r="F204"/>
      <c r="G204"/>
      <c r="H204"/>
      <c r="I204"/>
      <c r="J204"/>
      <c r="K204"/>
      <c r="L204">
        <v>0</v>
      </c>
      <c r="M204">
        <v>0</v>
      </c>
    </row>
    <row r="205" spans="1:13">
      <c r="A205" s="121">
        <v>27395</v>
      </c>
      <c r="B205"/>
      <c r="C205"/>
      <c r="D205"/>
      <c r="E205"/>
      <c r="F205"/>
      <c r="G205"/>
      <c r="H205"/>
      <c r="I205"/>
      <c r="J205"/>
      <c r="K205"/>
      <c r="L205">
        <v>0</v>
      </c>
      <c r="M205">
        <v>0</v>
      </c>
    </row>
    <row r="206" spans="1:13">
      <c r="A206" s="121">
        <v>27426</v>
      </c>
      <c r="B206"/>
      <c r="C206"/>
      <c r="D206"/>
      <c r="E206"/>
      <c r="F206"/>
      <c r="G206"/>
      <c r="H206"/>
      <c r="I206"/>
      <c r="J206"/>
      <c r="K206"/>
      <c r="L206">
        <v>0</v>
      </c>
      <c r="M206">
        <v>0</v>
      </c>
    </row>
    <row r="207" spans="1:13">
      <c r="A207" s="121">
        <v>27454</v>
      </c>
      <c r="B207"/>
      <c r="C207"/>
      <c r="D207"/>
      <c r="E207"/>
      <c r="F207"/>
      <c r="G207"/>
      <c r="H207"/>
      <c r="I207"/>
      <c r="J207"/>
      <c r="K207"/>
      <c r="L207">
        <v>0</v>
      </c>
      <c r="M207">
        <v>0</v>
      </c>
    </row>
    <row r="208" spans="1:13">
      <c r="A208" s="121">
        <v>27485</v>
      </c>
      <c r="B208"/>
      <c r="C208"/>
      <c r="D208"/>
      <c r="E208"/>
      <c r="F208"/>
      <c r="G208"/>
      <c r="H208"/>
      <c r="I208"/>
      <c r="J208"/>
      <c r="K208"/>
      <c r="L208">
        <v>0</v>
      </c>
      <c r="M208">
        <v>0</v>
      </c>
    </row>
    <row r="209" spans="1:13">
      <c r="A209" s="121">
        <v>27515</v>
      </c>
      <c r="B209"/>
      <c r="C209"/>
      <c r="D209"/>
      <c r="E209"/>
      <c r="F209"/>
      <c r="G209"/>
      <c r="H209"/>
      <c r="I209"/>
      <c r="J209"/>
      <c r="K209"/>
      <c r="L209">
        <v>0</v>
      </c>
      <c r="M209">
        <v>0</v>
      </c>
    </row>
    <row r="210" spans="1:13">
      <c r="A210" s="121">
        <v>27546</v>
      </c>
      <c r="B210"/>
      <c r="C210"/>
      <c r="D210"/>
      <c r="E210"/>
      <c r="F210"/>
      <c r="G210"/>
      <c r="H210"/>
      <c r="I210"/>
      <c r="J210"/>
      <c r="K210"/>
      <c r="L210">
        <v>0</v>
      </c>
      <c r="M210">
        <v>0</v>
      </c>
    </row>
    <row r="211" spans="1:13">
      <c r="A211" s="121">
        <v>27576</v>
      </c>
      <c r="B211"/>
      <c r="C211"/>
      <c r="D211"/>
      <c r="E211"/>
      <c r="F211"/>
      <c r="G211"/>
      <c r="H211"/>
      <c r="I211"/>
      <c r="J211"/>
      <c r="K211"/>
      <c r="L211">
        <v>0</v>
      </c>
      <c r="M211">
        <v>0</v>
      </c>
    </row>
    <row r="212" spans="1:13">
      <c r="A212" s="121">
        <v>27607</v>
      </c>
      <c r="B212"/>
      <c r="C212"/>
      <c r="D212"/>
      <c r="E212"/>
      <c r="F212"/>
      <c r="G212"/>
      <c r="H212"/>
      <c r="I212"/>
      <c r="J212"/>
      <c r="K212"/>
      <c r="L212">
        <v>0</v>
      </c>
      <c r="M212">
        <v>0</v>
      </c>
    </row>
    <row r="213" spans="1:13">
      <c r="A213" s="121">
        <v>27638</v>
      </c>
      <c r="B213"/>
      <c r="C213"/>
      <c r="D213"/>
      <c r="E213"/>
      <c r="F213"/>
      <c r="G213"/>
      <c r="H213"/>
      <c r="I213"/>
      <c r="J213"/>
      <c r="K213"/>
      <c r="L213">
        <v>0</v>
      </c>
      <c r="M213">
        <v>0</v>
      </c>
    </row>
    <row r="214" spans="1:13">
      <c r="A214" s="121">
        <v>27668</v>
      </c>
      <c r="B214"/>
      <c r="C214"/>
      <c r="D214"/>
      <c r="E214"/>
      <c r="F214"/>
      <c r="G214"/>
      <c r="H214"/>
      <c r="I214"/>
      <c r="J214"/>
      <c r="K214"/>
      <c r="L214">
        <v>0</v>
      </c>
      <c r="M214">
        <v>0</v>
      </c>
    </row>
    <row r="215" spans="1:13">
      <c r="A215" s="121">
        <v>27699</v>
      </c>
      <c r="B215"/>
      <c r="C215"/>
      <c r="D215"/>
      <c r="E215"/>
      <c r="F215"/>
      <c r="G215"/>
      <c r="H215"/>
      <c r="I215"/>
      <c r="J215"/>
      <c r="K215"/>
      <c r="L215">
        <v>0</v>
      </c>
      <c r="M215">
        <v>0</v>
      </c>
    </row>
    <row r="216" spans="1:13">
      <c r="A216" s="121">
        <v>27729</v>
      </c>
      <c r="B216"/>
      <c r="C216"/>
      <c r="D216"/>
      <c r="E216"/>
      <c r="F216"/>
      <c r="G216"/>
      <c r="H216"/>
      <c r="I216"/>
      <c r="J216"/>
      <c r="K216"/>
      <c r="L216">
        <v>0</v>
      </c>
      <c r="M216">
        <v>0</v>
      </c>
    </row>
    <row r="217" spans="1:13">
      <c r="A217" s="121">
        <v>27760</v>
      </c>
      <c r="B217"/>
      <c r="C217"/>
      <c r="D217"/>
      <c r="E217"/>
      <c r="F217"/>
      <c r="G217"/>
      <c r="H217"/>
      <c r="I217"/>
      <c r="J217"/>
      <c r="K217"/>
      <c r="L217">
        <v>0</v>
      </c>
      <c r="M217">
        <v>0</v>
      </c>
    </row>
    <row r="218" spans="1:13">
      <c r="A218" s="121">
        <v>27791</v>
      </c>
      <c r="B218"/>
      <c r="C218"/>
      <c r="D218"/>
      <c r="E218"/>
      <c r="F218"/>
      <c r="G218"/>
      <c r="H218"/>
      <c r="I218"/>
      <c r="J218"/>
      <c r="K218"/>
      <c r="L218">
        <v>0</v>
      </c>
      <c r="M218">
        <v>0</v>
      </c>
    </row>
    <row r="219" spans="1:13">
      <c r="A219" s="121">
        <v>27820</v>
      </c>
      <c r="B219"/>
      <c r="C219"/>
      <c r="D219"/>
      <c r="E219"/>
      <c r="F219"/>
      <c r="G219"/>
      <c r="H219"/>
      <c r="I219"/>
      <c r="J219"/>
      <c r="K219"/>
      <c r="L219">
        <v>0</v>
      </c>
      <c r="M219">
        <v>0</v>
      </c>
    </row>
    <row r="220" spans="1:13">
      <c r="A220" s="121">
        <v>27851</v>
      </c>
      <c r="B220"/>
      <c r="C220"/>
      <c r="D220"/>
      <c r="E220"/>
      <c r="F220"/>
      <c r="G220"/>
      <c r="H220"/>
      <c r="I220"/>
      <c r="J220"/>
      <c r="K220"/>
      <c r="L220">
        <v>0</v>
      </c>
      <c r="M220">
        <v>0</v>
      </c>
    </row>
    <row r="221" spans="1:13">
      <c r="A221" s="121">
        <v>27881</v>
      </c>
      <c r="B221"/>
      <c r="C221"/>
      <c r="D221"/>
      <c r="E221"/>
      <c r="F221"/>
      <c r="G221"/>
      <c r="H221"/>
      <c r="I221"/>
      <c r="J221"/>
      <c r="K221"/>
      <c r="L221">
        <v>0</v>
      </c>
      <c r="M221">
        <v>0</v>
      </c>
    </row>
    <row r="222" spans="1:13">
      <c r="A222" s="121">
        <v>27912</v>
      </c>
      <c r="B222"/>
      <c r="C222"/>
      <c r="D222"/>
      <c r="E222"/>
      <c r="F222"/>
      <c r="G222"/>
      <c r="H222"/>
      <c r="I222"/>
      <c r="J222"/>
      <c r="K222"/>
      <c r="L222">
        <v>0</v>
      </c>
      <c r="M222">
        <v>0</v>
      </c>
    </row>
    <row r="223" spans="1:13">
      <c r="A223" s="121">
        <v>27942</v>
      </c>
      <c r="B223"/>
      <c r="C223"/>
      <c r="D223"/>
      <c r="E223"/>
      <c r="F223"/>
      <c r="G223"/>
      <c r="H223"/>
      <c r="I223"/>
      <c r="J223"/>
      <c r="K223"/>
      <c r="L223">
        <v>0</v>
      </c>
      <c r="M223">
        <v>0</v>
      </c>
    </row>
    <row r="224" spans="1:13">
      <c r="A224" s="121">
        <v>27973</v>
      </c>
      <c r="B224"/>
      <c r="C224"/>
      <c r="D224"/>
      <c r="E224"/>
      <c r="F224"/>
      <c r="G224"/>
      <c r="H224"/>
      <c r="I224"/>
      <c r="J224"/>
      <c r="K224"/>
      <c r="L224">
        <v>0</v>
      </c>
      <c r="M224">
        <v>0</v>
      </c>
    </row>
    <row r="225" spans="1:13">
      <c r="A225" s="121">
        <v>28004</v>
      </c>
      <c r="B225"/>
      <c r="C225"/>
      <c r="D225"/>
      <c r="E225"/>
      <c r="F225"/>
      <c r="G225"/>
      <c r="H225"/>
      <c r="I225"/>
      <c r="J225"/>
      <c r="K225"/>
      <c r="L225">
        <v>0</v>
      </c>
      <c r="M225">
        <v>0</v>
      </c>
    </row>
    <row r="226" spans="1:13">
      <c r="A226" s="121">
        <v>28034</v>
      </c>
      <c r="B226"/>
      <c r="C226"/>
      <c r="D226"/>
      <c r="E226"/>
      <c r="F226"/>
      <c r="G226"/>
      <c r="H226"/>
      <c r="I226"/>
      <c r="J226"/>
      <c r="K226"/>
      <c r="L226">
        <v>0</v>
      </c>
      <c r="M226">
        <v>0</v>
      </c>
    </row>
    <row r="227" spans="1:13">
      <c r="A227" s="121">
        <v>28065</v>
      </c>
      <c r="B227"/>
      <c r="C227"/>
      <c r="D227"/>
      <c r="E227"/>
      <c r="F227"/>
      <c r="G227"/>
      <c r="H227"/>
      <c r="I227"/>
      <c r="J227"/>
      <c r="K227"/>
      <c r="L227">
        <v>0</v>
      </c>
      <c r="M227">
        <v>0</v>
      </c>
    </row>
    <row r="228" spans="1:13">
      <c r="A228" s="121">
        <v>28095</v>
      </c>
      <c r="B228"/>
      <c r="C228"/>
      <c r="D228"/>
      <c r="E228"/>
      <c r="F228"/>
      <c r="G228"/>
      <c r="H228"/>
      <c r="I228"/>
      <c r="J228"/>
      <c r="K228"/>
      <c r="L228">
        <v>0</v>
      </c>
      <c r="M228">
        <v>0</v>
      </c>
    </row>
    <row r="229" spans="1:13">
      <c r="A229" s="121">
        <v>28126</v>
      </c>
      <c r="B229"/>
      <c r="C229"/>
      <c r="D229"/>
      <c r="E229"/>
      <c r="F229"/>
      <c r="G229"/>
      <c r="H229"/>
      <c r="I229"/>
      <c r="J229"/>
      <c r="K229"/>
      <c r="L229">
        <v>0</v>
      </c>
      <c r="M229">
        <v>0</v>
      </c>
    </row>
    <row r="230" spans="1:13">
      <c r="A230" s="121">
        <v>28157</v>
      </c>
      <c r="B230"/>
      <c r="C230"/>
      <c r="D230"/>
      <c r="E230"/>
      <c r="F230"/>
      <c r="G230"/>
      <c r="H230"/>
      <c r="I230"/>
      <c r="J230"/>
      <c r="K230"/>
      <c r="L230">
        <v>0</v>
      </c>
      <c r="M230">
        <v>0</v>
      </c>
    </row>
    <row r="231" spans="1:13">
      <c r="A231" s="121">
        <v>28185</v>
      </c>
      <c r="B231"/>
      <c r="C231"/>
      <c r="D231"/>
      <c r="E231"/>
      <c r="F231"/>
      <c r="G231"/>
      <c r="H231"/>
      <c r="I231"/>
      <c r="J231"/>
      <c r="K231"/>
      <c r="L231">
        <v>0</v>
      </c>
      <c r="M231">
        <v>0</v>
      </c>
    </row>
    <row r="232" spans="1:13">
      <c r="A232" s="121">
        <v>28216</v>
      </c>
      <c r="B232"/>
      <c r="C232"/>
      <c r="D232"/>
      <c r="E232"/>
      <c r="F232"/>
      <c r="G232"/>
      <c r="H232"/>
      <c r="I232"/>
      <c r="J232"/>
      <c r="K232"/>
      <c r="L232">
        <v>0</v>
      </c>
      <c r="M232">
        <v>0</v>
      </c>
    </row>
    <row r="233" spans="1:13">
      <c r="A233" s="121">
        <v>28246</v>
      </c>
      <c r="B233"/>
      <c r="C233"/>
      <c r="D233"/>
      <c r="E233"/>
      <c r="F233"/>
      <c r="G233"/>
      <c r="H233"/>
      <c r="I233"/>
      <c r="J233"/>
      <c r="K233"/>
      <c r="L233">
        <v>0</v>
      </c>
      <c r="M233">
        <v>0</v>
      </c>
    </row>
    <row r="234" spans="1:13">
      <c r="A234" s="121">
        <v>28277</v>
      </c>
      <c r="B234"/>
      <c r="C234"/>
      <c r="D234"/>
      <c r="E234"/>
      <c r="F234"/>
      <c r="G234"/>
      <c r="H234"/>
      <c r="I234"/>
      <c r="J234"/>
      <c r="K234"/>
      <c r="L234">
        <v>0</v>
      </c>
      <c r="M234">
        <v>0</v>
      </c>
    </row>
    <row r="235" spans="1:13">
      <c r="A235" s="121">
        <v>28307</v>
      </c>
      <c r="B235"/>
      <c r="C235"/>
      <c r="D235"/>
      <c r="E235"/>
      <c r="F235"/>
      <c r="G235"/>
      <c r="H235"/>
      <c r="I235"/>
      <c r="J235"/>
      <c r="K235"/>
      <c r="L235">
        <v>0</v>
      </c>
      <c r="M235">
        <v>0</v>
      </c>
    </row>
    <row r="236" spans="1:13">
      <c r="A236" s="121">
        <v>28338</v>
      </c>
      <c r="B236"/>
      <c r="C236"/>
      <c r="D236"/>
      <c r="E236"/>
      <c r="F236"/>
      <c r="G236"/>
      <c r="H236"/>
      <c r="I236"/>
      <c r="J236"/>
      <c r="K236"/>
      <c r="L236">
        <v>0</v>
      </c>
      <c r="M236">
        <v>0</v>
      </c>
    </row>
    <row r="237" spans="1:13">
      <c r="A237" s="121">
        <v>28369</v>
      </c>
      <c r="B237"/>
      <c r="C237"/>
      <c r="D237"/>
      <c r="E237"/>
      <c r="F237"/>
      <c r="G237"/>
      <c r="H237"/>
      <c r="I237"/>
      <c r="J237"/>
      <c r="K237"/>
      <c r="L237">
        <v>0</v>
      </c>
      <c r="M237">
        <v>0</v>
      </c>
    </row>
    <row r="238" spans="1:13">
      <c r="A238" s="121">
        <v>28399</v>
      </c>
      <c r="B238"/>
      <c r="C238"/>
      <c r="D238"/>
      <c r="E238"/>
      <c r="F238"/>
      <c r="G238"/>
      <c r="H238"/>
      <c r="I238"/>
      <c r="J238"/>
      <c r="K238"/>
      <c r="L238">
        <v>0</v>
      </c>
      <c r="M238">
        <v>0</v>
      </c>
    </row>
    <row r="239" spans="1:13">
      <c r="A239" s="121">
        <v>28430</v>
      </c>
      <c r="B239"/>
      <c r="C239"/>
      <c r="D239"/>
      <c r="E239"/>
      <c r="F239"/>
      <c r="G239"/>
      <c r="H239"/>
      <c r="I239"/>
      <c r="J239"/>
      <c r="K239"/>
      <c r="L239">
        <v>0</v>
      </c>
      <c r="M239">
        <v>0</v>
      </c>
    </row>
    <row r="240" spans="1:13">
      <c r="A240" s="121">
        <v>28460</v>
      </c>
      <c r="B240"/>
      <c r="C240"/>
      <c r="D240"/>
      <c r="E240"/>
      <c r="F240"/>
      <c r="G240"/>
      <c r="H240"/>
      <c r="I240"/>
      <c r="J240"/>
      <c r="K240"/>
      <c r="L240">
        <v>0</v>
      </c>
      <c r="M240">
        <v>0</v>
      </c>
    </row>
    <row r="241" spans="1:13">
      <c r="A241" s="121">
        <v>28491</v>
      </c>
      <c r="B241"/>
      <c r="C241"/>
      <c r="D241"/>
      <c r="E241"/>
      <c r="F241"/>
      <c r="G241"/>
      <c r="H241"/>
      <c r="I241"/>
      <c r="J241"/>
      <c r="K241"/>
      <c r="L241">
        <v>0</v>
      </c>
      <c r="M241">
        <v>0</v>
      </c>
    </row>
    <row r="242" spans="1:13">
      <c r="A242" s="121">
        <v>28522</v>
      </c>
      <c r="B242"/>
      <c r="C242"/>
      <c r="D242"/>
      <c r="E242"/>
      <c r="F242"/>
      <c r="G242"/>
      <c r="H242"/>
      <c r="I242"/>
      <c r="J242"/>
      <c r="K242"/>
      <c r="L242">
        <v>0</v>
      </c>
      <c r="M242">
        <v>0</v>
      </c>
    </row>
    <row r="243" spans="1:13">
      <c r="A243" s="121">
        <v>28550</v>
      </c>
      <c r="B243"/>
      <c r="C243"/>
      <c r="D243"/>
      <c r="E243"/>
      <c r="F243"/>
      <c r="G243"/>
      <c r="H243"/>
      <c r="I243"/>
      <c r="J243"/>
      <c r="K243"/>
      <c r="L243">
        <v>0</v>
      </c>
      <c r="M243">
        <v>0</v>
      </c>
    </row>
    <row r="244" spans="1:13">
      <c r="A244" s="121">
        <v>28581</v>
      </c>
      <c r="B244"/>
      <c r="C244"/>
      <c r="D244"/>
      <c r="E244"/>
      <c r="F244"/>
      <c r="G244"/>
      <c r="H244"/>
      <c r="I244"/>
      <c r="J244"/>
      <c r="K244"/>
      <c r="L244">
        <v>0</v>
      </c>
      <c r="M244">
        <v>0</v>
      </c>
    </row>
    <row r="245" spans="1:13">
      <c r="A245" s="121">
        <v>28611</v>
      </c>
      <c r="B245"/>
      <c r="C245"/>
      <c r="D245"/>
      <c r="E245"/>
      <c r="F245"/>
      <c r="G245"/>
      <c r="H245"/>
      <c r="I245"/>
      <c r="J245"/>
      <c r="K245"/>
      <c r="L245">
        <v>0</v>
      </c>
      <c r="M245">
        <v>0</v>
      </c>
    </row>
    <row r="246" spans="1:13">
      <c r="A246" s="121">
        <v>28642</v>
      </c>
      <c r="B246"/>
      <c r="C246"/>
      <c r="D246"/>
      <c r="E246"/>
      <c r="F246"/>
      <c r="G246"/>
      <c r="H246"/>
      <c r="I246"/>
      <c r="J246"/>
      <c r="K246"/>
      <c r="L246">
        <v>0</v>
      </c>
      <c r="M246">
        <v>0</v>
      </c>
    </row>
    <row r="247" spans="1:13">
      <c r="A247" s="121">
        <v>28672</v>
      </c>
      <c r="B247"/>
      <c r="C247"/>
      <c r="D247"/>
      <c r="E247"/>
      <c r="F247"/>
      <c r="G247"/>
      <c r="H247"/>
      <c r="I247"/>
      <c r="J247"/>
      <c r="K247"/>
      <c r="L247">
        <v>0</v>
      </c>
      <c r="M247">
        <v>0</v>
      </c>
    </row>
    <row r="248" spans="1:13">
      <c r="A248" s="121">
        <v>28703</v>
      </c>
      <c r="B248"/>
      <c r="C248"/>
      <c r="D248"/>
      <c r="E248"/>
      <c r="F248"/>
      <c r="G248"/>
      <c r="H248"/>
      <c r="I248"/>
      <c r="J248"/>
      <c r="K248"/>
      <c r="L248">
        <v>0</v>
      </c>
      <c r="M248">
        <v>0</v>
      </c>
    </row>
    <row r="249" spans="1:13">
      <c r="A249" s="121">
        <v>28734</v>
      </c>
      <c r="B249"/>
      <c r="C249"/>
      <c r="D249"/>
      <c r="E249"/>
      <c r="F249"/>
      <c r="G249"/>
      <c r="H249"/>
      <c r="I249"/>
      <c r="J249"/>
      <c r="K249"/>
      <c r="L249">
        <v>0</v>
      </c>
      <c r="M249">
        <v>0</v>
      </c>
    </row>
    <row r="250" spans="1:13">
      <c r="A250" s="121">
        <v>28764</v>
      </c>
      <c r="B250"/>
      <c r="C250"/>
      <c r="D250"/>
      <c r="E250"/>
      <c r="F250"/>
      <c r="G250"/>
      <c r="H250"/>
      <c r="I250"/>
      <c r="J250"/>
      <c r="K250"/>
      <c r="L250">
        <v>0</v>
      </c>
      <c r="M250">
        <v>0</v>
      </c>
    </row>
    <row r="251" spans="1:13">
      <c r="A251" s="121">
        <v>28795</v>
      </c>
      <c r="B251"/>
      <c r="C251"/>
      <c r="D251"/>
      <c r="E251"/>
      <c r="F251"/>
      <c r="G251"/>
      <c r="H251"/>
      <c r="I251"/>
      <c r="J251"/>
      <c r="K251"/>
      <c r="L251">
        <v>0</v>
      </c>
      <c r="M251">
        <v>0</v>
      </c>
    </row>
    <row r="252" spans="1:13">
      <c r="A252" s="121">
        <v>28825</v>
      </c>
      <c r="B252"/>
      <c r="C252"/>
      <c r="D252"/>
      <c r="E252"/>
      <c r="F252"/>
      <c r="G252"/>
      <c r="H252"/>
      <c r="I252"/>
      <c r="J252"/>
      <c r="K252"/>
      <c r="L252">
        <v>0</v>
      </c>
      <c r="M252">
        <v>0</v>
      </c>
    </row>
    <row r="253" spans="1:13">
      <c r="A253" s="121">
        <v>28856</v>
      </c>
      <c r="B253"/>
      <c r="C253"/>
      <c r="D253"/>
      <c r="E253"/>
      <c r="F253"/>
      <c r="G253"/>
      <c r="H253"/>
      <c r="I253"/>
      <c r="J253"/>
      <c r="K253"/>
      <c r="L253">
        <v>0</v>
      </c>
      <c r="M253">
        <v>0</v>
      </c>
    </row>
    <row r="254" spans="1:13">
      <c r="A254" s="121">
        <v>28887</v>
      </c>
      <c r="B254"/>
      <c r="C254"/>
      <c r="D254"/>
      <c r="E254"/>
      <c r="F254"/>
      <c r="G254"/>
      <c r="H254"/>
      <c r="I254"/>
      <c r="J254"/>
      <c r="K254"/>
      <c r="L254">
        <v>0</v>
      </c>
      <c r="M254">
        <v>0</v>
      </c>
    </row>
    <row r="255" spans="1:13">
      <c r="A255" s="121">
        <v>28915</v>
      </c>
      <c r="B255"/>
      <c r="C255"/>
      <c r="D255"/>
      <c r="E255"/>
      <c r="F255"/>
      <c r="G255"/>
      <c r="H255"/>
      <c r="I255"/>
      <c r="J255"/>
      <c r="K255"/>
      <c r="L255">
        <v>0</v>
      </c>
      <c r="M255">
        <v>0</v>
      </c>
    </row>
    <row r="256" spans="1:13">
      <c r="A256" s="121">
        <v>28946</v>
      </c>
      <c r="B256"/>
      <c r="C256"/>
      <c r="D256"/>
      <c r="E256"/>
      <c r="F256"/>
      <c r="G256"/>
      <c r="H256"/>
      <c r="I256"/>
      <c r="J256"/>
      <c r="K256"/>
      <c r="L256">
        <v>0</v>
      </c>
      <c r="M256">
        <v>0</v>
      </c>
    </row>
    <row r="257" spans="1:13">
      <c r="A257" s="121">
        <v>28976</v>
      </c>
      <c r="B257"/>
      <c r="C257"/>
      <c r="D257"/>
      <c r="E257"/>
      <c r="F257"/>
      <c r="G257"/>
      <c r="H257"/>
      <c r="I257"/>
      <c r="J257"/>
      <c r="K257"/>
      <c r="L257">
        <v>0</v>
      </c>
      <c r="M257">
        <v>0</v>
      </c>
    </row>
    <row r="258" spans="1:13">
      <c r="A258" s="121">
        <v>29007</v>
      </c>
      <c r="B258"/>
      <c r="C258"/>
      <c r="D258"/>
      <c r="E258"/>
      <c r="F258"/>
      <c r="G258"/>
      <c r="H258"/>
      <c r="I258"/>
      <c r="J258"/>
      <c r="K258"/>
      <c r="L258">
        <v>0</v>
      </c>
      <c r="M258">
        <v>0</v>
      </c>
    </row>
    <row r="259" spans="1:13">
      <c r="A259" s="121">
        <v>29037</v>
      </c>
      <c r="B259"/>
      <c r="C259"/>
      <c r="D259"/>
      <c r="E259"/>
      <c r="F259"/>
      <c r="G259"/>
      <c r="H259"/>
      <c r="I259"/>
      <c r="J259"/>
      <c r="K259"/>
      <c r="L259">
        <v>0</v>
      </c>
      <c r="M259">
        <v>0</v>
      </c>
    </row>
    <row r="260" spans="1:13">
      <c r="A260" s="121">
        <v>29068</v>
      </c>
      <c r="B260"/>
      <c r="C260"/>
      <c r="D260"/>
      <c r="E260"/>
      <c r="F260"/>
      <c r="G260"/>
      <c r="H260"/>
      <c r="I260"/>
      <c r="J260"/>
      <c r="K260"/>
      <c r="L260">
        <v>0</v>
      </c>
      <c r="M260">
        <v>0</v>
      </c>
    </row>
    <row r="261" spans="1:13">
      <c r="A261" s="121">
        <v>29099</v>
      </c>
      <c r="B261"/>
      <c r="C261"/>
      <c r="D261"/>
      <c r="E261"/>
      <c r="F261"/>
      <c r="G261"/>
      <c r="H261"/>
      <c r="I261"/>
      <c r="J261"/>
      <c r="K261"/>
      <c r="L261">
        <v>0</v>
      </c>
      <c r="M261">
        <v>0</v>
      </c>
    </row>
    <row r="262" spans="1:13">
      <c r="A262" s="121">
        <v>29129</v>
      </c>
      <c r="B262"/>
      <c r="C262"/>
      <c r="D262"/>
      <c r="E262"/>
      <c r="F262"/>
      <c r="G262"/>
      <c r="H262"/>
      <c r="I262"/>
      <c r="J262"/>
      <c r="K262"/>
      <c r="L262">
        <v>0</v>
      </c>
      <c r="M262">
        <v>0</v>
      </c>
    </row>
    <row r="263" spans="1:13">
      <c r="A263" s="121">
        <v>29160</v>
      </c>
      <c r="B263"/>
      <c r="C263"/>
      <c r="D263"/>
      <c r="E263"/>
      <c r="F263"/>
      <c r="G263"/>
      <c r="H263"/>
      <c r="I263"/>
      <c r="J263"/>
      <c r="K263"/>
      <c r="L263">
        <v>0</v>
      </c>
      <c r="M263">
        <v>0</v>
      </c>
    </row>
    <row r="264" spans="1:13">
      <c r="A264" s="121">
        <v>29190</v>
      </c>
      <c r="B264"/>
      <c r="C264"/>
      <c r="D264"/>
      <c r="E264"/>
      <c r="F264"/>
      <c r="G264"/>
      <c r="H264"/>
      <c r="I264"/>
      <c r="J264"/>
      <c r="K264"/>
      <c r="L264">
        <v>0</v>
      </c>
      <c r="M264">
        <v>0</v>
      </c>
    </row>
    <row r="265" spans="1:13">
      <c r="A265" s="121">
        <v>29221</v>
      </c>
      <c r="B265"/>
      <c r="C265"/>
      <c r="D265"/>
      <c r="E265"/>
      <c r="F265"/>
      <c r="G265"/>
      <c r="H265"/>
      <c r="I265"/>
      <c r="J265"/>
      <c r="K265"/>
      <c r="L265">
        <v>0</v>
      </c>
      <c r="M265">
        <v>0</v>
      </c>
    </row>
    <row r="266" spans="1:13">
      <c r="A266" s="121">
        <v>29252</v>
      </c>
      <c r="B266"/>
      <c r="C266"/>
      <c r="D266"/>
      <c r="E266"/>
      <c r="F266"/>
      <c r="G266"/>
      <c r="H266"/>
      <c r="I266"/>
      <c r="J266"/>
      <c r="K266"/>
      <c r="L266">
        <v>0</v>
      </c>
      <c r="M266">
        <v>0</v>
      </c>
    </row>
    <row r="267" spans="1:13">
      <c r="A267" s="121">
        <v>29281</v>
      </c>
      <c r="B267"/>
      <c r="C267"/>
      <c r="D267"/>
      <c r="E267"/>
      <c r="F267"/>
      <c r="G267"/>
      <c r="H267"/>
      <c r="I267"/>
      <c r="J267"/>
      <c r="K267"/>
      <c r="L267">
        <v>0</v>
      </c>
      <c r="M267">
        <v>0</v>
      </c>
    </row>
    <row r="268" spans="1:13">
      <c r="A268" s="121">
        <v>29312</v>
      </c>
      <c r="B268"/>
      <c r="C268"/>
      <c r="D268"/>
      <c r="E268"/>
      <c r="F268"/>
      <c r="G268"/>
      <c r="H268"/>
      <c r="I268"/>
      <c r="J268"/>
      <c r="K268"/>
      <c r="L268">
        <v>0</v>
      </c>
      <c r="M268">
        <v>0</v>
      </c>
    </row>
    <row r="269" spans="1:13">
      <c r="A269" s="121">
        <v>29342</v>
      </c>
      <c r="B269"/>
      <c r="C269"/>
      <c r="D269"/>
      <c r="E269"/>
      <c r="F269"/>
      <c r="G269"/>
      <c r="H269"/>
      <c r="I269"/>
      <c r="J269"/>
      <c r="K269"/>
      <c r="L269">
        <v>0</v>
      </c>
      <c r="M269">
        <v>0</v>
      </c>
    </row>
    <row r="270" spans="1:13">
      <c r="A270" s="121">
        <v>29373</v>
      </c>
      <c r="B270"/>
      <c r="C270"/>
      <c r="D270"/>
      <c r="E270"/>
      <c r="F270"/>
      <c r="G270"/>
      <c r="H270"/>
      <c r="I270"/>
      <c r="J270"/>
      <c r="K270"/>
      <c r="L270">
        <v>0</v>
      </c>
      <c r="M270">
        <v>0</v>
      </c>
    </row>
    <row r="271" spans="1:13">
      <c r="A271" s="121">
        <v>29403</v>
      </c>
      <c r="B271"/>
      <c r="C271"/>
      <c r="D271"/>
      <c r="E271"/>
      <c r="F271"/>
      <c r="G271"/>
      <c r="H271"/>
      <c r="I271"/>
      <c r="J271"/>
      <c r="K271"/>
      <c r="L271">
        <v>0</v>
      </c>
      <c r="M271">
        <v>0</v>
      </c>
    </row>
    <row r="272" spans="1:13">
      <c r="A272" s="121">
        <v>29434</v>
      </c>
      <c r="B272"/>
      <c r="C272"/>
      <c r="D272"/>
      <c r="E272"/>
      <c r="F272"/>
      <c r="G272"/>
      <c r="H272"/>
      <c r="I272"/>
      <c r="J272"/>
      <c r="K272"/>
      <c r="L272">
        <v>0</v>
      </c>
      <c r="M272">
        <v>0</v>
      </c>
    </row>
    <row r="273" spans="1:13">
      <c r="A273" s="121">
        <v>29465</v>
      </c>
      <c r="B273"/>
      <c r="C273"/>
      <c r="D273"/>
      <c r="E273"/>
      <c r="F273"/>
      <c r="G273"/>
      <c r="H273"/>
      <c r="I273"/>
      <c r="J273"/>
      <c r="K273"/>
      <c r="L273">
        <v>0</v>
      </c>
      <c r="M273">
        <v>0</v>
      </c>
    </row>
    <row r="274" spans="1:13">
      <c r="A274" s="121">
        <v>29495</v>
      </c>
      <c r="B274"/>
      <c r="C274"/>
      <c r="D274"/>
      <c r="E274"/>
      <c r="F274"/>
      <c r="G274"/>
      <c r="H274"/>
      <c r="I274"/>
      <c r="J274"/>
      <c r="K274"/>
      <c r="L274">
        <v>0</v>
      </c>
      <c r="M274">
        <v>0</v>
      </c>
    </row>
    <row r="275" spans="1:13">
      <c r="A275" s="121">
        <v>29526</v>
      </c>
      <c r="B275"/>
      <c r="C275"/>
      <c r="D275"/>
      <c r="E275"/>
      <c r="F275"/>
      <c r="G275"/>
      <c r="H275"/>
      <c r="I275"/>
      <c r="J275"/>
      <c r="K275"/>
      <c r="L275">
        <v>0</v>
      </c>
      <c r="M275">
        <v>0</v>
      </c>
    </row>
    <row r="276" spans="1:13">
      <c r="A276" s="121">
        <v>29556</v>
      </c>
      <c r="B276"/>
      <c r="C276"/>
      <c r="D276"/>
      <c r="E276"/>
      <c r="F276"/>
      <c r="G276"/>
      <c r="H276"/>
      <c r="I276"/>
      <c r="J276"/>
      <c r="K276"/>
      <c r="L276">
        <v>0</v>
      </c>
      <c r="M276">
        <v>0</v>
      </c>
    </row>
    <row r="277" spans="1:13">
      <c r="A277" s="121">
        <v>29587</v>
      </c>
      <c r="B277"/>
      <c r="C277"/>
      <c r="D277"/>
      <c r="E277"/>
      <c r="F277"/>
      <c r="G277"/>
      <c r="H277"/>
      <c r="I277"/>
      <c r="J277"/>
      <c r="K277"/>
      <c r="L277">
        <v>0</v>
      </c>
      <c r="M277">
        <v>0</v>
      </c>
    </row>
    <row r="278" spans="1:13">
      <c r="A278" s="121">
        <v>29618</v>
      </c>
      <c r="B278"/>
      <c r="C278"/>
      <c r="D278"/>
      <c r="E278"/>
      <c r="F278"/>
      <c r="G278"/>
      <c r="H278"/>
      <c r="I278"/>
      <c r="J278"/>
      <c r="K278"/>
      <c r="L278">
        <v>0</v>
      </c>
      <c r="M278">
        <v>0</v>
      </c>
    </row>
    <row r="279" spans="1:13">
      <c r="A279" s="121">
        <v>29646</v>
      </c>
      <c r="B279"/>
      <c r="C279"/>
      <c r="D279"/>
      <c r="E279"/>
      <c r="F279"/>
      <c r="G279"/>
      <c r="H279"/>
      <c r="I279"/>
      <c r="J279"/>
      <c r="K279"/>
      <c r="L279">
        <v>0</v>
      </c>
      <c r="M279">
        <v>0</v>
      </c>
    </row>
    <row r="280" spans="1:13">
      <c r="A280" s="121">
        <v>29677</v>
      </c>
      <c r="B280"/>
      <c r="C280"/>
      <c r="D280"/>
      <c r="E280"/>
      <c r="F280"/>
      <c r="G280"/>
      <c r="H280"/>
      <c r="I280"/>
      <c r="J280"/>
      <c r="K280"/>
      <c r="L280">
        <v>0</v>
      </c>
      <c r="M280">
        <v>0</v>
      </c>
    </row>
    <row r="281" spans="1:13">
      <c r="A281" s="121">
        <v>29707</v>
      </c>
      <c r="B281"/>
      <c r="C281"/>
      <c r="D281"/>
      <c r="E281"/>
      <c r="F281"/>
      <c r="G281"/>
      <c r="H281"/>
      <c r="I281"/>
      <c r="J281"/>
      <c r="K281"/>
      <c r="L281">
        <v>0</v>
      </c>
      <c r="M281">
        <v>0</v>
      </c>
    </row>
    <row r="282" spans="1:13">
      <c r="A282" s="121">
        <v>29738</v>
      </c>
      <c r="B282"/>
      <c r="C282"/>
      <c r="D282"/>
      <c r="E282"/>
      <c r="F282"/>
      <c r="G282"/>
      <c r="H282"/>
      <c r="I282"/>
      <c r="J282"/>
      <c r="K282"/>
      <c r="L282">
        <v>0</v>
      </c>
      <c r="M282">
        <v>0</v>
      </c>
    </row>
    <row r="283" spans="1:13">
      <c r="A283" s="121">
        <v>29768</v>
      </c>
      <c r="B283"/>
      <c r="C283"/>
      <c r="D283"/>
      <c r="E283"/>
      <c r="F283"/>
      <c r="G283"/>
      <c r="H283"/>
      <c r="I283"/>
      <c r="J283"/>
      <c r="K283"/>
      <c r="L283">
        <v>0</v>
      </c>
      <c r="M283">
        <v>0</v>
      </c>
    </row>
    <row r="284" spans="1:13">
      <c r="A284" s="121">
        <v>29799</v>
      </c>
      <c r="B284"/>
      <c r="C284"/>
      <c r="D284"/>
      <c r="E284"/>
      <c r="F284"/>
      <c r="G284"/>
      <c r="H284"/>
      <c r="I284"/>
      <c r="J284"/>
      <c r="K284"/>
      <c r="L284">
        <v>0</v>
      </c>
      <c r="M284">
        <v>0</v>
      </c>
    </row>
    <row r="285" spans="1:13">
      <c r="A285" s="121">
        <v>29830</v>
      </c>
      <c r="B285"/>
      <c r="C285"/>
      <c r="D285"/>
      <c r="E285"/>
      <c r="F285"/>
      <c r="G285"/>
      <c r="H285"/>
      <c r="I285"/>
      <c r="J285"/>
      <c r="K285"/>
      <c r="L285">
        <v>0</v>
      </c>
      <c r="M285">
        <v>0</v>
      </c>
    </row>
    <row r="286" spans="1:13">
      <c r="A286" s="121">
        <v>29860</v>
      </c>
      <c r="B286"/>
      <c r="C286"/>
      <c r="D286"/>
      <c r="E286"/>
      <c r="F286"/>
      <c r="G286"/>
      <c r="H286"/>
      <c r="I286"/>
      <c r="J286"/>
      <c r="K286"/>
      <c r="L286">
        <v>0</v>
      </c>
      <c r="M286">
        <v>0</v>
      </c>
    </row>
    <row r="287" spans="1:13">
      <c r="A287" s="121">
        <v>29891</v>
      </c>
      <c r="B287"/>
      <c r="C287"/>
      <c r="D287"/>
      <c r="E287"/>
      <c r="F287"/>
      <c r="G287"/>
      <c r="H287"/>
      <c r="I287"/>
      <c r="J287"/>
      <c r="K287"/>
      <c r="L287">
        <v>0</v>
      </c>
      <c r="M287">
        <v>0</v>
      </c>
    </row>
    <row r="288" spans="1:13">
      <c r="A288" s="121">
        <v>29921</v>
      </c>
      <c r="B288"/>
      <c r="C288"/>
      <c r="D288"/>
      <c r="E288"/>
      <c r="F288"/>
      <c r="G288"/>
      <c r="H288"/>
      <c r="I288"/>
      <c r="J288"/>
      <c r="K288"/>
      <c r="L288">
        <v>0</v>
      </c>
      <c r="M288">
        <v>0</v>
      </c>
    </row>
    <row r="289" spans="1:13">
      <c r="A289" s="121">
        <v>29952</v>
      </c>
      <c r="B289"/>
      <c r="C289"/>
      <c r="D289"/>
      <c r="E289"/>
      <c r="F289"/>
      <c r="G289"/>
      <c r="H289"/>
      <c r="I289"/>
      <c r="J289"/>
      <c r="K289"/>
      <c r="L289">
        <v>0</v>
      </c>
      <c r="M289">
        <v>0</v>
      </c>
    </row>
    <row r="290" spans="1:13">
      <c r="A290" s="121">
        <v>29983</v>
      </c>
      <c r="B290"/>
      <c r="C290"/>
      <c r="D290"/>
      <c r="E290"/>
      <c r="F290"/>
      <c r="G290"/>
      <c r="H290"/>
      <c r="I290"/>
      <c r="J290"/>
      <c r="K290"/>
      <c r="L290">
        <v>0</v>
      </c>
      <c r="M290">
        <v>0</v>
      </c>
    </row>
    <row r="291" spans="1:13">
      <c r="A291" s="121">
        <v>30011</v>
      </c>
      <c r="B291"/>
      <c r="C291"/>
      <c r="D291"/>
      <c r="E291"/>
      <c r="F291"/>
      <c r="G291"/>
      <c r="H291"/>
      <c r="I291"/>
      <c r="J291"/>
      <c r="K291"/>
      <c r="L291">
        <v>0</v>
      </c>
      <c r="M291">
        <v>0</v>
      </c>
    </row>
    <row r="292" spans="1:13">
      <c r="A292" s="121">
        <v>30042</v>
      </c>
      <c r="B292"/>
      <c r="C292"/>
      <c r="D292"/>
      <c r="E292"/>
      <c r="F292"/>
      <c r="G292"/>
      <c r="H292"/>
      <c r="I292"/>
      <c r="J292"/>
      <c r="K292"/>
      <c r="L292">
        <v>0</v>
      </c>
      <c r="M292">
        <v>0</v>
      </c>
    </row>
    <row r="293" spans="1:13">
      <c r="A293" s="121">
        <v>30072</v>
      </c>
      <c r="B293"/>
      <c r="C293"/>
      <c r="D293"/>
      <c r="E293"/>
      <c r="F293"/>
      <c r="G293"/>
      <c r="H293"/>
      <c r="I293"/>
      <c r="J293"/>
      <c r="K293"/>
      <c r="L293">
        <v>0</v>
      </c>
      <c r="M293">
        <v>0</v>
      </c>
    </row>
    <row r="294" spans="1:13">
      <c r="A294" s="121">
        <v>30103</v>
      </c>
      <c r="B294"/>
      <c r="C294"/>
      <c r="D294"/>
      <c r="E294"/>
      <c r="F294"/>
      <c r="G294"/>
      <c r="H294"/>
      <c r="I294"/>
      <c r="J294"/>
      <c r="K294"/>
      <c r="L294">
        <v>0</v>
      </c>
      <c r="M294">
        <v>0</v>
      </c>
    </row>
    <row r="295" spans="1:13">
      <c r="A295" s="121">
        <v>30133</v>
      </c>
      <c r="B295"/>
      <c r="C295"/>
      <c r="D295"/>
      <c r="E295"/>
      <c r="F295"/>
      <c r="G295"/>
      <c r="H295"/>
      <c r="I295"/>
      <c r="J295"/>
      <c r="K295"/>
      <c r="L295">
        <v>0</v>
      </c>
      <c r="M295">
        <v>0</v>
      </c>
    </row>
    <row r="296" spans="1:13">
      <c r="A296" s="121">
        <v>30164</v>
      </c>
      <c r="B296"/>
      <c r="C296"/>
      <c r="D296"/>
      <c r="E296"/>
      <c r="F296"/>
      <c r="G296"/>
      <c r="H296"/>
      <c r="I296"/>
      <c r="J296"/>
      <c r="K296"/>
      <c r="L296">
        <v>0</v>
      </c>
      <c r="M296">
        <v>0</v>
      </c>
    </row>
    <row r="297" spans="1:13">
      <c r="A297" s="121">
        <v>30195</v>
      </c>
      <c r="B297"/>
      <c r="C297"/>
      <c r="D297"/>
      <c r="E297"/>
      <c r="F297"/>
      <c r="G297"/>
      <c r="H297"/>
      <c r="I297"/>
      <c r="J297"/>
      <c r="K297"/>
      <c r="L297">
        <v>0</v>
      </c>
      <c r="M297">
        <v>0</v>
      </c>
    </row>
    <row r="298" spans="1:13">
      <c r="A298" s="121">
        <v>30225</v>
      </c>
      <c r="B298"/>
      <c r="C298"/>
      <c r="D298"/>
      <c r="E298"/>
      <c r="F298"/>
      <c r="G298"/>
      <c r="H298"/>
      <c r="I298"/>
      <c r="J298"/>
      <c r="K298"/>
      <c r="L298">
        <v>0</v>
      </c>
      <c r="M298">
        <v>0</v>
      </c>
    </row>
    <row r="299" spans="1:13">
      <c r="A299" s="121">
        <v>30256</v>
      </c>
      <c r="B299"/>
      <c r="C299"/>
      <c r="D299"/>
      <c r="E299"/>
      <c r="F299"/>
      <c r="G299"/>
      <c r="H299"/>
      <c r="I299"/>
      <c r="J299"/>
      <c r="K299"/>
      <c r="L299">
        <v>0</v>
      </c>
      <c r="M299">
        <v>0</v>
      </c>
    </row>
    <row r="300" spans="1:13">
      <c r="A300" s="121">
        <v>30286</v>
      </c>
      <c r="B300"/>
      <c r="C300"/>
      <c r="D300"/>
      <c r="E300"/>
      <c r="F300"/>
      <c r="G300"/>
      <c r="H300"/>
      <c r="I300"/>
      <c r="J300"/>
      <c r="K300"/>
      <c r="L300">
        <v>0</v>
      </c>
      <c r="M300">
        <v>0</v>
      </c>
    </row>
    <row r="301" spans="1:13">
      <c r="A301" s="121">
        <v>30317</v>
      </c>
      <c r="B301"/>
      <c r="C301"/>
      <c r="D301"/>
      <c r="E301"/>
      <c r="F301"/>
      <c r="G301"/>
      <c r="H301"/>
      <c r="I301"/>
      <c r="J301"/>
      <c r="K301"/>
      <c r="L301">
        <v>0</v>
      </c>
      <c r="M301">
        <v>0</v>
      </c>
    </row>
    <row r="302" spans="1:13">
      <c r="A302" s="121">
        <v>30348</v>
      </c>
      <c r="B302"/>
      <c r="C302"/>
      <c r="D302"/>
      <c r="E302"/>
      <c r="F302"/>
      <c r="G302"/>
      <c r="H302"/>
      <c r="I302"/>
      <c r="J302"/>
      <c r="K302"/>
      <c r="L302">
        <v>0</v>
      </c>
      <c r="M302">
        <v>0</v>
      </c>
    </row>
    <row r="303" spans="1:13">
      <c r="A303" s="121">
        <v>30376</v>
      </c>
      <c r="B303"/>
      <c r="C303"/>
      <c r="D303"/>
      <c r="E303"/>
      <c r="F303"/>
      <c r="G303"/>
      <c r="H303"/>
      <c r="I303"/>
      <c r="J303"/>
      <c r="K303"/>
      <c r="L303">
        <v>0</v>
      </c>
      <c r="M303">
        <v>0</v>
      </c>
    </row>
    <row r="304" spans="1:13">
      <c r="A304" s="121">
        <v>30407</v>
      </c>
      <c r="B304"/>
      <c r="C304"/>
      <c r="D304"/>
      <c r="E304"/>
      <c r="F304"/>
      <c r="G304"/>
      <c r="H304"/>
      <c r="I304"/>
      <c r="J304"/>
      <c r="K304"/>
      <c r="L304">
        <v>0</v>
      </c>
      <c r="M304">
        <v>0</v>
      </c>
    </row>
    <row r="305" spans="1:13">
      <c r="A305" s="121">
        <v>30437</v>
      </c>
      <c r="B305"/>
      <c r="C305"/>
      <c r="D305"/>
      <c r="E305"/>
      <c r="F305"/>
      <c r="G305"/>
      <c r="H305"/>
      <c r="I305"/>
      <c r="J305"/>
      <c r="K305"/>
      <c r="L305">
        <v>0</v>
      </c>
      <c r="M305">
        <v>0</v>
      </c>
    </row>
    <row r="306" spans="1:13">
      <c r="A306" s="121">
        <v>30468</v>
      </c>
      <c r="B306"/>
      <c r="C306"/>
      <c r="D306"/>
      <c r="E306"/>
      <c r="F306"/>
      <c r="G306"/>
      <c r="H306"/>
      <c r="I306"/>
      <c r="J306"/>
      <c r="K306"/>
      <c r="L306">
        <v>0</v>
      </c>
      <c r="M306">
        <v>0</v>
      </c>
    </row>
    <row r="307" spans="1:13">
      <c r="A307" s="121">
        <v>30498</v>
      </c>
      <c r="B307"/>
      <c r="C307"/>
      <c r="D307"/>
      <c r="E307"/>
      <c r="F307"/>
      <c r="G307"/>
      <c r="H307"/>
      <c r="I307"/>
      <c r="J307"/>
      <c r="K307"/>
      <c r="L307">
        <v>0</v>
      </c>
      <c r="M307">
        <v>0</v>
      </c>
    </row>
    <row r="308" spans="1:13">
      <c r="A308" s="121">
        <v>30529</v>
      </c>
      <c r="B308"/>
      <c r="C308"/>
      <c r="D308"/>
      <c r="E308"/>
      <c r="F308"/>
      <c r="G308"/>
      <c r="H308"/>
      <c r="I308"/>
      <c r="J308"/>
      <c r="K308"/>
      <c r="L308">
        <v>0</v>
      </c>
      <c r="M308">
        <v>0</v>
      </c>
    </row>
    <row r="309" spans="1:13">
      <c r="A309" s="121">
        <v>30560</v>
      </c>
      <c r="B309"/>
      <c r="C309"/>
      <c r="D309"/>
      <c r="E309"/>
      <c r="F309"/>
      <c r="G309"/>
      <c r="H309"/>
      <c r="I309"/>
      <c r="J309"/>
      <c r="K309"/>
      <c r="L309">
        <v>0</v>
      </c>
      <c r="M309">
        <v>0</v>
      </c>
    </row>
    <row r="310" spans="1:13">
      <c r="A310" s="121">
        <v>30590</v>
      </c>
      <c r="B310"/>
      <c r="C310"/>
      <c r="D310"/>
      <c r="E310"/>
      <c r="F310"/>
      <c r="G310"/>
      <c r="H310"/>
      <c r="I310"/>
      <c r="J310"/>
      <c r="K310"/>
      <c r="L310">
        <v>0</v>
      </c>
      <c r="M310">
        <v>0</v>
      </c>
    </row>
    <row r="311" spans="1:13">
      <c r="A311" s="121">
        <v>30621</v>
      </c>
      <c r="B311"/>
      <c r="C311"/>
      <c r="D311"/>
      <c r="E311"/>
      <c r="F311"/>
      <c r="G311"/>
      <c r="H311"/>
      <c r="I311"/>
      <c r="J311"/>
      <c r="K311"/>
      <c r="L311">
        <v>0</v>
      </c>
      <c r="M311">
        <v>0</v>
      </c>
    </row>
    <row r="312" spans="1:13">
      <c r="A312" s="121">
        <v>30651</v>
      </c>
      <c r="B312"/>
      <c r="C312"/>
      <c r="D312"/>
      <c r="E312"/>
      <c r="F312"/>
      <c r="G312"/>
      <c r="H312"/>
      <c r="I312"/>
      <c r="J312"/>
      <c r="K312"/>
      <c r="L312">
        <v>0</v>
      </c>
      <c r="M312">
        <v>0</v>
      </c>
    </row>
    <row r="313" spans="1:13">
      <c r="A313" s="121">
        <v>30682</v>
      </c>
      <c r="B313"/>
      <c r="C313"/>
      <c r="D313"/>
      <c r="E313"/>
      <c r="F313"/>
      <c r="G313"/>
      <c r="H313"/>
      <c r="I313"/>
      <c r="J313"/>
      <c r="K313"/>
      <c r="L313">
        <v>0</v>
      </c>
      <c r="M313">
        <v>0</v>
      </c>
    </row>
    <row r="314" spans="1:13">
      <c r="A314" s="121">
        <v>30713</v>
      </c>
      <c r="B314"/>
      <c r="C314"/>
      <c r="D314"/>
      <c r="E314"/>
      <c r="F314"/>
      <c r="G314"/>
      <c r="H314"/>
      <c r="I314"/>
      <c r="J314"/>
      <c r="K314"/>
      <c r="L314">
        <v>0</v>
      </c>
      <c r="M314">
        <v>0</v>
      </c>
    </row>
    <row r="315" spans="1:13">
      <c r="A315" s="121">
        <v>30742</v>
      </c>
      <c r="B315"/>
      <c r="C315"/>
      <c r="D315"/>
      <c r="E315"/>
      <c r="F315"/>
      <c r="G315"/>
      <c r="H315"/>
      <c r="I315"/>
      <c r="J315"/>
      <c r="K315"/>
      <c r="L315">
        <v>0</v>
      </c>
      <c r="M315">
        <v>0</v>
      </c>
    </row>
    <row r="316" spans="1:13">
      <c r="A316" s="121">
        <v>30773</v>
      </c>
      <c r="B316"/>
      <c r="C316"/>
      <c r="D316"/>
      <c r="E316"/>
      <c r="F316"/>
      <c r="G316"/>
      <c r="H316"/>
      <c r="I316"/>
      <c r="J316"/>
      <c r="K316"/>
      <c r="L316">
        <v>0</v>
      </c>
      <c r="M316">
        <v>0</v>
      </c>
    </row>
    <row r="317" spans="1:13">
      <c r="A317" s="121">
        <v>30803</v>
      </c>
      <c r="B317"/>
      <c r="C317"/>
      <c r="D317"/>
      <c r="E317"/>
      <c r="F317"/>
      <c r="G317"/>
      <c r="H317"/>
      <c r="I317"/>
      <c r="J317"/>
      <c r="K317"/>
      <c r="L317">
        <v>0</v>
      </c>
      <c r="M317">
        <v>0</v>
      </c>
    </row>
    <row r="318" spans="1:13">
      <c r="A318" s="121">
        <v>30834</v>
      </c>
      <c r="B318"/>
      <c r="C318"/>
      <c r="D318"/>
      <c r="E318"/>
      <c r="F318"/>
      <c r="G318"/>
      <c r="H318"/>
      <c r="I318"/>
      <c r="J318"/>
      <c r="K318"/>
      <c r="L318">
        <v>0</v>
      </c>
      <c r="M318">
        <v>0</v>
      </c>
    </row>
    <row r="319" spans="1:13">
      <c r="A319" s="121">
        <v>30864</v>
      </c>
      <c r="B319"/>
      <c r="C319"/>
      <c r="D319"/>
      <c r="E319"/>
      <c r="F319"/>
      <c r="G319"/>
      <c r="H319"/>
      <c r="I319"/>
      <c r="J319"/>
      <c r="K319"/>
      <c r="L319">
        <v>0</v>
      </c>
      <c r="M319">
        <v>0</v>
      </c>
    </row>
    <row r="320" spans="1:13">
      <c r="A320" s="121">
        <v>30895</v>
      </c>
      <c r="B320"/>
      <c r="C320"/>
      <c r="D320"/>
      <c r="E320"/>
      <c r="F320"/>
      <c r="G320"/>
      <c r="H320"/>
      <c r="I320"/>
      <c r="J320"/>
      <c r="K320"/>
      <c r="L320">
        <v>0</v>
      </c>
      <c r="M320">
        <v>0</v>
      </c>
    </row>
    <row r="321" spans="1:13">
      <c r="A321" s="121">
        <v>30926</v>
      </c>
      <c r="B321"/>
      <c r="C321"/>
      <c r="D321"/>
      <c r="E321"/>
      <c r="F321"/>
      <c r="G321"/>
      <c r="H321"/>
      <c r="I321"/>
      <c r="J321"/>
      <c r="K321"/>
      <c r="L321">
        <v>0</v>
      </c>
      <c r="M321">
        <v>0</v>
      </c>
    </row>
    <row r="322" spans="1:13">
      <c r="A322" s="121">
        <v>30956</v>
      </c>
      <c r="B322"/>
      <c r="C322"/>
      <c r="D322"/>
      <c r="E322"/>
      <c r="F322"/>
      <c r="G322"/>
      <c r="H322"/>
      <c r="I322"/>
      <c r="J322"/>
      <c r="K322"/>
      <c r="L322">
        <v>0</v>
      </c>
      <c r="M322">
        <v>0</v>
      </c>
    </row>
    <row r="323" spans="1:13">
      <c r="A323" s="121">
        <v>30987</v>
      </c>
      <c r="B323"/>
      <c r="C323"/>
      <c r="D323"/>
      <c r="E323"/>
      <c r="F323"/>
      <c r="G323"/>
      <c r="H323"/>
      <c r="I323"/>
      <c r="J323"/>
      <c r="K323"/>
      <c r="L323">
        <v>0</v>
      </c>
      <c r="M323">
        <v>0</v>
      </c>
    </row>
    <row r="324" spans="1:13">
      <c r="A324" s="121">
        <v>31017</v>
      </c>
      <c r="B324"/>
      <c r="C324"/>
      <c r="D324"/>
      <c r="E324"/>
      <c r="F324"/>
      <c r="G324"/>
      <c r="H324"/>
      <c r="I324"/>
      <c r="J324"/>
      <c r="K324"/>
      <c r="L324">
        <v>0</v>
      </c>
      <c r="M324">
        <v>0</v>
      </c>
    </row>
    <row r="325" spans="1:13">
      <c r="A325" s="121">
        <v>31048</v>
      </c>
      <c r="B325"/>
      <c r="C325"/>
      <c r="D325"/>
      <c r="E325"/>
      <c r="F325"/>
      <c r="G325"/>
      <c r="H325"/>
      <c r="I325"/>
      <c r="J325"/>
      <c r="K325"/>
      <c r="L325">
        <v>0</v>
      </c>
      <c r="M325">
        <v>0</v>
      </c>
    </row>
    <row r="326" spans="1:13">
      <c r="A326" s="121">
        <v>31079</v>
      </c>
      <c r="B326"/>
      <c r="C326"/>
      <c r="D326"/>
      <c r="E326"/>
      <c r="F326"/>
      <c r="G326"/>
      <c r="H326"/>
      <c r="I326"/>
      <c r="J326"/>
      <c r="K326"/>
      <c r="L326">
        <v>0</v>
      </c>
      <c r="M326">
        <v>0</v>
      </c>
    </row>
    <row r="327" spans="1:13">
      <c r="A327" s="121">
        <v>31107</v>
      </c>
      <c r="B327"/>
      <c r="C327"/>
      <c r="D327"/>
      <c r="E327"/>
      <c r="F327"/>
      <c r="G327"/>
      <c r="H327"/>
      <c r="I327"/>
      <c r="J327"/>
      <c r="K327"/>
      <c r="L327">
        <v>0</v>
      </c>
      <c r="M327">
        <v>0</v>
      </c>
    </row>
    <row r="328" spans="1:13">
      <c r="A328" s="121">
        <v>31138</v>
      </c>
      <c r="B328"/>
      <c r="C328"/>
      <c r="D328"/>
      <c r="E328"/>
      <c r="F328"/>
      <c r="G328"/>
      <c r="H328"/>
      <c r="I328"/>
      <c r="J328"/>
      <c r="K328"/>
      <c r="L328">
        <v>0</v>
      </c>
      <c r="M328">
        <v>0</v>
      </c>
    </row>
    <row r="329" spans="1:13">
      <c r="A329" s="121">
        <v>31168</v>
      </c>
      <c r="B329"/>
      <c r="C329"/>
      <c r="D329"/>
      <c r="E329"/>
      <c r="F329"/>
      <c r="G329"/>
      <c r="H329"/>
      <c r="I329"/>
      <c r="J329"/>
      <c r="K329"/>
      <c r="L329">
        <v>0</v>
      </c>
      <c r="M329">
        <v>0</v>
      </c>
    </row>
    <row r="330" spans="1:13">
      <c r="A330" s="121">
        <v>31199</v>
      </c>
      <c r="B330"/>
      <c r="C330"/>
      <c r="D330"/>
      <c r="E330"/>
      <c r="F330"/>
      <c r="G330"/>
      <c r="H330"/>
      <c r="I330"/>
      <c r="J330"/>
      <c r="K330"/>
      <c r="L330">
        <v>0</v>
      </c>
      <c r="M330">
        <v>0</v>
      </c>
    </row>
    <row r="331" spans="1:13">
      <c r="A331" s="121">
        <v>31229</v>
      </c>
      <c r="B331"/>
      <c r="C331"/>
      <c r="D331"/>
      <c r="E331"/>
      <c r="F331"/>
      <c r="G331"/>
      <c r="H331"/>
      <c r="I331"/>
      <c r="J331"/>
      <c r="K331"/>
      <c r="L331">
        <v>0</v>
      </c>
      <c r="M331">
        <v>0</v>
      </c>
    </row>
    <row r="332" spans="1:13">
      <c r="A332" s="121">
        <v>31260</v>
      </c>
      <c r="B332"/>
      <c r="C332"/>
      <c r="D332"/>
      <c r="E332"/>
      <c r="F332"/>
      <c r="G332"/>
      <c r="H332"/>
      <c r="I332"/>
      <c r="J332"/>
      <c r="K332"/>
      <c r="L332">
        <v>0</v>
      </c>
      <c r="M332">
        <v>0</v>
      </c>
    </row>
    <row r="333" spans="1:13">
      <c r="A333" s="121">
        <v>31291</v>
      </c>
      <c r="B333"/>
      <c r="C333"/>
      <c r="D333"/>
      <c r="E333"/>
      <c r="F333"/>
      <c r="G333"/>
      <c r="H333"/>
      <c r="I333"/>
      <c r="J333"/>
      <c r="K333"/>
      <c r="L333">
        <v>0</v>
      </c>
      <c r="M333">
        <v>0</v>
      </c>
    </row>
    <row r="334" spans="1:13">
      <c r="A334" s="121">
        <v>31321</v>
      </c>
      <c r="B334"/>
      <c r="C334"/>
      <c r="D334"/>
      <c r="E334"/>
      <c r="F334"/>
      <c r="G334"/>
      <c r="H334"/>
      <c r="I334"/>
      <c r="J334"/>
      <c r="K334"/>
      <c r="L334">
        <v>0</v>
      </c>
      <c r="M334">
        <v>0</v>
      </c>
    </row>
    <row r="335" spans="1:13">
      <c r="A335" s="121">
        <v>31352</v>
      </c>
      <c r="B335"/>
      <c r="C335"/>
      <c r="D335"/>
      <c r="E335"/>
      <c r="F335"/>
      <c r="G335"/>
      <c r="H335"/>
      <c r="I335"/>
      <c r="J335"/>
      <c r="K335"/>
      <c r="L335">
        <v>0</v>
      </c>
      <c r="M335">
        <v>0</v>
      </c>
    </row>
    <row r="336" spans="1:13">
      <c r="A336" s="121">
        <v>31382</v>
      </c>
      <c r="B336"/>
      <c r="C336"/>
      <c r="D336"/>
      <c r="E336"/>
      <c r="F336"/>
      <c r="G336"/>
      <c r="H336"/>
      <c r="I336"/>
      <c r="J336"/>
      <c r="K336"/>
      <c r="L336">
        <v>0</v>
      </c>
      <c r="M336">
        <v>0</v>
      </c>
    </row>
    <row r="337" spans="1:13">
      <c r="A337" s="121">
        <v>31413</v>
      </c>
      <c r="B337"/>
      <c r="C337"/>
      <c r="D337"/>
      <c r="E337"/>
      <c r="F337"/>
      <c r="G337"/>
      <c r="H337"/>
      <c r="I337"/>
      <c r="J337"/>
      <c r="K337"/>
      <c r="L337">
        <v>0</v>
      </c>
      <c r="M337">
        <v>0</v>
      </c>
    </row>
    <row r="338" spans="1:13">
      <c r="A338" s="121">
        <v>31444</v>
      </c>
      <c r="B338"/>
      <c r="C338"/>
      <c r="D338"/>
      <c r="E338"/>
      <c r="F338"/>
      <c r="G338"/>
      <c r="H338"/>
      <c r="I338"/>
      <c r="J338"/>
      <c r="K338"/>
      <c r="L338">
        <v>0</v>
      </c>
      <c r="M338">
        <v>0</v>
      </c>
    </row>
    <row r="339" spans="1:13">
      <c r="A339" s="121">
        <v>31472</v>
      </c>
      <c r="B339"/>
      <c r="C339"/>
      <c r="D339"/>
      <c r="E339"/>
      <c r="F339"/>
      <c r="G339"/>
      <c r="H339"/>
      <c r="I339"/>
      <c r="J339"/>
      <c r="K339"/>
      <c r="L339">
        <v>0</v>
      </c>
      <c r="M339">
        <v>0</v>
      </c>
    </row>
    <row r="340" spans="1:13">
      <c r="A340" s="121">
        <v>31503</v>
      </c>
      <c r="B340"/>
      <c r="C340"/>
      <c r="D340"/>
      <c r="E340"/>
      <c r="F340"/>
      <c r="G340"/>
      <c r="H340"/>
      <c r="I340"/>
      <c r="J340"/>
      <c r="K340"/>
      <c r="L340">
        <v>0</v>
      </c>
      <c r="M340">
        <v>0</v>
      </c>
    </row>
    <row r="341" spans="1:13">
      <c r="A341" s="121">
        <v>31533</v>
      </c>
      <c r="B341"/>
      <c r="C341"/>
      <c r="D341"/>
      <c r="E341"/>
      <c r="F341"/>
      <c r="G341"/>
      <c r="H341"/>
      <c r="I341"/>
      <c r="J341"/>
      <c r="K341"/>
      <c r="L341">
        <v>0</v>
      </c>
      <c r="M341">
        <v>0</v>
      </c>
    </row>
    <row r="342" spans="1:13">
      <c r="A342" s="121">
        <v>31564</v>
      </c>
      <c r="B342"/>
      <c r="C342"/>
      <c r="D342"/>
      <c r="E342"/>
      <c r="F342"/>
      <c r="G342"/>
      <c r="H342"/>
      <c r="I342"/>
      <c r="J342"/>
      <c r="K342"/>
      <c r="L342">
        <v>0</v>
      </c>
      <c r="M342">
        <v>0</v>
      </c>
    </row>
    <row r="343" spans="1:13">
      <c r="A343" s="121">
        <v>31594</v>
      </c>
      <c r="B343"/>
      <c r="C343"/>
      <c r="D343"/>
      <c r="E343"/>
      <c r="F343"/>
      <c r="G343"/>
      <c r="H343"/>
      <c r="I343"/>
      <c r="J343"/>
      <c r="K343"/>
      <c r="L343">
        <v>0</v>
      </c>
      <c r="M343">
        <v>0</v>
      </c>
    </row>
    <row r="344" spans="1:13">
      <c r="A344" s="121">
        <v>31625</v>
      </c>
      <c r="B344"/>
      <c r="C344"/>
      <c r="D344"/>
      <c r="E344"/>
      <c r="F344"/>
      <c r="G344"/>
      <c r="H344"/>
      <c r="I344"/>
      <c r="J344"/>
      <c r="K344"/>
      <c r="L344">
        <v>0</v>
      </c>
      <c r="M344">
        <v>0</v>
      </c>
    </row>
    <row r="345" spans="1:13">
      <c r="A345" s="121">
        <v>31656</v>
      </c>
      <c r="B345"/>
      <c r="C345"/>
      <c r="D345"/>
      <c r="E345"/>
      <c r="F345"/>
      <c r="G345"/>
      <c r="H345"/>
      <c r="I345"/>
      <c r="J345"/>
      <c r="K345"/>
      <c r="L345">
        <v>0</v>
      </c>
      <c r="M345">
        <v>0</v>
      </c>
    </row>
    <row r="346" spans="1:13">
      <c r="A346" s="121">
        <v>31686</v>
      </c>
      <c r="B346"/>
      <c r="C346"/>
      <c r="D346"/>
      <c r="E346"/>
      <c r="F346"/>
      <c r="G346"/>
      <c r="H346"/>
      <c r="I346"/>
      <c r="J346"/>
      <c r="K346"/>
      <c r="L346">
        <v>0</v>
      </c>
      <c r="M346">
        <v>0</v>
      </c>
    </row>
    <row r="347" spans="1:13">
      <c r="A347" s="121">
        <v>31717</v>
      </c>
      <c r="B347"/>
      <c r="C347"/>
      <c r="D347"/>
      <c r="E347"/>
      <c r="F347"/>
      <c r="G347"/>
      <c r="H347"/>
      <c r="I347"/>
      <c r="J347"/>
      <c r="K347"/>
      <c r="L347">
        <v>0</v>
      </c>
      <c r="M347">
        <v>0</v>
      </c>
    </row>
    <row r="348" spans="1:13">
      <c r="A348" s="121">
        <v>31747</v>
      </c>
      <c r="B348"/>
      <c r="C348"/>
      <c r="D348"/>
      <c r="E348"/>
      <c r="F348"/>
      <c r="G348"/>
      <c r="H348"/>
      <c r="I348"/>
      <c r="J348"/>
      <c r="K348"/>
      <c r="L348">
        <v>0</v>
      </c>
      <c r="M348">
        <v>0</v>
      </c>
    </row>
    <row r="349" spans="1:13">
      <c r="A349" s="121">
        <v>31778</v>
      </c>
      <c r="B349"/>
      <c r="C349"/>
      <c r="D349"/>
      <c r="E349"/>
      <c r="F349"/>
      <c r="G349"/>
      <c r="H349"/>
      <c r="I349"/>
      <c r="J349"/>
      <c r="K349"/>
      <c r="L349">
        <v>0</v>
      </c>
      <c r="M349">
        <v>0</v>
      </c>
    </row>
    <row r="350" spans="1:13">
      <c r="A350" s="121">
        <v>31809</v>
      </c>
      <c r="B350"/>
      <c r="C350"/>
      <c r="D350"/>
      <c r="E350"/>
      <c r="F350"/>
      <c r="G350"/>
      <c r="H350"/>
      <c r="I350"/>
      <c r="J350"/>
      <c r="K350"/>
      <c r="L350">
        <v>0</v>
      </c>
      <c r="M350">
        <v>0</v>
      </c>
    </row>
    <row r="351" spans="1:13">
      <c r="A351" s="121">
        <v>31837</v>
      </c>
      <c r="B351"/>
      <c r="C351"/>
      <c r="D351"/>
      <c r="E351"/>
      <c r="F351"/>
      <c r="G351"/>
      <c r="H351"/>
      <c r="I351"/>
      <c r="J351"/>
      <c r="K351"/>
      <c r="L351">
        <v>0</v>
      </c>
      <c r="M351">
        <v>0</v>
      </c>
    </row>
    <row r="352" spans="1:13">
      <c r="A352" s="121">
        <v>31868</v>
      </c>
      <c r="B352"/>
      <c r="C352"/>
      <c r="D352"/>
      <c r="E352"/>
      <c r="F352"/>
      <c r="G352"/>
      <c r="H352"/>
      <c r="I352"/>
      <c r="J352"/>
      <c r="K352"/>
      <c r="L352">
        <v>0</v>
      </c>
      <c r="M352">
        <v>0</v>
      </c>
    </row>
    <row r="353" spans="1:13">
      <c r="A353" s="121">
        <v>31898</v>
      </c>
      <c r="B353"/>
      <c r="C353"/>
      <c r="D353"/>
      <c r="E353"/>
      <c r="F353"/>
      <c r="G353"/>
      <c r="H353"/>
      <c r="I353"/>
      <c r="J353"/>
      <c r="K353"/>
      <c r="L353">
        <v>0</v>
      </c>
      <c r="M353">
        <v>0</v>
      </c>
    </row>
    <row r="354" spans="1:13">
      <c r="A354" s="121">
        <v>31929</v>
      </c>
      <c r="B354"/>
      <c r="C354"/>
      <c r="D354"/>
      <c r="E354"/>
      <c r="F354"/>
      <c r="G354"/>
      <c r="H354"/>
      <c r="I354"/>
      <c r="J354"/>
      <c r="K354"/>
      <c r="L354">
        <v>0</v>
      </c>
      <c r="M354">
        <v>0</v>
      </c>
    </row>
    <row r="355" spans="1:13">
      <c r="A355" s="121">
        <v>31959</v>
      </c>
      <c r="B355"/>
      <c r="C355"/>
      <c r="D355"/>
      <c r="E355"/>
      <c r="F355"/>
      <c r="G355"/>
      <c r="H355"/>
      <c r="I355"/>
      <c r="J355"/>
      <c r="K355"/>
      <c r="L355">
        <v>0</v>
      </c>
      <c r="M355">
        <v>0</v>
      </c>
    </row>
    <row r="356" spans="1:13">
      <c r="A356" s="121">
        <v>31990</v>
      </c>
      <c r="B356"/>
      <c r="C356"/>
      <c r="D356"/>
      <c r="E356"/>
      <c r="F356"/>
      <c r="G356"/>
      <c r="H356"/>
      <c r="I356"/>
      <c r="J356"/>
      <c r="K356"/>
      <c r="L356">
        <v>0</v>
      </c>
      <c r="M356">
        <v>0</v>
      </c>
    </row>
    <row r="357" spans="1:13">
      <c r="A357" s="121">
        <v>32021</v>
      </c>
      <c r="B357"/>
      <c r="C357"/>
      <c r="D357"/>
      <c r="E357"/>
      <c r="F357"/>
      <c r="G357"/>
      <c r="H357"/>
      <c r="I357"/>
      <c r="J357"/>
      <c r="K357"/>
      <c r="L357">
        <v>0</v>
      </c>
      <c r="M357">
        <v>0</v>
      </c>
    </row>
    <row r="358" spans="1:13">
      <c r="A358" s="121">
        <v>32051</v>
      </c>
      <c r="B358"/>
      <c r="C358"/>
      <c r="D358"/>
      <c r="E358"/>
      <c r="F358"/>
      <c r="G358"/>
      <c r="H358"/>
      <c r="I358"/>
      <c r="J358"/>
      <c r="K358"/>
      <c r="L358">
        <v>0</v>
      </c>
      <c r="M358">
        <v>0</v>
      </c>
    </row>
    <row r="359" spans="1:13">
      <c r="A359" s="121">
        <v>32082</v>
      </c>
      <c r="B359"/>
      <c r="C359"/>
      <c r="D359"/>
      <c r="E359"/>
      <c r="F359"/>
      <c r="G359"/>
      <c r="H359"/>
      <c r="I359"/>
      <c r="J359"/>
      <c r="K359"/>
      <c r="L359">
        <v>0</v>
      </c>
      <c r="M359">
        <v>0</v>
      </c>
    </row>
    <row r="360" spans="1:13">
      <c r="A360" s="121">
        <v>32112</v>
      </c>
      <c r="B360"/>
      <c r="C360"/>
      <c r="D360"/>
      <c r="E360"/>
      <c r="F360"/>
      <c r="G360"/>
      <c r="H360"/>
      <c r="I360"/>
      <c r="J360"/>
      <c r="K360"/>
      <c r="L360">
        <v>0</v>
      </c>
      <c r="M360">
        <v>0</v>
      </c>
    </row>
    <row r="361" spans="1:13">
      <c r="A361" s="121">
        <v>32143</v>
      </c>
      <c r="B361"/>
      <c r="C361"/>
      <c r="D361"/>
      <c r="E361"/>
      <c r="F361"/>
      <c r="G361"/>
      <c r="H361"/>
      <c r="I361"/>
      <c r="J361"/>
      <c r="K361"/>
      <c r="L361">
        <v>0</v>
      </c>
      <c r="M361">
        <v>0</v>
      </c>
    </row>
    <row r="362" spans="1:13">
      <c r="A362" s="121">
        <v>32174</v>
      </c>
      <c r="B362"/>
      <c r="C362"/>
      <c r="D362"/>
      <c r="E362"/>
      <c r="F362"/>
      <c r="G362"/>
      <c r="H362"/>
      <c r="I362"/>
      <c r="J362"/>
      <c r="K362"/>
      <c r="L362">
        <v>0</v>
      </c>
      <c r="M362">
        <v>0</v>
      </c>
    </row>
    <row r="363" spans="1:13">
      <c r="A363" s="121">
        <v>32203</v>
      </c>
      <c r="B363"/>
      <c r="C363"/>
      <c r="D363"/>
      <c r="E363"/>
      <c r="F363"/>
      <c r="G363"/>
      <c r="H363"/>
      <c r="I363"/>
      <c r="J363"/>
      <c r="K363"/>
      <c r="L363">
        <v>0</v>
      </c>
      <c r="M363">
        <v>0</v>
      </c>
    </row>
    <row r="364" spans="1:13">
      <c r="A364" s="121">
        <v>32234</v>
      </c>
      <c r="B364"/>
      <c r="C364"/>
      <c r="D364"/>
      <c r="E364"/>
      <c r="F364"/>
      <c r="G364"/>
      <c r="H364"/>
      <c r="I364"/>
      <c r="J364"/>
      <c r="K364"/>
      <c r="L364">
        <v>0</v>
      </c>
      <c r="M364">
        <v>0</v>
      </c>
    </row>
    <row r="365" spans="1:13">
      <c r="A365" s="121">
        <v>32264</v>
      </c>
      <c r="B365"/>
      <c r="C365"/>
      <c r="D365"/>
      <c r="E365"/>
      <c r="F365"/>
      <c r="G365"/>
      <c r="H365"/>
      <c r="I365"/>
      <c r="J365"/>
      <c r="K365"/>
      <c r="L365">
        <v>0</v>
      </c>
      <c r="M365">
        <v>0</v>
      </c>
    </row>
    <row r="366" spans="1:13">
      <c r="A366" s="121">
        <v>32295</v>
      </c>
      <c r="B366"/>
      <c r="C366"/>
      <c r="D366"/>
      <c r="E366"/>
      <c r="F366"/>
      <c r="G366"/>
      <c r="H366"/>
      <c r="I366"/>
      <c r="J366"/>
      <c r="K366"/>
      <c r="L366">
        <v>0</v>
      </c>
      <c r="M366">
        <v>0</v>
      </c>
    </row>
    <row r="367" spans="1:13">
      <c r="A367" s="121">
        <v>32325</v>
      </c>
      <c r="B367"/>
      <c r="C367"/>
      <c r="D367"/>
      <c r="E367"/>
      <c r="F367"/>
      <c r="G367"/>
      <c r="H367"/>
      <c r="I367"/>
      <c r="J367"/>
      <c r="K367"/>
      <c r="L367">
        <v>0</v>
      </c>
      <c r="M367">
        <v>0</v>
      </c>
    </row>
    <row r="368" spans="1:13">
      <c r="A368" s="121">
        <v>32356</v>
      </c>
      <c r="B368"/>
      <c r="C368"/>
      <c r="D368"/>
      <c r="E368"/>
      <c r="F368"/>
      <c r="G368"/>
      <c r="H368"/>
      <c r="I368"/>
      <c r="J368"/>
      <c r="K368"/>
      <c r="L368">
        <v>0</v>
      </c>
      <c r="M368">
        <v>0</v>
      </c>
    </row>
    <row r="369" spans="1:13">
      <c r="A369" s="121">
        <v>32387</v>
      </c>
      <c r="B369"/>
      <c r="C369"/>
      <c r="D369"/>
      <c r="E369"/>
      <c r="F369"/>
      <c r="G369"/>
      <c r="H369"/>
      <c r="I369"/>
      <c r="J369"/>
      <c r="K369"/>
      <c r="L369">
        <v>0</v>
      </c>
      <c r="M369">
        <v>0</v>
      </c>
    </row>
    <row r="370" spans="1:13">
      <c r="A370" s="121">
        <v>32417</v>
      </c>
      <c r="B370"/>
      <c r="C370"/>
      <c r="D370"/>
      <c r="E370"/>
      <c r="F370"/>
      <c r="G370"/>
      <c r="H370"/>
      <c r="I370"/>
      <c r="J370"/>
      <c r="K370"/>
      <c r="L370">
        <v>0</v>
      </c>
      <c r="M370">
        <v>0</v>
      </c>
    </row>
    <row r="371" spans="1:13">
      <c r="A371" s="121">
        <v>32448</v>
      </c>
      <c r="B371"/>
      <c r="C371"/>
      <c r="D371"/>
      <c r="E371"/>
      <c r="F371"/>
      <c r="G371"/>
      <c r="H371"/>
      <c r="I371"/>
      <c r="J371"/>
      <c r="K371"/>
      <c r="L371">
        <v>0</v>
      </c>
      <c r="M371">
        <v>0</v>
      </c>
    </row>
    <row r="372" spans="1:13">
      <c r="A372" s="121">
        <v>32478</v>
      </c>
      <c r="B372"/>
      <c r="C372"/>
      <c r="D372"/>
      <c r="E372"/>
      <c r="F372"/>
      <c r="G372"/>
      <c r="H372"/>
      <c r="I372"/>
      <c r="J372"/>
      <c r="K372"/>
      <c r="L372">
        <v>0</v>
      </c>
      <c r="M372">
        <v>0</v>
      </c>
    </row>
    <row r="373" spans="1:13">
      <c r="A373" s="121">
        <v>32509</v>
      </c>
      <c r="B373"/>
      <c r="C373"/>
      <c r="D373"/>
      <c r="E373"/>
      <c r="F373"/>
      <c r="G373"/>
      <c r="H373"/>
      <c r="I373"/>
      <c r="J373"/>
      <c r="K373"/>
      <c r="L373">
        <v>0</v>
      </c>
      <c r="M373">
        <v>0</v>
      </c>
    </row>
    <row r="374" spans="1:13">
      <c r="A374" s="121">
        <v>32540</v>
      </c>
      <c r="B374"/>
      <c r="C374"/>
      <c r="D374"/>
      <c r="E374"/>
      <c r="F374"/>
      <c r="G374"/>
      <c r="H374"/>
      <c r="I374"/>
      <c r="J374"/>
      <c r="K374"/>
      <c r="L374">
        <v>0</v>
      </c>
      <c r="M374">
        <v>0</v>
      </c>
    </row>
    <row r="375" spans="1:13">
      <c r="A375" s="121">
        <v>32568</v>
      </c>
      <c r="B375"/>
      <c r="C375"/>
      <c r="D375"/>
      <c r="E375"/>
      <c r="F375"/>
      <c r="G375"/>
      <c r="H375"/>
      <c r="I375"/>
      <c r="J375"/>
      <c r="K375"/>
      <c r="L375">
        <v>0</v>
      </c>
      <c r="M375">
        <v>0</v>
      </c>
    </row>
    <row r="376" spans="1:13">
      <c r="A376" s="121">
        <v>32599</v>
      </c>
      <c r="B376"/>
      <c r="C376"/>
      <c r="D376"/>
      <c r="E376"/>
      <c r="F376"/>
      <c r="G376"/>
      <c r="H376"/>
      <c r="I376"/>
      <c r="J376"/>
      <c r="K376"/>
      <c r="L376">
        <v>0</v>
      </c>
      <c r="M376">
        <v>0</v>
      </c>
    </row>
    <row r="377" spans="1:13">
      <c r="A377" s="121">
        <v>32629</v>
      </c>
      <c r="B377"/>
      <c r="C377"/>
      <c r="D377"/>
      <c r="E377"/>
      <c r="F377"/>
      <c r="G377"/>
      <c r="H377"/>
      <c r="I377"/>
      <c r="J377"/>
      <c r="K377"/>
      <c r="L377">
        <v>0</v>
      </c>
      <c r="M377">
        <v>0</v>
      </c>
    </row>
    <row r="378" spans="1:13">
      <c r="A378" s="121">
        <v>32660</v>
      </c>
      <c r="B378"/>
      <c r="C378"/>
      <c r="D378"/>
      <c r="E378"/>
      <c r="F378"/>
      <c r="G378"/>
      <c r="H378"/>
      <c r="I378"/>
      <c r="J378"/>
      <c r="K378"/>
      <c r="L378">
        <v>0</v>
      </c>
      <c r="M378">
        <v>0</v>
      </c>
    </row>
    <row r="379" spans="1:13">
      <c r="A379" s="121">
        <v>32690</v>
      </c>
      <c r="B379"/>
      <c r="C379"/>
      <c r="D379"/>
      <c r="E379"/>
      <c r="F379"/>
      <c r="G379"/>
      <c r="H379"/>
      <c r="I379"/>
      <c r="J379"/>
      <c r="K379"/>
      <c r="L379">
        <v>0</v>
      </c>
      <c r="M379">
        <v>0</v>
      </c>
    </row>
    <row r="380" spans="1:13">
      <c r="A380" s="121">
        <v>32721</v>
      </c>
      <c r="B380"/>
      <c r="C380"/>
      <c r="D380"/>
      <c r="E380"/>
      <c r="F380"/>
      <c r="G380"/>
      <c r="H380"/>
      <c r="I380"/>
      <c r="J380"/>
      <c r="K380"/>
      <c r="L380">
        <v>0</v>
      </c>
      <c r="M380">
        <v>0</v>
      </c>
    </row>
    <row r="381" spans="1:13">
      <c r="A381" s="121">
        <v>32752</v>
      </c>
      <c r="B381"/>
      <c r="C381"/>
      <c r="D381"/>
      <c r="E381"/>
      <c r="F381"/>
      <c r="G381"/>
      <c r="H381"/>
      <c r="I381"/>
      <c r="J381"/>
      <c r="K381"/>
      <c r="L381">
        <v>0</v>
      </c>
      <c r="M381">
        <v>0</v>
      </c>
    </row>
    <row r="382" spans="1:13">
      <c r="A382" s="121">
        <v>32782</v>
      </c>
      <c r="B382"/>
      <c r="C382"/>
      <c r="D382"/>
      <c r="E382"/>
      <c r="F382"/>
      <c r="G382"/>
      <c r="H382"/>
      <c r="I382"/>
      <c r="J382"/>
      <c r="K382"/>
      <c r="L382">
        <v>0</v>
      </c>
      <c r="M382">
        <v>0</v>
      </c>
    </row>
    <row r="383" spans="1:13">
      <c r="A383" s="121">
        <v>32813</v>
      </c>
      <c r="B383"/>
      <c r="C383"/>
      <c r="D383"/>
      <c r="E383"/>
      <c r="F383"/>
      <c r="G383"/>
      <c r="H383"/>
      <c r="I383"/>
      <c r="J383"/>
      <c r="K383"/>
      <c r="L383">
        <v>0</v>
      </c>
      <c r="M383">
        <v>0</v>
      </c>
    </row>
    <row r="384" spans="1:13">
      <c r="A384" s="121">
        <v>32843</v>
      </c>
      <c r="B384"/>
      <c r="C384"/>
      <c r="D384"/>
      <c r="E384"/>
      <c r="F384"/>
      <c r="G384"/>
      <c r="H384"/>
      <c r="I384"/>
      <c r="J384"/>
      <c r="K384"/>
      <c r="L384">
        <v>0</v>
      </c>
      <c r="M384">
        <v>0</v>
      </c>
    </row>
    <row r="385" spans="1:13">
      <c r="A385" s="121">
        <v>32874</v>
      </c>
      <c r="B385"/>
      <c r="C385"/>
      <c r="D385"/>
      <c r="E385"/>
      <c r="F385"/>
      <c r="G385"/>
      <c r="H385"/>
      <c r="I385"/>
      <c r="J385"/>
      <c r="K385"/>
      <c r="L385">
        <v>0</v>
      </c>
      <c r="M385">
        <v>0</v>
      </c>
    </row>
    <row r="386" spans="1:13">
      <c r="A386" s="121">
        <v>32905</v>
      </c>
      <c r="B386"/>
      <c r="C386"/>
      <c r="D386"/>
      <c r="E386"/>
      <c r="F386"/>
      <c r="G386"/>
      <c r="H386"/>
      <c r="I386"/>
      <c r="J386"/>
      <c r="K386"/>
      <c r="L386">
        <v>0</v>
      </c>
      <c r="M386">
        <v>0</v>
      </c>
    </row>
    <row r="387" spans="1:13">
      <c r="A387" s="121">
        <v>32933</v>
      </c>
      <c r="B387"/>
      <c r="C387"/>
      <c r="D387"/>
      <c r="E387"/>
      <c r="F387"/>
      <c r="G387"/>
      <c r="H387"/>
      <c r="I387"/>
      <c r="J387"/>
      <c r="K387"/>
      <c r="L387">
        <v>0</v>
      </c>
      <c r="M387">
        <v>0</v>
      </c>
    </row>
    <row r="388" spans="1:13">
      <c r="A388" s="121">
        <v>32964</v>
      </c>
      <c r="B388"/>
      <c r="C388"/>
      <c r="D388"/>
      <c r="E388"/>
      <c r="F388"/>
      <c r="G388"/>
      <c r="H388"/>
      <c r="I388"/>
      <c r="J388"/>
      <c r="K388"/>
      <c r="L388">
        <v>0</v>
      </c>
      <c r="M388">
        <v>0</v>
      </c>
    </row>
    <row r="389" spans="1:13">
      <c r="A389" s="121">
        <v>32994</v>
      </c>
      <c r="B389"/>
      <c r="C389"/>
      <c r="D389"/>
      <c r="E389"/>
      <c r="F389"/>
      <c r="G389"/>
      <c r="H389"/>
      <c r="I389"/>
      <c r="J389"/>
      <c r="K389"/>
      <c r="L389">
        <v>0</v>
      </c>
      <c r="M389">
        <v>0</v>
      </c>
    </row>
    <row r="390" spans="1:13">
      <c r="A390" s="121">
        <v>33025</v>
      </c>
      <c r="B390"/>
      <c r="C390"/>
      <c r="D390"/>
      <c r="E390"/>
      <c r="F390"/>
      <c r="G390"/>
      <c r="H390"/>
      <c r="I390"/>
      <c r="J390"/>
      <c r="K390"/>
      <c r="L390">
        <v>0</v>
      </c>
      <c r="M390">
        <v>0</v>
      </c>
    </row>
    <row r="391" spans="1:13">
      <c r="A391" s="121">
        <v>33055</v>
      </c>
      <c r="B391"/>
      <c r="C391"/>
      <c r="D391"/>
      <c r="E391"/>
      <c r="F391"/>
      <c r="G391"/>
      <c r="H391"/>
      <c r="I391"/>
      <c r="J391"/>
      <c r="K391"/>
      <c r="L391">
        <v>0</v>
      </c>
      <c r="M391">
        <v>0</v>
      </c>
    </row>
    <row r="392" spans="1:13">
      <c r="A392" s="121">
        <v>33086</v>
      </c>
      <c r="B392"/>
      <c r="C392"/>
      <c r="D392"/>
      <c r="E392"/>
      <c r="F392"/>
      <c r="G392"/>
      <c r="H392"/>
      <c r="I392"/>
      <c r="J392"/>
      <c r="K392"/>
      <c r="L392">
        <v>0</v>
      </c>
      <c r="M392">
        <v>0</v>
      </c>
    </row>
    <row r="393" spans="1:13">
      <c r="A393" s="121">
        <v>33117</v>
      </c>
      <c r="B393"/>
      <c r="C393"/>
      <c r="D393"/>
      <c r="E393"/>
      <c r="F393"/>
      <c r="G393"/>
      <c r="H393"/>
      <c r="I393"/>
      <c r="J393"/>
      <c r="K393"/>
      <c r="L393">
        <v>0</v>
      </c>
      <c r="M393">
        <v>0</v>
      </c>
    </row>
    <row r="394" spans="1:13">
      <c r="A394" s="121">
        <v>33147</v>
      </c>
      <c r="B394"/>
      <c r="C394"/>
      <c r="D394"/>
      <c r="E394"/>
      <c r="F394"/>
      <c r="G394"/>
      <c r="H394"/>
      <c r="I394"/>
      <c r="J394"/>
      <c r="K394"/>
      <c r="L394">
        <v>0</v>
      </c>
      <c r="M394">
        <v>0</v>
      </c>
    </row>
    <row r="395" spans="1:13">
      <c r="A395" s="121">
        <v>33178</v>
      </c>
      <c r="B395"/>
      <c r="C395"/>
      <c r="D395"/>
      <c r="E395"/>
      <c r="F395"/>
      <c r="G395"/>
      <c r="H395"/>
      <c r="I395"/>
      <c r="J395"/>
      <c r="K395"/>
      <c r="L395">
        <v>0</v>
      </c>
      <c r="M395">
        <v>0</v>
      </c>
    </row>
    <row r="396" spans="1:13">
      <c r="A396" s="121">
        <v>33208</v>
      </c>
      <c r="B396"/>
      <c r="C396"/>
      <c r="D396"/>
      <c r="E396"/>
      <c r="F396"/>
      <c r="G396"/>
      <c r="H396"/>
      <c r="I396"/>
      <c r="J396"/>
      <c r="K396"/>
      <c r="L396">
        <v>0</v>
      </c>
      <c r="M396">
        <v>0</v>
      </c>
    </row>
    <row r="397" spans="1:13">
      <c r="A397" s="121">
        <v>33239</v>
      </c>
      <c r="B397"/>
      <c r="C397"/>
      <c r="D397"/>
      <c r="E397"/>
      <c r="F397"/>
      <c r="G397"/>
      <c r="H397"/>
      <c r="I397"/>
      <c r="J397"/>
      <c r="K397"/>
      <c r="L397">
        <v>0</v>
      </c>
      <c r="M397">
        <v>0</v>
      </c>
    </row>
    <row r="398" spans="1:13">
      <c r="A398" s="121">
        <v>33270</v>
      </c>
      <c r="B398"/>
      <c r="C398"/>
      <c r="D398"/>
      <c r="E398"/>
      <c r="F398"/>
      <c r="G398"/>
      <c r="H398"/>
      <c r="I398"/>
      <c r="J398"/>
      <c r="K398"/>
      <c r="L398">
        <v>0</v>
      </c>
      <c r="M398">
        <v>0</v>
      </c>
    </row>
    <row r="399" spans="1:13">
      <c r="A399" s="121">
        <v>33298</v>
      </c>
      <c r="B399"/>
      <c r="C399"/>
      <c r="D399"/>
      <c r="E399"/>
      <c r="F399"/>
      <c r="G399"/>
      <c r="H399"/>
      <c r="I399"/>
      <c r="J399"/>
      <c r="K399"/>
      <c r="L399">
        <v>0</v>
      </c>
      <c r="M399">
        <v>0</v>
      </c>
    </row>
    <row r="400" spans="1:13">
      <c r="A400" s="121">
        <v>33329</v>
      </c>
      <c r="B400"/>
      <c r="C400"/>
      <c r="D400"/>
      <c r="E400"/>
      <c r="F400"/>
      <c r="G400"/>
      <c r="H400"/>
      <c r="I400"/>
      <c r="J400"/>
      <c r="K400"/>
      <c r="L400">
        <v>0</v>
      </c>
      <c r="M400">
        <v>0</v>
      </c>
    </row>
    <row r="401" spans="1:13">
      <c r="A401" s="121">
        <v>33359</v>
      </c>
      <c r="B401"/>
      <c r="C401"/>
      <c r="D401"/>
      <c r="E401"/>
      <c r="F401"/>
      <c r="G401"/>
      <c r="H401"/>
      <c r="I401"/>
      <c r="J401"/>
      <c r="K401"/>
      <c r="L401">
        <v>0</v>
      </c>
      <c r="M401">
        <v>0</v>
      </c>
    </row>
    <row r="402" spans="1:13">
      <c r="A402" s="121">
        <v>33390</v>
      </c>
      <c r="B402"/>
      <c r="C402"/>
      <c r="D402"/>
      <c r="E402"/>
      <c r="F402"/>
      <c r="G402"/>
      <c r="H402"/>
      <c r="I402"/>
      <c r="J402"/>
      <c r="K402"/>
      <c r="L402">
        <v>0</v>
      </c>
      <c r="M402">
        <v>0</v>
      </c>
    </row>
    <row r="403" spans="1:13">
      <c r="A403" s="121">
        <v>33420</v>
      </c>
      <c r="B403"/>
      <c r="C403"/>
      <c r="D403"/>
      <c r="E403"/>
      <c r="F403"/>
      <c r="G403"/>
      <c r="H403"/>
      <c r="I403"/>
      <c r="J403"/>
      <c r="K403"/>
      <c r="L403">
        <v>0</v>
      </c>
      <c r="M403">
        <v>0</v>
      </c>
    </row>
    <row r="404" spans="1:13">
      <c r="A404" s="121">
        <v>33451</v>
      </c>
      <c r="B404"/>
      <c r="C404"/>
      <c r="D404"/>
      <c r="E404"/>
      <c r="F404"/>
      <c r="G404"/>
      <c r="H404"/>
      <c r="I404"/>
      <c r="J404"/>
      <c r="K404"/>
      <c r="L404">
        <v>0</v>
      </c>
      <c r="M404">
        <v>0</v>
      </c>
    </row>
    <row r="405" spans="1:13">
      <c r="A405" s="121">
        <v>33482</v>
      </c>
      <c r="B405"/>
      <c r="C405"/>
      <c r="D405"/>
      <c r="E405"/>
      <c r="F405"/>
      <c r="G405"/>
      <c r="H405"/>
      <c r="I405"/>
      <c r="J405"/>
      <c r="K405"/>
      <c r="L405">
        <v>0</v>
      </c>
      <c r="M405">
        <v>0</v>
      </c>
    </row>
    <row r="406" spans="1:13">
      <c r="A406" s="121">
        <v>33512</v>
      </c>
      <c r="B406"/>
      <c r="C406"/>
      <c r="D406"/>
      <c r="E406"/>
      <c r="F406"/>
      <c r="G406"/>
      <c r="H406"/>
      <c r="I406"/>
      <c r="J406"/>
      <c r="K406"/>
      <c r="L406">
        <v>0</v>
      </c>
      <c r="M406">
        <v>0</v>
      </c>
    </row>
    <row r="407" spans="1:13">
      <c r="A407" s="121">
        <v>33543</v>
      </c>
      <c r="B407"/>
      <c r="C407"/>
      <c r="D407"/>
      <c r="E407"/>
      <c r="F407"/>
      <c r="G407"/>
      <c r="H407"/>
      <c r="I407"/>
      <c r="J407"/>
      <c r="K407"/>
      <c r="L407">
        <v>0</v>
      </c>
      <c r="M407">
        <v>0</v>
      </c>
    </row>
    <row r="408" spans="1:13">
      <c r="A408" s="121">
        <v>33573</v>
      </c>
      <c r="B408"/>
      <c r="C408"/>
      <c r="D408"/>
      <c r="E408"/>
      <c r="F408"/>
      <c r="G408"/>
      <c r="H408"/>
      <c r="I408"/>
      <c r="J408"/>
      <c r="K408"/>
      <c r="L408">
        <v>0</v>
      </c>
      <c r="M408">
        <v>0</v>
      </c>
    </row>
    <row r="409" spans="1:13">
      <c r="A409" s="121">
        <v>33604</v>
      </c>
      <c r="B409"/>
      <c r="C409"/>
      <c r="D409"/>
      <c r="E409"/>
      <c r="F409"/>
      <c r="G409"/>
      <c r="H409"/>
      <c r="I409"/>
      <c r="J409"/>
      <c r="K409">
        <v>35110</v>
      </c>
      <c r="L409">
        <v>0</v>
      </c>
      <c r="M409">
        <v>0</v>
      </c>
    </row>
    <row r="410" spans="1:13">
      <c r="A410" s="121">
        <v>33635</v>
      </c>
      <c r="B410">
        <v>9777</v>
      </c>
      <c r="C410">
        <v>13385</v>
      </c>
      <c r="D410">
        <v>14202</v>
      </c>
      <c r="E410">
        <v>19538</v>
      </c>
      <c r="F410">
        <v>6199</v>
      </c>
      <c r="G410">
        <v>31604</v>
      </c>
      <c r="H410">
        <v>106189</v>
      </c>
      <c r="I410">
        <v>82931</v>
      </c>
      <c r="J410">
        <v>82864</v>
      </c>
      <c r="K410">
        <v>33899</v>
      </c>
      <c r="L410">
        <v>114535</v>
      </c>
      <c r="M410">
        <v>33857</v>
      </c>
    </row>
    <row r="411" spans="1:13">
      <c r="A411" s="121">
        <v>33664</v>
      </c>
      <c r="B411">
        <v>10283</v>
      </c>
      <c r="C411">
        <v>13542</v>
      </c>
      <c r="D411">
        <v>15050</v>
      </c>
      <c r="E411">
        <v>19720</v>
      </c>
      <c r="F411">
        <v>6614</v>
      </c>
      <c r="G411">
        <v>34300</v>
      </c>
      <c r="H411">
        <v>113354</v>
      </c>
      <c r="I411">
        <v>85725</v>
      </c>
      <c r="J411">
        <v>86424</v>
      </c>
      <c r="K411">
        <v>35629</v>
      </c>
      <c r="L411">
        <v>120025</v>
      </c>
      <c r="M411">
        <v>35258</v>
      </c>
    </row>
    <row r="412" spans="1:13">
      <c r="A412" s="121">
        <v>33695</v>
      </c>
      <c r="B412">
        <v>10452</v>
      </c>
      <c r="C412">
        <v>13441</v>
      </c>
      <c r="D412">
        <v>15704</v>
      </c>
      <c r="E412">
        <v>19017</v>
      </c>
      <c r="F412">
        <v>6858</v>
      </c>
      <c r="G412">
        <v>37866</v>
      </c>
      <c r="H412">
        <v>115995</v>
      </c>
      <c r="I412">
        <v>86604</v>
      </c>
      <c r="J412">
        <v>90805</v>
      </c>
      <c r="K412">
        <v>36044</v>
      </c>
      <c r="L412">
        <v>124470</v>
      </c>
      <c r="M412">
        <v>35992</v>
      </c>
    </row>
    <row r="413" spans="1:13">
      <c r="A413" s="121">
        <v>33725</v>
      </c>
      <c r="B413">
        <v>10779</v>
      </c>
      <c r="C413">
        <v>14086</v>
      </c>
      <c r="D413">
        <v>15439</v>
      </c>
      <c r="E413">
        <v>20433</v>
      </c>
      <c r="F413">
        <v>6825</v>
      </c>
      <c r="G413">
        <v>37482</v>
      </c>
      <c r="H413">
        <v>117605</v>
      </c>
      <c r="I413">
        <v>88340</v>
      </c>
      <c r="J413">
        <v>91120</v>
      </c>
      <c r="K413">
        <v>35942</v>
      </c>
      <c r="L413">
        <v>125822</v>
      </c>
      <c r="M413">
        <v>36811</v>
      </c>
    </row>
    <row r="414" spans="1:13">
      <c r="A414" s="121">
        <v>33756</v>
      </c>
      <c r="B414">
        <v>10822</v>
      </c>
      <c r="C414">
        <v>14416</v>
      </c>
      <c r="D414">
        <v>16029</v>
      </c>
      <c r="E414">
        <v>19551</v>
      </c>
      <c r="F414">
        <v>6606</v>
      </c>
      <c r="G414">
        <v>34615</v>
      </c>
      <c r="H414">
        <v>115878</v>
      </c>
      <c r="I414">
        <v>88219</v>
      </c>
      <c r="J414">
        <v>88649</v>
      </c>
      <c r="K414">
        <v>36349</v>
      </c>
      <c r="L414">
        <v>122834</v>
      </c>
      <c r="M414">
        <v>36666</v>
      </c>
    </row>
    <row r="415" spans="1:13">
      <c r="A415" s="121">
        <v>33786</v>
      </c>
      <c r="B415">
        <v>10801</v>
      </c>
      <c r="C415">
        <v>13991</v>
      </c>
      <c r="D415">
        <v>15458</v>
      </c>
      <c r="E415">
        <v>19700</v>
      </c>
      <c r="F415">
        <v>6782</v>
      </c>
      <c r="G415">
        <v>34863</v>
      </c>
      <c r="H415">
        <v>116709</v>
      </c>
      <c r="I415">
        <v>87727</v>
      </c>
      <c r="J415">
        <v>87342</v>
      </c>
      <c r="K415">
        <v>36850</v>
      </c>
      <c r="L415">
        <v>122590</v>
      </c>
      <c r="M415">
        <v>36629</v>
      </c>
    </row>
    <row r="416" spans="1:13">
      <c r="A416" s="121">
        <v>33817</v>
      </c>
      <c r="B416">
        <v>10778</v>
      </c>
      <c r="C416">
        <v>14156</v>
      </c>
      <c r="D416">
        <v>15379</v>
      </c>
      <c r="E416">
        <v>19482</v>
      </c>
      <c r="F416">
        <v>6921</v>
      </c>
      <c r="G416">
        <v>32914</v>
      </c>
      <c r="H416">
        <v>114544</v>
      </c>
      <c r="I416">
        <v>87497</v>
      </c>
      <c r="J416">
        <v>85995</v>
      </c>
      <c r="K416">
        <v>36373</v>
      </c>
      <c r="L416">
        <v>120411</v>
      </c>
      <c r="M416">
        <v>36131</v>
      </c>
    </row>
    <row r="417" spans="1:13">
      <c r="A417" s="121">
        <v>33848</v>
      </c>
      <c r="B417">
        <v>9907</v>
      </c>
      <c r="C417">
        <v>14560</v>
      </c>
      <c r="D417">
        <v>16511</v>
      </c>
      <c r="E417">
        <v>20030</v>
      </c>
      <c r="F417">
        <v>6746</v>
      </c>
      <c r="G417">
        <v>32030</v>
      </c>
      <c r="H417">
        <v>114022</v>
      </c>
      <c r="I417">
        <v>88681</v>
      </c>
      <c r="J417">
        <v>86668</v>
      </c>
      <c r="K417">
        <v>37262</v>
      </c>
      <c r="L417">
        <v>120711</v>
      </c>
      <c r="M417">
        <v>37629</v>
      </c>
    </row>
    <row r="418" spans="1:13">
      <c r="A418" s="121">
        <v>33878</v>
      </c>
      <c r="B418">
        <v>9896</v>
      </c>
      <c r="C418">
        <v>14541</v>
      </c>
      <c r="D418">
        <v>15630</v>
      </c>
      <c r="E418">
        <v>19187</v>
      </c>
      <c r="F418">
        <v>6975</v>
      </c>
      <c r="G418">
        <v>40328</v>
      </c>
      <c r="H418">
        <v>115727</v>
      </c>
      <c r="I418">
        <v>87064</v>
      </c>
      <c r="J418">
        <v>93051</v>
      </c>
      <c r="K418">
        <v>36576</v>
      </c>
      <c r="L418">
        <v>127392</v>
      </c>
      <c r="M418">
        <v>36668</v>
      </c>
    </row>
    <row r="419" spans="1:13">
      <c r="A419" s="121">
        <v>33909</v>
      </c>
      <c r="B419">
        <v>10100</v>
      </c>
      <c r="C419">
        <v>14301</v>
      </c>
      <c r="D419">
        <v>16071</v>
      </c>
      <c r="E419">
        <v>21027</v>
      </c>
      <c r="F419">
        <v>6984</v>
      </c>
      <c r="G419">
        <v>32877</v>
      </c>
      <c r="H419">
        <v>114116</v>
      </c>
      <c r="I419">
        <v>89497</v>
      </c>
      <c r="J419">
        <v>87613</v>
      </c>
      <c r="K419">
        <v>36647</v>
      </c>
      <c r="L419">
        <v>122374</v>
      </c>
      <c r="M419">
        <v>37573</v>
      </c>
    </row>
    <row r="420" spans="1:13">
      <c r="A420" s="121">
        <v>33939</v>
      </c>
      <c r="B420">
        <v>10602</v>
      </c>
      <c r="C420">
        <v>14938</v>
      </c>
      <c r="D420">
        <v>16704</v>
      </c>
      <c r="E420">
        <v>21666</v>
      </c>
      <c r="F420">
        <v>6853</v>
      </c>
      <c r="G420">
        <v>34721</v>
      </c>
      <c r="H420">
        <v>117702</v>
      </c>
      <c r="I420">
        <v>91359</v>
      </c>
      <c r="J420">
        <v>91480</v>
      </c>
      <c r="K420">
        <v>38225</v>
      </c>
      <c r="L420">
        <v>126080</v>
      </c>
      <c r="M420">
        <v>38374</v>
      </c>
    </row>
    <row r="421" spans="1:13">
      <c r="A421" s="121">
        <v>33970</v>
      </c>
      <c r="B421">
        <v>10891</v>
      </c>
      <c r="C421">
        <v>13919</v>
      </c>
      <c r="D421">
        <v>16286</v>
      </c>
      <c r="E421">
        <v>20541</v>
      </c>
      <c r="F421">
        <v>7236</v>
      </c>
      <c r="G421">
        <v>30563</v>
      </c>
      <c r="H421">
        <v>115615</v>
      </c>
      <c r="I421">
        <v>91074</v>
      </c>
      <c r="J421">
        <v>85937</v>
      </c>
      <c r="K421">
        <v>37790</v>
      </c>
      <c r="L421">
        <v>121637</v>
      </c>
      <c r="M421">
        <v>37041</v>
      </c>
    </row>
    <row r="422" spans="1:13">
      <c r="A422" s="121">
        <v>34001</v>
      </c>
      <c r="B422">
        <v>10670</v>
      </c>
      <c r="C422">
        <v>14272</v>
      </c>
      <c r="D422">
        <v>15365</v>
      </c>
      <c r="E422">
        <v>20113</v>
      </c>
      <c r="F422">
        <v>7188</v>
      </c>
      <c r="G422">
        <v>38406</v>
      </c>
      <c r="H422">
        <v>121420</v>
      </c>
      <c r="I422">
        <v>90448</v>
      </c>
      <c r="J422">
        <v>92361</v>
      </c>
      <c r="K422">
        <v>37158</v>
      </c>
      <c r="L422">
        <v>128854</v>
      </c>
      <c r="M422">
        <v>36962</v>
      </c>
    </row>
    <row r="423" spans="1:13">
      <c r="A423" s="121">
        <v>34029</v>
      </c>
      <c r="B423">
        <v>11682</v>
      </c>
      <c r="C423">
        <v>14265</v>
      </c>
      <c r="D423">
        <v>16021</v>
      </c>
      <c r="E423">
        <v>20413</v>
      </c>
      <c r="F423">
        <v>7163</v>
      </c>
      <c r="G423">
        <v>34839</v>
      </c>
      <c r="H423">
        <v>118717</v>
      </c>
      <c r="I423">
        <v>91923</v>
      </c>
      <c r="J423">
        <v>90529</v>
      </c>
      <c r="K423">
        <v>37713</v>
      </c>
      <c r="L423">
        <v>126762</v>
      </c>
      <c r="M423">
        <v>36895</v>
      </c>
    </row>
    <row r="424" spans="1:13">
      <c r="A424" s="121">
        <v>34060</v>
      </c>
      <c r="B424">
        <v>10450</v>
      </c>
      <c r="C424">
        <v>14368</v>
      </c>
      <c r="D424">
        <v>16200</v>
      </c>
      <c r="E424">
        <v>20516</v>
      </c>
      <c r="F424">
        <v>7188</v>
      </c>
      <c r="G424">
        <v>35695</v>
      </c>
      <c r="H424">
        <v>120216</v>
      </c>
      <c r="I424">
        <v>91700</v>
      </c>
      <c r="J424">
        <v>91131</v>
      </c>
      <c r="K424">
        <v>37231</v>
      </c>
      <c r="L424">
        <v>127395</v>
      </c>
      <c r="M424">
        <v>37729</v>
      </c>
    </row>
    <row r="425" spans="1:13">
      <c r="A425" s="121">
        <v>34090</v>
      </c>
      <c r="B425">
        <v>10564</v>
      </c>
      <c r="C425">
        <v>14205</v>
      </c>
      <c r="D425">
        <v>16437</v>
      </c>
      <c r="E425">
        <v>20495</v>
      </c>
      <c r="F425">
        <v>7312</v>
      </c>
      <c r="G425">
        <v>35036</v>
      </c>
      <c r="H425">
        <v>119649</v>
      </c>
      <c r="I425">
        <v>91493</v>
      </c>
      <c r="J425">
        <v>89831</v>
      </c>
      <c r="K425">
        <v>37869</v>
      </c>
      <c r="L425">
        <v>126529</v>
      </c>
      <c r="M425">
        <v>37869</v>
      </c>
    </row>
    <row r="426" spans="1:13">
      <c r="A426" s="121">
        <v>34121</v>
      </c>
      <c r="B426">
        <v>10692</v>
      </c>
      <c r="C426">
        <v>14456</v>
      </c>
      <c r="D426">
        <v>16781</v>
      </c>
      <c r="E426">
        <v>19770</v>
      </c>
      <c r="F426">
        <v>7197</v>
      </c>
      <c r="G426">
        <v>39073</v>
      </c>
      <c r="H426">
        <v>124266</v>
      </c>
      <c r="I426">
        <v>91139</v>
      </c>
      <c r="J426">
        <v>93493</v>
      </c>
      <c r="K426">
        <v>38235</v>
      </c>
      <c r="L426">
        <v>130212</v>
      </c>
      <c r="M426">
        <v>38381</v>
      </c>
    </row>
    <row r="427" spans="1:13">
      <c r="A427" s="121">
        <v>34151</v>
      </c>
      <c r="B427">
        <v>10427</v>
      </c>
      <c r="C427">
        <v>14738</v>
      </c>
      <c r="D427">
        <v>16926</v>
      </c>
      <c r="E427">
        <v>20734</v>
      </c>
      <c r="F427">
        <v>7337</v>
      </c>
      <c r="G427">
        <v>35615</v>
      </c>
      <c r="H427">
        <v>119325</v>
      </c>
      <c r="I427">
        <v>92496</v>
      </c>
      <c r="J427">
        <v>92023</v>
      </c>
      <c r="K427">
        <v>38318</v>
      </c>
      <c r="L427">
        <v>128111</v>
      </c>
      <c r="M427">
        <v>38915</v>
      </c>
    </row>
    <row r="428" spans="1:13">
      <c r="A428" s="121">
        <v>34182</v>
      </c>
      <c r="B428">
        <v>10411</v>
      </c>
      <c r="C428">
        <v>14787</v>
      </c>
      <c r="D428">
        <v>16913</v>
      </c>
      <c r="E428">
        <v>21352</v>
      </c>
      <c r="F428">
        <v>7508</v>
      </c>
      <c r="G428">
        <v>35954</v>
      </c>
      <c r="H428">
        <v>121450</v>
      </c>
      <c r="I428">
        <v>93424</v>
      </c>
      <c r="J428">
        <v>94226</v>
      </c>
      <c r="K428">
        <v>38394</v>
      </c>
      <c r="L428">
        <v>129378</v>
      </c>
      <c r="M428">
        <v>39309</v>
      </c>
    </row>
    <row r="429" spans="1:13">
      <c r="A429" s="121">
        <v>34213</v>
      </c>
      <c r="B429">
        <v>10836</v>
      </c>
      <c r="C429">
        <v>15065</v>
      </c>
      <c r="D429">
        <v>17396</v>
      </c>
      <c r="E429">
        <v>20750</v>
      </c>
      <c r="F429">
        <v>7609</v>
      </c>
      <c r="G429">
        <v>33151</v>
      </c>
      <c r="H429">
        <v>120779</v>
      </c>
      <c r="I429">
        <v>94082</v>
      </c>
      <c r="J429">
        <v>90477</v>
      </c>
      <c r="K429">
        <v>39656</v>
      </c>
      <c r="L429">
        <v>127233</v>
      </c>
      <c r="M429">
        <v>39307</v>
      </c>
    </row>
    <row r="430" spans="1:13">
      <c r="A430" s="121">
        <v>34243</v>
      </c>
      <c r="B430">
        <v>10919</v>
      </c>
      <c r="C430">
        <v>15188</v>
      </c>
      <c r="D430">
        <v>17276</v>
      </c>
      <c r="E430">
        <v>22212</v>
      </c>
      <c r="F430">
        <v>7546</v>
      </c>
      <c r="G430">
        <v>37135</v>
      </c>
      <c r="H430">
        <v>125808</v>
      </c>
      <c r="I430">
        <v>96033</v>
      </c>
      <c r="J430">
        <v>94772</v>
      </c>
      <c r="K430">
        <v>39814</v>
      </c>
      <c r="L430">
        <v>133168</v>
      </c>
      <c r="M430">
        <v>40550</v>
      </c>
    </row>
    <row r="431" spans="1:13">
      <c r="A431" s="121">
        <v>34274</v>
      </c>
      <c r="B431">
        <v>10830</v>
      </c>
      <c r="C431">
        <v>14524</v>
      </c>
      <c r="D431">
        <v>17210</v>
      </c>
      <c r="E431">
        <v>21504</v>
      </c>
      <c r="F431">
        <v>7549</v>
      </c>
      <c r="G431">
        <v>35941</v>
      </c>
      <c r="H431">
        <v>124269</v>
      </c>
      <c r="I431">
        <v>94450</v>
      </c>
      <c r="J431">
        <v>92009</v>
      </c>
      <c r="K431">
        <v>40070</v>
      </c>
      <c r="L431">
        <v>130391</v>
      </c>
      <c r="M431">
        <v>40301</v>
      </c>
    </row>
    <row r="432" spans="1:13">
      <c r="A432" s="121">
        <v>34304</v>
      </c>
      <c r="B432">
        <v>10659</v>
      </c>
      <c r="C432">
        <v>16356</v>
      </c>
      <c r="D432">
        <v>19964</v>
      </c>
      <c r="E432">
        <v>19601</v>
      </c>
      <c r="F432">
        <v>7412</v>
      </c>
      <c r="G432">
        <v>35708</v>
      </c>
      <c r="H432">
        <v>127594</v>
      </c>
      <c r="I432">
        <v>97857</v>
      </c>
      <c r="J432">
        <v>94944</v>
      </c>
      <c r="K432">
        <v>41523</v>
      </c>
      <c r="L432">
        <v>133565</v>
      </c>
      <c r="M432">
        <v>43296</v>
      </c>
    </row>
    <row r="433" spans="1:13">
      <c r="A433" s="121">
        <v>34335</v>
      </c>
      <c r="B433">
        <v>10842</v>
      </c>
      <c r="C433">
        <v>15603</v>
      </c>
      <c r="D433">
        <v>17444</v>
      </c>
      <c r="E433">
        <v>21516</v>
      </c>
      <c r="F433">
        <v>7807</v>
      </c>
      <c r="G433">
        <v>41248</v>
      </c>
      <c r="H433">
        <v>130159</v>
      </c>
      <c r="I433">
        <v>97250</v>
      </c>
      <c r="J433">
        <v>98647</v>
      </c>
      <c r="K433">
        <v>40254</v>
      </c>
      <c r="L433">
        <v>138498</v>
      </c>
      <c r="M433">
        <v>39801</v>
      </c>
    </row>
    <row r="434" spans="1:13">
      <c r="A434" s="121">
        <v>34366</v>
      </c>
      <c r="B434">
        <v>11246</v>
      </c>
      <c r="C434">
        <v>15294</v>
      </c>
      <c r="D434">
        <v>18254</v>
      </c>
      <c r="E434">
        <v>22300</v>
      </c>
      <c r="F434">
        <v>7955</v>
      </c>
      <c r="G434">
        <v>38421</v>
      </c>
      <c r="H434">
        <v>131270</v>
      </c>
      <c r="I434">
        <v>98720</v>
      </c>
      <c r="J434">
        <v>97358</v>
      </c>
      <c r="K434">
        <v>41273</v>
      </c>
      <c r="L434">
        <v>137141</v>
      </c>
      <c r="M434">
        <v>41736</v>
      </c>
    </row>
    <row r="435" spans="1:13">
      <c r="A435" s="121">
        <v>34394</v>
      </c>
      <c r="B435">
        <v>11727</v>
      </c>
      <c r="C435">
        <v>16330</v>
      </c>
      <c r="D435">
        <v>17949</v>
      </c>
      <c r="E435">
        <v>20509</v>
      </c>
      <c r="F435">
        <v>7799</v>
      </c>
      <c r="G435">
        <v>38051</v>
      </c>
      <c r="H435">
        <v>131368</v>
      </c>
      <c r="I435">
        <v>98497</v>
      </c>
      <c r="J435">
        <v>96706</v>
      </c>
      <c r="K435">
        <v>40601</v>
      </c>
      <c r="L435">
        <v>136548</v>
      </c>
      <c r="M435">
        <v>41245</v>
      </c>
    </row>
    <row r="436" spans="1:13">
      <c r="A436" s="121">
        <v>34425</v>
      </c>
      <c r="B436">
        <v>11530</v>
      </c>
      <c r="C436">
        <v>15786</v>
      </c>
      <c r="D436">
        <v>18595</v>
      </c>
      <c r="E436">
        <v>22665</v>
      </c>
      <c r="F436">
        <v>8129</v>
      </c>
      <c r="G436">
        <v>39235</v>
      </c>
      <c r="H436">
        <v>134410</v>
      </c>
      <c r="I436">
        <v>101101</v>
      </c>
      <c r="J436">
        <v>99591</v>
      </c>
      <c r="K436">
        <v>41814</v>
      </c>
      <c r="L436">
        <v>140336</v>
      </c>
      <c r="M436">
        <v>42992</v>
      </c>
    </row>
    <row r="437" spans="1:13">
      <c r="A437" s="121">
        <v>34455</v>
      </c>
      <c r="B437">
        <v>12012</v>
      </c>
      <c r="C437">
        <v>16252</v>
      </c>
      <c r="D437">
        <v>18973</v>
      </c>
      <c r="E437">
        <v>22505</v>
      </c>
      <c r="F437">
        <v>8132</v>
      </c>
      <c r="G437">
        <v>40007</v>
      </c>
      <c r="H437">
        <v>135316</v>
      </c>
      <c r="I437">
        <v>102623</v>
      </c>
      <c r="J437">
        <v>101522</v>
      </c>
      <c r="K437">
        <v>42432</v>
      </c>
      <c r="L437">
        <v>142630</v>
      </c>
      <c r="M437">
        <v>42849</v>
      </c>
    </row>
    <row r="438" spans="1:13">
      <c r="A438" s="121">
        <v>34486</v>
      </c>
      <c r="B438">
        <v>12102</v>
      </c>
      <c r="C438">
        <v>16443</v>
      </c>
      <c r="D438">
        <v>20095</v>
      </c>
      <c r="E438">
        <v>23421</v>
      </c>
      <c r="F438">
        <v>8137</v>
      </c>
      <c r="G438">
        <v>40588</v>
      </c>
      <c r="H438">
        <v>138289</v>
      </c>
      <c r="I438">
        <v>104475</v>
      </c>
      <c r="J438">
        <v>103928</v>
      </c>
      <c r="K438">
        <v>42693</v>
      </c>
      <c r="L438">
        <v>145063</v>
      </c>
      <c r="M438">
        <v>44555</v>
      </c>
    </row>
    <row r="439" spans="1:13">
      <c r="A439" s="121">
        <v>34516</v>
      </c>
      <c r="B439">
        <v>12217</v>
      </c>
      <c r="C439">
        <v>16502</v>
      </c>
      <c r="D439">
        <v>19528</v>
      </c>
      <c r="E439">
        <v>23762</v>
      </c>
      <c r="F439">
        <v>8307</v>
      </c>
      <c r="G439">
        <v>40172</v>
      </c>
      <c r="H439">
        <v>138141</v>
      </c>
      <c r="I439">
        <v>104841</v>
      </c>
      <c r="J439">
        <v>103538</v>
      </c>
      <c r="K439">
        <v>42885</v>
      </c>
      <c r="L439">
        <v>145013</v>
      </c>
      <c r="M439">
        <v>44016</v>
      </c>
    </row>
    <row r="440" spans="1:13">
      <c r="A440" s="121">
        <v>34547</v>
      </c>
      <c r="B440">
        <v>12085</v>
      </c>
      <c r="C440">
        <v>16767</v>
      </c>
      <c r="D440">
        <v>20035</v>
      </c>
      <c r="E440">
        <v>22975</v>
      </c>
      <c r="F440">
        <v>7812</v>
      </c>
      <c r="G440">
        <v>41980</v>
      </c>
      <c r="H440">
        <v>139058</v>
      </c>
      <c r="I440">
        <v>103904</v>
      </c>
      <c r="J440">
        <v>103907</v>
      </c>
      <c r="K440">
        <v>43076</v>
      </c>
      <c r="L440">
        <v>145884</v>
      </c>
      <c r="M440">
        <v>44406</v>
      </c>
    </row>
    <row r="441" spans="1:13">
      <c r="A441" s="121">
        <v>34578</v>
      </c>
      <c r="B441">
        <v>13113</v>
      </c>
      <c r="C441">
        <v>16326</v>
      </c>
      <c r="D441">
        <v>19847</v>
      </c>
      <c r="E441">
        <v>23340</v>
      </c>
      <c r="F441">
        <v>8099</v>
      </c>
      <c r="G441">
        <v>40661</v>
      </c>
      <c r="H441">
        <v>139135</v>
      </c>
      <c r="I441">
        <v>104826</v>
      </c>
      <c r="J441">
        <v>104150</v>
      </c>
      <c r="K441">
        <v>43322</v>
      </c>
      <c r="L441">
        <v>145487</v>
      </c>
      <c r="M441">
        <v>44507</v>
      </c>
    </row>
    <row r="442" spans="1:13">
      <c r="A442" s="121">
        <v>34608</v>
      </c>
      <c r="B442">
        <v>13177</v>
      </c>
      <c r="C442">
        <v>16853</v>
      </c>
      <c r="D442">
        <v>20784</v>
      </c>
      <c r="E442">
        <v>24094</v>
      </c>
      <c r="F442">
        <v>8591</v>
      </c>
      <c r="G442">
        <v>41592</v>
      </c>
      <c r="H442">
        <v>141113</v>
      </c>
      <c r="I442">
        <v>107955</v>
      </c>
      <c r="J442">
        <v>107573</v>
      </c>
      <c r="K442">
        <v>43646</v>
      </c>
      <c r="L442">
        <v>149547</v>
      </c>
      <c r="M442">
        <v>45959</v>
      </c>
    </row>
    <row r="443" spans="1:13">
      <c r="A443" s="121">
        <v>34639</v>
      </c>
      <c r="B443">
        <v>13087</v>
      </c>
      <c r="C443">
        <v>17125</v>
      </c>
      <c r="D443">
        <v>20783</v>
      </c>
      <c r="E443">
        <v>23893</v>
      </c>
      <c r="F443">
        <v>8102</v>
      </c>
      <c r="G443">
        <v>42896</v>
      </c>
      <c r="H443">
        <v>143323</v>
      </c>
      <c r="I443">
        <v>107142</v>
      </c>
      <c r="J443">
        <v>107130</v>
      </c>
      <c r="K443">
        <v>44846</v>
      </c>
      <c r="L443">
        <v>150038</v>
      </c>
      <c r="M443">
        <v>45942</v>
      </c>
    </row>
    <row r="444" spans="1:13">
      <c r="A444" s="121">
        <v>34669</v>
      </c>
      <c r="B444">
        <v>13870</v>
      </c>
      <c r="C444">
        <v>17561</v>
      </c>
      <c r="D444">
        <v>20949</v>
      </c>
      <c r="E444">
        <v>23829</v>
      </c>
      <c r="F444">
        <v>8201</v>
      </c>
      <c r="G444">
        <v>43132</v>
      </c>
      <c r="H444">
        <v>144805</v>
      </c>
      <c r="I444">
        <v>109357</v>
      </c>
      <c r="J444">
        <v>108697</v>
      </c>
      <c r="K444">
        <v>45860</v>
      </c>
      <c r="L444">
        <v>152489</v>
      </c>
      <c r="M444">
        <v>46186</v>
      </c>
    </row>
    <row r="445" spans="1:13">
      <c r="A445" s="121">
        <v>34700</v>
      </c>
      <c r="B445">
        <v>13875</v>
      </c>
      <c r="C445">
        <v>18222</v>
      </c>
      <c r="D445">
        <v>20813</v>
      </c>
      <c r="E445">
        <v>24307</v>
      </c>
      <c r="F445">
        <v>8626</v>
      </c>
      <c r="G445">
        <v>38560</v>
      </c>
      <c r="H445">
        <v>145879</v>
      </c>
      <c r="I445">
        <v>111899</v>
      </c>
      <c r="J445">
        <v>107635</v>
      </c>
      <c r="K445">
        <v>45244</v>
      </c>
      <c r="L445">
        <v>150459</v>
      </c>
      <c r="M445">
        <v>47317</v>
      </c>
    </row>
    <row r="446" spans="1:13">
      <c r="A446" s="121">
        <v>34731</v>
      </c>
      <c r="B446">
        <v>13372</v>
      </c>
      <c r="C446">
        <v>17932</v>
      </c>
      <c r="D446">
        <v>20278</v>
      </c>
      <c r="E446">
        <v>23932</v>
      </c>
      <c r="F446">
        <v>8411</v>
      </c>
      <c r="G446">
        <v>44372</v>
      </c>
      <c r="H446">
        <v>146538</v>
      </c>
      <c r="I446">
        <v>109484</v>
      </c>
      <c r="J446">
        <v>110588</v>
      </c>
      <c r="K446">
        <v>45939</v>
      </c>
      <c r="L446">
        <v>153856</v>
      </c>
      <c r="M446">
        <v>46200</v>
      </c>
    </row>
    <row r="447" spans="1:13">
      <c r="A447" s="121">
        <v>34759</v>
      </c>
      <c r="B447">
        <v>13650</v>
      </c>
      <c r="C447">
        <v>17741</v>
      </c>
      <c r="D447">
        <v>20090</v>
      </c>
      <c r="E447">
        <v>24617</v>
      </c>
      <c r="F447">
        <v>8556</v>
      </c>
      <c r="G447">
        <v>43176</v>
      </c>
      <c r="H447">
        <v>145807</v>
      </c>
      <c r="I447">
        <v>109712</v>
      </c>
      <c r="J447">
        <v>110175</v>
      </c>
      <c r="K447">
        <v>45318</v>
      </c>
      <c r="L447">
        <v>152888</v>
      </c>
      <c r="M447">
        <v>46095</v>
      </c>
    </row>
    <row r="448" spans="1:13">
      <c r="A448" s="121">
        <v>34790</v>
      </c>
      <c r="B448">
        <v>13396</v>
      </c>
      <c r="C448">
        <v>17693</v>
      </c>
      <c r="D448">
        <v>19901</v>
      </c>
      <c r="E448">
        <v>25903</v>
      </c>
      <c r="F448">
        <v>8166</v>
      </c>
      <c r="G448">
        <v>40921</v>
      </c>
      <c r="H448">
        <v>145517</v>
      </c>
      <c r="I448">
        <v>110480</v>
      </c>
      <c r="J448">
        <v>108608</v>
      </c>
      <c r="K448">
        <v>46461</v>
      </c>
      <c r="L448">
        <v>151401</v>
      </c>
      <c r="M448">
        <v>46776</v>
      </c>
    </row>
    <row r="449" spans="1:13">
      <c r="A449" s="121">
        <v>34820</v>
      </c>
      <c r="B449">
        <v>12852</v>
      </c>
      <c r="C449">
        <v>18061</v>
      </c>
      <c r="D449">
        <v>20610</v>
      </c>
      <c r="E449">
        <v>26720</v>
      </c>
      <c r="F449">
        <v>8249</v>
      </c>
      <c r="G449">
        <v>41044</v>
      </c>
      <c r="H449">
        <v>146352</v>
      </c>
      <c r="I449">
        <v>111794</v>
      </c>
      <c r="J449">
        <v>111257</v>
      </c>
      <c r="K449">
        <v>46614</v>
      </c>
      <c r="L449">
        <v>152838</v>
      </c>
      <c r="M449">
        <v>48401</v>
      </c>
    </row>
    <row r="450" spans="1:13">
      <c r="A450" s="121">
        <v>34851</v>
      </c>
      <c r="B450">
        <v>12712</v>
      </c>
      <c r="C450">
        <v>17425</v>
      </c>
      <c r="D450">
        <v>21247</v>
      </c>
      <c r="E450">
        <v>25141</v>
      </c>
      <c r="F450">
        <v>8243</v>
      </c>
      <c r="G450">
        <v>40611</v>
      </c>
      <c r="H450">
        <v>143562</v>
      </c>
      <c r="I450">
        <v>109440</v>
      </c>
      <c r="J450">
        <v>108462</v>
      </c>
      <c r="K450">
        <v>47124</v>
      </c>
      <c r="L450">
        <v>150051</v>
      </c>
      <c r="M450">
        <v>47970</v>
      </c>
    </row>
    <row r="451" spans="1:13">
      <c r="A451" s="121">
        <v>34881</v>
      </c>
      <c r="B451">
        <v>12659</v>
      </c>
      <c r="C451">
        <v>17685</v>
      </c>
      <c r="D451">
        <v>19780</v>
      </c>
      <c r="E451">
        <v>24896</v>
      </c>
      <c r="F451">
        <v>8488</v>
      </c>
      <c r="G451">
        <v>39925</v>
      </c>
      <c r="H451">
        <v>142786</v>
      </c>
      <c r="I451">
        <v>108990</v>
      </c>
      <c r="J451">
        <v>107267</v>
      </c>
      <c r="K451">
        <v>45905</v>
      </c>
      <c r="L451">
        <v>148915</v>
      </c>
      <c r="M451">
        <v>45962</v>
      </c>
    </row>
    <row r="452" spans="1:13">
      <c r="A452" s="121">
        <v>34912</v>
      </c>
      <c r="B452">
        <v>13585</v>
      </c>
      <c r="C452">
        <v>17768</v>
      </c>
      <c r="D452">
        <v>21215</v>
      </c>
      <c r="E452">
        <v>25700</v>
      </c>
      <c r="F452">
        <v>8588</v>
      </c>
      <c r="G452">
        <v>42056</v>
      </c>
      <c r="H452">
        <v>147062</v>
      </c>
      <c r="I452">
        <v>112316</v>
      </c>
      <c r="J452">
        <v>112114</v>
      </c>
      <c r="K452">
        <v>47284</v>
      </c>
      <c r="L452">
        <v>154372</v>
      </c>
      <c r="M452">
        <v>47502</v>
      </c>
    </row>
    <row r="453" spans="1:13">
      <c r="A453" s="121">
        <v>34943</v>
      </c>
      <c r="B453">
        <v>13303</v>
      </c>
      <c r="C453">
        <v>17796</v>
      </c>
      <c r="D453">
        <v>22008</v>
      </c>
      <c r="E453">
        <v>26606</v>
      </c>
      <c r="F453">
        <v>8412</v>
      </c>
      <c r="G453">
        <v>47156</v>
      </c>
      <c r="H453">
        <v>153556</v>
      </c>
      <c r="I453">
        <v>113019</v>
      </c>
      <c r="J453">
        <v>116838</v>
      </c>
      <c r="K453">
        <v>48057</v>
      </c>
      <c r="L453">
        <v>160175</v>
      </c>
      <c r="M453">
        <v>49431</v>
      </c>
    </row>
    <row r="454" spans="1:13">
      <c r="A454" s="121">
        <v>34973</v>
      </c>
      <c r="B454">
        <v>13731</v>
      </c>
      <c r="C454">
        <v>18112</v>
      </c>
      <c r="D454">
        <v>21537</v>
      </c>
      <c r="E454">
        <v>28407</v>
      </c>
      <c r="F454">
        <v>8507</v>
      </c>
      <c r="G454">
        <v>39823</v>
      </c>
      <c r="H454">
        <v>149481</v>
      </c>
      <c r="I454">
        <v>115650</v>
      </c>
      <c r="J454">
        <v>112366</v>
      </c>
      <c r="K454">
        <v>47758</v>
      </c>
      <c r="L454">
        <v>155473</v>
      </c>
      <c r="M454">
        <v>50283</v>
      </c>
    </row>
    <row r="455" spans="1:13">
      <c r="A455" s="121">
        <v>35004</v>
      </c>
      <c r="B455">
        <v>13411</v>
      </c>
      <c r="C455">
        <v>17996</v>
      </c>
      <c r="D455">
        <v>21392</v>
      </c>
      <c r="E455">
        <v>27131</v>
      </c>
      <c r="F455">
        <v>8569</v>
      </c>
      <c r="G455">
        <v>42673</v>
      </c>
      <c r="H455">
        <v>150718</v>
      </c>
      <c r="I455">
        <v>113473</v>
      </c>
      <c r="J455">
        <v>113784</v>
      </c>
      <c r="K455">
        <v>48739</v>
      </c>
      <c r="L455">
        <v>156146</v>
      </c>
      <c r="M455">
        <v>49798</v>
      </c>
    </row>
    <row r="456" spans="1:13">
      <c r="A456" s="121">
        <v>35034</v>
      </c>
      <c r="B456">
        <v>13544</v>
      </c>
      <c r="C456">
        <v>18386</v>
      </c>
      <c r="D456">
        <v>23004</v>
      </c>
      <c r="E456">
        <v>27344</v>
      </c>
      <c r="F456">
        <v>8772</v>
      </c>
      <c r="G456">
        <v>46847</v>
      </c>
      <c r="H456">
        <v>156997</v>
      </c>
      <c r="I456">
        <v>116432</v>
      </c>
      <c r="J456">
        <v>119874</v>
      </c>
      <c r="K456">
        <v>51286</v>
      </c>
      <c r="L456">
        <v>163279</v>
      </c>
      <c r="M456">
        <v>51221</v>
      </c>
    </row>
    <row r="457" spans="1:13">
      <c r="A457" s="121">
        <v>35065</v>
      </c>
      <c r="B457">
        <v>12893</v>
      </c>
      <c r="C457">
        <v>17960</v>
      </c>
      <c r="D457">
        <v>21185</v>
      </c>
      <c r="E457">
        <v>26027</v>
      </c>
      <c r="F457">
        <v>8036</v>
      </c>
      <c r="G457">
        <v>43736</v>
      </c>
      <c r="H457">
        <v>148982</v>
      </c>
      <c r="I457">
        <v>112070</v>
      </c>
      <c r="J457">
        <v>114288</v>
      </c>
      <c r="K457">
        <v>47338</v>
      </c>
      <c r="L457">
        <v>155806</v>
      </c>
      <c r="M457">
        <v>47931</v>
      </c>
    </row>
    <row r="458" spans="1:13">
      <c r="A458" s="121">
        <v>35096</v>
      </c>
      <c r="B458">
        <v>12550</v>
      </c>
      <c r="C458">
        <v>17150</v>
      </c>
      <c r="D458">
        <v>21265</v>
      </c>
      <c r="E458">
        <v>26891</v>
      </c>
      <c r="F458">
        <v>8006</v>
      </c>
      <c r="G458">
        <v>40375</v>
      </c>
      <c r="H458">
        <v>145094</v>
      </c>
      <c r="I458">
        <v>110398</v>
      </c>
      <c r="J458">
        <v>109375</v>
      </c>
      <c r="K458">
        <v>47837</v>
      </c>
      <c r="L458">
        <v>150773</v>
      </c>
      <c r="M458">
        <v>49183</v>
      </c>
    </row>
    <row r="459" spans="1:13">
      <c r="A459" s="121">
        <v>35125</v>
      </c>
      <c r="B459">
        <v>12676</v>
      </c>
      <c r="C459">
        <v>18301</v>
      </c>
      <c r="D459">
        <v>21010</v>
      </c>
      <c r="E459">
        <v>26863</v>
      </c>
      <c r="F459">
        <v>8892</v>
      </c>
      <c r="G459">
        <v>50323</v>
      </c>
      <c r="H459">
        <v>152130</v>
      </c>
      <c r="I459">
        <v>114653</v>
      </c>
      <c r="J459">
        <v>122567</v>
      </c>
      <c r="K459">
        <v>50325</v>
      </c>
      <c r="L459">
        <v>164976</v>
      </c>
      <c r="M459">
        <v>49780</v>
      </c>
    </row>
    <row r="460" spans="1:13">
      <c r="A460" s="121">
        <v>35156</v>
      </c>
      <c r="B460">
        <v>13126</v>
      </c>
      <c r="C460">
        <v>18870</v>
      </c>
      <c r="D460">
        <v>20134</v>
      </c>
      <c r="E460">
        <v>26655</v>
      </c>
      <c r="F460">
        <v>8399</v>
      </c>
      <c r="G460">
        <v>43028</v>
      </c>
      <c r="H460">
        <v>150475</v>
      </c>
      <c r="I460">
        <v>113802</v>
      </c>
      <c r="J460">
        <v>112882</v>
      </c>
      <c r="K460">
        <v>48614</v>
      </c>
      <c r="L460">
        <v>156830</v>
      </c>
      <c r="M460">
        <v>48102</v>
      </c>
    </row>
    <row r="461" spans="1:13">
      <c r="A461" s="121">
        <v>35186</v>
      </c>
      <c r="B461">
        <v>13666</v>
      </c>
      <c r="C461">
        <v>19020</v>
      </c>
      <c r="D461">
        <v>21649</v>
      </c>
      <c r="E461">
        <v>27181</v>
      </c>
      <c r="F461">
        <v>8587</v>
      </c>
      <c r="G461">
        <v>47327</v>
      </c>
      <c r="H461">
        <v>156429</v>
      </c>
      <c r="I461">
        <v>117175</v>
      </c>
      <c r="J461">
        <v>119613</v>
      </c>
      <c r="K461">
        <v>49805</v>
      </c>
      <c r="L461">
        <v>164502</v>
      </c>
      <c r="M461">
        <v>50505</v>
      </c>
    </row>
    <row r="462" spans="1:13">
      <c r="A462" s="121">
        <v>35217</v>
      </c>
      <c r="B462">
        <v>13617</v>
      </c>
      <c r="C462">
        <v>19293</v>
      </c>
      <c r="D462">
        <v>22400</v>
      </c>
      <c r="E462">
        <v>26365</v>
      </c>
      <c r="F462">
        <v>9196</v>
      </c>
      <c r="G462">
        <v>46710</v>
      </c>
      <c r="H462">
        <v>156863</v>
      </c>
      <c r="I462">
        <v>117889</v>
      </c>
      <c r="J462">
        <v>118924</v>
      </c>
      <c r="K462">
        <v>51589</v>
      </c>
      <c r="L462">
        <v>164599</v>
      </c>
      <c r="M462">
        <v>51556</v>
      </c>
    </row>
    <row r="463" spans="1:13">
      <c r="A463" s="121">
        <v>35247</v>
      </c>
      <c r="B463">
        <v>13554</v>
      </c>
      <c r="C463">
        <v>18982</v>
      </c>
      <c r="D463">
        <v>21040</v>
      </c>
      <c r="E463">
        <v>27499</v>
      </c>
      <c r="F463">
        <v>8718</v>
      </c>
      <c r="G463">
        <v>46990</v>
      </c>
      <c r="H463">
        <v>157889</v>
      </c>
      <c r="I463">
        <v>116598</v>
      </c>
      <c r="J463">
        <v>117941</v>
      </c>
      <c r="K463">
        <v>49208</v>
      </c>
      <c r="L463">
        <v>163588</v>
      </c>
      <c r="M463">
        <v>51047</v>
      </c>
    </row>
    <row r="464" spans="1:13">
      <c r="A464" s="121">
        <v>35278</v>
      </c>
      <c r="B464">
        <v>13363</v>
      </c>
      <c r="C464">
        <v>19459</v>
      </c>
      <c r="D464">
        <v>21424</v>
      </c>
      <c r="E464">
        <v>27699</v>
      </c>
      <c r="F464">
        <v>8824</v>
      </c>
      <c r="G464">
        <v>39602</v>
      </c>
      <c r="H464">
        <v>151860</v>
      </c>
      <c r="I464">
        <v>117708</v>
      </c>
      <c r="J464">
        <v>112297</v>
      </c>
      <c r="K464">
        <v>50278</v>
      </c>
      <c r="L464">
        <v>157310</v>
      </c>
      <c r="M464">
        <v>50780</v>
      </c>
    </row>
    <row r="465" spans="1:13">
      <c r="A465" s="121">
        <v>35309</v>
      </c>
      <c r="B465">
        <v>13039</v>
      </c>
      <c r="C465">
        <v>19973</v>
      </c>
      <c r="D465">
        <v>22243</v>
      </c>
      <c r="E465">
        <v>25321</v>
      </c>
      <c r="F465">
        <v>8767</v>
      </c>
      <c r="G465">
        <v>49106</v>
      </c>
      <c r="H465">
        <v>159031</v>
      </c>
      <c r="I465">
        <v>116336</v>
      </c>
      <c r="J465">
        <v>118848</v>
      </c>
      <c r="K465">
        <v>51324</v>
      </c>
      <c r="L465">
        <v>165442</v>
      </c>
      <c r="M465">
        <v>49824</v>
      </c>
    </row>
    <row r="466" spans="1:13">
      <c r="A466" s="121">
        <v>35339</v>
      </c>
      <c r="B466">
        <v>12859</v>
      </c>
      <c r="C466">
        <v>19101</v>
      </c>
      <c r="D466">
        <v>21054</v>
      </c>
      <c r="E466">
        <v>29984</v>
      </c>
      <c r="F466">
        <v>8965</v>
      </c>
      <c r="G466">
        <v>45767</v>
      </c>
      <c r="H466">
        <v>158298</v>
      </c>
      <c r="I466">
        <v>119499</v>
      </c>
      <c r="J466">
        <v>119956</v>
      </c>
      <c r="K466">
        <v>50663</v>
      </c>
      <c r="L466">
        <v>165266</v>
      </c>
      <c r="M466">
        <v>52556</v>
      </c>
    </row>
    <row r="467" spans="1:13">
      <c r="A467" s="121">
        <v>35370</v>
      </c>
      <c r="B467">
        <v>12963</v>
      </c>
      <c r="C467">
        <v>19495</v>
      </c>
      <c r="D467">
        <v>21723</v>
      </c>
      <c r="E467">
        <v>29093</v>
      </c>
      <c r="F467">
        <v>9235</v>
      </c>
      <c r="G467">
        <v>51214</v>
      </c>
      <c r="H467">
        <v>156723</v>
      </c>
      <c r="I467">
        <v>119569</v>
      </c>
      <c r="J467">
        <v>124724</v>
      </c>
      <c r="K467">
        <v>52150</v>
      </c>
      <c r="L467">
        <v>170783</v>
      </c>
      <c r="M467">
        <v>52664</v>
      </c>
    </row>
    <row r="468" spans="1:13">
      <c r="A468" s="121">
        <v>35400</v>
      </c>
      <c r="B468">
        <v>13379</v>
      </c>
      <c r="C468">
        <v>19364</v>
      </c>
      <c r="D468">
        <v>22992</v>
      </c>
      <c r="E468">
        <v>25961</v>
      </c>
      <c r="F468">
        <v>8791</v>
      </c>
      <c r="G468">
        <v>45637</v>
      </c>
      <c r="H468">
        <v>151939</v>
      </c>
      <c r="I468">
        <v>116695</v>
      </c>
      <c r="J468">
        <v>117137</v>
      </c>
      <c r="K468">
        <v>53292</v>
      </c>
      <c r="L468">
        <v>162332</v>
      </c>
      <c r="M468">
        <v>50765</v>
      </c>
    </row>
    <row r="469" spans="1:13">
      <c r="A469" s="121">
        <v>35431</v>
      </c>
      <c r="B469">
        <v>13827</v>
      </c>
      <c r="C469">
        <v>19304</v>
      </c>
      <c r="D469">
        <v>20733</v>
      </c>
      <c r="E469">
        <v>28145</v>
      </c>
      <c r="F469">
        <v>9324</v>
      </c>
      <c r="G469">
        <v>43137</v>
      </c>
      <c r="H469">
        <v>157118</v>
      </c>
      <c r="I469">
        <v>118690</v>
      </c>
      <c r="J469">
        <v>114626</v>
      </c>
      <c r="K469">
        <v>50928</v>
      </c>
      <c r="L469">
        <v>161827</v>
      </c>
      <c r="M469">
        <v>51958</v>
      </c>
    </row>
    <row r="470" spans="1:13">
      <c r="A470" s="121">
        <v>35462</v>
      </c>
      <c r="B470">
        <v>13865</v>
      </c>
      <c r="C470">
        <v>20169</v>
      </c>
      <c r="D470">
        <v>21467</v>
      </c>
      <c r="E470">
        <v>30728</v>
      </c>
      <c r="F470">
        <v>9130</v>
      </c>
      <c r="G470">
        <v>46731</v>
      </c>
      <c r="H470">
        <v>163696</v>
      </c>
      <c r="I470">
        <v>123490</v>
      </c>
      <c r="J470">
        <v>122876</v>
      </c>
      <c r="K470">
        <v>53129</v>
      </c>
      <c r="L470">
        <v>170221</v>
      </c>
      <c r="M470">
        <v>54285</v>
      </c>
    </row>
    <row r="471" spans="1:13">
      <c r="A471" s="121">
        <v>35490</v>
      </c>
      <c r="B471">
        <v>13748</v>
      </c>
      <c r="C471">
        <v>20190</v>
      </c>
      <c r="D471">
        <v>22450</v>
      </c>
      <c r="E471">
        <v>29295</v>
      </c>
      <c r="F471">
        <v>9479</v>
      </c>
      <c r="G471">
        <v>44383</v>
      </c>
      <c r="H471">
        <v>162083</v>
      </c>
      <c r="I471">
        <v>123185</v>
      </c>
      <c r="J471">
        <v>119668</v>
      </c>
      <c r="K471">
        <v>53688</v>
      </c>
      <c r="L471">
        <v>167568</v>
      </c>
      <c r="M471">
        <v>54195</v>
      </c>
    </row>
    <row r="472" spans="1:13">
      <c r="A472" s="121">
        <v>35521</v>
      </c>
      <c r="B472">
        <v>14402</v>
      </c>
      <c r="C472">
        <v>20978</v>
      </c>
      <c r="D472">
        <v>22429</v>
      </c>
      <c r="E472">
        <v>29922</v>
      </c>
      <c r="F472">
        <v>9578</v>
      </c>
      <c r="G472">
        <v>48145</v>
      </c>
      <c r="H472">
        <v>167051</v>
      </c>
      <c r="I472">
        <v>125909</v>
      </c>
      <c r="J472">
        <v>125615</v>
      </c>
      <c r="K472">
        <v>54482</v>
      </c>
      <c r="L472">
        <v>174054</v>
      </c>
      <c r="M472">
        <v>55044</v>
      </c>
    </row>
    <row r="473" spans="1:13">
      <c r="A473" s="121">
        <v>35551</v>
      </c>
      <c r="B473">
        <v>14009</v>
      </c>
      <c r="C473">
        <v>20185</v>
      </c>
      <c r="D473">
        <v>21492</v>
      </c>
      <c r="E473">
        <v>29530</v>
      </c>
      <c r="F473">
        <v>9209</v>
      </c>
      <c r="G473">
        <v>45726</v>
      </c>
      <c r="H473">
        <v>162721</v>
      </c>
      <c r="I473">
        <v>122860</v>
      </c>
      <c r="J473">
        <v>120972</v>
      </c>
      <c r="K473">
        <v>54054</v>
      </c>
      <c r="L473">
        <v>168586</v>
      </c>
      <c r="M473">
        <v>53924</v>
      </c>
    </row>
    <row r="474" spans="1:13">
      <c r="A474" s="121">
        <v>35582</v>
      </c>
      <c r="B474">
        <v>14308</v>
      </c>
      <c r="C474">
        <v>21148</v>
      </c>
      <c r="D474">
        <v>22520</v>
      </c>
      <c r="E474">
        <v>30873</v>
      </c>
      <c r="F474">
        <v>9151</v>
      </c>
      <c r="G474">
        <v>48371</v>
      </c>
      <c r="H474">
        <v>168024</v>
      </c>
      <c r="I474">
        <v>126457</v>
      </c>
      <c r="J474">
        <v>126186</v>
      </c>
      <c r="K474">
        <v>55945</v>
      </c>
      <c r="L474">
        <v>174828</v>
      </c>
      <c r="M474">
        <v>55972</v>
      </c>
    </row>
    <row r="475" spans="1:13">
      <c r="A475" s="121">
        <v>35612</v>
      </c>
      <c r="B475">
        <v>14415</v>
      </c>
      <c r="C475">
        <v>20438</v>
      </c>
      <c r="D475">
        <v>22815</v>
      </c>
      <c r="E475">
        <v>32570</v>
      </c>
      <c r="F475">
        <v>9524</v>
      </c>
      <c r="G475">
        <v>49923</v>
      </c>
      <c r="H475">
        <v>172439</v>
      </c>
      <c r="I475">
        <v>128937</v>
      </c>
      <c r="J475">
        <v>127337</v>
      </c>
      <c r="K475">
        <v>56487</v>
      </c>
      <c r="L475">
        <v>178860</v>
      </c>
      <c r="M475">
        <v>58969</v>
      </c>
    </row>
    <row r="476" spans="1:13">
      <c r="A476" s="121">
        <v>35643</v>
      </c>
      <c r="B476">
        <v>14301</v>
      </c>
      <c r="C476">
        <v>20688</v>
      </c>
      <c r="D476">
        <v>23774</v>
      </c>
      <c r="E476">
        <v>31387</v>
      </c>
      <c r="F476">
        <v>9519</v>
      </c>
      <c r="G476">
        <v>49485</v>
      </c>
      <c r="H476">
        <v>170596</v>
      </c>
      <c r="I476">
        <v>127817</v>
      </c>
      <c r="J476">
        <v>127334</v>
      </c>
      <c r="K476">
        <v>56866</v>
      </c>
      <c r="L476">
        <v>177302</v>
      </c>
      <c r="M476">
        <v>58232</v>
      </c>
    </row>
    <row r="477" spans="1:13">
      <c r="A477" s="121">
        <v>35674</v>
      </c>
      <c r="B477">
        <v>14783</v>
      </c>
      <c r="C477">
        <v>21539</v>
      </c>
      <c r="D477">
        <v>24114</v>
      </c>
      <c r="E477">
        <v>31135</v>
      </c>
      <c r="F477">
        <v>10444</v>
      </c>
      <c r="G477">
        <v>47162</v>
      </c>
      <c r="H477">
        <v>172083</v>
      </c>
      <c r="I477">
        <v>130673</v>
      </c>
      <c r="J477">
        <v>128051</v>
      </c>
      <c r="K477">
        <v>57040</v>
      </c>
      <c r="L477">
        <v>177835</v>
      </c>
      <c r="M477">
        <v>60143</v>
      </c>
    </row>
    <row r="478" spans="1:13">
      <c r="A478" s="121">
        <v>35704</v>
      </c>
      <c r="B478">
        <v>14651</v>
      </c>
      <c r="C478">
        <v>21183</v>
      </c>
      <c r="D478">
        <v>23945</v>
      </c>
      <c r="E478">
        <v>29844</v>
      </c>
      <c r="F478">
        <v>8817</v>
      </c>
      <c r="G478">
        <v>50414</v>
      </c>
      <c r="H478">
        <v>172275</v>
      </c>
      <c r="I478">
        <v>127387</v>
      </c>
      <c r="J478">
        <v>128062</v>
      </c>
      <c r="K478">
        <v>57235</v>
      </c>
      <c r="L478">
        <v>177801</v>
      </c>
      <c r="M478">
        <v>57582</v>
      </c>
    </row>
    <row r="479" spans="1:13">
      <c r="A479" s="121">
        <v>35735</v>
      </c>
      <c r="B479">
        <v>15024</v>
      </c>
      <c r="C479">
        <v>21102</v>
      </c>
      <c r="D479">
        <v>23746</v>
      </c>
      <c r="E479">
        <v>30060</v>
      </c>
      <c r="F479">
        <v>9779</v>
      </c>
      <c r="G479">
        <v>62601</v>
      </c>
      <c r="H479">
        <v>184858</v>
      </c>
      <c r="I479">
        <v>128586</v>
      </c>
      <c r="J479">
        <v>139761</v>
      </c>
      <c r="K479">
        <v>57151</v>
      </c>
      <c r="L479">
        <v>191187</v>
      </c>
      <c r="M479">
        <v>57967</v>
      </c>
    </row>
    <row r="480" spans="1:13">
      <c r="A480" s="121">
        <v>35765</v>
      </c>
      <c r="B480">
        <v>14402</v>
      </c>
      <c r="C480">
        <v>21125</v>
      </c>
      <c r="D480">
        <v>23903</v>
      </c>
      <c r="E480">
        <v>30405</v>
      </c>
      <c r="F480">
        <v>9555</v>
      </c>
      <c r="G480">
        <v>45579</v>
      </c>
      <c r="H480">
        <v>169053</v>
      </c>
      <c r="I480">
        <v>128191</v>
      </c>
      <c r="J480">
        <v>122759</v>
      </c>
      <c r="K480">
        <v>57867</v>
      </c>
      <c r="L480">
        <v>173770</v>
      </c>
      <c r="M480">
        <v>58401</v>
      </c>
    </row>
    <row r="481" spans="1:13">
      <c r="A481" s="121">
        <v>35796</v>
      </c>
      <c r="B481">
        <v>14058</v>
      </c>
      <c r="C481">
        <v>21060</v>
      </c>
      <c r="D481">
        <v>22396</v>
      </c>
      <c r="E481">
        <v>30554</v>
      </c>
      <c r="F481">
        <v>9428</v>
      </c>
      <c r="G481">
        <v>47026</v>
      </c>
      <c r="H481">
        <v>168413</v>
      </c>
      <c r="I481">
        <v>127262</v>
      </c>
      <c r="J481">
        <v>125004</v>
      </c>
      <c r="K481">
        <v>56289</v>
      </c>
      <c r="L481">
        <v>174288</v>
      </c>
      <c r="M481">
        <v>56811</v>
      </c>
    </row>
    <row r="482" spans="1:13">
      <c r="A482" s="121">
        <v>35827</v>
      </c>
      <c r="B482">
        <v>14299</v>
      </c>
      <c r="C482">
        <v>21645</v>
      </c>
      <c r="D482">
        <v>23100</v>
      </c>
      <c r="E482">
        <v>31806</v>
      </c>
      <c r="F482">
        <v>10437</v>
      </c>
      <c r="G482">
        <v>50640</v>
      </c>
      <c r="H482">
        <v>175093</v>
      </c>
      <c r="I482">
        <v>130630</v>
      </c>
      <c r="J482">
        <v>129378</v>
      </c>
      <c r="K482">
        <v>58384</v>
      </c>
      <c r="L482">
        <v>181270</v>
      </c>
      <c r="M482">
        <v>59362</v>
      </c>
    </row>
    <row r="483" spans="1:13">
      <c r="A483" s="121">
        <v>35855</v>
      </c>
      <c r="B483">
        <v>13946</v>
      </c>
      <c r="C483">
        <v>21318</v>
      </c>
      <c r="D483">
        <v>23909</v>
      </c>
      <c r="E483">
        <v>30954</v>
      </c>
      <c r="F483">
        <v>9164</v>
      </c>
      <c r="G483">
        <v>48115</v>
      </c>
      <c r="H483">
        <v>171668</v>
      </c>
      <c r="I483">
        <v>128771</v>
      </c>
      <c r="J483">
        <v>124823</v>
      </c>
      <c r="K483">
        <v>59052</v>
      </c>
      <c r="L483">
        <v>176886</v>
      </c>
      <c r="M483">
        <v>57672</v>
      </c>
    </row>
    <row r="484" spans="1:13">
      <c r="A484" s="121">
        <v>35886</v>
      </c>
      <c r="B484">
        <v>13800</v>
      </c>
      <c r="C484">
        <v>21524</v>
      </c>
      <c r="D484">
        <v>22388</v>
      </c>
      <c r="E484">
        <v>30361</v>
      </c>
      <c r="F484">
        <v>9564</v>
      </c>
      <c r="G484">
        <v>54396</v>
      </c>
      <c r="H484">
        <v>173267</v>
      </c>
      <c r="I484">
        <v>126519</v>
      </c>
      <c r="J484">
        <v>129329</v>
      </c>
      <c r="K484">
        <v>57168</v>
      </c>
      <c r="L484">
        <v>180915</v>
      </c>
      <c r="M484">
        <v>55909</v>
      </c>
    </row>
    <row r="485" spans="1:13">
      <c r="A485" s="121">
        <v>35916</v>
      </c>
      <c r="B485">
        <v>13758</v>
      </c>
      <c r="C485">
        <v>21131</v>
      </c>
      <c r="D485">
        <v>23232</v>
      </c>
      <c r="E485">
        <v>31964</v>
      </c>
      <c r="F485">
        <v>9692</v>
      </c>
      <c r="G485">
        <v>50894</v>
      </c>
      <c r="H485">
        <v>175262</v>
      </c>
      <c r="I485">
        <v>129740</v>
      </c>
      <c r="J485">
        <v>128089</v>
      </c>
      <c r="K485">
        <v>57823</v>
      </c>
      <c r="L485">
        <v>180634</v>
      </c>
      <c r="M485">
        <v>58575</v>
      </c>
    </row>
    <row r="486" spans="1:13">
      <c r="A486" s="121">
        <v>35947</v>
      </c>
      <c r="B486">
        <v>13333</v>
      </c>
      <c r="C486">
        <v>21308</v>
      </c>
      <c r="D486">
        <v>23698</v>
      </c>
      <c r="E486">
        <v>31647</v>
      </c>
      <c r="F486">
        <v>9622</v>
      </c>
      <c r="G486">
        <v>42141</v>
      </c>
      <c r="H486">
        <v>166768</v>
      </c>
      <c r="I486">
        <v>130048</v>
      </c>
      <c r="J486">
        <v>123912</v>
      </c>
      <c r="K486">
        <v>58851</v>
      </c>
      <c r="L486">
        <v>172189</v>
      </c>
      <c r="M486">
        <v>59020</v>
      </c>
    </row>
    <row r="487" spans="1:13">
      <c r="A487" s="121">
        <v>35977</v>
      </c>
      <c r="B487">
        <v>12751</v>
      </c>
      <c r="C487">
        <v>21032</v>
      </c>
      <c r="D487">
        <v>23061</v>
      </c>
      <c r="E487">
        <v>30003</v>
      </c>
      <c r="F487">
        <v>9299</v>
      </c>
      <c r="G487">
        <v>44357</v>
      </c>
      <c r="H487">
        <v>164656</v>
      </c>
      <c r="I487">
        <v>126102</v>
      </c>
      <c r="J487">
        <v>122090</v>
      </c>
      <c r="K487">
        <v>56990</v>
      </c>
      <c r="L487">
        <v>170459</v>
      </c>
      <c r="M487">
        <v>56670</v>
      </c>
    </row>
    <row r="488" spans="1:13">
      <c r="A488" s="121">
        <v>36008</v>
      </c>
      <c r="B488">
        <v>13363</v>
      </c>
      <c r="C488">
        <v>20724</v>
      </c>
      <c r="D488">
        <v>22853</v>
      </c>
      <c r="E488">
        <v>29964</v>
      </c>
      <c r="F488">
        <v>9572</v>
      </c>
      <c r="G488">
        <v>52444</v>
      </c>
      <c r="H488">
        <v>173292</v>
      </c>
      <c r="I488">
        <v>126589</v>
      </c>
      <c r="J488">
        <v>127658</v>
      </c>
      <c r="K488">
        <v>56694</v>
      </c>
      <c r="L488">
        <v>179033</v>
      </c>
      <c r="M488">
        <v>57658</v>
      </c>
    </row>
    <row r="489" spans="1:13">
      <c r="A489" s="121">
        <v>36039</v>
      </c>
      <c r="B489">
        <v>12850</v>
      </c>
      <c r="C489">
        <v>20884</v>
      </c>
      <c r="D489">
        <v>24270</v>
      </c>
      <c r="E489">
        <v>31326</v>
      </c>
      <c r="F489">
        <v>9753</v>
      </c>
      <c r="G489">
        <v>52602</v>
      </c>
      <c r="H489">
        <v>173517</v>
      </c>
      <c r="I489">
        <v>128820</v>
      </c>
      <c r="J489">
        <v>129434</v>
      </c>
      <c r="K489">
        <v>58667</v>
      </c>
      <c r="L489">
        <v>181422</v>
      </c>
      <c r="M489">
        <v>60257</v>
      </c>
    </row>
    <row r="490" spans="1:13">
      <c r="A490" s="121">
        <v>36069</v>
      </c>
      <c r="B490">
        <v>12307</v>
      </c>
      <c r="C490">
        <v>20522</v>
      </c>
      <c r="D490">
        <v>22408</v>
      </c>
      <c r="E490">
        <v>30272</v>
      </c>
      <c r="F490">
        <v>9391</v>
      </c>
      <c r="G490">
        <v>53136</v>
      </c>
      <c r="H490">
        <v>172814</v>
      </c>
      <c r="I490">
        <v>125391</v>
      </c>
      <c r="J490">
        <v>125301</v>
      </c>
      <c r="K490">
        <v>57813</v>
      </c>
      <c r="L490">
        <v>178527</v>
      </c>
      <c r="M490">
        <v>56319</v>
      </c>
    </row>
    <row r="491" spans="1:13">
      <c r="A491" s="121">
        <v>36100</v>
      </c>
      <c r="B491">
        <v>13163</v>
      </c>
      <c r="C491">
        <v>21769</v>
      </c>
      <c r="D491">
        <v>22128</v>
      </c>
      <c r="E491">
        <v>31086</v>
      </c>
      <c r="F491">
        <v>9870</v>
      </c>
      <c r="G491">
        <v>54298</v>
      </c>
      <c r="H491">
        <v>175917</v>
      </c>
      <c r="I491">
        <v>128102</v>
      </c>
      <c r="J491">
        <v>128665</v>
      </c>
      <c r="K491">
        <v>58316</v>
      </c>
      <c r="L491">
        <v>182400</v>
      </c>
      <c r="M491">
        <v>58162</v>
      </c>
    </row>
    <row r="492" spans="1:13">
      <c r="A492" s="121">
        <v>36130</v>
      </c>
      <c r="B492">
        <v>12871</v>
      </c>
      <c r="C492">
        <v>21059</v>
      </c>
      <c r="D492">
        <v>24028</v>
      </c>
      <c r="E492">
        <v>32059</v>
      </c>
      <c r="F492">
        <v>9827</v>
      </c>
      <c r="G492">
        <v>47671</v>
      </c>
      <c r="H492">
        <v>171696</v>
      </c>
      <c r="I492">
        <v>130753</v>
      </c>
      <c r="J492">
        <v>124510</v>
      </c>
      <c r="K492">
        <v>58845</v>
      </c>
      <c r="L492">
        <v>178424</v>
      </c>
      <c r="M492">
        <v>60818</v>
      </c>
    </row>
    <row r="493" spans="1:13">
      <c r="A493" s="121">
        <v>36161</v>
      </c>
      <c r="B493">
        <v>12443</v>
      </c>
      <c r="C493">
        <v>21293</v>
      </c>
      <c r="D493">
        <v>22271</v>
      </c>
      <c r="E493">
        <v>30567</v>
      </c>
      <c r="F493">
        <v>9556</v>
      </c>
      <c r="G493">
        <v>59402</v>
      </c>
      <c r="H493">
        <v>178955</v>
      </c>
      <c r="I493">
        <v>127125</v>
      </c>
      <c r="J493">
        <v>132005</v>
      </c>
      <c r="K493">
        <v>57455</v>
      </c>
      <c r="L493">
        <v>186527</v>
      </c>
      <c r="M493">
        <v>57160</v>
      </c>
    </row>
    <row r="494" spans="1:13">
      <c r="A494" s="121">
        <v>36192</v>
      </c>
      <c r="B494">
        <v>13205</v>
      </c>
      <c r="C494">
        <v>21503</v>
      </c>
      <c r="D494">
        <v>22203</v>
      </c>
      <c r="E494">
        <v>31473</v>
      </c>
      <c r="F494">
        <v>9820</v>
      </c>
      <c r="G494">
        <v>55403</v>
      </c>
      <c r="H494">
        <v>178797</v>
      </c>
      <c r="I494">
        <v>130143</v>
      </c>
      <c r="J494">
        <v>129227</v>
      </c>
      <c r="K494">
        <v>58340</v>
      </c>
      <c r="L494">
        <v>185546</v>
      </c>
      <c r="M494">
        <v>58576</v>
      </c>
    </row>
    <row r="495" spans="1:13">
      <c r="A495" s="121">
        <v>36220</v>
      </c>
      <c r="B495">
        <v>12583</v>
      </c>
      <c r="C495">
        <v>21051</v>
      </c>
      <c r="D495">
        <v>22128</v>
      </c>
      <c r="E495">
        <v>32426</v>
      </c>
      <c r="F495">
        <v>9933</v>
      </c>
      <c r="G495">
        <v>55192</v>
      </c>
      <c r="H495">
        <v>176954</v>
      </c>
      <c r="I495">
        <v>129497</v>
      </c>
      <c r="J495">
        <v>129753</v>
      </c>
      <c r="K495">
        <v>58220</v>
      </c>
      <c r="L495">
        <v>184689</v>
      </c>
      <c r="M495">
        <v>59657</v>
      </c>
    </row>
    <row r="496" spans="1:13">
      <c r="A496" s="121">
        <v>36251</v>
      </c>
      <c r="B496">
        <v>13124</v>
      </c>
      <c r="C496">
        <v>20705</v>
      </c>
      <c r="D496">
        <v>23167</v>
      </c>
      <c r="E496">
        <v>32525</v>
      </c>
      <c r="F496">
        <v>9891</v>
      </c>
      <c r="G496">
        <v>52525</v>
      </c>
      <c r="H496">
        <v>177226</v>
      </c>
      <c r="I496">
        <v>130468</v>
      </c>
      <c r="J496">
        <v>128317</v>
      </c>
      <c r="K496">
        <v>58317</v>
      </c>
      <c r="L496">
        <v>182993</v>
      </c>
      <c r="M496">
        <v>58929</v>
      </c>
    </row>
    <row r="497" spans="1:13">
      <c r="A497" s="121">
        <v>36281</v>
      </c>
      <c r="B497">
        <v>12940</v>
      </c>
      <c r="C497">
        <v>21339</v>
      </c>
      <c r="D497">
        <v>22669</v>
      </c>
      <c r="E497">
        <v>32899</v>
      </c>
      <c r="F497">
        <v>9846</v>
      </c>
      <c r="G497">
        <v>55336</v>
      </c>
      <c r="H497">
        <v>179129</v>
      </c>
      <c r="I497">
        <v>130627</v>
      </c>
      <c r="J497">
        <v>130315</v>
      </c>
      <c r="K497">
        <v>59499</v>
      </c>
      <c r="L497">
        <v>185963</v>
      </c>
      <c r="M497">
        <v>59814</v>
      </c>
    </row>
    <row r="498" spans="1:13">
      <c r="A498" s="121">
        <v>36312</v>
      </c>
      <c r="B498">
        <v>12890</v>
      </c>
      <c r="C498">
        <v>21289</v>
      </c>
      <c r="D498">
        <v>22813</v>
      </c>
      <c r="E498">
        <v>32866</v>
      </c>
      <c r="F498">
        <v>10116</v>
      </c>
      <c r="G498">
        <v>51948</v>
      </c>
      <c r="H498">
        <v>177042</v>
      </c>
      <c r="I498">
        <v>130642</v>
      </c>
      <c r="J498">
        <v>127679</v>
      </c>
      <c r="K498">
        <v>60282</v>
      </c>
      <c r="L498">
        <v>182590</v>
      </c>
      <c r="M498">
        <v>59045</v>
      </c>
    </row>
    <row r="499" spans="1:13">
      <c r="A499" s="121">
        <v>36342</v>
      </c>
      <c r="B499">
        <v>13477</v>
      </c>
      <c r="C499">
        <v>21342</v>
      </c>
      <c r="D499">
        <v>23036</v>
      </c>
      <c r="E499">
        <v>34503</v>
      </c>
      <c r="F499">
        <v>10472</v>
      </c>
      <c r="G499">
        <v>54877</v>
      </c>
      <c r="H499">
        <v>181571</v>
      </c>
      <c r="I499">
        <v>134206</v>
      </c>
      <c r="J499">
        <v>134617</v>
      </c>
      <c r="K499">
        <v>60631</v>
      </c>
      <c r="L499">
        <v>189083</v>
      </c>
      <c r="M499">
        <v>62074</v>
      </c>
    </row>
    <row r="500" spans="1:13">
      <c r="A500" s="121">
        <v>36373</v>
      </c>
      <c r="B500">
        <v>13284</v>
      </c>
      <c r="C500">
        <v>21576</v>
      </c>
      <c r="D500">
        <v>23146</v>
      </c>
      <c r="E500">
        <v>34023</v>
      </c>
      <c r="F500">
        <v>10850</v>
      </c>
      <c r="G500">
        <v>55353</v>
      </c>
      <c r="H500">
        <v>184078</v>
      </c>
      <c r="I500">
        <v>134061</v>
      </c>
      <c r="J500">
        <v>133941</v>
      </c>
      <c r="K500">
        <v>60227</v>
      </c>
      <c r="L500">
        <v>189414</v>
      </c>
      <c r="M500">
        <v>61732</v>
      </c>
    </row>
    <row r="501" spans="1:13">
      <c r="A501" s="121">
        <v>36404</v>
      </c>
      <c r="B501">
        <v>13006</v>
      </c>
      <c r="C501">
        <v>21736</v>
      </c>
      <c r="D501">
        <v>24588</v>
      </c>
      <c r="E501">
        <v>34873</v>
      </c>
      <c r="F501">
        <v>10210</v>
      </c>
      <c r="G501">
        <v>53278</v>
      </c>
      <c r="H501">
        <v>184169</v>
      </c>
      <c r="I501">
        <v>135632</v>
      </c>
      <c r="J501">
        <v>133870</v>
      </c>
      <c r="K501">
        <v>60381</v>
      </c>
      <c r="L501">
        <v>188910</v>
      </c>
      <c r="M501">
        <v>63231</v>
      </c>
    </row>
    <row r="502" spans="1:13">
      <c r="A502" s="121">
        <v>36434</v>
      </c>
      <c r="B502">
        <v>13396</v>
      </c>
      <c r="C502">
        <v>21459</v>
      </c>
      <c r="D502">
        <v>24170</v>
      </c>
      <c r="E502">
        <v>35455</v>
      </c>
      <c r="F502">
        <v>10085</v>
      </c>
      <c r="G502">
        <v>57376</v>
      </c>
      <c r="H502">
        <v>186205</v>
      </c>
      <c r="I502">
        <v>137171</v>
      </c>
      <c r="J502">
        <v>139509</v>
      </c>
      <c r="K502">
        <v>60862</v>
      </c>
      <c r="L502">
        <v>194547</v>
      </c>
      <c r="M502">
        <v>61451</v>
      </c>
    </row>
    <row r="503" spans="1:13">
      <c r="A503" s="121">
        <v>36465</v>
      </c>
      <c r="B503">
        <v>13490</v>
      </c>
      <c r="C503">
        <v>22074</v>
      </c>
      <c r="D503">
        <v>23676</v>
      </c>
      <c r="E503">
        <v>34822</v>
      </c>
      <c r="F503">
        <v>9810</v>
      </c>
      <c r="G503">
        <v>51939</v>
      </c>
      <c r="H503">
        <v>182096</v>
      </c>
      <c r="I503">
        <v>134658</v>
      </c>
      <c r="J503">
        <v>131897</v>
      </c>
      <c r="K503">
        <v>59624</v>
      </c>
      <c r="L503">
        <v>186597</v>
      </c>
      <c r="M503">
        <v>61849</v>
      </c>
    </row>
    <row r="504" spans="1:13">
      <c r="A504" s="121">
        <v>36495</v>
      </c>
      <c r="B504">
        <v>13404</v>
      </c>
      <c r="C504">
        <v>22969</v>
      </c>
      <c r="D504">
        <v>24118</v>
      </c>
      <c r="E504">
        <v>36855</v>
      </c>
      <c r="F504">
        <v>10223</v>
      </c>
      <c r="G504">
        <v>57266</v>
      </c>
      <c r="H504">
        <v>189055</v>
      </c>
      <c r="I504">
        <v>139078</v>
      </c>
      <c r="J504">
        <v>141778</v>
      </c>
      <c r="K504">
        <v>59869</v>
      </c>
      <c r="L504">
        <v>196344</v>
      </c>
      <c r="M504">
        <v>65451</v>
      </c>
    </row>
    <row r="505" spans="1:13">
      <c r="A505" s="121">
        <v>36526</v>
      </c>
      <c r="B505">
        <v>13799</v>
      </c>
      <c r="C505">
        <v>22789</v>
      </c>
      <c r="D505">
        <v>25307</v>
      </c>
      <c r="E505">
        <v>34317</v>
      </c>
      <c r="F505">
        <v>11050</v>
      </c>
      <c r="G505">
        <v>61747</v>
      </c>
      <c r="H505">
        <v>192052</v>
      </c>
      <c r="I505">
        <v>139613</v>
      </c>
      <c r="J505">
        <v>144856</v>
      </c>
      <c r="K505">
        <v>61639</v>
      </c>
      <c r="L505">
        <v>201360</v>
      </c>
      <c r="M505">
        <v>63975</v>
      </c>
    </row>
    <row r="506" spans="1:13">
      <c r="A506" s="121">
        <v>36557</v>
      </c>
      <c r="B506">
        <v>13331</v>
      </c>
      <c r="C506">
        <v>21512</v>
      </c>
      <c r="D506">
        <v>22649</v>
      </c>
      <c r="E506">
        <v>33171</v>
      </c>
      <c r="F506">
        <v>10175</v>
      </c>
      <c r="G506">
        <v>51486</v>
      </c>
      <c r="H506">
        <v>178520</v>
      </c>
      <c r="I506">
        <v>132425</v>
      </c>
      <c r="J506">
        <v>130377</v>
      </c>
      <c r="K506">
        <v>59400</v>
      </c>
      <c r="L506">
        <v>183911</v>
      </c>
      <c r="M506">
        <v>58497</v>
      </c>
    </row>
    <row r="507" spans="1:13">
      <c r="A507" s="121">
        <v>36586</v>
      </c>
      <c r="B507">
        <v>13412</v>
      </c>
      <c r="C507">
        <v>22730</v>
      </c>
      <c r="D507">
        <v>24874</v>
      </c>
      <c r="E507">
        <v>35912</v>
      </c>
      <c r="F507">
        <v>10286</v>
      </c>
      <c r="G507">
        <v>52289</v>
      </c>
      <c r="H507">
        <v>186944</v>
      </c>
      <c r="I507">
        <v>139841</v>
      </c>
      <c r="J507">
        <v>137161</v>
      </c>
      <c r="K507">
        <v>62492</v>
      </c>
      <c r="L507">
        <v>192130</v>
      </c>
      <c r="M507">
        <v>63642</v>
      </c>
    </row>
    <row r="508" spans="1:13">
      <c r="A508" s="121">
        <v>36617</v>
      </c>
      <c r="B508">
        <v>13303</v>
      </c>
      <c r="C508">
        <v>23277</v>
      </c>
      <c r="D508">
        <v>25145</v>
      </c>
      <c r="E508">
        <v>36415</v>
      </c>
      <c r="F508">
        <v>10504</v>
      </c>
      <c r="G508">
        <v>53706</v>
      </c>
      <c r="H508">
        <v>189901</v>
      </c>
      <c r="I508">
        <v>141338</v>
      </c>
      <c r="J508">
        <v>139928</v>
      </c>
      <c r="K508">
        <v>63722</v>
      </c>
      <c r="L508">
        <v>195044</v>
      </c>
      <c r="M508">
        <v>64414</v>
      </c>
    </row>
    <row r="509" spans="1:13">
      <c r="A509" s="121">
        <v>36647</v>
      </c>
      <c r="B509">
        <v>12240</v>
      </c>
      <c r="C509">
        <v>22256</v>
      </c>
      <c r="D509">
        <v>24512</v>
      </c>
      <c r="E509">
        <v>36124</v>
      </c>
      <c r="F509">
        <v>10455</v>
      </c>
      <c r="G509">
        <v>50716</v>
      </c>
      <c r="H509">
        <v>183199</v>
      </c>
      <c r="I509">
        <v>137890</v>
      </c>
      <c r="J509">
        <v>135833</v>
      </c>
      <c r="K509">
        <v>62759</v>
      </c>
      <c r="L509">
        <v>188606</v>
      </c>
      <c r="M509">
        <v>63753</v>
      </c>
    </row>
    <row r="510" spans="1:13">
      <c r="A510" s="121">
        <v>36678</v>
      </c>
      <c r="B510">
        <v>12627</v>
      </c>
      <c r="C510">
        <v>22608</v>
      </c>
      <c r="D510">
        <v>25604</v>
      </c>
      <c r="E510">
        <v>41154</v>
      </c>
      <c r="F510">
        <v>11006</v>
      </c>
      <c r="G510">
        <v>76249</v>
      </c>
      <c r="H510">
        <v>192711</v>
      </c>
      <c r="I510">
        <v>143496</v>
      </c>
      <c r="J510">
        <v>165607</v>
      </c>
      <c r="K510">
        <v>63186</v>
      </c>
      <c r="L510">
        <v>219745</v>
      </c>
      <c r="M510">
        <v>68292</v>
      </c>
    </row>
    <row r="511" spans="1:13">
      <c r="A511" s="121">
        <v>36708</v>
      </c>
      <c r="B511">
        <v>12733</v>
      </c>
      <c r="C511">
        <v>22243</v>
      </c>
      <c r="D511">
        <v>25085</v>
      </c>
      <c r="E511">
        <v>35704</v>
      </c>
      <c r="F511">
        <v>10337</v>
      </c>
      <c r="G511">
        <v>51297</v>
      </c>
      <c r="H511">
        <v>183526</v>
      </c>
      <c r="I511">
        <v>137968</v>
      </c>
      <c r="J511">
        <v>137103</v>
      </c>
      <c r="K511">
        <v>63118</v>
      </c>
      <c r="L511">
        <v>189265</v>
      </c>
      <c r="M511">
        <v>63581</v>
      </c>
    </row>
    <row r="512" spans="1:13">
      <c r="A512" s="121">
        <v>36739</v>
      </c>
      <c r="B512">
        <v>12101</v>
      </c>
      <c r="C512">
        <v>22542</v>
      </c>
      <c r="D512">
        <v>24960</v>
      </c>
      <c r="E512">
        <v>37713</v>
      </c>
      <c r="F512">
        <v>10211</v>
      </c>
      <c r="G512">
        <v>50097</v>
      </c>
      <c r="H512">
        <v>182241</v>
      </c>
      <c r="I512">
        <v>138633</v>
      </c>
      <c r="J512">
        <v>138771</v>
      </c>
      <c r="K512">
        <v>63336</v>
      </c>
      <c r="L512">
        <v>188730</v>
      </c>
      <c r="M512">
        <v>64759</v>
      </c>
    </row>
    <row r="513" spans="1:13">
      <c r="A513" s="121">
        <v>36770</v>
      </c>
      <c r="B513">
        <v>13000</v>
      </c>
      <c r="C513">
        <v>22509</v>
      </c>
      <c r="D513">
        <v>25709</v>
      </c>
      <c r="E513">
        <v>37504</v>
      </c>
      <c r="F513">
        <v>10470</v>
      </c>
      <c r="G513">
        <v>58484</v>
      </c>
      <c r="H513">
        <v>194299</v>
      </c>
      <c r="I513">
        <v>141463</v>
      </c>
      <c r="J513">
        <v>145618</v>
      </c>
      <c r="K513">
        <v>64978</v>
      </c>
      <c r="L513">
        <v>199947</v>
      </c>
      <c r="M513">
        <v>66733</v>
      </c>
    </row>
    <row r="514" spans="1:13">
      <c r="A514" s="121">
        <v>36800</v>
      </c>
      <c r="B514">
        <v>12329</v>
      </c>
      <c r="C514">
        <v>22433</v>
      </c>
      <c r="D514">
        <v>23556</v>
      </c>
      <c r="E514">
        <v>36320</v>
      </c>
      <c r="F514">
        <v>10236</v>
      </c>
      <c r="G514">
        <v>48894</v>
      </c>
      <c r="H514">
        <v>180302</v>
      </c>
      <c r="I514">
        <v>137264</v>
      </c>
      <c r="J514">
        <v>134557</v>
      </c>
      <c r="K514">
        <v>63700</v>
      </c>
      <c r="L514">
        <v>186158</v>
      </c>
      <c r="M514">
        <v>63580</v>
      </c>
    </row>
    <row r="515" spans="1:13">
      <c r="A515" s="121">
        <v>36831</v>
      </c>
      <c r="B515">
        <v>12173</v>
      </c>
      <c r="C515">
        <v>22081</v>
      </c>
      <c r="D515">
        <v>23150</v>
      </c>
      <c r="E515">
        <v>36567</v>
      </c>
      <c r="F515">
        <v>10749</v>
      </c>
      <c r="G515">
        <v>53347</v>
      </c>
      <c r="H515">
        <v>181736</v>
      </c>
      <c r="I515">
        <v>136045</v>
      </c>
      <c r="J515">
        <v>139206</v>
      </c>
      <c r="K515">
        <v>63471</v>
      </c>
      <c r="L515">
        <v>189392</v>
      </c>
      <c r="M515">
        <v>62569</v>
      </c>
    </row>
    <row r="516" spans="1:13">
      <c r="A516" s="121">
        <v>36861</v>
      </c>
      <c r="B516">
        <v>12254</v>
      </c>
      <c r="C516">
        <v>22772</v>
      </c>
      <c r="D516">
        <v>23986</v>
      </c>
      <c r="E516">
        <v>34449</v>
      </c>
      <c r="F516">
        <v>10729</v>
      </c>
      <c r="G516">
        <v>53336</v>
      </c>
      <c r="H516">
        <v>185300</v>
      </c>
      <c r="I516">
        <v>135323</v>
      </c>
      <c r="J516">
        <v>137810</v>
      </c>
      <c r="K516">
        <v>64383</v>
      </c>
      <c r="L516">
        <v>188659</v>
      </c>
      <c r="M516">
        <v>62554</v>
      </c>
    </row>
    <row r="517" spans="1:13">
      <c r="A517" s="121">
        <v>36892</v>
      </c>
      <c r="B517">
        <v>12095</v>
      </c>
      <c r="C517">
        <v>21713</v>
      </c>
      <c r="D517">
        <v>23462</v>
      </c>
      <c r="E517">
        <v>33966</v>
      </c>
      <c r="F517">
        <v>9930</v>
      </c>
      <c r="G517">
        <v>45410</v>
      </c>
      <c r="H517">
        <v>172069</v>
      </c>
      <c r="I517">
        <v>131646</v>
      </c>
      <c r="J517">
        <v>129101</v>
      </c>
      <c r="K517">
        <v>62204</v>
      </c>
      <c r="L517">
        <v>177056</v>
      </c>
      <c r="M517">
        <v>60808</v>
      </c>
    </row>
    <row r="518" spans="1:13">
      <c r="A518" s="121">
        <v>36923</v>
      </c>
      <c r="B518">
        <v>11824</v>
      </c>
      <c r="C518">
        <v>21320</v>
      </c>
      <c r="D518">
        <v>23363</v>
      </c>
      <c r="E518">
        <v>33420</v>
      </c>
      <c r="F518">
        <v>10338</v>
      </c>
      <c r="G518">
        <v>48941</v>
      </c>
      <c r="H518">
        <v>174230</v>
      </c>
      <c r="I518">
        <v>131335</v>
      </c>
      <c r="J518">
        <v>130032</v>
      </c>
      <c r="K518">
        <v>62060</v>
      </c>
      <c r="L518">
        <v>180276</v>
      </c>
      <c r="M518">
        <v>60697</v>
      </c>
    </row>
    <row r="519" spans="1:13">
      <c r="A519" s="121">
        <v>36951</v>
      </c>
      <c r="B519">
        <v>11794</v>
      </c>
      <c r="C519">
        <v>21372</v>
      </c>
      <c r="D519">
        <v>22227</v>
      </c>
      <c r="E519">
        <v>30957</v>
      </c>
      <c r="F519">
        <v>9878</v>
      </c>
      <c r="G519">
        <v>56641</v>
      </c>
      <c r="H519">
        <v>173019</v>
      </c>
      <c r="I519">
        <v>125568</v>
      </c>
      <c r="J519">
        <v>131606</v>
      </c>
      <c r="K519">
        <v>61328</v>
      </c>
      <c r="L519">
        <v>182209</v>
      </c>
      <c r="M519">
        <v>58146</v>
      </c>
    </row>
    <row r="520" spans="1:13">
      <c r="A520" s="121">
        <v>36982</v>
      </c>
      <c r="B520">
        <v>11518</v>
      </c>
      <c r="C520">
        <v>20805</v>
      </c>
      <c r="D520">
        <v>21451</v>
      </c>
      <c r="E520">
        <v>27554</v>
      </c>
      <c r="F520">
        <v>9454</v>
      </c>
      <c r="G520">
        <v>51050</v>
      </c>
      <c r="H520">
        <v>165193</v>
      </c>
      <c r="I520">
        <v>120800</v>
      </c>
      <c r="J520">
        <v>123025</v>
      </c>
      <c r="K520">
        <v>58061</v>
      </c>
      <c r="L520">
        <v>171850</v>
      </c>
      <c r="M520">
        <v>54841</v>
      </c>
    </row>
    <row r="521" spans="1:13">
      <c r="A521" s="121">
        <v>37012</v>
      </c>
      <c r="B521">
        <v>11831</v>
      </c>
      <c r="C521">
        <v>22847</v>
      </c>
      <c r="D521">
        <v>22483</v>
      </c>
      <c r="E521">
        <v>28736</v>
      </c>
      <c r="F521">
        <v>9546</v>
      </c>
      <c r="G521">
        <v>51591</v>
      </c>
      <c r="H521">
        <v>170387</v>
      </c>
      <c r="I521">
        <v>126158</v>
      </c>
      <c r="J521">
        <v>126796</v>
      </c>
      <c r="K521">
        <v>57809</v>
      </c>
      <c r="L521">
        <v>177749</v>
      </c>
      <c r="M521">
        <v>56599</v>
      </c>
    </row>
    <row r="522" spans="1:13">
      <c r="A522" s="121">
        <v>37043</v>
      </c>
      <c r="B522">
        <v>12245</v>
      </c>
      <c r="C522">
        <v>21156</v>
      </c>
      <c r="D522">
        <v>22334</v>
      </c>
      <c r="E522">
        <v>29088</v>
      </c>
      <c r="F522">
        <v>9525</v>
      </c>
      <c r="G522">
        <v>51212</v>
      </c>
      <c r="H522">
        <v>170143</v>
      </c>
      <c r="I522">
        <v>125138</v>
      </c>
      <c r="J522">
        <v>126051</v>
      </c>
      <c r="K522">
        <v>57270</v>
      </c>
      <c r="L522">
        <v>176350</v>
      </c>
      <c r="M522">
        <v>55428</v>
      </c>
    </row>
    <row r="523" spans="1:13">
      <c r="A523" s="121">
        <v>37073</v>
      </c>
      <c r="B523">
        <v>11544</v>
      </c>
      <c r="C523">
        <v>20946</v>
      </c>
      <c r="D523">
        <v>21166</v>
      </c>
      <c r="E523">
        <v>27625</v>
      </c>
      <c r="F523">
        <v>9199</v>
      </c>
      <c r="G523">
        <v>48368</v>
      </c>
      <c r="H523">
        <v>163190</v>
      </c>
      <c r="I523">
        <v>121761</v>
      </c>
      <c r="J523">
        <v>120027</v>
      </c>
      <c r="K523">
        <v>55370</v>
      </c>
      <c r="L523">
        <v>170129</v>
      </c>
      <c r="M523">
        <v>53436</v>
      </c>
    </row>
    <row r="524" spans="1:13">
      <c r="A524" s="121">
        <v>37104</v>
      </c>
      <c r="B524">
        <v>11302</v>
      </c>
      <c r="C524">
        <v>21005</v>
      </c>
      <c r="D524">
        <v>22182</v>
      </c>
      <c r="E524">
        <v>27598</v>
      </c>
      <c r="F524">
        <v>8990</v>
      </c>
      <c r="G524">
        <v>48423</v>
      </c>
      <c r="H524">
        <v>164593</v>
      </c>
      <c r="I524">
        <v>122061</v>
      </c>
      <c r="J524">
        <v>120481</v>
      </c>
      <c r="K524">
        <v>55259</v>
      </c>
      <c r="L524">
        <v>170484</v>
      </c>
      <c r="M524">
        <v>54169</v>
      </c>
    </row>
    <row r="525" spans="1:13">
      <c r="A525" s="121">
        <v>37135</v>
      </c>
      <c r="B525">
        <v>11255</v>
      </c>
      <c r="C525">
        <v>19635</v>
      </c>
      <c r="D525">
        <v>21984</v>
      </c>
      <c r="E525">
        <v>26632</v>
      </c>
      <c r="F525">
        <v>8495</v>
      </c>
      <c r="G525">
        <v>45716</v>
      </c>
      <c r="H525">
        <v>155425</v>
      </c>
      <c r="I525">
        <v>118407</v>
      </c>
      <c r="J525">
        <v>115746</v>
      </c>
      <c r="K525">
        <v>53660</v>
      </c>
      <c r="L525">
        <v>164123</v>
      </c>
      <c r="M525">
        <v>50735</v>
      </c>
    </row>
    <row r="526" spans="1:13">
      <c r="A526" s="121">
        <v>37165</v>
      </c>
      <c r="B526">
        <v>10513</v>
      </c>
      <c r="C526">
        <v>19638</v>
      </c>
      <c r="D526">
        <v>19904</v>
      </c>
      <c r="E526">
        <v>26377</v>
      </c>
      <c r="F526">
        <v>8322</v>
      </c>
      <c r="G526">
        <v>56405</v>
      </c>
      <c r="H526">
        <v>152471</v>
      </c>
      <c r="I526">
        <v>115125</v>
      </c>
      <c r="J526">
        <v>122937</v>
      </c>
      <c r="K526">
        <v>52775</v>
      </c>
      <c r="L526">
        <v>171530</v>
      </c>
      <c r="M526">
        <v>49736</v>
      </c>
    </row>
    <row r="527" spans="1:13">
      <c r="A527" s="121">
        <v>37196</v>
      </c>
      <c r="B527">
        <v>10980</v>
      </c>
      <c r="C527">
        <v>19578</v>
      </c>
      <c r="D527">
        <v>20582</v>
      </c>
      <c r="E527">
        <v>27061</v>
      </c>
      <c r="F527">
        <v>8591</v>
      </c>
      <c r="G527">
        <v>46647</v>
      </c>
      <c r="H527">
        <v>157390</v>
      </c>
      <c r="I527">
        <v>117164</v>
      </c>
      <c r="J527">
        <v>114240</v>
      </c>
      <c r="K527">
        <v>51410</v>
      </c>
      <c r="L527">
        <v>163811</v>
      </c>
      <c r="M527">
        <v>51335</v>
      </c>
    </row>
    <row r="528" spans="1:13">
      <c r="A528" s="121">
        <v>37226</v>
      </c>
      <c r="B528">
        <v>11091</v>
      </c>
      <c r="C528">
        <v>20477</v>
      </c>
      <c r="D528">
        <v>20559</v>
      </c>
      <c r="E528">
        <v>26986</v>
      </c>
      <c r="F528">
        <v>8841</v>
      </c>
      <c r="G528">
        <v>46917</v>
      </c>
      <c r="H528">
        <v>158149</v>
      </c>
      <c r="I528">
        <v>118387</v>
      </c>
      <c r="J528">
        <v>114782</v>
      </c>
      <c r="K528">
        <v>52221</v>
      </c>
      <c r="L528">
        <v>165304</v>
      </c>
      <c r="M528">
        <v>51290</v>
      </c>
    </row>
    <row r="529" spans="1:13">
      <c r="A529" s="121">
        <v>37257</v>
      </c>
      <c r="B529">
        <v>11089</v>
      </c>
      <c r="C529">
        <v>19916</v>
      </c>
      <c r="D529">
        <v>19237</v>
      </c>
      <c r="E529">
        <v>23957</v>
      </c>
      <c r="F529">
        <v>7913</v>
      </c>
      <c r="G529">
        <v>49693</v>
      </c>
      <c r="H529">
        <v>157413</v>
      </c>
      <c r="I529">
        <v>113631</v>
      </c>
      <c r="J529">
        <v>112406</v>
      </c>
      <c r="K529">
        <v>50214</v>
      </c>
      <c r="L529">
        <v>163324</v>
      </c>
      <c r="M529">
        <v>47643</v>
      </c>
    </row>
    <row r="530" spans="1:13">
      <c r="A530" s="121">
        <v>37288</v>
      </c>
      <c r="B530">
        <v>11088</v>
      </c>
      <c r="C530">
        <v>19926</v>
      </c>
      <c r="D530">
        <v>19390</v>
      </c>
      <c r="E530">
        <v>25330</v>
      </c>
      <c r="F530">
        <v>8670</v>
      </c>
      <c r="G530">
        <v>56674</v>
      </c>
      <c r="H530">
        <v>162338</v>
      </c>
      <c r="I530">
        <v>115732</v>
      </c>
      <c r="J530">
        <v>122233</v>
      </c>
      <c r="K530">
        <v>51412</v>
      </c>
      <c r="L530">
        <v>172406</v>
      </c>
      <c r="M530">
        <v>50422</v>
      </c>
    </row>
    <row r="531" spans="1:13">
      <c r="A531" s="121">
        <v>37316</v>
      </c>
      <c r="B531">
        <v>11416</v>
      </c>
      <c r="C531">
        <v>20098</v>
      </c>
      <c r="D531">
        <v>19389</v>
      </c>
      <c r="E531">
        <v>24249</v>
      </c>
      <c r="F531">
        <v>8385</v>
      </c>
      <c r="G531">
        <v>53201</v>
      </c>
      <c r="H531">
        <v>157855</v>
      </c>
      <c r="I531">
        <v>114652</v>
      </c>
      <c r="J531">
        <v>118940</v>
      </c>
      <c r="K531">
        <v>51264</v>
      </c>
      <c r="L531">
        <v>167853</v>
      </c>
      <c r="M531">
        <v>47371</v>
      </c>
    </row>
    <row r="532" spans="1:13">
      <c r="A532" s="121">
        <v>37347</v>
      </c>
      <c r="B532">
        <v>11802</v>
      </c>
      <c r="C532">
        <v>20494</v>
      </c>
      <c r="D532">
        <v>20288</v>
      </c>
      <c r="E532">
        <v>25393</v>
      </c>
      <c r="F532">
        <v>8941</v>
      </c>
      <c r="G532">
        <v>52970</v>
      </c>
      <c r="H532">
        <v>164479</v>
      </c>
      <c r="I532">
        <v>118882</v>
      </c>
      <c r="J532">
        <v>118664</v>
      </c>
      <c r="K532">
        <v>50763</v>
      </c>
      <c r="L532">
        <v>171852</v>
      </c>
      <c r="M532">
        <v>49964</v>
      </c>
    </row>
    <row r="533" spans="1:13">
      <c r="A533" s="121">
        <v>37377</v>
      </c>
      <c r="B533">
        <v>12152</v>
      </c>
      <c r="C533">
        <v>20891</v>
      </c>
      <c r="D533">
        <v>20921</v>
      </c>
      <c r="E533">
        <v>25011</v>
      </c>
      <c r="F533">
        <v>8802</v>
      </c>
      <c r="G533">
        <v>51910</v>
      </c>
      <c r="H533">
        <v>165886</v>
      </c>
      <c r="I533">
        <v>119944</v>
      </c>
      <c r="J533">
        <v>119235</v>
      </c>
      <c r="K533">
        <v>51857</v>
      </c>
      <c r="L533">
        <v>171854</v>
      </c>
      <c r="M533">
        <v>50680</v>
      </c>
    </row>
    <row r="534" spans="1:13">
      <c r="A534" s="121">
        <v>37408</v>
      </c>
      <c r="B534">
        <v>11907</v>
      </c>
      <c r="C534">
        <v>20378</v>
      </c>
      <c r="D534">
        <v>19998</v>
      </c>
      <c r="E534">
        <v>23810</v>
      </c>
      <c r="F534">
        <v>8973</v>
      </c>
      <c r="G534">
        <v>48877</v>
      </c>
      <c r="H534">
        <v>158878</v>
      </c>
      <c r="I534">
        <v>117193</v>
      </c>
      <c r="J534">
        <v>113950</v>
      </c>
      <c r="K534">
        <v>51723</v>
      </c>
      <c r="L534">
        <v>166070</v>
      </c>
      <c r="M534">
        <v>48847</v>
      </c>
    </row>
    <row r="535" spans="1:13">
      <c r="A535" s="121">
        <v>37438</v>
      </c>
      <c r="B535">
        <v>11561</v>
      </c>
      <c r="C535">
        <v>20661</v>
      </c>
      <c r="D535">
        <v>20935</v>
      </c>
      <c r="E535">
        <v>23565</v>
      </c>
      <c r="F535">
        <v>8088</v>
      </c>
      <c r="G535">
        <v>57289</v>
      </c>
      <c r="H535">
        <v>164086</v>
      </c>
      <c r="I535">
        <v>116993</v>
      </c>
      <c r="J535">
        <v>120438</v>
      </c>
      <c r="K535">
        <v>50606</v>
      </c>
      <c r="L535">
        <v>174282</v>
      </c>
      <c r="M535">
        <v>49531</v>
      </c>
    </row>
    <row r="536" spans="1:13">
      <c r="A536" s="121">
        <v>37469</v>
      </c>
      <c r="B536">
        <v>11915</v>
      </c>
      <c r="C536">
        <v>19979</v>
      </c>
      <c r="D536">
        <v>20838</v>
      </c>
      <c r="E536">
        <v>23643</v>
      </c>
      <c r="F536">
        <v>8381</v>
      </c>
      <c r="G536">
        <v>60083</v>
      </c>
      <c r="H536">
        <v>169023</v>
      </c>
      <c r="I536">
        <v>117043</v>
      </c>
      <c r="J536">
        <v>122932</v>
      </c>
      <c r="K536">
        <v>51767</v>
      </c>
      <c r="L536">
        <v>177126</v>
      </c>
      <c r="M536">
        <v>51112</v>
      </c>
    </row>
    <row r="537" spans="1:13">
      <c r="A537" s="121">
        <v>37500</v>
      </c>
      <c r="B537">
        <v>11828</v>
      </c>
      <c r="C537">
        <v>21007</v>
      </c>
      <c r="D537">
        <v>21476</v>
      </c>
      <c r="E537">
        <v>21537</v>
      </c>
      <c r="F537">
        <v>8516</v>
      </c>
      <c r="G537">
        <v>50377</v>
      </c>
      <c r="H537">
        <v>158513</v>
      </c>
      <c r="I537">
        <v>116461</v>
      </c>
      <c r="J537">
        <v>115066</v>
      </c>
      <c r="K537">
        <v>51041</v>
      </c>
      <c r="L537">
        <v>166838</v>
      </c>
      <c r="M537">
        <v>48089</v>
      </c>
    </row>
    <row r="538" spans="1:13">
      <c r="A538" s="121">
        <v>37530</v>
      </c>
      <c r="B538">
        <v>12133</v>
      </c>
      <c r="C538">
        <v>20837</v>
      </c>
      <c r="D538">
        <v>21100</v>
      </c>
      <c r="E538">
        <v>21460</v>
      </c>
      <c r="F538">
        <v>8464</v>
      </c>
      <c r="G538">
        <v>52510</v>
      </c>
      <c r="H538">
        <v>163571</v>
      </c>
      <c r="I538">
        <v>116624</v>
      </c>
      <c r="J538">
        <v>115754</v>
      </c>
      <c r="K538">
        <v>50189</v>
      </c>
      <c r="L538">
        <v>169134</v>
      </c>
      <c r="M538">
        <v>49106</v>
      </c>
    </row>
    <row r="539" spans="1:13">
      <c r="A539" s="121">
        <v>37561</v>
      </c>
      <c r="B539">
        <v>11273</v>
      </c>
      <c r="C539">
        <v>20532</v>
      </c>
      <c r="D539">
        <v>21052</v>
      </c>
      <c r="E539">
        <v>23049</v>
      </c>
      <c r="F539">
        <v>8469</v>
      </c>
      <c r="G539">
        <v>53076</v>
      </c>
      <c r="H539">
        <v>163175</v>
      </c>
      <c r="I539">
        <v>116947</v>
      </c>
      <c r="J539">
        <v>117084</v>
      </c>
      <c r="K539">
        <v>50845</v>
      </c>
      <c r="L539">
        <v>170023</v>
      </c>
      <c r="M539">
        <v>49620</v>
      </c>
    </row>
    <row r="540" spans="1:13">
      <c r="A540" s="121">
        <v>37591</v>
      </c>
      <c r="B540">
        <v>11201</v>
      </c>
      <c r="C540">
        <v>19732</v>
      </c>
      <c r="D540">
        <v>20998</v>
      </c>
      <c r="E540">
        <v>22776</v>
      </c>
      <c r="F540">
        <v>8645</v>
      </c>
      <c r="G540">
        <v>48195</v>
      </c>
      <c r="H540">
        <v>156085</v>
      </c>
      <c r="I540">
        <v>115767</v>
      </c>
      <c r="J540">
        <v>112831</v>
      </c>
      <c r="K540">
        <v>49514</v>
      </c>
      <c r="L540">
        <v>163962</v>
      </c>
      <c r="M540">
        <v>48744</v>
      </c>
    </row>
    <row r="541" spans="1:13">
      <c r="A541" s="121">
        <v>37622</v>
      </c>
      <c r="B541">
        <v>11809</v>
      </c>
      <c r="C541">
        <v>19617</v>
      </c>
      <c r="D541">
        <v>20885</v>
      </c>
      <c r="E541">
        <v>22955</v>
      </c>
      <c r="F541">
        <v>8100</v>
      </c>
      <c r="G541">
        <v>54385</v>
      </c>
      <c r="H541">
        <v>161973</v>
      </c>
      <c r="I541">
        <v>115609</v>
      </c>
      <c r="J541">
        <v>116048</v>
      </c>
      <c r="K541">
        <v>49171</v>
      </c>
      <c r="L541">
        <v>169994</v>
      </c>
      <c r="M541">
        <v>48896</v>
      </c>
    </row>
    <row r="542" spans="1:13">
      <c r="A542" s="121">
        <v>37653</v>
      </c>
      <c r="B542">
        <v>11588</v>
      </c>
      <c r="C542">
        <v>22329</v>
      </c>
      <c r="D542">
        <v>20695</v>
      </c>
      <c r="E542">
        <v>23152</v>
      </c>
      <c r="F542">
        <v>8095</v>
      </c>
      <c r="G542">
        <v>56015</v>
      </c>
      <c r="H542">
        <v>164139</v>
      </c>
      <c r="I542">
        <v>118098</v>
      </c>
      <c r="J542">
        <v>121274</v>
      </c>
      <c r="K542">
        <v>49130</v>
      </c>
      <c r="L542">
        <v>174113</v>
      </c>
      <c r="M542">
        <v>49128</v>
      </c>
    </row>
    <row r="543" spans="1:13">
      <c r="A543" s="121">
        <v>37681</v>
      </c>
      <c r="B543">
        <v>10745</v>
      </c>
      <c r="C543">
        <v>20539</v>
      </c>
      <c r="D543">
        <v>22278</v>
      </c>
      <c r="E543">
        <v>22826</v>
      </c>
      <c r="F543">
        <v>8599</v>
      </c>
      <c r="G543">
        <v>55319</v>
      </c>
      <c r="H543">
        <v>162941</v>
      </c>
      <c r="I543">
        <v>116926</v>
      </c>
      <c r="J543">
        <v>119034</v>
      </c>
      <c r="K543">
        <v>49992</v>
      </c>
      <c r="L543">
        <v>172245</v>
      </c>
      <c r="M543">
        <v>51757</v>
      </c>
    </row>
    <row r="544" spans="1:13">
      <c r="A544" s="121">
        <v>37712</v>
      </c>
      <c r="B544">
        <v>11364</v>
      </c>
      <c r="C544">
        <v>19592</v>
      </c>
      <c r="D544">
        <v>20629</v>
      </c>
      <c r="E544">
        <v>23420</v>
      </c>
      <c r="F544">
        <v>7983</v>
      </c>
      <c r="G544">
        <v>54324</v>
      </c>
      <c r="H544">
        <v>158517</v>
      </c>
      <c r="I544">
        <v>115023</v>
      </c>
      <c r="J544">
        <v>117051</v>
      </c>
      <c r="K544">
        <v>49116</v>
      </c>
      <c r="L544">
        <v>169347</v>
      </c>
      <c r="M544">
        <v>49199</v>
      </c>
    </row>
    <row r="545" spans="1:13">
      <c r="A545" s="121">
        <v>37742</v>
      </c>
      <c r="B545">
        <v>11113</v>
      </c>
      <c r="C545">
        <v>20214</v>
      </c>
      <c r="D545">
        <v>20967</v>
      </c>
      <c r="E545">
        <v>24063</v>
      </c>
      <c r="F545">
        <v>7949</v>
      </c>
      <c r="G545">
        <v>55239</v>
      </c>
      <c r="H545">
        <v>161370</v>
      </c>
      <c r="I545">
        <v>116303</v>
      </c>
      <c r="J545">
        <v>118306</v>
      </c>
      <c r="K545">
        <v>49790</v>
      </c>
      <c r="L545">
        <v>171542</v>
      </c>
      <c r="M545">
        <v>50849</v>
      </c>
    </row>
    <row r="546" spans="1:13">
      <c r="A546" s="121">
        <v>37773</v>
      </c>
      <c r="B546">
        <v>11545</v>
      </c>
      <c r="C546">
        <v>20561</v>
      </c>
      <c r="D546">
        <v>21493</v>
      </c>
      <c r="E546">
        <v>23387</v>
      </c>
      <c r="F546">
        <v>8365</v>
      </c>
      <c r="G546">
        <v>55788</v>
      </c>
      <c r="H546">
        <v>165123</v>
      </c>
      <c r="I546">
        <v>117719</v>
      </c>
      <c r="J546">
        <v>119931</v>
      </c>
      <c r="K546">
        <v>49999</v>
      </c>
      <c r="L546">
        <v>173507</v>
      </c>
      <c r="M546">
        <v>49941</v>
      </c>
    </row>
    <row r="547" spans="1:13">
      <c r="A547" s="121">
        <v>37803</v>
      </c>
      <c r="B547">
        <v>11617</v>
      </c>
      <c r="C547">
        <v>20770</v>
      </c>
      <c r="D547">
        <v>21034</v>
      </c>
      <c r="E547">
        <v>23871</v>
      </c>
      <c r="F547">
        <v>8051</v>
      </c>
      <c r="G547">
        <v>55105</v>
      </c>
      <c r="H547">
        <v>164584</v>
      </c>
      <c r="I547">
        <v>118215</v>
      </c>
      <c r="J547">
        <v>117404</v>
      </c>
      <c r="K547">
        <v>49927</v>
      </c>
      <c r="L547">
        <v>173320</v>
      </c>
      <c r="M547">
        <v>49408</v>
      </c>
    </row>
    <row r="548" spans="1:13">
      <c r="A548" s="121">
        <v>37834</v>
      </c>
      <c r="B548">
        <v>11673</v>
      </c>
      <c r="C548">
        <v>20307</v>
      </c>
      <c r="D548">
        <v>21883</v>
      </c>
      <c r="E548">
        <v>24607</v>
      </c>
      <c r="F548">
        <v>8236</v>
      </c>
      <c r="G548">
        <v>53113</v>
      </c>
      <c r="H548">
        <v>162258</v>
      </c>
      <c r="I548">
        <v>119931</v>
      </c>
      <c r="J548">
        <v>119296</v>
      </c>
      <c r="K548">
        <v>49441</v>
      </c>
      <c r="L548">
        <v>173044</v>
      </c>
      <c r="M548">
        <v>50447</v>
      </c>
    </row>
    <row r="549" spans="1:13">
      <c r="A549" s="121">
        <v>37865</v>
      </c>
      <c r="B549">
        <v>11323</v>
      </c>
      <c r="C549">
        <v>20865</v>
      </c>
      <c r="D549">
        <v>21904</v>
      </c>
      <c r="E549">
        <v>25217</v>
      </c>
      <c r="F549">
        <v>8420</v>
      </c>
      <c r="G549">
        <v>57358</v>
      </c>
      <c r="H549">
        <v>169820</v>
      </c>
      <c r="I549">
        <v>121332</v>
      </c>
      <c r="J549">
        <v>121830</v>
      </c>
      <c r="K549">
        <v>51050</v>
      </c>
      <c r="L549">
        <v>178690</v>
      </c>
      <c r="M549">
        <v>51971</v>
      </c>
    </row>
    <row r="550" spans="1:13">
      <c r="A550" s="121">
        <v>37895</v>
      </c>
      <c r="B550">
        <v>13410</v>
      </c>
      <c r="C550">
        <v>21506</v>
      </c>
      <c r="D550">
        <v>20960</v>
      </c>
      <c r="E550">
        <v>26376</v>
      </c>
      <c r="F550">
        <v>8590</v>
      </c>
      <c r="G550">
        <v>58509</v>
      </c>
      <c r="H550">
        <v>172776</v>
      </c>
      <c r="I550">
        <v>125195</v>
      </c>
      <c r="J550">
        <v>127269</v>
      </c>
      <c r="K550">
        <v>50712</v>
      </c>
      <c r="L550">
        <v>183704</v>
      </c>
      <c r="M550">
        <v>51088</v>
      </c>
    </row>
    <row r="551" spans="1:13">
      <c r="A551" s="121">
        <v>37926</v>
      </c>
      <c r="B551">
        <v>13068</v>
      </c>
      <c r="C551">
        <v>21712</v>
      </c>
      <c r="D551">
        <v>22707</v>
      </c>
      <c r="E551">
        <v>24876</v>
      </c>
      <c r="F551">
        <v>8516</v>
      </c>
      <c r="G551">
        <v>56537</v>
      </c>
      <c r="H551">
        <v>172903</v>
      </c>
      <c r="I551">
        <v>125148</v>
      </c>
      <c r="J551">
        <v>125879</v>
      </c>
      <c r="K551">
        <v>51028</v>
      </c>
      <c r="L551">
        <v>181685</v>
      </c>
      <c r="M551">
        <v>52318</v>
      </c>
    </row>
    <row r="552" spans="1:13">
      <c r="A552" s="121">
        <v>37956</v>
      </c>
      <c r="B552">
        <v>12605</v>
      </c>
      <c r="C552">
        <v>21426</v>
      </c>
      <c r="D552">
        <v>22836</v>
      </c>
      <c r="E552">
        <v>26323</v>
      </c>
      <c r="F552">
        <v>8519</v>
      </c>
      <c r="G552">
        <v>56710</v>
      </c>
      <c r="H552">
        <v>170591</v>
      </c>
      <c r="I552">
        <v>124803</v>
      </c>
      <c r="J552">
        <v>126251</v>
      </c>
      <c r="K552">
        <v>51259</v>
      </c>
      <c r="L552">
        <v>181513</v>
      </c>
      <c r="M552">
        <v>53325</v>
      </c>
    </row>
    <row r="553" spans="1:13">
      <c r="A553" s="121">
        <v>37987</v>
      </c>
      <c r="B553">
        <v>13389</v>
      </c>
      <c r="C553">
        <v>22072</v>
      </c>
      <c r="D553">
        <v>21702</v>
      </c>
      <c r="E553">
        <v>24374</v>
      </c>
      <c r="F553">
        <v>8416</v>
      </c>
      <c r="G553">
        <v>55468</v>
      </c>
      <c r="H553">
        <v>168214</v>
      </c>
      <c r="I553">
        <v>123228</v>
      </c>
      <c r="J553">
        <v>124471</v>
      </c>
      <c r="K553">
        <v>50315</v>
      </c>
      <c r="L553">
        <v>178696</v>
      </c>
      <c r="M553">
        <v>50190</v>
      </c>
    </row>
    <row r="554" spans="1:13">
      <c r="A554" s="121">
        <v>38018</v>
      </c>
      <c r="B554">
        <v>14161</v>
      </c>
      <c r="C554">
        <v>21462</v>
      </c>
      <c r="D554">
        <v>22280</v>
      </c>
      <c r="E554">
        <v>24571</v>
      </c>
      <c r="F554">
        <v>8579</v>
      </c>
      <c r="G554">
        <v>57852</v>
      </c>
      <c r="H554">
        <v>171570</v>
      </c>
      <c r="I554">
        <v>123810</v>
      </c>
      <c r="J554">
        <v>126174</v>
      </c>
      <c r="K554">
        <v>49633</v>
      </c>
      <c r="L554">
        <v>181662</v>
      </c>
      <c r="M554">
        <v>51210</v>
      </c>
    </row>
    <row r="555" spans="1:13">
      <c r="A555" s="121">
        <v>38047</v>
      </c>
      <c r="B555">
        <v>15493</v>
      </c>
      <c r="C555">
        <v>22733</v>
      </c>
      <c r="D555">
        <v>24203</v>
      </c>
      <c r="E555">
        <v>25899</v>
      </c>
      <c r="F555">
        <v>9038</v>
      </c>
      <c r="G555">
        <v>59224</v>
      </c>
      <c r="H555">
        <v>181448</v>
      </c>
      <c r="I555">
        <v>131645</v>
      </c>
      <c r="J555">
        <v>132836</v>
      </c>
      <c r="K555">
        <v>51809</v>
      </c>
      <c r="L555">
        <v>190869</v>
      </c>
      <c r="M555">
        <v>54995</v>
      </c>
    </row>
    <row r="556" spans="1:13">
      <c r="A556" s="121">
        <v>38078</v>
      </c>
      <c r="B556">
        <v>14454</v>
      </c>
      <c r="C556">
        <v>22757</v>
      </c>
      <c r="D556">
        <v>22639</v>
      </c>
      <c r="E556">
        <v>24683</v>
      </c>
      <c r="F556">
        <v>9064</v>
      </c>
      <c r="G556">
        <v>56412</v>
      </c>
      <c r="H556">
        <v>173902</v>
      </c>
      <c r="I556">
        <v>127956</v>
      </c>
      <c r="J556">
        <v>127885</v>
      </c>
      <c r="K556">
        <v>51432</v>
      </c>
      <c r="L556">
        <v>184368</v>
      </c>
      <c r="M556">
        <v>52065</v>
      </c>
    </row>
    <row r="557" spans="1:13">
      <c r="A557" s="121">
        <v>38108</v>
      </c>
      <c r="B557">
        <v>15374</v>
      </c>
      <c r="C557">
        <v>21582</v>
      </c>
      <c r="D557">
        <v>22984</v>
      </c>
      <c r="E557">
        <v>25327</v>
      </c>
      <c r="F557">
        <v>8808</v>
      </c>
      <c r="G557">
        <v>54677</v>
      </c>
      <c r="H557">
        <v>175303</v>
      </c>
      <c r="I557">
        <v>128782</v>
      </c>
      <c r="J557">
        <v>128297</v>
      </c>
      <c r="K557">
        <v>51070</v>
      </c>
      <c r="L557">
        <v>183459</v>
      </c>
      <c r="M557">
        <v>52405</v>
      </c>
    </row>
    <row r="558" spans="1:13">
      <c r="A558" s="121">
        <v>38139</v>
      </c>
      <c r="B558">
        <v>15585</v>
      </c>
      <c r="C558">
        <v>21993</v>
      </c>
      <c r="D558">
        <v>23409</v>
      </c>
      <c r="E558">
        <v>24662</v>
      </c>
      <c r="F558">
        <v>8295</v>
      </c>
      <c r="G558">
        <v>57082</v>
      </c>
      <c r="H558">
        <v>175494</v>
      </c>
      <c r="I558">
        <v>128558</v>
      </c>
      <c r="J558">
        <v>129908</v>
      </c>
      <c r="K558">
        <v>52459</v>
      </c>
      <c r="L558">
        <v>185640</v>
      </c>
      <c r="M558">
        <v>53213</v>
      </c>
    </row>
    <row r="559" spans="1:13">
      <c r="A559" s="121">
        <v>38169</v>
      </c>
      <c r="B559">
        <v>16498</v>
      </c>
      <c r="C559">
        <v>21640</v>
      </c>
      <c r="D559">
        <v>22842</v>
      </c>
      <c r="E559">
        <v>23513</v>
      </c>
      <c r="F559">
        <v>9045</v>
      </c>
      <c r="G559">
        <v>58985</v>
      </c>
      <c r="H559">
        <v>177293</v>
      </c>
      <c r="I559">
        <v>127850</v>
      </c>
      <c r="J559">
        <v>134104</v>
      </c>
      <c r="K559">
        <v>52558</v>
      </c>
      <c r="L559">
        <v>186835</v>
      </c>
      <c r="M559">
        <v>53699</v>
      </c>
    </row>
    <row r="560" spans="1:13">
      <c r="A560" s="121">
        <v>38200</v>
      </c>
      <c r="B560">
        <v>16523</v>
      </c>
      <c r="C560">
        <v>22852</v>
      </c>
      <c r="D560">
        <v>22901</v>
      </c>
      <c r="E560">
        <v>23646</v>
      </c>
      <c r="F560">
        <v>9029</v>
      </c>
      <c r="G560">
        <v>53281</v>
      </c>
      <c r="H560">
        <v>176538</v>
      </c>
      <c r="I560">
        <v>130447</v>
      </c>
      <c r="J560">
        <v>127182</v>
      </c>
      <c r="K560">
        <v>52596</v>
      </c>
      <c r="L560">
        <v>183728</v>
      </c>
      <c r="M560">
        <v>51950</v>
      </c>
    </row>
    <row r="561" spans="1:13">
      <c r="A561" s="121">
        <v>38231</v>
      </c>
      <c r="B561">
        <v>16170</v>
      </c>
      <c r="C561">
        <v>21577</v>
      </c>
      <c r="D561">
        <v>24828</v>
      </c>
      <c r="E561">
        <v>25956</v>
      </c>
      <c r="F561">
        <v>8984</v>
      </c>
      <c r="G561">
        <v>55989</v>
      </c>
      <c r="H561">
        <v>178667</v>
      </c>
      <c r="I561">
        <v>132455</v>
      </c>
      <c r="J561">
        <v>132132</v>
      </c>
      <c r="K561">
        <v>53221</v>
      </c>
      <c r="L561">
        <v>188444</v>
      </c>
      <c r="M561">
        <v>56227</v>
      </c>
    </row>
    <row r="562" spans="1:13">
      <c r="A562" s="121">
        <v>38261</v>
      </c>
      <c r="B562">
        <v>15374</v>
      </c>
      <c r="C562">
        <v>23551</v>
      </c>
      <c r="D562">
        <v>24451</v>
      </c>
      <c r="E562">
        <v>25080</v>
      </c>
      <c r="F562">
        <v>8719</v>
      </c>
      <c r="G562">
        <v>53009</v>
      </c>
      <c r="H562">
        <v>175497</v>
      </c>
      <c r="I562">
        <v>132178</v>
      </c>
      <c r="J562">
        <v>129177</v>
      </c>
      <c r="K562">
        <v>54145</v>
      </c>
      <c r="L562">
        <v>185187</v>
      </c>
      <c r="M562">
        <v>53948</v>
      </c>
    </row>
    <row r="563" spans="1:13">
      <c r="A563" s="121">
        <v>38292</v>
      </c>
      <c r="B563">
        <v>16541</v>
      </c>
      <c r="C563">
        <v>23405</v>
      </c>
      <c r="D563">
        <v>24024</v>
      </c>
      <c r="E563">
        <v>24707</v>
      </c>
      <c r="F563">
        <v>9397</v>
      </c>
      <c r="G563">
        <v>58423</v>
      </c>
      <c r="H563">
        <v>183784</v>
      </c>
      <c r="I563">
        <v>134122</v>
      </c>
      <c r="J563">
        <v>135582</v>
      </c>
      <c r="K563">
        <v>52976</v>
      </c>
      <c r="L563">
        <v>192545</v>
      </c>
      <c r="M563">
        <v>55318</v>
      </c>
    </row>
    <row r="564" spans="1:13">
      <c r="A564" s="121">
        <v>38322</v>
      </c>
      <c r="B564">
        <v>17269</v>
      </c>
      <c r="C564">
        <v>23348</v>
      </c>
      <c r="D564">
        <v>25685</v>
      </c>
      <c r="E564">
        <v>25105</v>
      </c>
      <c r="F564">
        <v>8744</v>
      </c>
      <c r="G564">
        <v>56597</v>
      </c>
      <c r="H564">
        <v>186095</v>
      </c>
      <c r="I564">
        <v>136981</v>
      </c>
      <c r="J564">
        <v>135216</v>
      </c>
      <c r="K564">
        <v>54709</v>
      </c>
      <c r="L564">
        <v>193578</v>
      </c>
      <c r="M564">
        <v>56631</v>
      </c>
    </row>
    <row r="565" spans="1:13">
      <c r="A565" s="121">
        <v>38353</v>
      </c>
      <c r="B565">
        <v>16813</v>
      </c>
      <c r="C565">
        <v>23898</v>
      </c>
      <c r="D565">
        <v>25472</v>
      </c>
      <c r="E565">
        <v>25188</v>
      </c>
      <c r="F565">
        <v>9556</v>
      </c>
      <c r="G565">
        <v>57544</v>
      </c>
      <c r="H565">
        <v>186957</v>
      </c>
      <c r="I565">
        <v>137331</v>
      </c>
      <c r="J565">
        <v>137025</v>
      </c>
      <c r="K565">
        <v>56596</v>
      </c>
      <c r="L565">
        <v>194875</v>
      </c>
      <c r="M565">
        <v>57884</v>
      </c>
    </row>
    <row r="566" spans="1:13">
      <c r="A566" s="121">
        <v>38384</v>
      </c>
      <c r="B566">
        <v>17475</v>
      </c>
      <c r="C566">
        <v>24212</v>
      </c>
      <c r="D566">
        <v>25853</v>
      </c>
      <c r="E566">
        <v>25326</v>
      </c>
      <c r="F566">
        <v>9293</v>
      </c>
      <c r="G566">
        <v>57337</v>
      </c>
      <c r="H566">
        <v>188702</v>
      </c>
      <c r="I566">
        <v>139138</v>
      </c>
      <c r="J566">
        <v>138279</v>
      </c>
      <c r="K566">
        <v>55897</v>
      </c>
      <c r="L566">
        <v>196475</v>
      </c>
      <c r="M566">
        <v>57580</v>
      </c>
    </row>
    <row r="567" spans="1:13">
      <c r="A567" s="121">
        <v>38412</v>
      </c>
      <c r="B567">
        <v>17074</v>
      </c>
      <c r="C567">
        <v>23457</v>
      </c>
      <c r="D567">
        <v>24669</v>
      </c>
      <c r="E567">
        <v>25735</v>
      </c>
      <c r="F567">
        <v>8848</v>
      </c>
      <c r="G567">
        <v>49798</v>
      </c>
      <c r="H567">
        <v>180157</v>
      </c>
      <c r="I567">
        <v>136810</v>
      </c>
      <c r="J567">
        <v>130044</v>
      </c>
      <c r="K567">
        <v>55613</v>
      </c>
      <c r="L567">
        <v>186608</v>
      </c>
      <c r="M567">
        <v>56576</v>
      </c>
    </row>
    <row r="568" spans="1:13">
      <c r="A568" s="121">
        <v>38443</v>
      </c>
      <c r="B568">
        <v>16057</v>
      </c>
      <c r="C568">
        <v>24485</v>
      </c>
      <c r="D568">
        <v>25870</v>
      </c>
      <c r="E568">
        <v>24351</v>
      </c>
      <c r="F568">
        <v>9205</v>
      </c>
      <c r="G568">
        <v>57583</v>
      </c>
      <c r="H568">
        <v>186553</v>
      </c>
      <c r="I568">
        <v>137264</v>
      </c>
      <c r="J568">
        <v>135587</v>
      </c>
      <c r="K568">
        <v>56432</v>
      </c>
      <c r="L568">
        <v>194847</v>
      </c>
      <c r="M568">
        <v>58138</v>
      </c>
    </row>
    <row r="569" spans="1:13">
      <c r="A569" s="121">
        <v>38473</v>
      </c>
      <c r="B569">
        <v>15993</v>
      </c>
      <c r="C569">
        <v>24736</v>
      </c>
      <c r="D569">
        <v>25263</v>
      </c>
      <c r="E569">
        <v>24635</v>
      </c>
      <c r="F569">
        <v>9327</v>
      </c>
      <c r="G569">
        <v>69265</v>
      </c>
      <c r="H569">
        <v>197735</v>
      </c>
      <c r="I569">
        <v>137358</v>
      </c>
      <c r="J569">
        <v>148200</v>
      </c>
      <c r="K569">
        <v>56674</v>
      </c>
      <c r="L569">
        <v>206623</v>
      </c>
      <c r="M569">
        <v>57105</v>
      </c>
    </row>
    <row r="570" spans="1:13">
      <c r="A570" s="121">
        <v>38504</v>
      </c>
      <c r="B570">
        <v>15904</v>
      </c>
      <c r="C570">
        <v>25443</v>
      </c>
      <c r="D570">
        <v>26630</v>
      </c>
      <c r="E570">
        <v>26798</v>
      </c>
      <c r="F570">
        <v>9254</v>
      </c>
      <c r="G570">
        <v>68779</v>
      </c>
      <c r="H570">
        <v>199935</v>
      </c>
      <c r="I570">
        <v>141241</v>
      </c>
      <c r="J570">
        <v>151407</v>
      </c>
      <c r="K570">
        <v>57036</v>
      </c>
      <c r="L570">
        <v>210020</v>
      </c>
      <c r="M570">
        <v>58903</v>
      </c>
    </row>
    <row r="571" spans="1:13">
      <c r="A571" s="121">
        <v>38534</v>
      </c>
      <c r="B571">
        <v>16039</v>
      </c>
      <c r="C571">
        <v>24118</v>
      </c>
      <c r="D571">
        <v>25352</v>
      </c>
      <c r="E571">
        <v>23857</v>
      </c>
      <c r="F571">
        <v>9300</v>
      </c>
      <c r="G571">
        <v>58501</v>
      </c>
      <c r="H571">
        <v>186870</v>
      </c>
      <c r="I571">
        <v>135974</v>
      </c>
      <c r="J571">
        <v>136292</v>
      </c>
      <c r="K571">
        <v>56515</v>
      </c>
      <c r="L571">
        <v>194475</v>
      </c>
      <c r="M571">
        <v>57606</v>
      </c>
    </row>
    <row r="572" spans="1:13">
      <c r="A572" s="121">
        <v>38565</v>
      </c>
      <c r="B572">
        <v>17391</v>
      </c>
      <c r="C572">
        <v>25141</v>
      </c>
      <c r="D572">
        <v>26171</v>
      </c>
      <c r="E572">
        <v>26049</v>
      </c>
      <c r="F572">
        <v>10175</v>
      </c>
      <c r="G572">
        <v>61766</v>
      </c>
      <c r="H572">
        <v>197525</v>
      </c>
      <c r="I572">
        <v>143073</v>
      </c>
      <c r="J572">
        <v>145606</v>
      </c>
      <c r="K572">
        <v>57405</v>
      </c>
      <c r="L572">
        <v>204839</v>
      </c>
      <c r="M572">
        <v>60352</v>
      </c>
    </row>
    <row r="573" spans="1:13">
      <c r="A573" s="121">
        <v>38596</v>
      </c>
      <c r="B573">
        <v>19168</v>
      </c>
      <c r="C573">
        <v>25640</v>
      </c>
      <c r="D573">
        <v>26137</v>
      </c>
      <c r="E573">
        <v>24689</v>
      </c>
      <c r="F573">
        <v>10030</v>
      </c>
      <c r="G573">
        <v>60156</v>
      </c>
      <c r="H573">
        <v>195857</v>
      </c>
      <c r="I573">
        <v>143841</v>
      </c>
      <c r="J573">
        <v>142335</v>
      </c>
      <c r="K573">
        <v>57567</v>
      </c>
      <c r="L573">
        <v>203997</v>
      </c>
      <c r="M573">
        <v>58344</v>
      </c>
    </row>
    <row r="574" spans="1:13">
      <c r="A574" s="121">
        <v>38626</v>
      </c>
      <c r="B574">
        <v>19361</v>
      </c>
      <c r="C574">
        <v>25995</v>
      </c>
      <c r="D574">
        <v>26756</v>
      </c>
      <c r="E574">
        <v>24296</v>
      </c>
      <c r="F574">
        <v>10136</v>
      </c>
      <c r="G574">
        <v>64178</v>
      </c>
      <c r="H574">
        <v>200608</v>
      </c>
      <c r="I574">
        <v>145723</v>
      </c>
      <c r="J574">
        <v>148450</v>
      </c>
      <c r="K574">
        <v>58323</v>
      </c>
      <c r="L574">
        <v>209901</v>
      </c>
      <c r="M574">
        <v>59751</v>
      </c>
    </row>
    <row r="575" spans="1:13">
      <c r="A575" s="121">
        <v>38657</v>
      </c>
      <c r="B575">
        <v>19928</v>
      </c>
      <c r="C575">
        <v>25935</v>
      </c>
      <c r="D575">
        <v>27824</v>
      </c>
      <c r="E575">
        <v>25067</v>
      </c>
      <c r="F575">
        <v>9844</v>
      </c>
      <c r="G575">
        <v>72690</v>
      </c>
      <c r="H575">
        <v>213196</v>
      </c>
      <c r="I575">
        <v>148043</v>
      </c>
      <c r="J575">
        <v>160126</v>
      </c>
      <c r="K575">
        <v>58847</v>
      </c>
      <c r="L575">
        <v>220733</v>
      </c>
      <c r="M575">
        <v>60459</v>
      </c>
    </row>
    <row r="576" spans="1:13">
      <c r="A576" s="121">
        <v>38687</v>
      </c>
      <c r="B576">
        <v>18583</v>
      </c>
      <c r="C576">
        <v>26292</v>
      </c>
      <c r="D576">
        <v>28141</v>
      </c>
      <c r="E576">
        <v>25292</v>
      </c>
      <c r="F576">
        <v>10164</v>
      </c>
      <c r="G576">
        <v>73647</v>
      </c>
      <c r="H576">
        <v>211350</v>
      </c>
      <c r="I576">
        <v>147852</v>
      </c>
      <c r="J576">
        <v>159419</v>
      </c>
      <c r="K576">
        <v>60067</v>
      </c>
      <c r="L576">
        <v>221499</v>
      </c>
      <c r="M576">
        <v>61271</v>
      </c>
    </row>
    <row r="577" spans="1:13">
      <c r="A577" s="121">
        <v>38718</v>
      </c>
      <c r="B577">
        <v>19209</v>
      </c>
      <c r="C577">
        <v>26650</v>
      </c>
      <c r="D577">
        <v>28600</v>
      </c>
      <c r="E577">
        <v>25290</v>
      </c>
      <c r="F577">
        <v>10440</v>
      </c>
      <c r="G577">
        <v>58587</v>
      </c>
      <c r="H577">
        <v>204019</v>
      </c>
      <c r="I577">
        <v>150953</v>
      </c>
      <c r="J577">
        <v>146814</v>
      </c>
      <c r="K577">
        <v>59987</v>
      </c>
      <c r="L577">
        <v>209540</v>
      </c>
      <c r="M577">
        <v>62469</v>
      </c>
    </row>
    <row r="578" spans="1:13">
      <c r="A578" s="121">
        <v>38749</v>
      </c>
      <c r="B578">
        <v>18647</v>
      </c>
      <c r="C578">
        <v>26958</v>
      </c>
      <c r="D578">
        <v>27412</v>
      </c>
      <c r="E578">
        <v>26526</v>
      </c>
      <c r="F578">
        <v>10069</v>
      </c>
      <c r="G578">
        <v>68920</v>
      </c>
      <c r="H578">
        <v>207134</v>
      </c>
      <c r="I578">
        <v>150818</v>
      </c>
      <c r="J578">
        <v>156798</v>
      </c>
      <c r="K578">
        <v>60789</v>
      </c>
      <c r="L578">
        <v>219738</v>
      </c>
      <c r="M578">
        <v>62592</v>
      </c>
    </row>
    <row r="579" spans="1:13">
      <c r="A579" s="121">
        <v>38777</v>
      </c>
      <c r="B579">
        <v>18956</v>
      </c>
      <c r="C579">
        <v>26917</v>
      </c>
      <c r="D579">
        <v>28408</v>
      </c>
      <c r="E579">
        <v>28871</v>
      </c>
      <c r="F579">
        <v>9915</v>
      </c>
      <c r="G579">
        <v>73971</v>
      </c>
      <c r="H579">
        <v>217005</v>
      </c>
      <c r="I579">
        <v>153217</v>
      </c>
      <c r="J579">
        <v>163893</v>
      </c>
      <c r="K579">
        <v>61911</v>
      </c>
      <c r="L579">
        <v>227188</v>
      </c>
      <c r="M579">
        <v>65096</v>
      </c>
    </row>
    <row r="580" spans="1:13">
      <c r="A580" s="121">
        <v>38808</v>
      </c>
      <c r="B580">
        <v>19047</v>
      </c>
      <c r="C580">
        <v>27070</v>
      </c>
      <c r="D580">
        <v>27795</v>
      </c>
      <c r="E580">
        <v>28248</v>
      </c>
      <c r="F580">
        <v>10377</v>
      </c>
      <c r="G580">
        <v>62673</v>
      </c>
      <c r="H580">
        <v>205466</v>
      </c>
      <c r="I580">
        <v>151952</v>
      </c>
      <c r="J580">
        <v>154052</v>
      </c>
      <c r="K580">
        <v>61781</v>
      </c>
      <c r="L580">
        <v>214625</v>
      </c>
      <c r="M580">
        <v>63272</v>
      </c>
    </row>
    <row r="581" spans="1:13">
      <c r="A581" s="121">
        <v>38838</v>
      </c>
      <c r="B581">
        <v>20559</v>
      </c>
      <c r="C581">
        <v>27188</v>
      </c>
      <c r="D581">
        <v>29140</v>
      </c>
      <c r="E581">
        <v>26587</v>
      </c>
      <c r="F581">
        <v>10757</v>
      </c>
      <c r="G581">
        <v>62085</v>
      </c>
      <c r="H581">
        <v>207554</v>
      </c>
      <c r="I581">
        <v>153734</v>
      </c>
      <c r="J581">
        <v>153173</v>
      </c>
      <c r="K581">
        <v>62107</v>
      </c>
      <c r="L581">
        <v>215819</v>
      </c>
      <c r="M581">
        <v>64145</v>
      </c>
    </row>
    <row r="582" spans="1:13">
      <c r="A582" s="121">
        <v>38869</v>
      </c>
      <c r="B582">
        <v>20692</v>
      </c>
      <c r="C582">
        <v>28158</v>
      </c>
      <c r="D582">
        <v>28395</v>
      </c>
      <c r="E582">
        <v>27806</v>
      </c>
      <c r="F582">
        <v>10405</v>
      </c>
      <c r="G582">
        <v>66332</v>
      </c>
      <c r="H582">
        <v>208711</v>
      </c>
      <c r="I582">
        <v>154888</v>
      </c>
      <c r="J582">
        <v>158892</v>
      </c>
      <c r="K582">
        <v>61977</v>
      </c>
      <c r="L582">
        <v>221220</v>
      </c>
      <c r="M582">
        <v>63601</v>
      </c>
    </row>
    <row r="583" spans="1:13">
      <c r="A583" s="121">
        <v>38899</v>
      </c>
      <c r="B583">
        <v>20301</v>
      </c>
      <c r="C583">
        <v>26765</v>
      </c>
      <c r="D583">
        <v>28275</v>
      </c>
      <c r="E583">
        <v>27889</v>
      </c>
      <c r="F583">
        <v>10697</v>
      </c>
      <c r="G583">
        <v>56430</v>
      </c>
      <c r="H583">
        <v>200707</v>
      </c>
      <c r="I583">
        <v>153064</v>
      </c>
      <c r="J583">
        <v>152012</v>
      </c>
      <c r="K583">
        <v>61854</v>
      </c>
      <c r="L583">
        <v>209494</v>
      </c>
      <c r="M583">
        <v>63922</v>
      </c>
    </row>
    <row r="584" spans="1:13">
      <c r="A584" s="121">
        <v>38930</v>
      </c>
      <c r="B584">
        <v>19980</v>
      </c>
      <c r="C584">
        <v>26893</v>
      </c>
      <c r="D584">
        <v>27686</v>
      </c>
      <c r="E584">
        <v>27522</v>
      </c>
      <c r="F584">
        <v>9528</v>
      </c>
      <c r="G584">
        <v>59898</v>
      </c>
      <c r="H584">
        <v>200148</v>
      </c>
      <c r="I584">
        <v>150575</v>
      </c>
      <c r="J584">
        <v>150763</v>
      </c>
      <c r="K584">
        <v>62928</v>
      </c>
      <c r="L584">
        <v>210473</v>
      </c>
      <c r="M584">
        <v>64379</v>
      </c>
    </row>
    <row r="585" spans="1:13">
      <c r="A585" s="121">
        <v>38961</v>
      </c>
      <c r="B585">
        <v>19898</v>
      </c>
      <c r="C585">
        <v>27296</v>
      </c>
      <c r="D585">
        <v>28789</v>
      </c>
      <c r="E585">
        <v>28459</v>
      </c>
      <c r="F585">
        <v>10331</v>
      </c>
      <c r="G585">
        <v>80778</v>
      </c>
      <c r="H585">
        <v>219853</v>
      </c>
      <c r="I585">
        <v>153923</v>
      </c>
      <c r="J585">
        <v>176642</v>
      </c>
      <c r="K585">
        <v>62382</v>
      </c>
      <c r="L585">
        <v>234701</v>
      </c>
      <c r="M585">
        <v>66981</v>
      </c>
    </row>
    <row r="586" spans="1:13">
      <c r="A586" s="121">
        <v>38991</v>
      </c>
      <c r="B586">
        <v>20226</v>
      </c>
      <c r="C586">
        <v>26339</v>
      </c>
      <c r="D586">
        <v>30762</v>
      </c>
      <c r="E586">
        <v>26844</v>
      </c>
      <c r="F586">
        <v>10542</v>
      </c>
      <c r="G586">
        <v>63415</v>
      </c>
      <c r="H586">
        <v>208239</v>
      </c>
      <c r="I586">
        <v>153537</v>
      </c>
      <c r="J586">
        <v>158286</v>
      </c>
      <c r="K586">
        <v>62048</v>
      </c>
      <c r="L586">
        <v>216952</v>
      </c>
      <c r="M586">
        <v>66492</v>
      </c>
    </row>
    <row r="587" spans="1:13">
      <c r="A587" s="121">
        <v>39022</v>
      </c>
      <c r="B587">
        <v>19864</v>
      </c>
      <c r="C587">
        <v>26718</v>
      </c>
      <c r="D587">
        <v>28551</v>
      </c>
      <c r="E587">
        <v>29456</v>
      </c>
      <c r="F587">
        <v>10361</v>
      </c>
      <c r="G587">
        <v>71307</v>
      </c>
      <c r="H587">
        <v>210917</v>
      </c>
      <c r="I587">
        <v>153502</v>
      </c>
      <c r="J587">
        <v>165969</v>
      </c>
      <c r="K587">
        <v>63034</v>
      </c>
      <c r="L587">
        <v>224809</v>
      </c>
      <c r="M587">
        <v>66484</v>
      </c>
    </row>
    <row r="588" spans="1:13">
      <c r="A588" s="121">
        <v>39052</v>
      </c>
      <c r="B588">
        <v>20594</v>
      </c>
      <c r="C588">
        <v>28236</v>
      </c>
      <c r="D588">
        <v>30928</v>
      </c>
      <c r="E588">
        <v>28059</v>
      </c>
      <c r="F588">
        <v>10453</v>
      </c>
      <c r="G588">
        <v>70744</v>
      </c>
      <c r="H588">
        <v>217834</v>
      </c>
      <c r="I588">
        <v>158499</v>
      </c>
      <c r="J588">
        <v>166342</v>
      </c>
      <c r="K588">
        <v>63554</v>
      </c>
      <c r="L588">
        <v>229243</v>
      </c>
      <c r="M588">
        <v>65935</v>
      </c>
    </row>
    <row r="589" spans="1:13">
      <c r="A589" s="121">
        <v>39083</v>
      </c>
      <c r="B589">
        <v>20765</v>
      </c>
      <c r="C589">
        <v>28777</v>
      </c>
      <c r="D589">
        <v>27673</v>
      </c>
      <c r="E589">
        <v>26084</v>
      </c>
      <c r="F589">
        <v>11063</v>
      </c>
      <c r="G589">
        <v>69567</v>
      </c>
      <c r="H589">
        <v>210186</v>
      </c>
      <c r="I589">
        <v>153402</v>
      </c>
      <c r="J589">
        <v>163751</v>
      </c>
      <c r="K589">
        <v>61212</v>
      </c>
      <c r="L589">
        <v>222969</v>
      </c>
      <c r="M589">
        <v>64155</v>
      </c>
    </row>
    <row r="590" spans="1:13">
      <c r="A590" s="121">
        <v>39114</v>
      </c>
      <c r="B590">
        <v>20468</v>
      </c>
      <c r="C590">
        <v>28441</v>
      </c>
      <c r="D590">
        <v>28352</v>
      </c>
      <c r="E590">
        <v>28525</v>
      </c>
      <c r="F590">
        <v>10881</v>
      </c>
      <c r="G590">
        <v>65811</v>
      </c>
      <c r="H590">
        <v>211415</v>
      </c>
      <c r="I590">
        <v>155151</v>
      </c>
      <c r="J590">
        <v>161671</v>
      </c>
      <c r="K590">
        <v>62911</v>
      </c>
      <c r="L590">
        <v>220962</v>
      </c>
      <c r="M590">
        <v>63735</v>
      </c>
    </row>
    <row r="591" spans="1:13">
      <c r="A591" s="121">
        <v>39142</v>
      </c>
      <c r="B591">
        <v>21519</v>
      </c>
      <c r="C591">
        <v>28215</v>
      </c>
      <c r="D591">
        <v>31639</v>
      </c>
      <c r="E591">
        <v>24998</v>
      </c>
      <c r="F591">
        <v>11135</v>
      </c>
      <c r="G591">
        <v>73170</v>
      </c>
      <c r="H591">
        <v>222472</v>
      </c>
      <c r="I591">
        <v>156356</v>
      </c>
      <c r="J591">
        <v>169322</v>
      </c>
      <c r="K591">
        <v>63835</v>
      </c>
      <c r="L591">
        <v>229526</v>
      </c>
      <c r="M591">
        <v>66936</v>
      </c>
    </row>
    <row r="592" spans="1:13">
      <c r="A592" s="121">
        <v>39173</v>
      </c>
      <c r="B592">
        <v>22929</v>
      </c>
      <c r="C592">
        <v>29030</v>
      </c>
      <c r="D592">
        <v>30183</v>
      </c>
      <c r="E592">
        <v>26997</v>
      </c>
      <c r="F592">
        <v>11348</v>
      </c>
      <c r="G592">
        <v>74260</v>
      </c>
      <c r="H592">
        <v>223837</v>
      </c>
      <c r="I592">
        <v>159160</v>
      </c>
      <c r="J592">
        <v>173518</v>
      </c>
      <c r="K592">
        <v>64069</v>
      </c>
      <c r="L592">
        <v>233420</v>
      </c>
      <c r="M592">
        <v>66118</v>
      </c>
    </row>
    <row r="593" spans="1:13">
      <c r="A593" s="121">
        <v>39203</v>
      </c>
      <c r="B593">
        <v>22093</v>
      </c>
      <c r="C593">
        <v>29147</v>
      </c>
      <c r="D593">
        <v>29128</v>
      </c>
      <c r="E593">
        <v>28272</v>
      </c>
      <c r="F593">
        <v>10776</v>
      </c>
      <c r="G593">
        <v>70300</v>
      </c>
      <c r="H593">
        <v>218415</v>
      </c>
      <c r="I593">
        <v>158536</v>
      </c>
      <c r="J593">
        <v>168025</v>
      </c>
      <c r="K593">
        <v>64007</v>
      </c>
      <c r="L593">
        <v>228836</v>
      </c>
      <c r="M593">
        <v>64975</v>
      </c>
    </row>
    <row r="594" spans="1:13">
      <c r="A594" s="121">
        <v>39234</v>
      </c>
      <c r="B594">
        <v>19676</v>
      </c>
      <c r="C594">
        <v>29553</v>
      </c>
      <c r="D594">
        <v>29693</v>
      </c>
      <c r="E594">
        <v>26272</v>
      </c>
      <c r="F594">
        <v>10584</v>
      </c>
      <c r="G594">
        <v>74299</v>
      </c>
      <c r="H594">
        <v>221064</v>
      </c>
      <c r="I594">
        <v>154569</v>
      </c>
      <c r="J594">
        <v>168611</v>
      </c>
      <c r="K594">
        <v>64457</v>
      </c>
      <c r="L594">
        <v>228868</v>
      </c>
      <c r="M594">
        <v>64874</v>
      </c>
    </row>
    <row r="595" spans="1:13">
      <c r="A595" s="121">
        <v>39264</v>
      </c>
      <c r="B595">
        <v>20204</v>
      </c>
      <c r="C595">
        <v>29163</v>
      </c>
      <c r="D595">
        <v>31550</v>
      </c>
      <c r="E595">
        <v>26859</v>
      </c>
      <c r="F595">
        <v>10494</v>
      </c>
      <c r="G595">
        <v>76409</v>
      </c>
      <c r="H595">
        <v>221982</v>
      </c>
      <c r="I595">
        <v>156767</v>
      </c>
      <c r="J595">
        <v>172388</v>
      </c>
      <c r="K595">
        <v>62473</v>
      </c>
      <c r="L595">
        <v>233176</v>
      </c>
      <c r="M595">
        <v>64902</v>
      </c>
    </row>
    <row r="596" spans="1:13">
      <c r="A596" s="121">
        <v>39295</v>
      </c>
      <c r="B596">
        <v>20679</v>
      </c>
      <c r="C596">
        <v>29552</v>
      </c>
      <c r="D596">
        <v>30825</v>
      </c>
      <c r="E596">
        <v>28016</v>
      </c>
      <c r="F596">
        <v>10581</v>
      </c>
      <c r="G596">
        <v>77628</v>
      </c>
      <c r="H596">
        <v>219485</v>
      </c>
      <c r="I596">
        <v>158130</v>
      </c>
      <c r="J596">
        <v>174874</v>
      </c>
      <c r="K596">
        <v>64516</v>
      </c>
      <c r="L596">
        <v>235758</v>
      </c>
      <c r="M596">
        <v>66265</v>
      </c>
    </row>
    <row r="597" spans="1:13">
      <c r="A597" s="121">
        <v>39326</v>
      </c>
      <c r="B597">
        <v>21745</v>
      </c>
      <c r="C597">
        <v>28710</v>
      </c>
      <c r="D597">
        <v>30400</v>
      </c>
      <c r="E597">
        <v>27589</v>
      </c>
      <c r="F597">
        <v>10557</v>
      </c>
      <c r="G597">
        <v>68827</v>
      </c>
      <c r="H597">
        <v>217157</v>
      </c>
      <c r="I597">
        <v>157646</v>
      </c>
      <c r="J597">
        <v>167739</v>
      </c>
      <c r="K597">
        <v>65890</v>
      </c>
      <c r="L597">
        <v>226473</v>
      </c>
      <c r="M597">
        <v>65393</v>
      </c>
    </row>
    <row r="598" spans="1:13">
      <c r="A598" s="121">
        <v>39356</v>
      </c>
      <c r="B598">
        <v>22939</v>
      </c>
      <c r="C598">
        <v>29748</v>
      </c>
      <c r="D598">
        <v>30291</v>
      </c>
      <c r="E598">
        <v>27360</v>
      </c>
      <c r="F598">
        <v>10632</v>
      </c>
      <c r="G598">
        <v>70868</v>
      </c>
      <c r="H598">
        <v>217527</v>
      </c>
      <c r="I598">
        <v>159832</v>
      </c>
      <c r="J598">
        <v>171492</v>
      </c>
      <c r="K598">
        <v>64461</v>
      </c>
      <c r="L598">
        <v>230700</v>
      </c>
      <c r="M598">
        <v>64974</v>
      </c>
    </row>
    <row r="599" spans="1:13">
      <c r="A599" s="121">
        <v>39387</v>
      </c>
      <c r="B599">
        <v>23789</v>
      </c>
      <c r="C599">
        <v>29709</v>
      </c>
      <c r="D599">
        <v>30210</v>
      </c>
      <c r="E599">
        <v>26942</v>
      </c>
      <c r="F599">
        <v>10914</v>
      </c>
      <c r="G599">
        <v>66931</v>
      </c>
      <c r="H599">
        <v>219719</v>
      </c>
      <c r="I599">
        <v>160074</v>
      </c>
      <c r="J599">
        <v>168015</v>
      </c>
      <c r="K599">
        <v>64372</v>
      </c>
      <c r="L599">
        <v>227005</v>
      </c>
      <c r="M599">
        <v>65466</v>
      </c>
    </row>
    <row r="600" spans="1:13">
      <c r="A600" s="121">
        <v>39417</v>
      </c>
      <c r="B600">
        <v>23632</v>
      </c>
      <c r="C600">
        <v>30547</v>
      </c>
      <c r="D600">
        <v>32705</v>
      </c>
      <c r="E600">
        <v>27226</v>
      </c>
      <c r="F600">
        <v>11188</v>
      </c>
      <c r="G600">
        <v>81143</v>
      </c>
      <c r="H600">
        <v>229953</v>
      </c>
      <c r="I600">
        <v>163300</v>
      </c>
      <c r="J600">
        <v>186161</v>
      </c>
      <c r="K600">
        <v>65587</v>
      </c>
      <c r="L600">
        <v>244443</v>
      </c>
      <c r="M600">
        <v>68096</v>
      </c>
    </row>
    <row r="601" spans="1:13">
      <c r="A601" s="121">
        <v>39448</v>
      </c>
      <c r="B601">
        <v>24326</v>
      </c>
      <c r="C601">
        <v>30827</v>
      </c>
      <c r="D601">
        <v>32472</v>
      </c>
      <c r="E601">
        <v>27824</v>
      </c>
      <c r="F601">
        <v>11333</v>
      </c>
      <c r="G601">
        <v>74774</v>
      </c>
      <c r="H601">
        <v>226573</v>
      </c>
      <c r="I601">
        <v>164615</v>
      </c>
      <c r="J601">
        <v>180937</v>
      </c>
      <c r="K601">
        <v>65807</v>
      </c>
      <c r="L601">
        <v>239389</v>
      </c>
      <c r="M601">
        <v>68408</v>
      </c>
    </row>
    <row r="602" spans="1:13">
      <c r="A602" s="121">
        <v>39479</v>
      </c>
      <c r="B602">
        <v>24974</v>
      </c>
      <c r="C602">
        <v>30063</v>
      </c>
      <c r="D602">
        <v>29328</v>
      </c>
      <c r="E602">
        <v>27257</v>
      </c>
      <c r="F602">
        <v>12050</v>
      </c>
      <c r="G602">
        <v>74052</v>
      </c>
      <c r="H602">
        <v>221341</v>
      </c>
      <c r="I602">
        <v>160985</v>
      </c>
      <c r="J602">
        <v>177311</v>
      </c>
      <c r="K602">
        <v>64582</v>
      </c>
      <c r="L602">
        <v>235037</v>
      </c>
      <c r="M602">
        <v>66568</v>
      </c>
    </row>
    <row r="603" spans="1:13">
      <c r="A603" s="121">
        <v>39508</v>
      </c>
      <c r="B603">
        <v>25772</v>
      </c>
      <c r="C603">
        <v>31419</v>
      </c>
      <c r="D603">
        <v>32974</v>
      </c>
      <c r="E603">
        <v>26952</v>
      </c>
      <c r="F603">
        <v>9827</v>
      </c>
      <c r="G603">
        <v>70915</v>
      </c>
      <c r="H603">
        <v>221367</v>
      </c>
      <c r="I603">
        <v>163953</v>
      </c>
      <c r="J603">
        <v>179954</v>
      </c>
      <c r="K603">
        <v>65100</v>
      </c>
      <c r="L603">
        <v>234868</v>
      </c>
      <c r="M603">
        <v>66526</v>
      </c>
    </row>
    <row r="604" spans="1:13">
      <c r="A604" s="121">
        <v>39539</v>
      </c>
      <c r="B604">
        <v>26430</v>
      </c>
      <c r="C604">
        <v>31306</v>
      </c>
      <c r="D604">
        <v>33586</v>
      </c>
      <c r="E604">
        <v>27245</v>
      </c>
      <c r="F604">
        <v>11237</v>
      </c>
      <c r="G604">
        <v>63785</v>
      </c>
      <c r="H604">
        <v>218861</v>
      </c>
      <c r="I604">
        <v>167301</v>
      </c>
      <c r="J604">
        <v>175116</v>
      </c>
      <c r="K604">
        <v>66376</v>
      </c>
      <c r="L604">
        <v>231086</v>
      </c>
      <c r="M604">
        <v>69373</v>
      </c>
    </row>
    <row r="605" spans="1:13">
      <c r="A605" s="121">
        <v>39569</v>
      </c>
      <c r="B605">
        <v>25471</v>
      </c>
      <c r="C605">
        <v>31195</v>
      </c>
      <c r="D605">
        <v>31466</v>
      </c>
      <c r="E605">
        <v>27941</v>
      </c>
      <c r="F605">
        <v>11551</v>
      </c>
      <c r="G605">
        <v>62809</v>
      </c>
      <c r="H605">
        <v>214179</v>
      </c>
      <c r="I605">
        <v>164561</v>
      </c>
      <c r="J605">
        <v>172674</v>
      </c>
      <c r="K605">
        <v>65844</v>
      </c>
      <c r="L605">
        <v>227370</v>
      </c>
      <c r="M605">
        <v>68443</v>
      </c>
    </row>
    <row r="606" spans="1:13">
      <c r="A606" s="121">
        <v>39600</v>
      </c>
      <c r="B606">
        <v>26934</v>
      </c>
      <c r="C606">
        <v>31511</v>
      </c>
      <c r="D606">
        <v>30963</v>
      </c>
      <c r="E606">
        <v>27929</v>
      </c>
      <c r="F606">
        <v>11607</v>
      </c>
      <c r="G606">
        <v>62640</v>
      </c>
      <c r="H606">
        <v>215671</v>
      </c>
      <c r="I606">
        <v>166622</v>
      </c>
      <c r="J606">
        <v>174406</v>
      </c>
      <c r="K606">
        <v>65903</v>
      </c>
      <c r="L606">
        <v>229262</v>
      </c>
      <c r="M606">
        <v>67754</v>
      </c>
    </row>
    <row r="607" spans="1:13">
      <c r="A607" s="121">
        <v>39630</v>
      </c>
      <c r="B607">
        <v>25875</v>
      </c>
      <c r="C607">
        <v>30437</v>
      </c>
      <c r="D607">
        <v>32448</v>
      </c>
      <c r="E607">
        <v>25458</v>
      </c>
      <c r="F607">
        <v>11107</v>
      </c>
      <c r="G607">
        <v>58116</v>
      </c>
      <c r="H607">
        <v>208607</v>
      </c>
      <c r="I607">
        <v>162295</v>
      </c>
      <c r="J607">
        <v>167115</v>
      </c>
      <c r="K607">
        <v>64947</v>
      </c>
      <c r="L607">
        <v>220411</v>
      </c>
      <c r="M607">
        <v>67856</v>
      </c>
    </row>
    <row r="608" spans="1:13">
      <c r="A608" s="121">
        <v>39661</v>
      </c>
      <c r="B608">
        <v>22927</v>
      </c>
      <c r="C608">
        <v>30170</v>
      </c>
      <c r="D608">
        <v>30317</v>
      </c>
      <c r="E608">
        <v>26089</v>
      </c>
      <c r="F608">
        <v>10904</v>
      </c>
      <c r="G608">
        <v>57241</v>
      </c>
      <c r="H608">
        <v>201813</v>
      </c>
      <c r="I608">
        <v>156865</v>
      </c>
      <c r="J608">
        <v>161832</v>
      </c>
      <c r="K608">
        <v>64063</v>
      </c>
      <c r="L608">
        <v>214106</v>
      </c>
      <c r="M608">
        <v>66142</v>
      </c>
    </row>
    <row r="609" spans="1:13">
      <c r="A609" s="121">
        <v>39692</v>
      </c>
      <c r="B609">
        <v>21397</v>
      </c>
      <c r="C609">
        <v>28674</v>
      </c>
      <c r="D609">
        <v>30885</v>
      </c>
      <c r="E609">
        <v>26400</v>
      </c>
      <c r="F609">
        <v>10419</v>
      </c>
      <c r="G609">
        <v>61853</v>
      </c>
      <c r="H609">
        <v>196922</v>
      </c>
      <c r="I609">
        <v>153392</v>
      </c>
      <c r="J609">
        <v>162265</v>
      </c>
      <c r="K609">
        <v>65383</v>
      </c>
      <c r="L609">
        <v>215245</v>
      </c>
      <c r="M609">
        <v>63854</v>
      </c>
    </row>
    <row r="610" spans="1:13">
      <c r="A610" s="121">
        <v>39722</v>
      </c>
      <c r="B610">
        <v>17188</v>
      </c>
      <c r="C610">
        <v>28317</v>
      </c>
      <c r="D610">
        <v>27577</v>
      </c>
      <c r="E610">
        <v>23958</v>
      </c>
      <c r="F610">
        <v>9336</v>
      </c>
      <c r="G610">
        <v>50888</v>
      </c>
      <c r="H610">
        <v>179810</v>
      </c>
      <c r="I610">
        <v>141024</v>
      </c>
      <c r="J610">
        <v>141208</v>
      </c>
      <c r="K610">
        <v>62212</v>
      </c>
      <c r="L610">
        <v>191912</v>
      </c>
      <c r="M610">
        <v>59330</v>
      </c>
    </row>
    <row r="611" spans="1:13">
      <c r="A611" s="121">
        <v>39753</v>
      </c>
      <c r="B611">
        <v>16168</v>
      </c>
      <c r="C611">
        <v>26774</v>
      </c>
      <c r="D611">
        <v>27493</v>
      </c>
      <c r="E611">
        <v>25442</v>
      </c>
      <c r="F611">
        <v>9298</v>
      </c>
      <c r="G611">
        <v>43080</v>
      </c>
      <c r="H611">
        <v>171297</v>
      </c>
      <c r="I611">
        <v>138472</v>
      </c>
      <c r="J611">
        <v>132791</v>
      </c>
      <c r="K611">
        <v>61766</v>
      </c>
      <c r="L611">
        <v>181552</v>
      </c>
      <c r="M611">
        <v>60759</v>
      </c>
    </row>
    <row r="612" spans="1:13">
      <c r="A612" s="121">
        <v>39783</v>
      </c>
      <c r="B612">
        <v>13351</v>
      </c>
      <c r="C612">
        <v>25609</v>
      </c>
      <c r="D612">
        <v>24149</v>
      </c>
      <c r="E612">
        <v>24007</v>
      </c>
      <c r="F612">
        <v>9311</v>
      </c>
      <c r="G612">
        <v>45887</v>
      </c>
      <c r="H612">
        <v>154844</v>
      </c>
      <c r="I612">
        <v>127962</v>
      </c>
      <c r="J612">
        <v>127770</v>
      </c>
      <c r="K612">
        <v>61419</v>
      </c>
      <c r="L612">
        <v>173849</v>
      </c>
      <c r="M612">
        <v>55512</v>
      </c>
    </row>
    <row r="613" spans="1:13">
      <c r="A613" s="121">
        <v>39814</v>
      </c>
      <c r="B613">
        <v>12303</v>
      </c>
      <c r="C613">
        <v>22077</v>
      </c>
      <c r="D613">
        <v>20343</v>
      </c>
      <c r="E613">
        <v>21324</v>
      </c>
      <c r="F613">
        <v>8528</v>
      </c>
      <c r="G613">
        <v>36137</v>
      </c>
      <c r="H613">
        <v>144441</v>
      </c>
      <c r="I613">
        <v>114948</v>
      </c>
      <c r="J613">
        <v>108060</v>
      </c>
      <c r="K613">
        <v>56454</v>
      </c>
      <c r="L613">
        <v>151085</v>
      </c>
      <c r="M613">
        <v>49530</v>
      </c>
    </row>
    <row r="614" spans="1:13">
      <c r="A614" s="121">
        <v>39845</v>
      </c>
      <c r="B614">
        <v>12269</v>
      </c>
      <c r="C614">
        <v>21879</v>
      </c>
      <c r="D614">
        <v>20697</v>
      </c>
      <c r="E614">
        <v>22732</v>
      </c>
      <c r="F614">
        <v>8468</v>
      </c>
      <c r="G614">
        <v>32239</v>
      </c>
      <c r="H614">
        <v>139166</v>
      </c>
      <c r="I614">
        <v>116595</v>
      </c>
      <c r="J614">
        <v>105786</v>
      </c>
      <c r="K614">
        <v>56185</v>
      </c>
      <c r="L614">
        <v>148834</v>
      </c>
      <c r="M614">
        <v>50163</v>
      </c>
    </row>
    <row r="615" spans="1:13">
      <c r="A615" s="121">
        <v>39873</v>
      </c>
      <c r="B615">
        <v>11050</v>
      </c>
      <c r="C615">
        <v>21479</v>
      </c>
      <c r="D615">
        <v>19798</v>
      </c>
      <c r="E615">
        <v>23032</v>
      </c>
      <c r="F615">
        <v>8164</v>
      </c>
      <c r="G615">
        <v>33011</v>
      </c>
      <c r="H615">
        <v>135287</v>
      </c>
      <c r="I615">
        <v>113312</v>
      </c>
      <c r="J615">
        <v>103874</v>
      </c>
      <c r="K615">
        <v>54618</v>
      </c>
      <c r="L615">
        <v>146323</v>
      </c>
      <c r="M615">
        <v>49254</v>
      </c>
    </row>
    <row r="616" spans="1:13">
      <c r="A616" s="121">
        <v>39904</v>
      </c>
      <c r="B616">
        <v>11111</v>
      </c>
      <c r="C616">
        <v>21498</v>
      </c>
      <c r="D616">
        <v>19419</v>
      </c>
      <c r="E616">
        <v>21268</v>
      </c>
      <c r="F616">
        <v>8180</v>
      </c>
      <c r="G616">
        <v>36866</v>
      </c>
      <c r="H616">
        <v>133533</v>
      </c>
      <c r="I616">
        <v>110601</v>
      </c>
      <c r="J616">
        <v>105714</v>
      </c>
      <c r="K616">
        <v>52500</v>
      </c>
      <c r="L616">
        <v>147467</v>
      </c>
      <c r="M616">
        <v>47096</v>
      </c>
    </row>
    <row r="617" spans="1:13">
      <c r="A617" s="121">
        <v>39934</v>
      </c>
      <c r="B617">
        <v>11951</v>
      </c>
      <c r="C617">
        <v>21580</v>
      </c>
      <c r="D617">
        <v>20673</v>
      </c>
      <c r="E617">
        <v>21614</v>
      </c>
      <c r="F617">
        <v>8113</v>
      </c>
      <c r="G617">
        <v>36175</v>
      </c>
      <c r="H617">
        <v>136506</v>
      </c>
      <c r="I617">
        <v>113080</v>
      </c>
      <c r="J617">
        <v>108460</v>
      </c>
      <c r="K617">
        <v>52123</v>
      </c>
      <c r="L617">
        <v>149255</v>
      </c>
      <c r="M617">
        <v>48652</v>
      </c>
    </row>
    <row r="618" spans="1:13">
      <c r="A618" s="121">
        <v>39965</v>
      </c>
      <c r="B618">
        <v>13772</v>
      </c>
      <c r="C618">
        <v>20521</v>
      </c>
      <c r="D618">
        <v>21809</v>
      </c>
      <c r="E618">
        <v>22222</v>
      </c>
      <c r="F618">
        <v>7983</v>
      </c>
      <c r="G618">
        <v>31548</v>
      </c>
      <c r="H618">
        <v>137316</v>
      </c>
      <c r="I618">
        <v>115485</v>
      </c>
      <c r="J618">
        <v>107285</v>
      </c>
      <c r="K618">
        <v>52810</v>
      </c>
      <c r="L618">
        <v>147033</v>
      </c>
      <c r="M618">
        <v>50533</v>
      </c>
    </row>
    <row r="619" spans="1:13">
      <c r="A619" s="121">
        <v>39995</v>
      </c>
      <c r="B619">
        <v>13804</v>
      </c>
      <c r="C619">
        <v>21937</v>
      </c>
      <c r="D619">
        <v>21507</v>
      </c>
      <c r="E619">
        <v>22050</v>
      </c>
      <c r="F619">
        <v>8627</v>
      </c>
      <c r="G619">
        <v>35986</v>
      </c>
      <c r="H619">
        <v>142708</v>
      </c>
      <c r="I619">
        <v>117705</v>
      </c>
      <c r="J619">
        <v>111891</v>
      </c>
      <c r="K619">
        <v>52915</v>
      </c>
      <c r="L619">
        <v>153691</v>
      </c>
      <c r="M619">
        <v>50984</v>
      </c>
    </row>
    <row r="620" spans="1:13">
      <c r="A620" s="121">
        <v>40026</v>
      </c>
      <c r="B620">
        <v>14489</v>
      </c>
      <c r="C620">
        <v>22009</v>
      </c>
      <c r="D620">
        <v>21197</v>
      </c>
      <c r="E620">
        <v>21340</v>
      </c>
      <c r="F620">
        <v>8441</v>
      </c>
      <c r="G620">
        <v>40347</v>
      </c>
      <c r="H620">
        <v>147236</v>
      </c>
      <c r="I620">
        <v>117142</v>
      </c>
      <c r="J620">
        <v>114790</v>
      </c>
      <c r="K620">
        <v>52006</v>
      </c>
      <c r="L620">
        <v>157489</v>
      </c>
      <c r="M620">
        <v>49900</v>
      </c>
    </row>
    <row r="621" spans="1:13">
      <c r="A621" s="121">
        <v>40057</v>
      </c>
      <c r="B621">
        <v>14787</v>
      </c>
      <c r="C621">
        <v>23168</v>
      </c>
      <c r="D621">
        <v>23728</v>
      </c>
      <c r="E621">
        <v>22631</v>
      </c>
      <c r="F621">
        <v>8242</v>
      </c>
      <c r="G621">
        <v>35999</v>
      </c>
      <c r="H621">
        <v>147422</v>
      </c>
      <c r="I621">
        <v>122042</v>
      </c>
      <c r="J621">
        <v>114607</v>
      </c>
      <c r="K621">
        <v>52759</v>
      </c>
      <c r="L621">
        <v>158041</v>
      </c>
      <c r="M621">
        <v>53034</v>
      </c>
    </row>
    <row r="622" spans="1:13">
      <c r="A622" s="121">
        <v>40087</v>
      </c>
      <c r="B622">
        <v>15692</v>
      </c>
      <c r="C622">
        <v>23955</v>
      </c>
      <c r="D622">
        <v>22448</v>
      </c>
      <c r="E622">
        <v>21899</v>
      </c>
      <c r="F622">
        <v>8902</v>
      </c>
      <c r="G622">
        <v>38853</v>
      </c>
      <c r="H622">
        <v>150367</v>
      </c>
      <c r="I622">
        <v>122244</v>
      </c>
      <c r="J622">
        <v>117510</v>
      </c>
      <c r="K622">
        <v>52915</v>
      </c>
      <c r="L622">
        <v>161097</v>
      </c>
      <c r="M622">
        <v>51978</v>
      </c>
    </row>
    <row r="623" spans="1:13">
      <c r="A623" s="121">
        <v>40118</v>
      </c>
      <c r="B623">
        <v>15670</v>
      </c>
      <c r="C623">
        <v>23389</v>
      </c>
      <c r="D623">
        <v>23043</v>
      </c>
      <c r="E623">
        <v>22262</v>
      </c>
      <c r="F623">
        <v>8744</v>
      </c>
      <c r="G623">
        <v>37887</v>
      </c>
      <c r="H623">
        <v>151373</v>
      </c>
      <c r="I623">
        <v>122532</v>
      </c>
      <c r="J623">
        <v>115535</v>
      </c>
      <c r="K623">
        <v>53410</v>
      </c>
      <c r="L623">
        <v>160419</v>
      </c>
      <c r="M623">
        <v>52771</v>
      </c>
    </row>
    <row r="624" spans="1:13">
      <c r="A624" s="121">
        <v>40148</v>
      </c>
      <c r="B624">
        <v>16177</v>
      </c>
      <c r="C624">
        <v>23198</v>
      </c>
      <c r="D624">
        <v>24802</v>
      </c>
      <c r="E624">
        <v>22004</v>
      </c>
      <c r="F624">
        <v>8619</v>
      </c>
      <c r="G624">
        <v>36095</v>
      </c>
      <c r="H624">
        <v>150419</v>
      </c>
      <c r="I624">
        <v>124425</v>
      </c>
      <c r="J624">
        <v>115220</v>
      </c>
      <c r="K624">
        <v>54404</v>
      </c>
      <c r="L624">
        <v>160520</v>
      </c>
      <c r="M624">
        <v>54616</v>
      </c>
    </row>
    <row r="625" spans="1:13">
      <c r="A625" s="121">
        <v>40179</v>
      </c>
      <c r="B625">
        <v>18835</v>
      </c>
      <c r="C625">
        <v>23783</v>
      </c>
      <c r="D625">
        <v>23345</v>
      </c>
      <c r="E625">
        <v>22392</v>
      </c>
      <c r="F625">
        <v>8996</v>
      </c>
      <c r="G625">
        <v>53959</v>
      </c>
      <c r="H625">
        <v>163907</v>
      </c>
      <c r="I625">
        <v>127057</v>
      </c>
      <c r="J625">
        <v>134068</v>
      </c>
      <c r="K625">
        <v>54128</v>
      </c>
      <c r="L625">
        <v>181016</v>
      </c>
      <c r="M625">
        <v>52331</v>
      </c>
    </row>
    <row r="626" spans="1:13">
      <c r="A626" s="121">
        <v>40210</v>
      </c>
      <c r="B626">
        <v>19066</v>
      </c>
      <c r="C626">
        <v>24533</v>
      </c>
      <c r="D626">
        <v>24743</v>
      </c>
      <c r="E626">
        <v>21631</v>
      </c>
      <c r="F626">
        <v>8703</v>
      </c>
      <c r="G626">
        <v>51640</v>
      </c>
      <c r="H626">
        <v>165895</v>
      </c>
      <c r="I626">
        <v>128810</v>
      </c>
      <c r="J626">
        <v>135156</v>
      </c>
      <c r="K626">
        <v>54345</v>
      </c>
      <c r="L626">
        <v>180450</v>
      </c>
      <c r="M626">
        <v>53488</v>
      </c>
    </row>
    <row r="627" spans="1:13">
      <c r="A627" s="121">
        <v>40238</v>
      </c>
      <c r="B627">
        <v>20286</v>
      </c>
      <c r="C627">
        <v>25084</v>
      </c>
      <c r="D627">
        <v>27302</v>
      </c>
      <c r="E627">
        <v>22797</v>
      </c>
      <c r="F627">
        <v>9213</v>
      </c>
      <c r="G627">
        <v>47313</v>
      </c>
      <c r="H627">
        <v>167256</v>
      </c>
      <c r="I627">
        <v>134835</v>
      </c>
      <c r="J627">
        <v>135916</v>
      </c>
      <c r="K627">
        <v>55474</v>
      </c>
      <c r="L627">
        <v>182148</v>
      </c>
      <c r="M627">
        <v>56487</v>
      </c>
    </row>
    <row r="628" spans="1:13">
      <c r="A628" s="121">
        <v>40269</v>
      </c>
      <c r="B628">
        <v>19979</v>
      </c>
      <c r="C628">
        <v>25292</v>
      </c>
      <c r="D628">
        <v>23394</v>
      </c>
      <c r="E628">
        <v>22672</v>
      </c>
      <c r="F628">
        <v>9068</v>
      </c>
      <c r="G628">
        <v>51752</v>
      </c>
      <c r="H628">
        <v>169689</v>
      </c>
      <c r="I628">
        <v>131196</v>
      </c>
      <c r="J628">
        <v>135504</v>
      </c>
      <c r="K628">
        <v>55320</v>
      </c>
      <c r="L628">
        <v>182948</v>
      </c>
      <c r="M628">
        <v>52283</v>
      </c>
    </row>
    <row r="629" spans="1:13">
      <c r="A629" s="121">
        <v>40299</v>
      </c>
      <c r="B629">
        <v>20568</v>
      </c>
      <c r="C629">
        <v>24995</v>
      </c>
      <c r="D629">
        <v>29255</v>
      </c>
      <c r="E629">
        <v>22218</v>
      </c>
      <c r="F629">
        <v>8844</v>
      </c>
      <c r="G629">
        <v>53051</v>
      </c>
      <c r="H629">
        <v>176036</v>
      </c>
      <c r="I629">
        <v>136881</v>
      </c>
      <c r="J629">
        <v>141747</v>
      </c>
      <c r="K629">
        <v>55853</v>
      </c>
      <c r="L629">
        <v>189932</v>
      </c>
      <c r="M629">
        <v>57262</v>
      </c>
    </row>
    <row r="630" spans="1:13">
      <c r="A630" s="121">
        <v>40330</v>
      </c>
      <c r="B630">
        <v>19547</v>
      </c>
      <c r="C630">
        <v>25309</v>
      </c>
      <c r="D630">
        <v>30528</v>
      </c>
      <c r="E630">
        <v>21992</v>
      </c>
      <c r="F630">
        <v>9259</v>
      </c>
      <c r="G630">
        <v>48441</v>
      </c>
      <c r="H630">
        <v>174280</v>
      </c>
      <c r="I630">
        <v>137226</v>
      </c>
      <c r="J630">
        <v>137251</v>
      </c>
      <c r="K630">
        <v>56221</v>
      </c>
      <c r="L630">
        <v>185667</v>
      </c>
      <c r="M630">
        <v>59605</v>
      </c>
    </row>
    <row r="631" spans="1:13">
      <c r="A631" s="121">
        <v>40360</v>
      </c>
      <c r="B631">
        <v>20606</v>
      </c>
      <c r="C631">
        <v>25333</v>
      </c>
      <c r="D631">
        <v>27142</v>
      </c>
      <c r="E631">
        <v>22231</v>
      </c>
      <c r="F631">
        <v>9161</v>
      </c>
      <c r="G631">
        <v>52850</v>
      </c>
      <c r="H631">
        <v>173972</v>
      </c>
      <c r="I631">
        <v>134656</v>
      </c>
      <c r="J631">
        <v>137391</v>
      </c>
      <c r="K631">
        <v>56101</v>
      </c>
      <c r="L631">
        <v>187506</v>
      </c>
      <c r="M631">
        <v>56474</v>
      </c>
    </row>
    <row r="632" spans="1:13">
      <c r="A632" s="121">
        <v>40391</v>
      </c>
      <c r="B632">
        <v>20306</v>
      </c>
      <c r="C632">
        <v>25976</v>
      </c>
      <c r="D632">
        <v>28354</v>
      </c>
      <c r="E632">
        <v>22976</v>
      </c>
      <c r="F632">
        <v>9086</v>
      </c>
      <c r="G632">
        <v>54652</v>
      </c>
      <c r="H632">
        <v>179013</v>
      </c>
      <c r="I632">
        <v>137093</v>
      </c>
      <c r="J632">
        <v>141407</v>
      </c>
      <c r="K632">
        <v>56400</v>
      </c>
      <c r="L632">
        <v>191745</v>
      </c>
      <c r="M632">
        <v>58224</v>
      </c>
    </row>
    <row r="633" spans="1:13">
      <c r="A633" s="121">
        <v>40422</v>
      </c>
      <c r="B633">
        <v>20731</v>
      </c>
      <c r="C633">
        <v>25593</v>
      </c>
      <c r="D633">
        <v>29896</v>
      </c>
      <c r="E633">
        <v>23547</v>
      </c>
      <c r="F633">
        <v>9369</v>
      </c>
      <c r="G633">
        <v>62684</v>
      </c>
      <c r="H633">
        <v>186703</v>
      </c>
      <c r="I633">
        <v>139248</v>
      </c>
      <c r="J633">
        <v>151095</v>
      </c>
      <c r="K633">
        <v>57430</v>
      </c>
      <c r="L633">
        <v>201932</v>
      </c>
      <c r="M633">
        <v>60134</v>
      </c>
    </row>
    <row r="634" spans="1:13">
      <c r="A634" s="121">
        <v>40452</v>
      </c>
      <c r="B634">
        <v>20058</v>
      </c>
      <c r="C634">
        <v>25119</v>
      </c>
      <c r="D634">
        <v>28437</v>
      </c>
      <c r="E634">
        <v>21199</v>
      </c>
      <c r="F634">
        <v>9189</v>
      </c>
      <c r="G634">
        <v>58548</v>
      </c>
      <c r="H634">
        <v>181818</v>
      </c>
      <c r="I634">
        <v>134518</v>
      </c>
      <c r="J634">
        <v>142783</v>
      </c>
      <c r="K634">
        <v>57026</v>
      </c>
      <c r="L634">
        <v>193066</v>
      </c>
      <c r="M634">
        <v>57479</v>
      </c>
    </row>
    <row r="635" spans="1:13">
      <c r="A635" s="121">
        <v>40483</v>
      </c>
      <c r="B635">
        <v>22776</v>
      </c>
      <c r="C635">
        <v>26577</v>
      </c>
      <c r="D635">
        <v>29238</v>
      </c>
      <c r="E635">
        <v>23319</v>
      </c>
      <c r="F635">
        <v>9841</v>
      </c>
      <c r="G635">
        <v>54752</v>
      </c>
      <c r="H635">
        <v>182184</v>
      </c>
      <c r="I635">
        <v>142450</v>
      </c>
      <c r="J635">
        <v>147906</v>
      </c>
      <c r="K635">
        <v>57721</v>
      </c>
      <c r="L635">
        <v>197202</v>
      </c>
      <c r="M635">
        <v>60405</v>
      </c>
    </row>
    <row r="636" spans="1:13">
      <c r="A636" s="121">
        <v>40513</v>
      </c>
      <c r="B636">
        <v>21436</v>
      </c>
      <c r="C636">
        <v>26674</v>
      </c>
      <c r="D636">
        <v>32533</v>
      </c>
      <c r="E636">
        <v>23852</v>
      </c>
      <c r="F636">
        <v>9625</v>
      </c>
      <c r="G636">
        <v>49236</v>
      </c>
      <c r="H636">
        <v>179976</v>
      </c>
      <c r="I636">
        <v>144216</v>
      </c>
      <c r="J636">
        <v>143125</v>
      </c>
      <c r="K636">
        <v>58923</v>
      </c>
      <c r="L636">
        <v>193452</v>
      </c>
      <c r="M636">
        <v>61939</v>
      </c>
    </row>
    <row r="637" spans="1:13">
      <c r="A637" s="121">
        <v>40544</v>
      </c>
      <c r="B637">
        <v>23291</v>
      </c>
      <c r="C637">
        <v>25422</v>
      </c>
      <c r="D637">
        <v>29851</v>
      </c>
      <c r="E637">
        <v>23892</v>
      </c>
      <c r="F637">
        <v>9631</v>
      </c>
      <c r="G637">
        <v>60523</v>
      </c>
      <c r="H637">
        <v>187397</v>
      </c>
      <c r="I637">
        <v>143113</v>
      </c>
      <c r="J637">
        <v>152922</v>
      </c>
      <c r="K637">
        <v>59305</v>
      </c>
      <c r="L637">
        <v>203636</v>
      </c>
      <c r="M637">
        <v>60963</v>
      </c>
    </row>
    <row r="638" spans="1:13">
      <c r="A638" s="121">
        <v>40575</v>
      </c>
      <c r="B638">
        <v>21452</v>
      </c>
      <c r="C638">
        <v>27299</v>
      </c>
      <c r="D638">
        <v>28160</v>
      </c>
      <c r="E638">
        <v>23634</v>
      </c>
      <c r="F638">
        <v>9930</v>
      </c>
      <c r="G638">
        <v>55332</v>
      </c>
      <c r="H638">
        <v>183093</v>
      </c>
      <c r="I638">
        <v>141061</v>
      </c>
      <c r="J638">
        <v>146046</v>
      </c>
      <c r="K638">
        <v>57810</v>
      </c>
      <c r="L638">
        <v>196393</v>
      </c>
      <c r="M638">
        <v>59078</v>
      </c>
    </row>
    <row r="639" spans="1:13">
      <c r="A639" s="121">
        <v>40603</v>
      </c>
      <c r="B639">
        <v>23173</v>
      </c>
      <c r="C639">
        <v>27507</v>
      </c>
      <c r="D639">
        <v>31078</v>
      </c>
      <c r="E639">
        <v>22813</v>
      </c>
      <c r="F639">
        <v>10043</v>
      </c>
      <c r="G639">
        <v>66841</v>
      </c>
      <c r="H639">
        <v>197694</v>
      </c>
      <c r="I639">
        <v>145907</v>
      </c>
      <c r="J639">
        <v>160009</v>
      </c>
      <c r="K639">
        <v>60078</v>
      </c>
      <c r="L639">
        <v>212748</v>
      </c>
      <c r="M639">
        <v>62497</v>
      </c>
    </row>
    <row r="640" spans="1:13">
      <c r="A640" s="121">
        <v>40634</v>
      </c>
      <c r="B640">
        <v>22263</v>
      </c>
      <c r="C640">
        <v>26745</v>
      </c>
      <c r="D640">
        <v>30709</v>
      </c>
      <c r="E640">
        <v>23190</v>
      </c>
      <c r="F640">
        <v>9483</v>
      </c>
      <c r="G640">
        <v>57343</v>
      </c>
      <c r="H640">
        <v>185170</v>
      </c>
      <c r="I640">
        <v>143390</v>
      </c>
      <c r="J640">
        <v>150734</v>
      </c>
      <c r="K640">
        <v>60132</v>
      </c>
      <c r="L640">
        <v>200733</v>
      </c>
      <c r="M640">
        <v>61562</v>
      </c>
    </row>
    <row r="641" spans="1:13">
      <c r="A641" s="121">
        <v>40664</v>
      </c>
      <c r="B641">
        <v>23281</v>
      </c>
      <c r="C641">
        <v>26860</v>
      </c>
      <c r="D641">
        <v>32496</v>
      </c>
      <c r="E641">
        <v>23217</v>
      </c>
      <c r="F641">
        <v>9767</v>
      </c>
      <c r="G641">
        <v>60716</v>
      </c>
      <c r="H641">
        <v>191707</v>
      </c>
      <c r="I641">
        <v>146454</v>
      </c>
      <c r="J641">
        <v>157155</v>
      </c>
      <c r="K641">
        <v>60499</v>
      </c>
      <c r="L641">
        <v>207170</v>
      </c>
      <c r="M641">
        <v>63711</v>
      </c>
    </row>
    <row r="642" spans="1:13">
      <c r="A642" s="121">
        <v>40695</v>
      </c>
      <c r="B642">
        <v>22515</v>
      </c>
      <c r="C642">
        <v>27642</v>
      </c>
      <c r="D642">
        <v>32015</v>
      </c>
      <c r="E642">
        <v>23336</v>
      </c>
      <c r="F642">
        <v>9834</v>
      </c>
      <c r="G642">
        <v>55382</v>
      </c>
      <c r="H642">
        <v>188604</v>
      </c>
      <c r="I642">
        <v>146197</v>
      </c>
      <c r="J642">
        <v>150694</v>
      </c>
      <c r="K642">
        <v>61342</v>
      </c>
      <c r="L642">
        <v>201579</v>
      </c>
      <c r="M642">
        <v>63751</v>
      </c>
    </row>
    <row r="643" spans="1:13">
      <c r="A643" s="121">
        <v>40725</v>
      </c>
      <c r="B643">
        <v>23436</v>
      </c>
      <c r="C643">
        <v>27687</v>
      </c>
      <c r="D643">
        <v>33029</v>
      </c>
      <c r="E643">
        <v>22682</v>
      </c>
      <c r="F643">
        <v>9926</v>
      </c>
      <c r="G643">
        <v>58561</v>
      </c>
      <c r="H643">
        <v>194162</v>
      </c>
      <c r="I643">
        <v>147897</v>
      </c>
      <c r="J643">
        <v>153291</v>
      </c>
      <c r="K643">
        <v>61751</v>
      </c>
      <c r="L643">
        <v>206458</v>
      </c>
      <c r="M643">
        <v>64756</v>
      </c>
    </row>
    <row r="644" spans="1:13">
      <c r="A644" s="121">
        <v>40756</v>
      </c>
      <c r="B644">
        <v>23740</v>
      </c>
      <c r="C644">
        <v>27147</v>
      </c>
      <c r="D644">
        <v>31708</v>
      </c>
      <c r="E644">
        <v>23767</v>
      </c>
      <c r="F644">
        <v>10353</v>
      </c>
      <c r="G644">
        <v>69209</v>
      </c>
      <c r="H644">
        <v>201795</v>
      </c>
      <c r="I644">
        <v>147496</v>
      </c>
      <c r="J644">
        <v>164357</v>
      </c>
      <c r="K644">
        <v>64278</v>
      </c>
      <c r="L644">
        <v>216705</v>
      </c>
      <c r="M644">
        <v>64464</v>
      </c>
    </row>
    <row r="645" spans="1:13">
      <c r="A645" s="121">
        <v>40787</v>
      </c>
      <c r="B645">
        <v>23677</v>
      </c>
      <c r="C645">
        <v>28199</v>
      </c>
      <c r="D645">
        <v>31862</v>
      </c>
      <c r="E645">
        <v>23688</v>
      </c>
      <c r="F645">
        <v>10431</v>
      </c>
      <c r="G645">
        <v>56081</v>
      </c>
      <c r="H645">
        <v>192112</v>
      </c>
      <c r="I645">
        <v>148657</v>
      </c>
      <c r="J645">
        <v>153647</v>
      </c>
      <c r="K645">
        <v>63686</v>
      </c>
      <c r="L645">
        <v>204738</v>
      </c>
      <c r="M645">
        <v>65581</v>
      </c>
    </row>
    <row r="646" spans="1:13">
      <c r="A646" s="121">
        <v>40817</v>
      </c>
      <c r="B646">
        <v>23688</v>
      </c>
      <c r="C646">
        <v>28260</v>
      </c>
      <c r="D646">
        <v>34010</v>
      </c>
      <c r="E646">
        <v>23904</v>
      </c>
      <c r="F646">
        <v>10188</v>
      </c>
      <c r="G646">
        <v>59170</v>
      </c>
      <c r="H646">
        <v>199429</v>
      </c>
      <c r="I646">
        <v>151629</v>
      </c>
      <c r="J646">
        <v>157127</v>
      </c>
      <c r="K646">
        <v>63570</v>
      </c>
      <c r="L646">
        <v>210799</v>
      </c>
      <c r="M646">
        <v>67427</v>
      </c>
    </row>
    <row r="647" spans="1:13">
      <c r="A647" s="121">
        <v>40848</v>
      </c>
      <c r="B647">
        <v>24544</v>
      </c>
      <c r="C647">
        <v>28914</v>
      </c>
      <c r="D647">
        <v>31837</v>
      </c>
      <c r="E647">
        <v>23401</v>
      </c>
      <c r="F647">
        <v>10045</v>
      </c>
      <c r="G647">
        <v>65088</v>
      </c>
      <c r="H647">
        <v>203549</v>
      </c>
      <c r="I647">
        <v>150443</v>
      </c>
      <c r="J647">
        <v>162380</v>
      </c>
      <c r="K647">
        <v>63758</v>
      </c>
      <c r="L647">
        <v>215531</v>
      </c>
      <c r="M647">
        <v>64660</v>
      </c>
    </row>
    <row r="648" spans="1:13">
      <c r="A648" s="121">
        <v>40878</v>
      </c>
      <c r="B648">
        <v>24927</v>
      </c>
      <c r="C648">
        <v>28750</v>
      </c>
      <c r="D648">
        <v>35470</v>
      </c>
      <c r="E648">
        <v>23424</v>
      </c>
      <c r="F648">
        <v>10350</v>
      </c>
      <c r="G648">
        <v>69034</v>
      </c>
      <c r="H648">
        <v>214193</v>
      </c>
      <c r="I648">
        <v>154801</v>
      </c>
      <c r="J648">
        <v>170486</v>
      </c>
      <c r="K648">
        <v>65920</v>
      </c>
      <c r="L648">
        <v>223835</v>
      </c>
      <c r="M648">
        <v>68881</v>
      </c>
    </row>
    <row r="649" spans="1:13">
      <c r="A649" s="121">
        <v>40909</v>
      </c>
      <c r="B649">
        <v>24176</v>
      </c>
      <c r="C649">
        <v>29123</v>
      </c>
      <c r="D649">
        <v>32837</v>
      </c>
      <c r="E649">
        <v>23017</v>
      </c>
      <c r="F649">
        <v>10625</v>
      </c>
      <c r="G649">
        <v>73187</v>
      </c>
      <c r="H649">
        <v>213798</v>
      </c>
      <c r="I649">
        <v>151995</v>
      </c>
      <c r="J649">
        <v>170545</v>
      </c>
      <c r="K649">
        <v>64937</v>
      </c>
      <c r="L649">
        <v>225182</v>
      </c>
      <c r="M649">
        <v>67658</v>
      </c>
    </row>
    <row r="650" spans="1:13">
      <c r="A650" s="121">
        <v>40940</v>
      </c>
      <c r="B650">
        <v>23289</v>
      </c>
      <c r="C650">
        <v>29473</v>
      </c>
      <c r="D650">
        <v>34704</v>
      </c>
      <c r="E650">
        <v>23903</v>
      </c>
      <c r="F650">
        <v>10467</v>
      </c>
      <c r="G650">
        <v>73756</v>
      </c>
      <c r="H650">
        <v>215027</v>
      </c>
      <c r="I650">
        <v>153841</v>
      </c>
      <c r="J650">
        <v>172690</v>
      </c>
      <c r="K650">
        <v>66132</v>
      </c>
      <c r="L650">
        <v>227597</v>
      </c>
      <c r="M650">
        <v>69902</v>
      </c>
    </row>
    <row r="651" spans="1:13">
      <c r="A651" s="121">
        <v>40969</v>
      </c>
      <c r="B651">
        <v>22901</v>
      </c>
      <c r="C651">
        <v>30000</v>
      </c>
      <c r="D651">
        <v>34893</v>
      </c>
      <c r="E651">
        <v>22737</v>
      </c>
      <c r="F651">
        <v>10589</v>
      </c>
      <c r="G651">
        <v>66552</v>
      </c>
      <c r="H651">
        <v>207437</v>
      </c>
      <c r="I651">
        <v>153408</v>
      </c>
      <c r="J651">
        <v>164744</v>
      </c>
      <c r="K651">
        <v>67944</v>
      </c>
      <c r="L651">
        <v>219960</v>
      </c>
      <c r="M651">
        <v>69522</v>
      </c>
    </row>
    <row r="652" spans="1:13">
      <c r="A652" s="121">
        <v>41000</v>
      </c>
      <c r="B652">
        <v>23215</v>
      </c>
      <c r="C652">
        <v>29052</v>
      </c>
      <c r="D652">
        <v>33076</v>
      </c>
      <c r="E652">
        <v>23232</v>
      </c>
      <c r="F652">
        <v>10468</v>
      </c>
      <c r="G652">
        <v>67031</v>
      </c>
      <c r="H652">
        <v>208556</v>
      </c>
      <c r="I652">
        <v>151383</v>
      </c>
      <c r="J652">
        <v>161383</v>
      </c>
      <c r="K652">
        <v>66849</v>
      </c>
      <c r="L652">
        <v>218414</v>
      </c>
      <c r="M652">
        <v>67518</v>
      </c>
    </row>
    <row r="653" spans="1:13">
      <c r="A653" s="121">
        <v>41030</v>
      </c>
      <c r="B653">
        <v>21368</v>
      </c>
      <c r="C653">
        <v>28379</v>
      </c>
      <c r="D653">
        <v>34189</v>
      </c>
      <c r="E653">
        <v>23445</v>
      </c>
      <c r="F653">
        <v>10789</v>
      </c>
      <c r="G653">
        <v>68256</v>
      </c>
      <c r="H653">
        <v>209652</v>
      </c>
      <c r="I653">
        <v>150820</v>
      </c>
      <c r="J653">
        <v>162004</v>
      </c>
      <c r="K653">
        <v>67240</v>
      </c>
      <c r="L653">
        <v>219076</v>
      </c>
      <c r="M653">
        <v>69183</v>
      </c>
    </row>
    <row r="654" spans="1:13">
      <c r="A654" s="121">
        <v>41061</v>
      </c>
      <c r="B654">
        <v>20823</v>
      </c>
      <c r="C654">
        <v>28480</v>
      </c>
      <c r="D654">
        <v>33738</v>
      </c>
      <c r="E654">
        <v>21345</v>
      </c>
      <c r="F654">
        <v>10147</v>
      </c>
      <c r="G654">
        <v>71743</v>
      </c>
      <c r="H654">
        <v>201871</v>
      </c>
      <c r="I654">
        <v>147012</v>
      </c>
      <c r="J654">
        <v>162286</v>
      </c>
      <c r="K654">
        <v>67691</v>
      </c>
      <c r="L654">
        <v>218755</v>
      </c>
      <c r="M654">
        <v>67129</v>
      </c>
    </row>
    <row r="655" spans="1:13">
      <c r="A655" s="121">
        <v>41091</v>
      </c>
      <c r="B655">
        <v>20921</v>
      </c>
      <c r="C655">
        <v>28529</v>
      </c>
      <c r="D655">
        <v>32536</v>
      </c>
      <c r="E655">
        <v>21585</v>
      </c>
      <c r="F655">
        <v>10258</v>
      </c>
      <c r="G655">
        <v>78853</v>
      </c>
      <c r="H655">
        <v>210138</v>
      </c>
      <c r="I655">
        <v>146370</v>
      </c>
      <c r="J655">
        <v>168204</v>
      </c>
      <c r="K655">
        <v>66900</v>
      </c>
      <c r="L655">
        <v>225223</v>
      </c>
      <c r="M655">
        <v>65294</v>
      </c>
    </row>
    <row r="656" spans="1:13">
      <c r="A656" s="121">
        <v>41122</v>
      </c>
      <c r="B656">
        <v>20565</v>
      </c>
      <c r="C656">
        <v>28324</v>
      </c>
      <c r="D656">
        <v>29903</v>
      </c>
      <c r="E656">
        <v>21016</v>
      </c>
      <c r="F656">
        <v>10312</v>
      </c>
      <c r="G656">
        <v>57614</v>
      </c>
      <c r="H656">
        <v>192404</v>
      </c>
      <c r="I656">
        <v>142809</v>
      </c>
      <c r="J656">
        <v>144973</v>
      </c>
      <c r="K656">
        <v>65497</v>
      </c>
      <c r="L656">
        <v>200423</v>
      </c>
      <c r="M656">
        <v>63721</v>
      </c>
    </row>
    <row r="657" spans="1:13">
      <c r="A657" s="121">
        <v>41153</v>
      </c>
      <c r="B657">
        <v>20959</v>
      </c>
      <c r="C657">
        <v>28211</v>
      </c>
      <c r="D657">
        <v>31354</v>
      </c>
      <c r="E657">
        <v>20898</v>
      </c>
      <c r="F657">
        <v>9944</v>
      </c>
      <c r="G657">
        <v>72843</v>
      </c>
      <c r="H657">
        <v>205808</v>
      </c>
      <c r="I657">
        <v>144398</v>
      </c>
      <c r="J657">
        <v>161598</v>
      </c>
      <c r="K657">
        <v>65411</v>
      </c>
      <c r="L657">
        <v>217241</v>
      </c>
      <c r="M657">
        <v>63976</v>
      </c>
    </row>
    <row r="658" spans="1:13">
      <c r="A658" s="121">
        <v>41183</v>
      </c>
      <c r="B658">
        <v>21510</v>
      </c>
      <c r="C658">
        <v>28260</v>
      </c>
      <c r="D658">
        <v>32889</v>
      </c>
      <c r="E658">
        <v>21154</v>
      </c>
      <c r="F658">
        <v>10451</v>
      </c>
      <c r="G658">
        <v>71461</v>
      </c>
      <c r="H658">
        <v>206576</v>
      </c>
      <c r="I658">
        <v>147556</v>
      </c>
      <c r="J658">
        <v>163841</v>
      </c>
      <c r="K658">
        <v>65637</v>
      </c>
      <c r="L658">
        <v>219017</v>
      </c>
      <c r="M658">
        <v>65937</v>
      </c>
    </row>
    <row r="659" spans="1:13">
      <c r="A659" s="121">
        <v>41214</v>
      </c>
      <c r="B659">
        <v>21301</v>
      </c>
      <c r="C659">
        <v>28582</v>
      </c>
      <c r="D659">
        <v>32635</v>
      </c>
      <c r="E659">
        <v>21097</v>
      </c>
      <c r="F659">
        <v>10795</v>
      </c>
      <c r="G659">
        <v>67114</v>
      </c>
      <c r="H659">
        <v>203305</v>
      </c>
      <c r="I659">
        <v>147575</v>
      </c>
      <c r="J659">
        <v>157882</v>
      </c>
      <c r="K659">
        <v>67449</v>
      </c>
      <c r="L659">
        <v>214689</v>
      </c>
      <c r="M659">
        <v>66473</v>
      </c>
    </row>
    <row r="660" spans="1:13">
      <c r="A660" s="121">
        <v>41244</v>
      </c>
      <c r="B660">
        <v>21865</v>
      </c>
      <c r="C660">
        <v>26972</v>
      </c>
      <c r="D660">
        <v>31683</v>
      </c>
      <c r="E660">
        <v>21992</v>
      </c>
      <c r="F660">
        <v>10058</v>
      </c>
      <c r="G660">
        <v>84903</v>
      </c>
      <c r="H660">
        <v>211264</v>
      </c>
      <c r="I660">
        <v>146089</v>
      </c>
      <c r="J660">
        <v>173564</v>
      </c>
      <c r="K660">
        <v>67154</v>
      </c>
      <c r="L660">
        <v>230992</v>
      </c>
      <c r="M660">
        <v>66630</v>
      </c>
    </row>
    <row r="661" spans="1:13">
      <c r="A661" s="121">
        <v>41275</v>
      </c>
      <c r="B661">
        <v>22119</v>
      </c>
      <c r="C661">
        <v>30191</v>
      </c>
      <c r="D661">
        <v>34079</v>
      </c>
      <c r="E661">
        <v>21143</v>
      </c>
      <c r="F661">
        <v>10028</v>
      </c>
      <c r="G661">
        <v>71038</v>
      </c>
      <c r="H661">
        <v>213298</v>
      </c>
      <c r="I661">
        <v>151759</v>
      </c>
      <c r="J661">
        <v>164003</v>
      </c>
      <c r="K661">
        <v>66841</v>
      </c>
      <c r="L661">
        <v>222797</v>
      </c>
      <c r="M661">
        <v>69758</v>
      </c>
    </row>
    <row r="662" spans="1:13">
      <c r="A662" s="121">
        <v>41306</v>
      </c>
      <c r="B662">
        <v>22358</v>
      </c>
      <c r="C662">
        <v>29128</v>
      </c>
      <c r="D662">
        <v>32520</v>
      </c>
      <c r="E662">
        <v>20277</v>
      </c>
      <c r="F662">
        <v>10363</v>
      </c>
      <c r="G662">
        <v>86577</v>
      </c>
      <c r="H662">
        <v>220700</v>
      </c>
      <c r="I662">
        <v>149375</v>
      </c>
      <c r="J662">
        <v>175371</v>
      </c>
      <c r="K662">
        <v>67781</v>
      </c>
      <c r="L662">
        <v>235952</v>
      </c>
      <c r="M662">
        <v>66190</v>
      </c>
    </row>
    <row r="663" spans="1:13">
      <c r="A663" s="121">
        <v>41334</v>
      </c>
      <c r="B663">
        <v>21083</v>
      </c>
      <c r="C663">
        <v>29704</v>
      </c>
      <c r="D663">
        <v>31260</v>
      </c>
      <c r="E663">
        <v>19532</v>
      </c>
      <c r="F663">
        <v>10084</v>
      </c>
      <c r="G663">
        <v>69240</v>
      </c>
      <c r="H663">
        <v>210080</v>
      </c>
      <c r="I663">
        <v>145948</v>
      </c>
      <c r="J663">
        <v>155905</v>
      </c>
      <c r="K663">
        <v>67952</v>
      </c>
      <c r="L663">
        <v>215188</v>
      </c>
      <c r="M663">
        <v>66275</v>
      </c>
    </row>
    <row r="664" spans="1:13">
      <c r="A664" s="121">
        <v>41365</v>
      </c>
      <c r="B664">
        <v>22030</v>
      </c>
      <c r="C664">
        <v>29325</v>
      </c>
      <c r="D664">
        <v>31928</v>
      </c>
      <c r="E664">
        <v>21385</v>
      </c>
      <c r="F664">
        <v>10130</v>
      </c>
      <c r="G664">
        <v>76992</v>
      </c>
      <c r="H664">
        <v>216982</v>
      </c>
      <c r="I664">
        <v>149549</v>
      </c>
      <c r="J664">
        <v>166628</v>
      </c>
      <c r="K664">
        <v>66418</v>
      </c>
      <c r="L664">
        <v>226541</v>
      </c>
      <c r="M664">
        <v>67553</v>
      </c>
    </row>
    <row r="665" spans="1:13">
      <c r="A665" s="121">
        <v>41395</v>
      </c>
      <c r="B665">
        <v>21548</v>
      </c>
      <c r="C665">
        <v>28923</v>
      </c>
      <c r="D665">
        <v>32205</v>
      </c>
      <c r="E665">
        <v>21808</v>
      </c>
      <c r="F665">
        <v>10804</v>
      </c>
      <c r="G665">
        <v>84921</v>
      </c>
      <c r="H665">
        <v>224465</v>
      </c>
      <c r="I665">
        <v>150337</v>
      </c>
      <c r="J665">
        <v>175118</v>
      </c>
      <c r="K665">
        <v>67597</v>
      </c>
      <c r="L665">
        <v>235258</v>
      </c>
      <c r="M665">
        <v>69186</v>
      </c>
    </row>
    <row r="666" spans="1:13">
      <c r="A666" s="121">
        <v>41426</v>
      </c>
      <c r="B666">
        <v>22140</v>
      </c>
      <c r="C666">
        <v>28953</v>
      </c>
      <c r="D666">
        <v>32202</v>
      </c>
      <c r="E666">
        <v>21642</v>
      </c>
      <c r="F666">
        <v>10349</v>
      </c>
      <c r="G666">
        <v>97375</v>
      </c>
      <c r="H666">
        <v>235211</v>
      </c>
      <c r="I666">
        <v>150635</v>
      </c>
      <c r="J666">
        <v>187849</v>
      </c>
      <c r="K666">
        <v>66735</v>
      </c>
      <c r="L666">
        <v>248010</v>
      </c>
      <c r="M666">
        <v>69443</v>
      </c>
    </row>
    <row r="667" spans="1:13">
      <c r="A667" s="121">
        <v>41456</v>
      </c>
      <c r="B667">
        <v>21401</v>
      </c>
      <c r="C667">
        <v>28800</v>
      </c>
      <c r="D667">
        <v>32495</v>
      </c>
      <c r="E667">
        <v>21054</v>
      </c>
      <c r="F667">
        <v>9957</v>
      </c>
      <c r="G667">
        <v>75015</v>
      </c>
      <c r="H667">
        <v>209913</v>
      </c>
      <c r="I667">
        <v>148765</v>
      </c>
      <c r="J667">
        <v>164784</v>
      </c>
      <c r="K667">
        <v>65819</v>
      </c>
      <c r="L667">
        <v>223780</v>
      </c>
      <c r="M667">
        <v>66557</v>
      </c>
    </row>
    <row r="668" spans="1:13">
      <c r="A668" s="121">
        <v>41487</v>
      </c>
      <c r="B668">
        <v>21572</v>
      </c>
      <c r="C668">
        <v>29075</v>
      </c>
      <c r="D668">
        <v>30890</v>
      </c>
      <c r="E668">
        <v>20137</v>
      </c>
      <c r="F668">
        <v>10077</v>
      </c>
      <c r="G668">
        <v>77447</v>
      </c>
      <c r="H668">
        <v>211847</v>
      </c>
      <c r="I668">
        <v>147563</v>
      </c>
      <c r="J668">
        <v>164894</v>
      </c>
      <c r="K668">
        <v>66036</v>
      </c>
      <c r="L668">
        <v>225010</v>
      </c>
      <c r="M668">
        <v>65935</v>
      </c>
    </row>
    <row r="669" spans="1:13">
      <c r="A669" s="121">
        <v>41518</v>
      </c>
      <c r="B669">
        <v>21690</v>
      </c>
      <c r="C669">
        <v>28873</v>
      </c>
      <c r="D669">
        <v>31453</v>
      </c>
      <c r="E669">
        <v>20975</v>
      </c>
      <c r="F669">
        <v>10228</v>
      </c>
      <c r="G669">
        <v>90219</v>
      </c>
      <c r="H669">
        <v>225775</v>
      </c>
      <c r="I669">
        <v>148413</v>
      </c>
      <c r="J669">
        <v>178351</v>
      </c>
      <c r="K669">
        <v>65417</v>
      </c>
      <c r="L669">
        <v>238632</v>
      </c>
      <c r="M669">
        <v>66636</v>
      </c>
    </row>
    <row r="670" spans="1:13">
      <c r="A670" s="121">
        <v>41548</v>
      </c>
      <c r="B670">
        <v>22296</v>
      </c>
      <c r="C670">
        <v>28460</v>
      </c>
      <c r="D670">
        <v>31358</v>
      </c>
      <c r="E670">
        <v>21461</v>
      </c>
      <c r="F670">
        <v>10332</v>
      </c>
      <c r="G670">
        <v>82965</v>
      </c>
      <c r="H670">
        <v>223139</v>
      </c>
      <c r="I670">
        <v>148997</v>
      </c>
      <c r="J670">
        <v>171007</v>
      </c>
      <c r="K670">
        <v>65186</v>
      </c>
      <c r="L670">
        <v>231962</v>
      </c>
      <c r="M670">
        <v>64799</v>
      </c>
    </row>
    <row r="671" spans="1:13">
      <c r="A671" s="121">
        <v>41579</v>
      </c>
      <c r="B671">
        <v>21935</v>
      </c>
      <c r="C671">
        <v>28851</v>
      </c>
      <c r="D671">
        <v>33588</v>
      </c>
      <c r="E671">
        <v>21633</v>
      </c>
      <c r="F671">
        <v>9447</v>
      </c>
      <c r="G671">
        <v>90138</v>
      </c>
      <c r="H671">
        <v>232225</v>
      </c>
      <c r="I671">
        <v>151251</v>
      </c>
      <c r="J671">
        <v>176395</v>
      </c>
      <c r="K671">
        <v>68009</v>
      </c>
      <c r="L671">
        <v>241389</v>
      </c>
      <c r="M671">
        <v>68592</v>
      </c>
    </row>
    <row r="672" spans="1:13">
      <c r="A672" s="121">
        <v>41609</v>
      </c>
      <c r="B672">
        <v>21042</v>
      </c>
      <c r="C672">
        <v>26863</v>
      </c>
      <c r="D672">
        <v>34380</v>
      </c>
      <c r="E672">
        <v>20173</v>
      </c>
      <c r="F672">
        <v>10126</v>
      </c>
      <c r="G672">
        <v>90482</v>
      </c>
      <c r="H672">
        <v>227537</v>
      </c>
      <c r="I672">
        <v>147895</v>
      </c>
      <c r="J672">
        <v>176574</v>
      </c>
      <c r="K672">
        <v>67503</v>
      </c>
      <c r="L672">
        <v>238377</v>
      </c>
      <c r="M672">
        <v>67496</v>
      </c>
    </row>
    <row r="673" spans="1:13">
      <c r="A673" s="121">
        <v>41640</v>
      </c>
      <c r="B673">
        <v>21464</v>
      </c>
      <c r="C673">
        <v>29145</v>
      </c>
      <c r="D673">
        <v>33899</v>
      </c>
      <c r="E673">
        <v>21527</v>
      </c>
      <c r="F673">
        <v>10451</v>
      </c>
      <c r="G673">
        <v>72176</v>
      </c>
      <c r="H673">
        <v>216655</v>
      </c>
      <c r="I673">
        <v>150968</v>
      </c>
      <c r="J673">
        <v>163285</v>
      </c>
      <c r="K673">
        <v>66205</v>
      </c>
      <c r="L673">
        <v>223144</v>
      </c>
      <c r="M673">
        <v>68106</v>
      </c>
    </row>
    <row r="674" spans="1:13">
      <c r="A674" s="121">
        <v>41671</v>
      </c>
      <c r="B674">
        <v>21626</v>
      </c>
      <c r="C674">
        <v>29156</v>
      </c>
      <c r="D674">
        <v>34151</v>
      </c>
      <c r="E674">
        <v>21232</v>
      </c>
      <c r="F674">
        <v>10257</v>
      </c>
      <c r="G674">
        <v>81622</v>
      </c>
      <c r="H674">
        <v>219545</v>
      </c>
      <c r="I674">
        <v>151089</v>
      </c>
      <c r="J674">
        <v>171097</v>
      </c>
      <c r="K674">
        <v>67120</v>
      </c>
      <c r="L674">
        <v>232711</v>
      </c>
      <c r="M674">
        <v>67227</v>
      </c>
    </row>
    <row r="675" spans="1:13">
      <c r="A675" s="121">
        <v>41699</v>
      </c>
      <c r="B675">
        <v>22190</v>
      </c>
      <c r="C675">
        <v>29456</v>
      </c>
      <c r="D675">
        <v>34226</v>
      </c>
      <c r="E675">
        <v>21491</v>
      </c>
      <c r="F675">
        <v>10665</v>
      </c>
      <c r="G675">
        <v>79821</v>
      </c>
      <c r="H675">
        <v>223009</v>
      </c>
      <c r="I675">
        <v>153332</v>
      </c>
      <c r="J675">
        <v>170947</v>
      </c>
      <c r="K675">
        <v>68135</v>
      </c>
      <c r="L675">
        <v>233153</v>
      </c>
      <c r="M675">
        <v>68502</v>
      </c>
    </row>
    <row r="676" spans="1:13">
      <c r="A676" s="121">
        <v>41730</v>
      </c>
      <c r="B676">
        <v>21864</v>
      </c>
      <c r="C676">
        <v>29180</v>
      </c>
      <c r="D676">
        <v>32905</v>
      </c>
      <c r="E676">
        <v>21631</v>
      </c>
      <c r="F676">
        <v>10676</v>
      </c>
      <c r="G676">
        <v>85413</v>
      </c>
      <c r="H676">
        <v>216304</v>
      </c>
      <c r="I676">
        <v>151959</v>
      </c>
      <c r="J676">
        <v>175956</v>
      </c>
      <c r="K676">
        <v>66704</v>
      </c>
      <c r="L676">
        <v>237372</v>
      </c>
      <c r="M676">
        <v>66341</v>
      </c>
    </row>
    <row r="677" spans="1:13">
      <c r="A677" s="121">
        <v>41760</v>
      </c>
      <c r="B677">
        <v>22063</v>
      </c>
      <c r="C677">
        <v>30175</v>
      </c>
      <c r="D677">
        <v>32699</v>
      </c>
      <c r="E677">
        <v>20753</v>
      </c>
      <c r="F677">
        <v>10467</v>
      </c>
      <c r="G677">
        <v>80832</v>
      </c>
      <c r="H677">
        <v>217466</v>
      </c>
      <c r="I677">
        <v>152127</v>
      </c>
      <c r="J677">
        <v>169649</v>
      </c>
      <c r="K677">
        <v>67233</v>
      </c>
      <c r="L677">
        <v>232959</v>
      </c>
      <c r="M677">
        <v>65817</v>
      </c>
    </row>
    <row r="678" spans="1:13">
      <c r="A678" s="121">
        <v>41791</v>
      </c>
      <c r="B678">
        <v>22511</v>
      </c>
      <c r="C678">
        <v>29874</v>
      </c>
      <c r="D678">
        <v>35026</v>
      </c>
      <c r="E678">
        <v>21947</v>
      </c>
      <c r="F678">
        <v>10944</v>
      </c>
      <c r="G678">
        <v>83596</v>
      </c>
      <c r="H678">
        <v>226627</v>
      </c>
      <c r="I678">
        <v>156585</v>
      </c>
      <c r="J678">
        <v>177769</v>
      </c>
      <c r="K678">
        <v>67210</v>
      </c>
      <c r="L678">
        <v>240181</v>
      </c>
      <c r="M678">
        <v>69872</v>
      </c>
    </row>
    <row r="679" spans="1:13">
      <c r="A679" s="121">
        <v>41821</v>
      </c>
      <c r="B679">
        <v>22759</v>
      </c>
      <c r="C679">
        <v>29982</v>
      </c>
      <c r="D679">
        <v>32975</v>
      </c>
      <c r="E679">
        <v>21247</v>
      </c>
      <c r="F679">
        <v>10701</v>
      </c>
      <c r="G679">
        <v>149460</v>
      </c>
      <c r="H679">
        <v>293790</v>
      </c>
      <c r="I679">
        <v>153702</v>
      </c>
      <c r="J679">
        <v>238245</v>
      </c>
      <c r="K679">
        <v>67196</v>
      </c>
      <c r="L679">
        <v>303162</v>
      </c>
      <c r="M679">
        <v>67931</v>
      </c>
    </row>
    <row r="680" spans="1:13">
      <c r="A680" s="121">
        <v>41852</v>
      </c>
      <c r="B680">
        <v>22044</v>
      </c>
      <c r="C680">
        <v>30248</v>
      </c>
      <c r="D680">
        <v>34336</v>
      </c>
      <c r="E680">
        <v>21650</v>
      </c>
      <c r="F680">
        <v>10721</v>
      </c>
      <c r="G680">
        <v>81455</v>
      </c>
      <c r="H680">
        <v>224569</v>
      </c>
      <c r="I680">
        <v>155211</v>
      </c>
      <c r="J680">
        <v>172226</v>
      </c>
      <c r="K680">
        <v>69173</v>
      </c>
      <c r="L680">
        <v>236666</v>
      </c>
      <c r="M680">
        <v>68554</v>
      </c>
    </row>
    <row r="681" spans="1:13">
      <c r="A681" s="121">
        <v>41883</v>
      </c>
      <c r="B681">
        <v>22866</v>
      </c>
      <c r="C681">
        <v>30230</v>
      </c>
      <c r="D681">
        <v>34716</v>
      </c>
      <c r="E681">
        <v>21281</v>
      </c>
      <c r="F681">
        <v>11088</v>
      </c>
      <c r="G681">
        <v>80552</v>
      </c>
      <c r="H681">
        <v>229338</v>
      </c>
      <c r="I681">
        <v>156982</v>
      </c>
      <c r="J681">
        <v>172718</v>
      </c>
      <c r="K681">
        <v>69236</v>
      </c>
      <c r="L681">
        <v>237534</v>
      </c>
      <c r="M681">
        <v>69426</v>
      </c>
    </row>
    <row r="682" spans="1:13">
      <c r="A682" s="121">
        <v>41913</v>
      </c>
      <c r="B682">
        <v>21973</v>
      </c>
      <c r="C682">
        <v>30380</v>
      </c>
      <c r="D682">
        <v>32346</v>
      </c>
      <c r="E682">
        <v>20681</v>
      </c>
      <c r="F682">
        <v>10888</v>
      </c>
      <c r="G682">
        <v>79328</v>
      </c>
      <c r="H682">
        <v>219533</v>
      </c>
      <c r="I682">
        <v>152761</v>
      </c>
      <c r="J682">
        <v>167104</v>
      </c>
      <c r="K682">
        <v>66959</v>
      </c>
      <c r="L682">
        <v>232089</v>
      </c>
      <c r="M682">
        <v>65645</v>
      </c>
    </row>
    <row r="683" spans="1:13">
      <c r="A683" s="121">
        <v>41944</v>
      </c>
      <c r="B683">
        <v>21289</v>
      </c>
      <c r="C683">
        <v>29980</v>
      </c>
      <c r="D683">
        <v>31136</v>
      </c>
      <c r="E683">
        <v>19745</v>
      </c>
      <c r="F683">
        <v>10773</v>
      </c>
      <c r="G683">
        <v>76884</v>
      </c>
      <c r="H683">
        <v>221162</v>
      </c>
      <c r="I683">
        <v>149271</v>
      </c>
      <c r="J683">
        <v>162866</v>
      </c>
      <c r="K683">
        <v>65797</v>
      </c>
      <c r="L683">
        <v>226155</v>
      </c>
      <c r="M683">
        <v>63854</v>
      </c>
    </row>
    <row r="684" spans="1:13">
      <c r="A684" s="121">
        <v>41974</v>
      </c>
      <c r="B684">
        <v>21320</v>
      </c>
      <c r="C684">
        <v>30051</v>
      </c>
      <c r="D684">
        <v>30990</v>
      </c>
      <c r="E684">
        <v>19890</v>
      </c>
      <c r="F684">
        <v>11055</v>
      </c>
      <c r="G684">
        <v>75614</v>
      </c>
      <c r="H684">
        <v>213860</v>
      </c>
      <c r="I684">
        <v>150221</v>
      </c>
      <c r="J684">
        <v>160616</v>
      </c>
      <c r="K684">
        <v>67092</v>
      </c>
      <c r="L684">
        <v>225835</v>
      </c>
      <c r="M684">
        <v>65875</v>
      </c>
    </row>
    <row r="685" spans="1:13">
      <c r="A685" s="121">
        <v>42005</v>
      </c>
      <c r="B685">
        <v>20643</v>
      </c>
      <c r="C685">
        <v>28236</v>
      </c>
      <c r="D685">
        <v>31714</v>
      </c>
      <c r="E685">
        <v>19611</v>
      </c>
      <c r="F685">
        <v>10496</v>
      </c>
      <c r="G685">
        <v>76525</v>
      </c>
      <c r="H685">
        <v>211466</v>
      </c>
      <c r="I685">
        <v>147536</v>
      </c>
      <c r="J685">
        <v>161061</v>
      </c>
      <c r="K685">
        <v>65491</v>
      </c>
      <c r="L685">
        <v>224061</v>
      </c>
      <c r="M685">
        <v>64666</v>
      </c>
    </row>
    <row r="686" spans="1:13">
      <c r="A686" s="121">
        <v>42036</v>
      </c>
      <c r="B686">
        <v>20216</v>
      </c>
      <c r="C686">
        <v>28254</v>
      </c>
      <c r="D686">
        <v>31395</v>
      </c>
      <c r="E686">
        <v>19500</v>
      </c>
      <c r="F686">
        <v>10690</v>
      </c>
      <c r="G686">
        <v>72526</v>
      </c>
      <c r="H686">
        <v>209406</v>
      </c>
      <c r="I686">
        <v>146440</v>
      </c>
      <c r="J686">
        <v>155869</v>
      </c>
      <c r="K686">
        <v>65735</v>
      </c>
      <c r="L686">
        <v>218966</v>
      </c>
      <c r="M686">
        <v>64257</v>
      </c>
    </row>
    <row r="687" spans="1:13">
      <c r="A687" s="121">
        <v>42064</v>
      </c>
      <c r="B687">
        <v>19079</v>
      </c>
      <c r="C687">
        <v>28358</v>
      </c>
      <c r="D687">
        <v>31197</v>
      </c>
      <c r="E687">
        <v>21158</v>
      </c>
      <c r="F687">
        <v>10856</v>
      </c>
      <c r="G687">
        <v>80461</v>
      </c>
      <c r="H687">
        <v>217526</v>
      </c>
      <c r="I687">
        <v>147112</v>
      </c>
      <c r="J687">
        <v>161664</v>
      </c>
      <c r="K687">
        <v>66307</v>
      </c>
      <c r="L687">
        <v>227573</v>
      </c>
      <c r="M687">
        <v>64721</v>
      </c>
    </row>
    <row r="688" spans="1:13">
      <c r="A688" s="121">
        <v>42095</v>
      </c>
      <c r="B688">
        <v>19341</v>
      </c>
      <c r="C688">
        <v>28043</v>
      </c>
      <c r="D688">
        <v>31040</v>
      </c>
      <c r="E688">
        <v>20550</v>
      </c>
      <c r="F688">
        <v>10775</v>
      </c>
      <c r="G688">
        <v>77746</v>
      </c>
      <c r="H688">
        <v>215883</v>
      </c>
      <c r="I688">
        <v>146593</v>
      </c>
      <c r="J688">
        <v>159682</v>
      </c>
      <c r="K688">
        <v>65722</v>
      </c>
      <c r="L688">
        <v>224339</v>
      </c>
      <c r="M688">
        <v>64152</v>
      </c>
    </row>
    <row r="689" spans="1:13">
      <c r="A689" s="121">
        <v>42125</v>
      </c>
      <c r="B689">
        <v>19271</v>
      </c>
      <c r="C689">
        <v>28082</v>
      </c>
      <c r="D689">
        <v>30714</v>
      </c>
      <c r="E689">
        <v>20094</v>
      </c>
      <c r="F689">
        <v>10299</v>
      </c>
      <c r="G689">
        <v>72558</v>
      </c>
      <c r="H689">
        <v>204127</v>
      </c>
      <c r="I689">
        <v>144774</v>
      </c>
      <c r="J689">
        <v>152625</v>
      </c>
      <c r="K689">
        <v>64884</v>
      </c>
      <c r="L689">
        <v>217332</v>
      </c>
      <c r="M689">
        <v>62533</v>
      </c>
    </row>
    <row r="690" spans="1:13">
      <c r="A690" s="121">
        <v>42156</v>
      </c>
      <c r="B690">
        <v>19256</v>
      </c>
      <c r="C690">
        <v>28774</v>
      </c>
      <c r="D690">
        <v>31321</v>
      </c>
      <c r="E690">
        <v>20834</v>
      </c>
      <c r="F690">
        <v>10653</v>
      </c>
      <c r="G690">
        <v>84951</v>
      </c>
      <c r="H690">
        <v>222452</v>
      </c>
      <c r="I690">
        <v>147815</v>
      </c>
      <c r="J690">
        <v>166657</v>
      </c>
      <c r="K690">
        <v>65496</v>
      </c>
      <c r="L690">
        <v>232766</v>
      </c>
      <c r="M690">
        <v>63930</v>
      </c>
    </row>
    <row r="691" spans="1:13">
      <c r="A691" s="121">
        <v>42186</v>
      </c>
      <c r="B691">
        <v>17847</v>
      </c>
      <c r="C691">
        <v>28632</v>
      </c>
      <c r="D691">
        <v>30953</v>
      </c>
      <c r="E691">
        <v>20857</v>
      </c>
      <c r="F691">
        <v>10615</v>
      </c>
      <c r="G691">
        <v>84093</v>
      </c>
      <c r="H691">
        <v>216416</v>
      </c>
      <c r="I691">
        <v>146096</v>
      </c>
      <c r="J691">
        <v>163038</v>
      </c>
      <c r="K691">
        <v>64938</v>
      </c>
      <c r="L691">
        <v>230189</v>
      </c>
      <c r="M691">
        <v>63774</v>
      </c>
    </row>
    <row r="692" spans="1:13">
      <c r="A692" s="121">
        <v>42217</v>
      </c>
      <c r="B692">
        <v>18300</v>
      </c>
      <c r="C692">
        <v>27775</v>
      </c>
      <c r="D692">
        <v>31791</v>
      </c>
      <c r="E692">
        <v>20550</v>
      </c>
      <c r="F692">
        <v>10552</v>
      </c>
      <c r="G692">
        <v>76454</v>
      </c>
      <c r="H692">
        <v>215447</v>
      </c>
      <c r="I692">
        <v>146193</v>
      </c>
      <c r="J692">
        <v>156470</v>
      </c>
      <c r="K692">
        <v>64879</v>
      </c>
      <c r="L692">
        <v>222647</v>
      </c>
      <c r="M692">
        <v>63370</v>
      </c>
    </row>
    <row r="693" spans="1:13">
      <c r="A693" s="121">
        <v>42248</v>
      </c>
      <c r="B693">
        <v>18084</v>
      </c>
      <c r="C693">
        <v>28353</v>
      </c>
      <c r="D693">
        <v>31251</v>
      </c>
      <c r="E693">
        <v>20457</v>
      </c>
      <c r="F693">
        <v>10459</v>
      </c>
      <c r="G693">
        <v>72809</v>
      </c>
      <c r="H693">
        <v>209174</v>
      </c>
      <c r="I693">
        <v>145929</v>
      </c>
      <c r="J693">
        <v>151752</v>
      </c>
      <c r="K693">
        <v>64821</v>
      </c>
      <c r="L693">
        <v>218738</v>
      </c>
      <c r="M693">
        <v>63318</v>
      </c>
    </row>
    <row r="694" spans="1:13">
      <c r="A694" s="121">
        <v>42278</v>
      </c>
      <c r="B694">
        <v>17862</v>
      </c>
      <c r="C694">
        <v>27557</v>
      </c>
      <c r="D694">
        <v>31235</v>
      </c>
      <c r="E694">
        <v>20227</v>
      </c>
      <c r="F694">
        <v>10206</v>
      </c>
      <c r="G694">
        <v>81614</v>
      </c>
      <c r="H694">
        <v>210661</v>
      </c>
      <c r="I694">
        <v>144418</v>
      </c>
      <c r="J694">
        <v>160554</v>
      </c>
      <c r="K694">
        <v>64110</v>
      </c>
      <c r="L694">
        <v>226032</v>
      </c>
      <c r="M694">
        <v>63051</v>
      </c>
    </row>
    <row r="695" spans="1:13">
      <c r="A695" s="121">
        <v>42309</v>
      </c>
      <c r="B695">
        <v>17588</v>
      </c>
      <c r="C695">
        <v>27724</v>
      </c>
      <c r="D695">
        <v>30575</v>
      </c>
      <c r="E695">
        <v>20043</v>
      </c>
      <c r="F695">
        <v>10378</v>
      </c>
      <c r="G695">
        <v>79457</v>
      </c>
      <c r="H695">
        <v>212466</v>
      </c>
      <c r="I695">
        <v>143766</v>
      </c>
      <c r="J695">
        <v>156779</v>
      </c>
      <c r="K695">
        <v>63224</v>
      </c>
      <c r="L695">
        <v>223223</v>
      </c>
      <c r="M695">
        <v>62049</v>
      </c>
    </row>
    <row r="696" spans="1:13">
      <c r="A696" s="121">
        <v>42339</v>
      </c>
      <c r="B696">
        <v>17240</v>
      </c>
      <c r="C696">
        <v>27858</v>
      </c>
      <c r="D696">
        <v>28354</v>
      </c>
      <c r="E696">
        <v>20481</v>
      </c>
      <c r="F696">
        <v>10539</v>
      </c>
      <c r="G696">
        <v>75599</v>
      </c>
      <c r="H696">
        <v>209769</v>
      </c>
      <c r="I696">
        <v>141875</v>
      </c>
      <c r="J696">
        <v>151640</v>
      </c>
      <c r="K696">
        <v>63244</v>
      </c>
      <c r="L696">
        <v>217474</v>
      </c>
      <c r="M696">
        <v>60165</v>
      </c>
    </row>
    <row r="697" spans="1:13">
      <c r="A697" s="121">
        <v>42370</v>
      </c>
      <c r="B697">
        <v>17011</v>
      </c>
      <c r="C697">
        <v>28435</v>
      </c>
      <c r="D697">
        <v>29997</v>
      </c>
      <c r="E697">
        <v>20923</v>
      </c>
      <c r="F697">
        <v>10606</v>
      </c>
      <c r="G697">
        <v>82719</v>
      </c>
      <c r="H697">
        <v>212421</v>
      </c>
      <c r="I697">
        <v>144186</v>
      </c>
      <c r="J697">
        <v>160531</v>
      </c>
      <c r="K697">
        <v>62116</v>
      </c>
      <c r="L697">
        <v>226905</v>
      </c>
      <c r="M697">
        <v>61709</v>
      </c>
    </row>
    <row r="698" spans="1:13">
      <c r="A698" s="121">
        <v>42401</v>
      </c>
      <c r="B698">
        <v>16639</v>
      </c>
      <c r="C698">
        <v>28134</v>
      </c>
      <c r="D698">
        <v>29290</v>
      </c>
      <c r="E698">
        <v>21269</v>
      </c>
      <c r="F698">
        <v>10196</v>
      </c>
      <c r="G698">
        <v>74774</v>
      </c>
      <c r="H698">
        <v>208470</v>
      </c>
      <c r="I698">
        <v>142597</v>
      </c>
      <c r="J698">
        <v>150402</v>
      </c>
      <c r="K698">
        <v>61521</v>
      </c>
      <c r="L698">
        <v>217371</v>
      </c>
      <c r="M698">
        <v>61077</v>
      </c>
    </row>
    <row r="699" spans="1:13">
      <c r="A699" s="121">
        <v>42430</v>
      </c>
      <c r="B699">
        <v>16511</v>
      </c>
      <c r="C699">
        <v>27255</v>
      </c>
      <c r="D699">
        <v>28934</v>
      </c>
      <c r="E699">
        <v>21052</v>
      </c>
      <c r="F699">
        <v>9828</v>
      </c>
      <c r="G699">
        <v>75647</v>
      </c>
      <c r="H699">
        <v>201996</v>
      </c>
      <c r="I699">
        <v>141252</v>
      </c>
      <c r="J699">
        <v>151329</v>
      </c>
      <c r="K699">
        <v>61133</v>
      </c>
      <c r="L699">
        <v>216899</v>
      </c>
      <c r="M699">
        <v>60564</v>
      </c>
    </row>
    <row r="700" spans="1:13">
      <c r="A700" s="121">
        <v>42461</v>
      </c>
      <c r="B700">
        <v>16638</v>
      </c>
      <c r="C700">
        <v>28268</v>
      </c>
      <c r="D700">
        <v>28675</v>
      </c>
      <c r="E700">
        <v>21719</v>
      </c>
      <c r="F700">
        <v>9959</v>
      </c>
      <c r="G700">
        <v>86087</v>
      </c>
      <c r="H700">
        <v>211258</v>
      </c>
      <c r="I700">
        <v>142498</v>
      </c>
      <c r="J700">
        <v>162910</v>
      </c>
      <c r="K700">
        <v>61671</v>
      </c>
      <c r="L700">
        <v>228585</v>
      </c>
      <c r="M700">
        <v>60970</v>
      </c>
    </row>
    <row r="701" spans="1:13">
      <c r="A701" s="121">
        <v>42491</v>
      </c>
      <c r="B701">
        <v>16645</v>
      </c>
      <c r="C701">
        <v>28052</v>
      </c>
      <c r="D701">
        <v>28160</v>
      </c>
      <c r="E701">
        <v>21631</v>
      </c>
      <c r="F701">
        <v>9890</v>
      </c>
      <c r="G701">
        <v>80406</v>
      </c>
      <c r="H701">
        <v>211188</v>
      </c>
      <c r="I701">
        <v>141585</v>
      </c>
      <c r="J701">
        <v>157751</v>
      </c>
      <c r="K701">
        <v>61126</v>
      </c>
      <c r="L701">
        <v>221991</v>
      </c>
      <c r="M701">
        <v>59565</v>
      </c>
    </row>
    <row r="702" spans="1:13">
      <c r="A702" s="121">
        <v>42522</v>
      </c>
      <c r="B702">
        <v>16323</v>
      </c>
      <c r="C702">
        <v>27601</v>
      </c>
      <c r="D702">
        <v>28238</v>
      </c>
      <c r="E702">
        <v>21515</v>
      </c>
      <c r="F702">
        <v>9890</v>
      </c>
      <c r="G702">
        <v>68834</v>
      </c>
      <c r="H702">
        <v>202807</v>
      </c>
      <c r="I702">
        <v>140522</v>
      </c>
      <c r="J702">
        <v>144277</v>
      </c>
      <c r="K702">
        <v>60609</v>
      </c>
      <c r="L702">
        <v>209356</v>
      </c>
      <c r="M702">
        <v>59505</v>
      </c>
    </row>
    <row r="703" spans="1:13">
      <c r="A703" s="121">
        <v>42552</v>
      </c>
      <c r="B703">
        <v>16746</v>
      </c>
      <c r="C703">
        <v>27758</v>
      </c>
      <c r="D703">
        <v>28904</v>
      </c>
      <c r="E703">
        <v>21556</v>
      </c>
      <c r="F703">
        <v>10246</v>
      </c>
      <c r="G703">
        <v>76197</v>
      </c>
      <c r="H703">
        <v>204914</v>
      </c>
      <c r="I703">
        <v>141800</v>
      </c>
      <c r="J703">
        <v>153759</v>
      </c>
      <c r="K703">
        <v>59441</v>
      </c>
      <c r="L703">
        <v>217997</v>
      </c>
      <c r="M703">
        <v>59899</v>
      </c>
    </row>
    <row r="704" spans="1:13">
      <c r="A704" s="121">
        <v>42583</v>
      </c>
      <c r="B704">
        <v>16654</v>
      </c>
      <c r="C704">
        <v>27540</v>
      </c>
      <c r="D704">
        <v>29462</v>
      </c>
      <c r="E704">
        <v>21449</v>
      </c>
      <c r="F704">
        <v>10082</v>
      </c>
      <c r="G704">
        <v>77102</v>
      </c>
      <c r="H704">
        <v>209179</v>
      </c>
      <c r="I704">
        <v>142038</v>
      </c>
      <c r="J704">
        <v>154680</v>
      </c>
      <c r="K704">
        <v>59905</v>
      </c>
      <c r="L704">
        <v>219140</v>
      </c>
      <c r="M704">
        <v>61743</v>
      </c>
    </row>
    <row r="705" spans="1:13">
      <c r="A705" s="121">
        <v>42614</v>
      </c>
      <c r="B705">
        <v>16647</v>
      </c>
      <c r="C705">
        <v>27262</v>
      </c>
      <c r="D705">
        <v>28943</v>
      </c>
      <c r="E705">
        <v>21152</v>
      </c>
      <c r="F705">
        <v>10144</v>
      </c>
      <c r="G705">
        <v>75136</v>
      </c>
      <c r="H705">
        <v>201229</v>
      </c>
      <c r="I705">
        <v>140922</v>
      </c>
      <c r="J705">
        <v>151551</v>
      </c>
      <c r="K705">
        <v>59991</v>
      </c>
      <c r="L705">
        <v>216058</v>
      </c>
      <c r="M705">
        <v>59290</v>
      </c>
    </row>
    <row r="706" spans="1:13">
      <c r="A706" s="121">
        <v>42644</v>
      </c>
      <c r="B706">
        <v>16783</v>
      </c>
      <c r="C706">
        <v>28280</v>
      </c>
      <c r="D706">
        <v>28991</v>
      </c>
      <c r="E706">
        <v>20980</v>
      </c>
      <c r="F706">
        <v>10113</v>
      </c>
      <c r="G706">
        <v>92159</v>
      </c>
      <c r="H706">
        <v>225358</v>
      </c>
      <c r="I706">
        <v>142058</v>
      </c>
      <c r="J706">
        <v>170179</v>
      </c>
      <c r="K706">
        <v>59411</v>
      </c>
      <c r="L706">
        <v>234217</v>
      </c>
      <c r="M706">
        <v>59413</v>
      </c>
    </row>
    <row r="707" spans="1:13">
      <c r="A707" s="121">
        <v>42675</v>
      </c>
      <c r="B707">
        <v>17302</v>
      </c>
      <c r="C707">
        <v>28236</v>
      </c>
      <c r="D707">
        <v>28877</v>
      </c>
      <c r="E707">
        <v>20797</v>
      </c>
      <c r="F707">
        <v>10277</v>
      </c>
      <c r="G707">
        <v>74289</v>
      </c>
      <c r="H707">
        <v>202565</v>
      </c>
      <c r="I707">
        <v>142414</v>
      </c>
      <c r="J707">
        <v>153082</v>
      </c>
      <c r="K707">
        <v>59487</v>
      </c>
      <c r="L707">
        <v>216703</v>
      </c>
      <c r="M707">
        <v>59262</v>
      </c>
    </row>
    <row r="708" spans="1:13">
      <c r="A708" s="121">
        <v>42705</v>
      </c>
      <c r="B708">
        <v>17445</v>
      </c>
      <c r="C708">
        <v>27438</v>
      </c>
      <c r="D708">
        <v>28893</v>
      </c>
      <c r="E708">
        <v>21338</v>
      </c>
      <c r="F708">
        <v>10577</v>
      </c>
      <c r="G708">
        <v>75917</v>
      </c>
      <c r="H708">
        <v>201103</v>
      </c>
      <c r="I708">
        <v>142533</v>
      </c>
      <c r="J708">
        <v>153879</v>
      </c>
      <c r="K708">
        <v>60013</v>
      </c>
      <c r="L708">
        <v>218450</v>
      </c>
      <c r="M708">
        <v>59355</v>
      </c>
    </row>
    <row r="709" spans="1:13">
      <c r="A709" s="121">
        <v>42736</v>
      </c>
      <c r="B709">
        <v>17785</v>
      </c>
      <c r="C709">
        <v>28057</v>
      </c>
      <c r="D709">
        <v>29753</v>
      </c>
      <c r="E709">
        <v>21297</v>
      </c>
      <c r="F709">
        <v>10584</v>
      </c>
      <c r="G709">
        <v>72833</v>
      </c>
      <c r="H709">
        <v>206243</v>
      </c>
      <c r="I709">
        <v>145178</v>
      </c>
      <c r="J709">
        <v>153356</v>
      </c>
      <c r="K709">
        <v>59778</v>
      </c>
      <c r="L709">
        <v>218011</v>
      </c>
      <c r="M709">
        <v>60689</v>
      </c>
    </row>
    <row r="710" spans="1:13">
      <c r="A710" s="121">
        <v>42767</v>
      </c>
      <c r="B710">
        <v>18209</v>
      </c>
      <c r="C710">
        <v>27454</v>
      </c>
      <c r="D710">
        <v>29511</v>
      </c>
      <c r="E710">
        <v>21660</v>
      </c>
      <c r="F710">
        <v>10550</v>
      </c>
      <c r="G710">
        <v>76601</v>
      </c>
      <c r="H710">
        <v>210003</v>
      </c>
      <c r="I710">
        <v>145214</v>
      </c>
      <c r="J710">
        <v>157903</v>
      </c>
      <c r="K710">
        <v>59987</v>
      </c>
      <c r="L710">
        <v>221815</v>
      </c>
      <c r="M710">
        <v>60752</v>
      </c>
    </row>
    <row r="711" spans="1:13">
      <c r="A711" s="121">
        <v>42795</v>
      </c>
      <c r="B711">
        <v>18314</v>
      </c>
      <c r="C711">
        <v>29044</v>
      </c>
      <c r="D711">
        <v>30307</v>
      </c>
      <c r="E711">
        <v>21015</v>
      </c>
      <c r="F711">
        <v>10590</v>
      </c>
      <c r="G711">
        <v>75141</v>
      </c>
      <c r="H711">
        <v>210478</v>
      </c>
      <c r="I711">
        <v>146824</v>
      </c>
      <c r="J711">
        <v>158150</v>
      </c>
      <c r="K711">
        <v>60681</v>
      </c>
      <c r="L711">
        <v>221965</v>
      </c>
      <c r="M711">
        <v>61176</v>
      </c>
    </row>
    <row r="712" spans="1:13">
      <c r="A712" s="121">
        <v>42826</v>
      </c>
      <c r="B712">
        <v>18370</v>
      </c>
      <c r="C712">
        <v>28180</v>
      </c>
      <c r="D712">
        <v>30463</v>
      </c>
      <c r="E712">
        <v>21311</v>
      </c>
      <c r="F712">
        <v>10322</v>
      </c>
      <c r="G712">
        <v>75845</v>
      </c>
      <c r="H712">
        <v>211179</v>
      </c>
      <c r="I712">
        <v>146180</v>
      </c>
      <c r="J712">
        <v>159159</v>
      </c>
      <c r="K712">
        <v>60445</v>
      </c>
      <c r="L712">
        <v>222025</v>
      </c>
      <c r="M712">
        <v>61339</v>
      </c>
    </row>
    <row r="713" spans="1:13">
      <c r="A713" s="121">
        <v>42856</v>
      </c>
      <c r="B713">
        <v>18455</v>
      </c>
      <c r="C713">
        <v>28710</v>
      </c>
      <c r="D713">
        <v>30809</v>
      </c>
      <c r="E713">
        <v>21260</v>
      </c>
      <c r="F713">
        <v>10524</v>
      </c>
      <c r="G713">
        <v>75022</v>
      </c>
      <c r="H713">
        <v>209836</v>
      </c>
      <c r="I713">
        <v>147376</v>
      </c>
      <c r="J713">
        <v>157793</v>
      </c>
      <c r="K713">
        <v>61109</v>
      </c>
      <c r="L713">
        <v>222398</v>
      </c>
      <c r="M713">
        <v>61398</v>
      </c>
    </row>
    <row r="714" spans="1:13">
      <c r="A714" s="121">
        <v>42887</v>
      </c>
      <c r="B714">
        <v>18416</v>
      </c>
      <c r="C714">
        <v>28506</v>
      </c>
      <c r="D714">
        <v>30402</v>
      </c>
      <c r="E714">
        <v>20951</v>
      </c>
      <c r="F714">
        <v>10039</v>
      </c>
      <c r="G714">
        <v>92514</v>
      </c>
      <c r="H714">
        <v>226112</v>
      </c>
      <c r="I714">
        <v>145833</v>
      </c>
      <c r="J714">
        <v>174423</v>
      </c>
      <c r="K714">
        <v>60720</v>
      </c>
      <c r="L714">
        <v>238347</v>
      </c>
      <c r="M714">
        <v>60227</v>
      </c>
    </row>
    <row r="715" spans="1:13">
      <c r="A715" s="121">
        <v>42917</v>
      </c>
      <c r="B715">
        <v>18833</v>
      </c>
      <c r="C715">
        <v>28800</v>
      </c>
      <c r="D715">
        <v>30500</v>
      </c>
      <c r="E715">
        <v>21871</v>
      </c>
      <c r="F715">
        <v>10014</v>
      </c>
      <c r="G715">
        <v>71135</v>
      </c>
      <c r="H715">
        <v>208934</v>
      </c>
      <c r="I715">
        <v>147843</v>
      </c>
      <c r="J715">
        <v>156286</v>
      </c>
      <c r="K715">
        <v>60854</v>
      </c>
      <c r="L715">
        <v>218978</v>
      </c>
      <c r="M715">
        <v>61403</v>
      </c>
    </row>
    <row r="716" spans="1:13">
      <c r="A716" s="121">
        <v>42948</v>
      </c>
      <c r="B716">
        <v>19416</v>
      </c>
      <c r="C716">
        <v>29060</v>
      </c>
      <c r="D716">
        <v>30449</v>
      </c>
      <c r="E716">
        <v>21755</v>
      </c>
      <c r="F716">
        <v>10290</v>
      </c>
      <c r="G716">
        <v>74748</v>
      </c>
      <c r="H716">
        <v>211561</v>
      </c>
      <c r="I716">
        <v>148854</v>
      </c>
      <c r="J716">
        <v>159269</v>
      </c>
      <c r="K716">
        <v>61707</v>
      </c>
      <c r="L716">
        <v>223602</v>
      </c>
      <c r="M716">
        <v>61643</v>
      </c>
    </row>
    <row r="717" spans="1:13">
      <c r="A717" s="121">
        <v>42979</v>
      </c>
      <c r="B717">
        <v>18611</v>
      </c>
      <c r="C717">
        <v>29718</v>
      </c>
      <c r="D717">
        <v>30739</v>
      </c>
      <c r="E717">
        <v>22538</v>
      </c>
      <c r="F717">
        <v>10615</v>
      </c>
      <c r="G717">
        <v>77827</v>
      </c>
      <c r="H717">
        <v>214530</v>
      </c>
      <c r="I717">
        <v>150371</v>
      </c>
      <c r="J717">
        <v>164280</v>
      </c>
      <c r="K717">
        <v>62405</v>
      </c>
      <c r="L717">
        <v>228198</v>
      </c>
      <c r="M717">
        <v>63497</v>
      </c>
    </row>
    <row r="718" spans="1:13">
      <c r="A718" s="121">
        <v>43009</v>
      </c>
      <c r="B718">
        <v>19797</v>
      </c>
      <c r="C718">
        <v>29627</v>
      </c>
      <c r="D718">
        <v>32125</v>
      </c>
      <c r="E718">
        <v>22284</v>
      </c>
      <c r="F718">
        <v>10630</v>
      </c>
      <c r="G718">
        <v>76611</v>
      </c>
      <c r="H718">
        <v>218187</v>
      </c>
      <c r="I718">
        <v>153146</v>
      </c>
      <c r="J718">
        <v>164181</v>
      </c>
      <c r="K718">
        <v>62741</v>
      </c>
      <c r="L718">
        <v>229757</v>
      </c>
      <c r="M718">
        <v>63980</v>
      </c>
    </row>
    <row r="719" spans="1:13">
      <c r="A719" s="121">
        <v>43040</v>
      </c>
      <c r="B719">
        <v>19666</v>
      </c>
      <c r="C719">
        <v>30050</v>
      </c>
      <c r="D719">
        <v>30879</v>
      </c>
      <c r="E719">
        <v>22679</v>
      </c>
      <c r="F719">
        <v>10708</v>
      </c>
      <c r="G719">
        <v>76348</v>
      </c>
      <c r="H719">
        <v>223365</v>
      </c>
      <c r="I719">
        <v>153298</v>
      </c>
      <c r="J719">
        <v>163221</v>
      </c>
      <c r="K719">
        <v>63498</v>
      </c>
      <c r="L719">
        <v>229646</v>
      </c>
      <c r="M719">
        <v>63558</v>
      </c>
    </row>
    <row r="720" spans="1:13">
      <c r="A720" s="121">
        <v>43070</v>
      </c>
      <c r="B720">
        <v>19760</v>
      </c>
      <c r="C720">
        <v>30336</v>
      </c>
      <c r="D720">
        <v>31951</v>
      </c>
      <c r="E720">
        <v>21932</v>
      </c>
      <c r="F720">
        <v>10759</v>
      </c>
      <c r="G720">
        <v>85563</v>
      </c>
      <c r="H720">
        <v>226348</v>
      </c>
      <c r="I720">
        <v>154340</v>
      </c>
      <c r="J720">
        <v>174213</v>
      </c>
      <c r="K720">
        <v>63977</v>
      </c>
      <c r="L720">
        <v>239903</v>
      </c>
      <c r="M720">
        <v>63745</v>
      </c>
    </row>
    <row r="721" spans="1:13">
      <c r="A721" s="121">
        <v>43101</v>
      </c>
      <c r="B721">
        <v>19773</v>
      </c>
      <c r="C721">
        <v>31125</v>
      </c>
      <c r="D721">
        <v>32097</v>
      </c>
      <c r="E721">
        <v>21754</v>
      </c>
      <c r="F721">
        <v>10527</v>
      </c>
      <c r="G721">
        <v>71371</v>
      </c>
      <c r="H721">
        <v>215201</v>
      </c>
      <c r="I721">
        <v>154535</v>
      </c>
      <c r="J721">
        <v>159357</v>
      </c>
      <c r="K721">
        <v>63556</v>
      </c>
      <c r="L721">
        <v>225906</v>
      </c>
      <c r="M721">
        <v>63816</v>
      </c>
    </row>
    <row r="722" spans="1:13">
      <c r="A722" s="121">
        <v>43132</v>
      </c>
      <c r="B722">
        <v>20456</v>
      </c>
      <c r="C722">
        <v>31427</v>
      </c>
      <c r="D722">
        <v>32983</v>
      </c>
      <c r="E722">
        <v>21881</v>
      </c>
      <c r="F722">
        <v>10779</v>
      </c>
      <c r="G722">
        <v>77056</v>
      </c>
      <c r="H722">
        <v>216508</v>
      </c>
      <c r="I722">
        <v>157084</v>
      </c>
      <c r="J722">
        <v>166790</v>
      </c>
      <c r="K722">
        <v>64012</v>
      </c>
      <c r="L722">
        <v>234140</v>
      </c>
      <c r="M722">
        <v>65257</v>
      </c>
    </row>
    <row r="723" spans="1:13">
      <c r="A723" s="121">
        <v>43160</v>
      </c>
      <c r="B723">
        <v>20883</v>
      </c>
      <c r="C723">
        <v>32302</v>
      </c>
      <c r="D723">
        <v>32138</v>
      </c>
      <c r="E723">
        <v>21657</v>
      </c>
      <c r="F723">
        <v>10820</v>
      </c>
      <c r="G723">
        <v>85175</v>
      </c>
      <c r="H723">
        <v>228341</v>
      </c>
      <c r="I723">
        <v>157483</v>
      </c>
      <c r="J723">
        <v>175504</v>
      </c>
      <c r="K723">
        <v>63867</v>
      </c>
      <c r="L723">
        <v>242658</v>
      </c>
      <c r="M723">
        <v>64073</v>
      </c>
    </row>
    <row r="724" spans="1:13">
      <c r="A724" s="121">
        <v>43191</v>
      </c>
      <c r="B724">
        <v>21693</v>
      </c>
      <c r="C724">
        <v>32525</v>
      </c>
      <c r="D724">
        <v>32717</v>
      </c>
      <c r="E724">
        <v>22149</v>
      </c>
      <c r="F724">
        <v>10909</v>
      </c>
      <c r="G724">
        <v>79501</v>
      </c>
      <c r="H724">
        <v>228749</v>
      </c>
      <c r="I724">
        <v>159991</v>
      </c>
      <c r="J724">
        <v>170410</v>
      </c>
      <c r="K724">
        <v>65011</v>
      </c>
      <c r="L724">
        <v>239492</v>
      </c>
      <c r="M724">
        <v>65444</v>
      </c>
    </row>
    <row r="725" spans="1:13">
      <c r="A725" s="121">
        <v>43221</v>
      </c>
      <c r="B725">
        <v>21731</v>
      </c>
      <c r="C725">
        <v>32636</v>
      </c>
      <c r="D725">
        <v>33745</v>
      </c>
      <c r="E725">
        <v>22405</v>
      </c>
      <c r="F725">
        <v>10979</v>
      </c>
      <c r="G725">
        <v>79001</v>
      </c>
      <c r="H725">
        <v>226554</v>
      </c>
      <c r="I725">
        <v>161607</v>
      </c>
      <c r="J725">
        <v>174641</v>
      </c>
      <c r="K725">
        <v>65092</v>
      </c>
      <c r="L725">
        <v>240608</v>
      </c>
      <c r="M725">
        <v>66748</v>
      </c>
    </row>
    <row r="726" spans="1:13">
      <c r="A726" s="121">
        <v>43252</v>
      </c>
      <c r="B726">
        <v>21585</v>
      </c>
      <c r="C726">
        <v>32698</v>
      </c>
      <c r="D726">
        <v>34015</v>
      </c>
      <c r="E726">
        <v>22443</v>
      </c>
      <c r="F726">
        <v>11076</v>
      </c>
      <c r="G726">
        <v>81343</v>
      </c>
      <c r="H726">
        <v>226427</v>
      </c>
      <c r="I726">
        <v>161931</v>
      </c>
      <c r="J726">
        <v>175588</v>
      </c>
      <c r="K726">
        <v>65980</v>
      </c>
      <c r="L726">
        <v>243274</v>
      </c>
      <c r="M726">
        <v>67678</v>
      </c>
    </row>
    <row r="727" spans="1:13">
      <c r="A727" s="121">
        <v>43282</v>
      </c>
      <c r="B727">
        <v>21843</v>
      </c>
      <c r="C727">
        <v>32643</v>
      </c>
      <c r="D727">
        <v>34593</v>
      </c>
      <c r="E727">
        <v>22670</v>
      </c>
      <c r="F727">
        <v>11078</v>
      </c>
      <c r="G727">
        <v>71692</v>
      </c>
      <c r="H727">
        <v>222741</v>
      </c>
      <c r="I727">
        <v>162893</v>
      </c>
      <c r="J727">
        <v>165654</v>
      </c>
      <c r="K727">
        <v>66517</v>
      </c>
      <c r="L727">
        <v>234585</v>
      </c>
      <c r="M727">
        <v>68406</v>
      </c>
    </row>
    <row r="728" spans="1:13">
      <c r="A728" s="121">
        <v>43313</v>
      </c>
      <c r="B728">
        <v>21486</v>
      </c>
      <c r="C728">
        <v>32294</v>
      </c>
      <c r="D728">
        <v>33695</v>
      </c>
      <c r="E728">
        <v>22403</v>
      </c>
      <c r="F728">
        <v>11178</v>
      </c>
      <c r="G728">
        <v>83286</v>
      </c>
      <c r="H728">
        <v>230514</v>
      </c>
      <c r="I728">
        <v>160822</v>
      </c>
      <c r="J728">
        <v>175671</v>
      </c>
      <c r="K728">
        <v>66126</v>
      </c>
      <c r="L728">
        <v>244108</v>
      </c>
      <c r="M728">
        <v>67270</v>
      </c>
    </row>
    <row r="729" spans="1:13">
      <c r="A729" s="121">
        <v>43344</v>
      </c>
      <c r="B729">
        <v>21522</v>
      </c>
      <c r="C729">
        <v>31651</v>
      </c>
      <c r="D729">
        <v>34056</v>
      </c>
      <c r="E729">
        <v>22058</v>
      </c>
      <c r="F729">
        <v>10971</v>
      </c>
      <c r="G729">
        <v>84714</v>
      </c>
      <c r="H729">
        <v>225632</v>
      </c>
      <c r="I729">
        <v>160120</v>
      </c>
      <c r="J729">
        <v>176060</v>
      </c>
      <c r="K729">
        <v>65978</v>
      </c>
      <c r="L729">
        <v>244834</v>
      </c>
      <c r="M729">
        <v>67127</v>
      </c>
    </row>
    <row r="730" spans="1:13">
      <c r="A730" s="121">
        <v>43374</v>
      </c>
      <c r="B730">
        <v>21524</v>
      </c>
      <c r="C730">
        <v>32024</v>
      </c>
      <c r="D730">
        <v>34780</v>
      </c>
      <c r="E730">
        <v>22841</v>
      </c>
      <c r="F730">
        <v>11184</v>
      </c>
      <c r="G730">
        <v>77729</v>
      </c>
      <c r="H730">
        <v>224668</v>
      </c>
      <c r="I730">
        <v>161994</v>
      </c>
      <c r="J730">
        <v>170432</v>
      </c>
      <c r="K730">
        <v>66450</v>
      </c>
      <c r="L730">
        <v>239723</v>
      </c>
      <c r="M730">
        <v>67931</v>
      </c>
    </row>
    <row r="731" spans="1:13">
      <c r="A731" s="121">
        <v>43405</v>
      </c>
      <c r="B731">
        <v>21029</v>
      </c>
      <c r="C731">
        <v>32563</v>
      </c>
      <c r="D731">
        <v>31989</v>
      </c>
      <c r="E731">
        <v>22799</v>
      </c>
      <c r="F731">
        <v>10882</v>
      </c>
      <c r="G731">
        <v>73276</v>
      </c>
      <c r="H731">
        <v>214673</v>
      </c>
      <c r="I731">
        <v>158377</v>
      </c>
      <c r="J731">
        <v>163293</v>
      </c>
      <c r="K731">
        <v>65739</v>
      </c>
      <c r="L731">
        <v>231653</v>
      </c>
      <c r="M731">
        <v>65255</v>
      </c>
    </row>
    <row r="732" spans="1:13">
      <c r="A732" s="121">
        <v>43435</v>
      </c>
      <c r="B732">
        <v>21491</v>
      </c>
      <c r="C732">
        <v>32491</v>
      </c>
      <c r="D732">
        <v>32879</v>
      </c>
      <c r="E732">
        <v>22696</v>
      </c>
      <c r="F732">
        <v>10761</v>
      </c>
      <c r="G732">
        <v>78859</v>
      </c>
      <c r="H732">
        <v>230978</v>
      </c>
      <c r="I732">
        <v>159589</v>
      </c>
      <c r="J732">
        <v>169731</v>
      </c>
      <c r="K732">
        <v>66066</v>
      </c>
      <c r="L732">
        <v>238448</v>
      </c>
      <c r="M732">
        <v>65773</v>
      </c>
    </row>
    <row r="733" spans="1:13">
      <c r="A733" s="121">
        <v>43466</v>
      </c>
      <c r="B733">
        <v>19959</v>
      </c>
      <c r="C733">
        <v>32335</v>
      </c>
      <c r="D733">
        <v>34032</v>
      </c>
      <c r="E733">
        <v>22888</v>
      </c>
      <c r="F733">
        <v>11039</v>
      </c>
      <c r="G733">
        <v>69650</v>
      </c>
      <c r="H733">
        <v>239654</v>
      </c>
      <c r="I733">
        <v>159378</v>
      </c>
      <c r="J733">
        <v>160516</v>
      </c>
      <c r="K733">
        <v>65825</v>
      </c>
      <c r="L733">
        <v>229028</v>
      </c>
      <c r="M733">
        <v>67110</v>
      </c>
    </row>
    <row r="734" spans="1:13">
      <c r="A734" s="121">
        <v>43497</v>
      </c>
      <c r="B734">
        <v>20725</v>
      </c>
      <c r="C734">
        <v>32420</v>
      </c>
      <c r="D734">
        <v>33242</v>
      </c>
      <c r="E734">
        <v>22732</v>
      </c>
      <c r="F734">
        <v>11011</v>
      </c>
      <c r="G734">
        <v>64136</v>
      </c>
      <c r="H734">
        <v>230943</v>
      </c>
      <c r="I734">
        <v>159319</v>
      </c>
      <c r="J734">
        <v>154698</v>
      </c>
      <c r="K734">
        <v>65952</v>
      </c>
      <c r="L734">
        <v>223455</v>
      </c>
      <c r="M734">
        <v>66772</v>
      </c>
    </row>
    <row r="735" spans="1:13">
      <c r="A735" s="121">
        <v>43525</v>
      </c>
      <c r="B735">
        <v>20269</v>
      </c>
      <c r="C735">
        <v>31790</v>
      </c>
      <c r="D735">
        <v>33165</v>
      </c>
      <c r="E735">
        <v>23076</v>
      </c>
      <c r="F735">
        <v>11244</v>
      </c>
      <c r="G735">
        <v>74257</v>
      </c>
      <c r="H735">
        <v>239381</v>
      </c>
      <c r="I735">
        <v>158787</v>
      </c>
      <c r="J735">
        <v>164517</v>
      </c>
      <c r="K735">
        <v>65892</v>
      </c>
      <c r="L735">
        <v>233044</v>
      </c>
      <c r="M735">
        <v>67615</v>
      </c>
    </row>
    <row r="736" spans="1:13">
      <c r="A736" s="121">
        <v>43556</v>
      </c>
      <c r="B736">
        <v>20308</v>
      </c>
      <c r="C736">
        <v>32339</v>
      </c>
      <c r="D736">
        <v>33273</v>
      </c>
      <c r="E736">
        <v>23425</v>
      </c>
      <c r="F736">
        <v>11249</v>
      </c>
      <c r="G736">
        <v>64243</v>
      </c>
      <c r="H736">
        <v>237159</v>
      </c>
      <c r="I736">
        <v>159686</v>
      </c>
      <c r="J736">
        <v>157216</v>
      </c>
      <c r="K736">
        <v>66315</v>
      </c>
      <c r="L736">
        <v>223929</v>
      </c>
      <c r="M736">
        <v>67038</v>
      </c>
    </row>
    <row r="737" spans="1:13">
      <c r="A737" s="121">
        <v>43586</v>
      </c>
      <c r="B737">
        <v>19556</v>
      </c>
      <c r="C737">
        <v>32218</v>
      </c>
      <c r="D737">
        <v>33097</v>
      </c>
      <c r="E737">
        <v>23172</v>
      </c>
      <c r="F737">
        <v>11327</v>
      </c>
      <c r="G737">
        <v>58733</v>
      </c>
      <c r="H737">
        <v>225087</v>
      </c>
      <c r="I737">
        <v>158746</v>
      </c>
      <c r="J737">
        <v>149783</v>
      </c>
      <c r="K737">
        <v>66597</v>
      </c>
      <c r="L737">
        <v>217479</v>
      </c>
      <c r="M737">
        <v>66680</v>
      </c>
    </row>
    <row r="738" spans="1:13">
      <c r="A738" s="121">
        <v>43617</v>
      </c>
      <c r="B738">
        <v>20157</v>
      </c>
      <c r="C738">
        <v>32670</v>
      </c>
      <c r="D738">
        <v>33181</v>
      </c>
      <c r="E738">
        <v>22952</v>
      </c>
      <c r="F738">
        <v>11444</v>
      </c>
      <c r="G738">
        <v>59741</v>
      </c>
      <c r="H738">
        <v>236096</v>
      </c>
      <c r="I738">
        <v>159812</v>
      </c>
      <c r="J738">
        <v>150374</v>
      </c>
      <c r="K738">
        <v>66297</v>
      </c>
      <c r="L738">
        <v>219553</v>
      </c>
      <c r="M738">
        <v>66243</v>
      </c>
    </row>
    <row r="739" spans="1:13">
      <c r="A739" s="121">
        <v>43647</v>
      </c>
      <c r="B739">
        <v>19434</v>
      </c>
      <c r="C739">
        <v>32458</v>
      </c>
      <c r="D739">
        <v>32324</v>
      </c>
      <c r="E739">
        <v>22899</v>
      </c>
      <c r="F739">
        <v>11583</v>
      </c>
      <c r="G739">
        <v>67410</v>
      </c>
      <c r="H739">
        <v>236007</v>
      </c>
      <c r="I739">
        <v>157829</v>
      </c>
      <c r="J739">
        <v>157455</v>
      </c>
      <c r="K739">
        <v>65881</v>
      </c>
      <c r="L739">
        <v>225239</v>
      </c>
      <c r="M739">
        <v>65872</v>
      </c>
    </row>
    <row r="740" spans="1:13">
      <c r="A740" s="121">
        <v>43678</v>
      </c>
      <c r="B740">
        <v>19402</v>
      </c>
      <c r="C740">
        <v>32597</v>
      </c>
      <c r="D740">
        <v>32661</v>
      </c>
      <c r="E740">
        <v>22607</v>
      </c>
      <c r="F740">
        <v>11297</v>
      </c>
      <c r="G740">
        <v>66936</v>
      </c>
      <c r="H740">
        <v>230663</v>
      </c>
      <c r="I740">
        <v>157610</v>
      </c>
      <c r="J740">
        <v>156670</v>
      </c>
      <c r="K740">
        <v>65847</v>
      </c>
      <c r="L740">
        <v>224546</v>
      </c>
      <c r="M740">
        <v>65829</v>
      </c>
    </row>
    <row r="741" spans="1:13">
      <c r="A741" s="121">
        <v>43709</v>
      </c>
      <c r="B741">
        <v>19000</v>
      </c>
      <c r="C741">
        <v>31528</v>
      </c>
      <c r="D741">
        <v>32881</v>
      </c>
      <c r="E741">
        <v>22561</v>
      </c>
      <c r="F741">
        <v>11306</v>
      </c>
      <c r="G741">
        <v>65765</v>
      </c>
      <c r="H741">
        <v>228583</v>
      </c>
      <c r="I741">
        <v>156184</v>
      </c>
      <c r="J741">
        <v>154428</v>
      </c>
      <c r="K741">
        <v>65250</v>
      </c>
      <c r="L741">
        <v>221949</v>
      </c>
      <c r="M741">
        <v>65203</v>
      </c>
    </row>
    <row r="742" spans="1:13">
      <c r="A742" s="121">
        <v>43739</v>
      </c>
      <c r="B742">
        <v>18609</v>
      </c>
      <c r="C742">
        <v>31956</v>
      </c>
      <c r="D742">
        <v>33049</v>
      </c>
      <c r="E742">
        <v>22249</v>
      </c>
      <c r="F742">
        <v>11091</v>
      </c>
      <c r="G742">
        <v>67217</v>
      </c>
      <c r="H742">
        <v>231646</v>
      </c>
      <c r="I742">
        <v>155758</v>
      </c>
      <c r="J742">
        <v>156626</v>
      </c>
      <c r="K742">
        <v>65403</v>
      </c>
      <c r="L742">
        <v>222975</v>
      </c>
      <c r="M742">
        <v>65207</v>
      </c>
    </row>
    <row r="743" spans="1:13">
      <c r="A743" s="121">
        <v>43770</v>
      </c>
      <c r="B743">
        <v>18878</v>
      </c>
      <c r="C743">
        <v>32043</v>
      </c>
      <c r="D743">
        <v>32028</v>
      </c>
      <c r="E743">
        <v>21985</v>
      </c>
      <c r="F743">
        <v>11350</v>
      </c>
      <c r="G743">
        <v>58027</v>
      </c>
      <c r="H743">
        <v>223422</v>
      </c>
      <c r="I743">
        <v>154752</v>
      </c>
      <c r="J743">
        <v>147226</v>
      </c>
      <c r="K743">
        <v>65034</v>
      </c>
      <c r="L743">
        <v>212779</v>
      </c>
      <c r="M743">
        <v>63805</v>
      </c>
    </row>
    <row r="744" spans="1:13">
      <c r="A744" s="121">
        <v>43800</v>
      </c>
      <c r="B744">
        <v>18382</v>
      </c>
      <c r="C744">
        <v>31281</v>
      </c>
      <c r="D744">
        <v>31161</v>
      </c>
      <c r="E744">
        <v>22114</v>
      </c>
      <c r="F744">
        <v>11331</v>
      </c>
      <c r="G744">
        <v>62816</v>
      </c>
      <c r="H744">
        <v>220138</v>
      </c>
      <c r="I744">
        <v>152508</v>
      </c>
      <c r="J744">
        <v>150665</v>
      </c>
      <c r="K744">
        <v>65223</v>
      </c>
      <c r="L744">
        <v>215324</v>
      </c>
      <c r="M744">
        <v>62950</v>
      </c>
    </row>
    <row r="745" spans="1:13">
      <c r="A745" s="121">
        <v>43831</v>
      </c>
      <c r="B745">
        <v>17802</v>
      </c>
      <c r="C745">
        <v>30656</v>
      </c>
      <c r="D745">
        <v>31324</v>
      </c>
      <c r="E745">
        <v>21947</v>
      </c>
      <c r="F745">
        <v>11151</v>
      </c>
      <c r="G745">
        <v>74563</v>
      </c>
      <c r="H745">
        <v>216266</v>
      </c>
      <c r="I745">
        <v>150988</v>
      </c>
      <c r="J745">
        <v>161215</v>
      </c>
      <c r="K745">
        <v>65297</v>
      </c>
      <c r="L745">
        <v>225551</v>
      </c>
      <c r="M745">
        <v>62298</v>
      </c>
    </row>
    <row r="746" spans="1:13">
      <c r="A746" s="121">
        <v>43862</v>
      </c>
      <c r="B746">
        <v>18239</v>
      </c>
      <c r="C746">
        <v>30209</v>
      </c>
      <c r="D746">
        <v>30624</v>
      </c>
      <c r="E746">
        <v>21817</v>
      </c>
      <c r="F746">
        <v>11238</v>
      </c>
      <c r="G746">
        <v>81387</v>
      </c>
      <c r="H746">
        <v>214429</v>
      </c>
      <c r="I746">
        <v>150101</v>
      </c>
      <c r="J746">
        <v>165264</v>
      </c>
      <c r="K746">
        <v>64967</v>
      </c>
      <c r="L746">
        <v>231488</v>
      </c>
      <c r="M746">
        <v>61245</v>
      </c>
    </row>
    <row r="747" spans="1:13">
      <c r="A747" s="121">
        <v>43891</v>
      </c>
      <c r="B747">
        <v>16278</v>
      </c>
      <c r="C747">
        <v>28432</v>
      </c>
      <c r="D747">
        <v>30522</v>
      </c>
      <c r="E747">
        <v>21641</v>
      </c>
      <c r="F747">
        <v>11463</v>
      </c>
      <c r="G747">
        <v>54120</v>
      </c>
      <c r="H747">
        <v>166862</v>
      </c>
      <c r="I747">
        <v>145999</v>
      </c>
      <c r="J747">
        <v>143089</v>
      </c>
      <c r="K747">
        <v>64064</v>
      </c>
      <c r="L747">
        <v>200119</v>
      </c>
      <c r="M747">
        <v>60715</v>
      </c>
    </row>
    <row r="748" spans="1:13">
      <c r="A748" s="121">
        <v>43922</v>
      </c>
      <c r="B748">
        <v>13624</v>
      </c>
      <c r="C748">
        <v>24370</v>
      </c>
      <c r="D748">
        <v>27186</v>
      </c>
      <c r="E748">
        <v>21522</v>
      </c>
      <c r="F748">
        <v>10051</v>
      </c>
      <c r="G748">
        <v>27326</v>
      </c>
      <c r="H748">
        <v>149372</v>
      </c>
      <c r="I748">
        <v>131804</v>
      </c>
      <c r="J748">
        <v>120811</v>
      </c>
      <c r="K748">
        <v>59402</v>
      </c>
      <c r="L748">
        <v>159130</v>
      </c>
      <c r="M748">
        <v>55545</v>
      </c>
    </row>
    <row r="749" spans="1:13">
      <c r="A749" s="121">
        <v>43952</v>
      </c>
      <c r="B749">
        <v>14523</v>
      </c>
      <c r="C749">
        <v>25987</v>
      </c>
      <c r="D749">
        <v>28015</v>
      </c>
      <c r="E749">
        <v>21374</v>
      </c>
      <c r="F749">
        <v>10303</v>
      </c>
      <c r="G749">
        <v>42928</v>
      </c>
      <c r="H749">
        <v>166186</v>
      </c>
      <c r="I749">
        <v>136456</v>
      </c>
      <c r="J749">
        <v>136257</v>
      </c>
      <c r="K749">
        <v>60874</v>
      </c>
      <c r="L749">
        <v>179384</v>
      </c>
      <c r="M749">
        <v>56463</v>
      </c>
    </row>
    <row r="750" spans="1:13">
      <c r="A750" s="121">
        <v>43983</v>
      </c>
      <c r="B750">
        <v>15668</v>
      </c>
      <c r="C750">
        <v>28472</v>
      </c>
      <c r="D750">
        <v>29131</v>
      </c>
      <c r="E750">
        <v>21599</v>
      </c>
      <c r="F750">
        <v>10430</v>
      </c>
      <c r="G750">
        <v>55267</v>
      </c>
      <c r="H750">
        <v>187472</v>
      </c>
      <c r="I750">
        <v>143507</v>
      </c>
      <c r="J750">
        <v>135460</v>
      </c>
      <c r="K750">
        <v>63672</v>
      </c>
      <c r="L750">
        <v>198774</v>
      </c>
      <c r="M750">
        <v>58548</v>
      </c>
    </row>
    <row r="751" spans="1:13">
      <c r="A751" s="121">
        <v>44013</v>
      </c>
      <c r="B751">
        <v>15569</v>
      </c>
      <c r="C751">
        <v>29659</v>
      </c>
      <c r="D751">
        <v>29808</v>
      </c>
      <c r="E751">
        <v>21918</v>
      </c>
      <c r="F751">
        <v>11210</v>
      </c>
      <c r="G751">
        <v>70460</v>
      </c>
      <c r="H751">
        <v>205339</v>
      </c>
      <c r="I751">
        <v>147581</v>
      </c>
      <c r="J751">
        <v>145739</v>
      </c>
      <c r="K751">
        <v>65681</v>
      </c>
      <c r="L751">
        <v>218041</v>
      </c>
      <c r="M751">
        <v>60095</v>
      </c>
    </row>
    <row r="752" spans="1:13">
      <c r="A752" s="121">
        <v>44044</v>
      </c>
      <c r="B752">
        <v>16712</v>
      </c>
      <c r="C752">
        <v>29300</v>
      </c>
      <c r="D752">
        <v>30191</v>
      </c>
      <c r="E752">
        <v>22021</v>
      </c>
      <c r="F752">
        <v>11046</v>
      </c>
      <c r="G752">
        <v>71916</v>
      </c>
      <c r="H752">
        <v>210181</v>
      </c>
      <c r="I752">
        <v>149170</v>
      </c>
      <c r="J752">
        <v>149382</v>
      </c>
      <c r="K752">
        <v>67055</v>
      </c>
      <c r="L752">
        <v>221086</v>
      </c>
      <c r="M752">
        <v>60687</v>
      </c>
    </row>
    <row r="753" spans="1:13">
      <c r="A753" s="121">
        <v>44075</v>
      </c>
      <c r="B753">
        <v>17164</v>
      </c>
      <c r="C753">
        <v>31043</v>
      </c>
      <c r="D753">
        <v>30863</v>
      </c>
      <c r="E753">
        <v>22111</v>
      </c>
      <c r="F753">
        <v>11284</v>
      </c>
      <c r="G753">
        <v>72869</v>
      </c>
      <c r="H753">
        <v>215572</v>
      </c>
      <c r="I753">
        <v>152724</v>
      </c>
      <c r="J753">
        <v>152915</v>
      </c>
      <c r="K753">
        <v>67319</v>
      </c>
      <c r="L753">
        <v>225593</v>
      </c>
      <c r="M753">
        <v>62159</v>
      </c>
    </row>
    <row r="754" spans="1:13">
      <c r="A754" s="121">
        <v>44105</v>
      </c>
      <c r="B754">
        <v>17354</v>
      </c>
      <c r="C754">
        <v>30927</v>
      </c>
      <c r="D754">
        <v>31082</v>
      </c>
      <c r="E754">
        <v>22950</v>
      </c>
      <c r="F754">
        <v>11227</v>
      </c>
      <c r="G754">
        <v>75535</v>
      </c>
      <c r="H754">
        <v>215790</v>
      </c>
      <c r="I754">
        <v>154200</v>
      </c>
      <c r="J754">
        <v>157980</v>
      </c>
      <c r="K754">
        <v>68790</v>
      </c>
      <c r="L754">
        <v>229735</v>
      </c>
      <c r="M754">
        <v>62801</v>
      </c>
    </row>
    <row r="755" spans="1:13">
      <c r="A755" s="121">
        <v>44136</v>
      </c>
      <c r="B755">
        <v>17897</v>
      </c>
      <c r="C755">
        <v>30962</v>
      </c>
      <c r="D755">
        <v>31006</v>
      </c>
      <c r="E755">
        <v>22765</v>
      </c>
      <c r="F755">
        <v>11507</v>
      </c>
      <c r="G755">
        <v>73303</v>
      </c>
      <c r="H755">
        <v>220355</v>
      </c>
      <c r="I755">
        <v>155167</v>
      </c>
      <c r="J755">
        <v>155771</v>
      </c>
      <c r="K755">
        <v>69601</v>
      </c>
      <c r="L755">
        <v>228470</v>
      </c>
      <c r="M755">
        <v>62967</v>
      </c>
    </row>
    <row r="756" spans="1:13">
      <c r="A756" s="121">
        <v>44166</v>
      </c>
      <c r="B756">
        <v>18544</v>
      </c>
      <c r="C756">
        <v>31867</v>
      </c>
      <c r="D756">
        <v>32511</v>
      </c>
      <c r="E756">
        <v>22660</v>
      </c>
      <c r="F756">
        <v>12026</v>
      </c>
      <c r="G756">
        <v>72368</v>
      </c>
      <c r="H756">
        <v>226260</v>
      </c>
      <c r="I756">
        <v>159092</v>
      </c>
      <c r="J756">
        <v>158387</v>
      </c>
      <c r="K756">
        <v>70042</v>
      </c>
      <c r="L756">
        <v>231460</v>
      </c>
      <c r="M756">
        <v>63944</v>
      </c>
    </row>
    <row r="757" spans="1:13">
      <c r="A757" s="121">
        <v>44197</v>
      </c>
      <c r="B757">
        <v>18908</v>
      </c>
      <c r="C757">
        <v>33041</v>
      </c>
      <c r="D757">
        <v>31999</v>
      </c>
      <c r="E757">
        <v>22652</v>
      </c>
      <c r="F757">
        <v>12121</v>
      </c>
      <c r="G757">
        <v>76361</v>
      </c>
      <c r="H757">
        <v>227501</v>
      </c>
      <c r="I757">
        <v>160923</v>
      </c>
      <c r="J757">
        <v>163476</v>
      </c>
      <c r="K757">
        <v>71414</v>
      </c>
      <c r="L757">
        <v>237284</v>
      </c>
      <c r="M757">
        <v>64750</v>
      </c>
    </row>
    <row r="758" spans="1:13">
      <c r="A758" s="121">
        <v>44228</v>
      </c>
      <c r="B758">
        <v>19094</v>
      </c>
      <c r="C758">
        <v>33479</v>
      </c>
      <c r="D758">
        <v>32339</v>
      </c>
      <c r="E758">
        <v>22483</v>
      </c>
      <c r="F758">
        <v>12367</v>
      </c>
      <c r="G758">
        <v>76440</v>
      </c>
      <c r="H758">
        <v>230452</v>
      </c>
      <c r="I758">
        <v>161039</v>
      </c>
      <c r="J758">
        <v>167920</v>
      </c>
      <c r="K758">
        <v>70785</v>
      </c>
      <c r="L758">
        <v>237479</v>
      </c>
      <c r="M758">
        <v>64562</v>
      </c>
    </row>
    <row r="759" spans="1:13">
      <c r="A759" s="121">
        <v>44256</v>
      </c>
      <c r="B759">
        <v>17215</v>
      </c>
      <c r="C759">
        <v>35343</v>
      </c>
      <c r="D759">
        <v>33661</v>
      </c>
      <c r="E759">
        <v>22558</v>
      </c>
      <c r="F759">
        <v>11992</v>
      </c>
      <c r="G759">
        <v>78011</v>
      </c>
      <c r="H759">
        <v>235711</v>
      </c>
      <c r="I759">
        <v>163381</v>
      </c>
      <c r="J759">
        <v>170436</v>
      </c>
      <c r="K759">
        <v>71883</v>
      </c>
      <c r="L759">
        <v>241392</v>
      </c>
      <c r="M759">
        <v>65886</v>
      </c>
    </row>
    <row r="760" spans="1:13">
      <c r="A760" s="121">
        <v>44287</v>
      </c>
      <c r="B760">
        <v>17812</v>
      </c>
      <c r="C760">
        <v>35926</v>
      </c>
      <c r="D760">
        <v>34346</v>
      </c>
      <c r="E760">
        <v>22775</v>
      </c>
      <c r="F760">
        <v>12153</v>
      </c>
      <c r="G760">
        <v>70523</v>
      </c>
      <c r="H760">
        <v>236886</v>
      </c>
      <c r="I760">
        <v>166043</v>
      </c>
      <c r="J760">
        <v>169097</v>
      </c>
      <c r="K760">
        <v>72559</v>
      </c>
      <c r="L760">
        <v>236566</v>
      </c>
      <c r="M760">
        <v>67955</v>
      </c>
    </row>
    <row r="761" spans="1:13">
      <c r="A761" s="121">
        <v>44317</v>
      </c>
      <c r="B761">
        <v>19048</v>
      </c>
      <c r="C761">
        <v>34072</v>
      </c>
      <c r="D761">
        <v>34548</v>
      </c>
      <c r="E761">
        <v>22546</v>
      </c>
      <c r="F761">
        <v>12532</v>
      </c>
      <c r="G761">
        <v>75335</v>
      </c>
      <c r="H761">
        <v>243568</v>
      </c>
      <c r="I761">
        <v>166210</v>
      </c>
      <c r="J761">
        <v>171996</v>
      </c>
      <c r="K761">
        <v>73260</v>
      </c>
      <c r="L761">
        <v>241545</v>
      </c>
      <c r="M761">
        <v>66882</v>
      </c>
    </row>
    <row r="762" spans="1:13">
      <c r="A762" s="121">
        <v>44348</v>
      </c>
      <c r="B762">
        <v>19083</v>
      </c>
      <c r="C762">
        <v>34768</v>
      </c>
      <c r="D762">
        <v>34954</v>
      </c>
      <c r="E762">
        <v>22791</v>
      </c>
      <c r="F762">
        <v>12751</v>
      </c>
      <c r="G762">
        <v>77990</v>
      </c>
      <c r="H762">
        <v>245971</v>
      </c>
      <c r="I762">
        <v>167836</v>
      </c>
      <c r="J762">
        <v>176392</v>
      </c>
      <c r="K762">
        <v>73732</v>
      </c>
      <c r="L762">
        <v>245826</v>
      </c>
      <c r="M762">
        <v>68158</v>
      </c>
    </row>
    <row r="763" spans="1:13">
      <c r="A763" s="121">
        <v>44378</v>
      </c>
      <c r="B763">
        <v>19778</v>
      </c>
      <c r="C763">
        <v>34185</v>
      </c>
      <c r="D763">
        <v>36029</v>
      </c>
      <c r="E763">
        <v>22720</v>
      </c>
      <c r="F763">
        <v>12493</v>
      </c>
      <c r="G763">
        <v>78213</v>
      </c>
      <c r="H763">
        <v>244787</v>
      </c>
      <c r="I763">
        <v>168528</v>
      </c>
      <c r="J763">
        <v>174579</v>
      </c>
      <c r="K763">
        <v>74393</v>
      </c>
      <c r="L763">
        <v>246741</v>
      </c>
      <c r="M763">
        <v>68660</v>
      </c>
    </row>
    <row r="764" spans="1:13">
      <c r="A764" s="121">
        <v>44409</v>
      </c>
      <c r="B764">
        <v>19502</v>
      </c>
      <c r="C764">
        <v>35620</v>
      </c>
      <c r="D764">
        <v>36105</v>
      </c>
      <c r="E764">
        <v>23271</v>
      </c>
      <c r="F764">
        <v>12732</v>
      </c>
      <c r="G764">
        <v>80220</v>
      </c>
      <c r="H764">
        <v>250697</v>
      </c>
      <c r="I764">
        <v>170357</v>
      </c>
      <c r="J764">
        <v>179913</v>
      </c>
      <c r="K764">
        <v>74956</v>
      </c>
      <c r="L764">
        <v>250577</v>
      </c>
      <c r="M764">
        <v>69530</v>
      </c>
    </row>
    <row r="765" spans="1:13">
      <c r="A765" s="121">
        <v>44440</v>
      </c>
      <c r="B765">
        <v>19441</v>
      </c>
      <c r="C765">
        <v>35821</v>
      </c>
      <c r="D765">
        <v>36108</v>
      </c>
      <c r="E765">
        <v>22970</v>
      </c>
      <c r="F765">
        <v>12871</v>
      </c>
      <c r="G765">
        <v>76223</v>
      </c>
      <c r="H765"/>
      <c r="I765">
        <v>170626</v>
      </c>
      <c r="J765">
        <v>177267</v>
      </c>
      <c r="K765"/>
      <c r="L765">
        <v>246849</v>
      </c>
      <c r="M765">
        <v>69298</v>
      </c>
    </row>
    <row r="766" spans="1:13">
      <c r="A766" s="121">
        <v>44470</v>
      </c>
      <c r="B766">
        <v>19823</v>
      </c>
      <c r="C766">
        <v>35491</v>
      </c>
      <c r="D766">
        <v>36711</v>
      </c>
      <c r="E766">
        <v>22931</v>
      </c>
      <c r="F766">
        <v>12931</v>
      </c>
      <c r="G766">
        <v>79361</v>
      </c>
      <c r="H766"/>
      <c r="I766">
        <v>171142</v>
      </c>
      <c r="J766">
        <v>178531</v>
      </c>
      <c r="K766"/>
      <c r="L766">
        <v>250503</v>
      </c>
      <c r="M766">
        <v>70632</v>
      </c>
    </row>
    <row r="767" spans="1:13">
      <c r="A767" s="121">
        <v>44501</v>
      </c>
      <c r="B767">
        <v>19634</v>
      </c>
      <c r="C767">
        <v>35429</v>
      </c>
      <c r="D767">
        <v>37145</v>
      </c>
      <c r="E767">
        <v>23936</v>
      </c>
      <c r="F767">
        <v>13120</v>
      </c>
      <c r="G767">
        <v>80645</v>
      </c>
      <c r="H767"/>
      <c r="I767">
        <v>173429</v>
      </c>
      <c r="J767">
        <v>180712</v>
      </c>
      <c r="K767"/>
      <c r="L767">
        <v>254074</v>
      </c>
      <c r="M767">
        <v>71135</v>
      </c>
    </row>
    <row r="768" spans="1:13">
      <c r="A768" s="121">
        <v>44531</v>
      </c>
      <c r="B768">
        <v>20083</v>
      </c>
      <c r="C768">
        <v>36782</v>
      </c>
      <c r="D768">
        <v>36707</v>
      </c>
      <c r="E768">
        <v>23611</v>
      </c>
      <c r="F768">
        <v>13251</v>
      </c>
      <c r="G768">
        <v>81378</v>
      </c>
      <c r="H768"/>
      <c r="I768">
        <v>175086</v>
      </c>
      <c r="J768">
        <v>181268</v>
      </c>
      <c r="K768"/>
      <c r="L768">
        <v>256464</v>
      </c>
      <c r="M768">
        <v>71199</v>
      </c>
    </row>
    <row r="769" spans="1:13">
      <c r="A769" s="121">
        <v>44562</v>
      </c>
      <c r="B769">
        <v>20519</v>
      </c>
      <c r="C769">
        <v>36442</v>
      </c>
      <c r="D769">
        <v>37908</v>
      </c>
      <c r="E769">
        <v>23746</v>
      </c>
      <c r="F769">
        <v>12855</v>
      </c>
      <c r="G769">
        <v>87764</v>
      </c>
      <c r="H769"/>
      <c r="I769">
        <v>176592</v>
      </c>
      <c r="J769">
        <v>189468</v>
      </c>
      <c r="K769"/>
      <c r="L769">
        <v>264356</v>
      </c>
      <c r="M769">
        <v>72217</v>
      </c>
    </row>
    <row r="770" spans="1:13">
      <c r="A770" s="121">
        <v>44593</v>
      </c>
      <c r="B770">
        <v>20120</v>
      </c>
      <c r="C770">
        <v>36534</v>
      </c>
      <c r="D770">
        <v>37155</v>
      </c>
      <c r="E770">
        <v>23325</v>
      </c>
      <c r="F770">
        <v>13250</v>
      </c>
      <c r="G770">
        <v>86479</v>
      </c>
      <c r="H770"/>
      <c r="I770">
        <v>176015</v>
      </c>
      <c r="J770">
        <v>187611</v>
      </c>
      <c r="K770"/>
      <c r="L770">
        <v>262494</v>
      </c>
      <c r="M770">
        <v>72038</v>
      </c>
    </row>
    <row r="771" spans="1:13">
      <c r="A771" s="121">
        <v>44621</v>
      </c>
      <c r="B771">
        <v>20783</v>
      </c>
      <c r="C771">
        <v>36986</v>
      </c>
      <c r="D771">
        <v>37379</v>
      </c>
      <c r="E771">
        <v>23742</v>
      </c>
      <c r="F771">
        <v>13593</v>
      </c>
      <c r="G771">
        <v>86220</v>
      </c>
      <c r="H771"/>
      <c r="I771">
        <v>178038</v>
      </c>
      <c r="J771">
        <v>186907</v>
      </c>
      <c r="K771"/>
      <c r="L771">
        <v>264258</v>
      </c>
      <c r="M771">
        <v>72857</v>
      </c>
    </row>
    <row r="772" spans="1:13">
      <c r="A772" s="121">
        <v>44652</v>
      </c>
      <c r="B772">
        <v>20962</v>
      </c>
      <c r="C772">
        <v>36891</v>
      </c>
      <c r="D772">
        <v>37763</v>
      </c>
      <c r="E772">
        <v>23741</v>
      </c>
      <c r="F772">
        <v>13464</v>
      </c>
      <c r="G772">
        <v>86909</v>
      </c>
      <c r="H772"/>
      <c r="I772">
        <v>178467</v>
      </c>
      <c r="J772">
        <v>188269</v>
      </c>
      <c r="K772"/>
      <c r="L772">
        <v>265376</v>
      </c>
      <c r="M772">
        <v>73115</v>
      </c>
    </row>
    <row r="773" spans="1:13">
      <c r="A773" s="121">
        <v>44682</v>
      </c>
      <c r="B773">
        <v>21350</v>
      </c>
      <c r="C773">
        <v>36810</v>
      </c>
      <c r="D773">
        <v>38242</v>
      </c>
      <c r="E773">
        <v>23787</v>
      </c>
      <c r="F773">
        <v>13353</v>
      </c>
      <c r="G773">
        <v>88275</v>
      </c>
      <c r="H773"/>
      <c r="I773">
        <v>179258</v>
      </c>
      <c r="J773">
        <v>189296</v>
      </c>
      <c r="K773"/>
      <c r="L773">
        <v>267533</v>
      </c>
      <c r="M773">
        <v>73477</v>
      </c>
    </row>
    <row r="774" spans="1:13">
      <c r="A774" s="121">
        <v>44713</v>
      </c>
      <c r="B774">
        <v>21050</v>
      </c>
      <c r="C774">
        <v>36922</v>
      </c>
      <c r="D774">
        <v>38434</v>
      </c>
      <c r="E774">
        <v>24211</v>
      </c>
      <c r="F774">
        <v>13717</v>
      </c>
      <c r="G774">
        <v>93626</v>
      </c>
      <c r="H774"/>
      <c r="I774">
        <v>179945</v>
      </c>
      <c r="J774">
        <v>194488</v>
      </c>
      <c r="K774"/>
      <c r="L774">
        <v>273571</v>
      </c>
      <c r="M774">
        <v>74190</v>
      </c>
    </row>
    <row r="775" spans="1:13">
      <c r="A775" s="121">
        <v>44743</v>
      </c>
      <c r="B775">
        <v>20697</v>
      </c>
      <c r="C775">
        <v>37368</v>
      </c>
      <c r="D775">
        <v>38566</v>
      </c>
      <c r="E775">
        <v>24397</v>
      </c>
      <c r="F775">
        <v>13555</v>
      </c>
      <c r="G775">
        <v>92924</v>
      </c>
      <c r="H775"/>
      <c r="I775">
        <v>180262</v>
      </c>
      <c r="J775">
        <v>194497</v>
      </c>
      <c r="K775"/>
      <c r="L775">
        <v>273186</v>
      </c>
      <c r="M775">
        <v>74440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84"/>
  <sheetViews>
    <sheetView zoomScale="150" zoomScaleNormal="150" workbookViewId="0">
      <pane xSplit="2" ySplit="6" topLeftCell="C78" activePane="bottomRight" state="frozen"/>
      <selection activeCell="Q21" sqref="Q21"/>
      <selection pane="topRight" activeCell="Q21" sqref="Q21"/>
      <selection pane="bottomLeft" activeCell="Q21" sqref="Q21"/>
      <selection pane="bottomRight" activeCell="Y85" sqref="Y85"/>
    </sheetView>
  </sheetViews>
  <sheetFormatPr baseColWidth="10" defaultColWidth="9.1640625" defaultRowHeight="15"/>
  <cols>
    <col min="1" max="1" width="9.1640625" style="117" customWidth="1"/>
    <col min="2" max="2" width="10.6640625" style="117" bestFit="1" customWidth="1"/>
    <col min="3" max="8" width="9.1640625" style="117" customWidth="1"/>
    <col min="9" max="16384" width="9.1640625" style="117"/>
  </cols>
  <sheetData>
    <row r="3" spans="2:22" ht="16" customHeight="1" thickBot="1"/>
    <row r="4" spans="2:22" ht="19" customHeight="1">
      <c r="C4" s="144" t="s">
        <v>98</v>
      </c>
      <c r="D4" s="145"/>
      <c r="E4" s="144" t="s">
        <v>13</v>
      </c>
      <c r="F4" s="145"/>
      <c r="G4" s="146" t="s">
        <v>99</v>
      </c>
      <c r="H4" s="145"/>
      <c r="I4" s="144" t="s">
        <v>100</v>
      </c>
      <c r="J4" s="145"/>
      <c r="K4" s="144" t="s">
        <v>101</v>
      </c>
      <c r="L4" s="145"/>
      <c r="M4" s="144" t="s">
        <v>102</v>
      </c>
      <c r="N4" s="145"/>
      <c r="O4" s="144" t="s">
        <v>103</v>
      </c>
      <c r="P4" s="145"/>
      <c r="Q4" s="144" t="s">
        <v>104</v>
      </c>
      <c r="R4" s="145"/>
      <c r="S4" s="144" t="s">
        <v>105</v>
      </c>
      <c r="T4" s="145"/>
      <c r="U4" s="144" t="s">
        <v>106</v>
      </c>
      <c r="V4" s="145"/>
    </row>
    <row r="5" spans="2:22" ht="15.75" customHeight="1" thickBot="1">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sheetData>
  <mergeCells count="10">
    <mergeCell ref="M4:N4"/>
    <mergeCell ref="O4:P4"/>
    <mergeCell ref="Q4:R4"/>
    <mergeCell ref="S4:T4"/>
    <mergeCell ref="U4:V4"/>
    <mergeCell ref="C4:D4"/>
    <mergeCell ref="E4:F4"/>
    <mergeCell ref="G4:H4"/>
    <mergeCell ref="I4:J4"/>
    <mergeCell ref="K4:L4"/>
  </mergeCells>
  <conditionalFormatting sqref="D8:D84">
    <cfRule type="colorScale" priority="11">
      <colorScale>
        <cfvo type="min"/>
        <cfvo type="percentile" val="50"/>
        <cfvo type="max"/>
        <color rgb="FFF8696B"/>
        <color rgb="FFFFEB84"/>
        <color rgb="FF63BE7B"/>
      </colorScale>
    </cfRule>
  </conditionalFormatting>
  <conditionalFormatting sqref="F8:F84">
    <cfRule type="colorScale" priority="12">
      <colorScale>
        <cfvo type="min"/>
        <cfvo type="percentile" val="50"/>
        <cfvo type="max"/>
        <color rgb="FFF8696B"/>
        <color rgb="FFFFEB84"/>
        <color rgb="FF63BE7B"/>
      </colorScale>
    </cfRule>
  </conditionalFormatting>
  <conditionalFormatting sqref="H8:H84">
    <cfRule type="colorScale" priority="13">
      <colorScale>
        <cfvo type="min"/>
        <cfvo type="percentile" val="50"/>
        <cfvo type="max"/>
        <color rgb="FFF8696B"/>
        <color rgb="FFFFEB84"/>
        <color rgb="FF63BE7B"/>
      </colorScale>
    </cfRule>
  </conditionalFormatting>
  <conditionalFormatting sqref="J8:J84">
    <cfRule type="colorScale" priority="14">
      <colorScale>
        <cfvo type="min"/>
        <cfvo type="percentile" val="50"/>
        <cfvo type="max"/>
        <color rgb="FFF8696B"/>
        <color rgb="FFFFEB84"/>
        <color rgb="FF63BE7B"/>
      </colorScale>
    </cfRule>
  </conditionalFormatting>
  <conditionalFormatting sqref="L8:L84">
    <cfRule type="colorScale" priority="15">
      <colorScale>
        <cfvo type="min"/>
        <cfvo type="percentile" val="50"/>
        <cfvo type="max"/>
        <color rgb="FFF8696B"/>
        <color rgb="FFFFEB84"/>
        <color rgb="FF63BE7B"/>
      </colorScale>
    </cfRule>
  </conditionalFormatting>
  <conditionalFormatting sqref="N8:N84">
    <cfRule type="colorScale" priority="16">
      <colorScale>
        <cfvo type="min"/>
        <cfvo type="percentile" val="50"/>
        <cfvo type="max"/>
        <color rgb="FFF8696B"/>
        <color rgb="FFFFEB84"/>
        <color rgb="FF63BE7B"/>
      </colorScale>
    </cfRule>
  </conditionalFormatting>
  <conditionalFormatting sqref="P8:P84">
    <cfRule type="colorScale" priority="17">
      <colorScale>
        <cfvo type="min"/>
        <cfvo type="percentile" val="50"/>
        <cfvo type="max"/>
        <color rgb="FFF8696B"/>
        <color rgb="FFFFEB84"/>
        <color rgb="FF63BE7B"/>
      </colorScale>
    </cfRule>
  </conditionalFormatting>
  <conditionalFormatting sqref="R8:R84">
    <cfRule type="colorScale" priority="18">
      <colorScale>
        <cfvo type="min"/>
        <cfvo type="percentile" val="50"/>
        <cfvo type="max"/>
        <color rgb="FFF8696B"/>
        <color rgb="FFFFEB84"/>
        <color rgb="FF63BE7B"/>
      </colorScale>
    </cfRule>
  </conditionalFormatting>
  <conditionalFormatting sqref="T8:T84">
    <cfRule type="colorScale" priority="19">
      <colorScale>
        <cfvo type="min"/>
        <cfvo type="percentile" val="50"/>
        <cfvo type="max"/>
        <color rgb="FFF8696B"/>
        <color rgb="FFFFEB84"/>
        <color rgb="FF63BE7B"/>
      </colorScale>
    </cfRule>
  </conditionalFormatting>
  <conditionalFormatting sqref="V8:V84">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1"/>
  <sheetViews>
    <sheetView zoomScale="160" zoomScaleNormal="160" workbookViewId="0">
      <pane ySplit="5" topLeftCell="A361" activePane="bottomLeft" state="frozen"/>
      <selection pane="bottomLeft" activeCell="Z359" sqref="Z359"/>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3">
      <c r="A1" s="1" t="s">
        <v>14</v>
      </c>
      <c r="C1" s="70"/>
    </row>
    <row r="2" spans="1:3">
      <c r="A2" s="71" t="s">
        <v>108</v>
      </c>
      <c r="B2" s="68"/>
      <c r="C2" s="69"/>
    </row>
    <row r="3" spans="1:3">
      <c r="B3" s="68"/>
      <c r="C3" s="69"/>
    </row>
    <row r="4" spans="1:3" ht="16" customHeight="1" thickBot="1"/>
    <row r="5" spans="1:3" ht="68.25" customHeight="1">
      <c r="A5" s="72" t="s">
        <v>109</v>
      </c>
      <c r="B5" s="73" t="s">
        <v>108</v>
      </c>
      <c r="C5" s="111" t="s">
        <v>110</v>
      </c>
    </row>
    <row r="6" spans="1:3">
      <c r="A6" s="74">
        <v>33635</v>
      </c>
      <c r="B6" s="75">
        <f>VLOOKUP(A6,Database!A:M,MATCH($A$1,Database!$A$1:$M$1,),)</f>
        <v>114535</v>
      </c>
      <c r="C6" s="112"/>
    </row>
    <row r="7" spans="1:3">
      <c r="A7" s="74">
        <v>33664</v>
      </c>
      <c r="B7" s="75">
        <f>VLOOKUP(A7,Database!A:M,MATCH($A$1,Database!$A$1:$M$1,),)</f>
        <v>120025</v>
      </c>
      <c r="C7" s="113">
        <f>(Table53514[[#This Row],[Manufacturers'' New Orders: Durable Goods]]-B6)/B6</f>
        <v>4.7932946260968265E-2</v>
      </c>
    </row>
    <row r="8" spans="1:3">
      <c r="A8" s="74">
        <v>33695</v>
      </c>
      <c r="B8" s="75">
        <f>VLOOKUP(A8,Database!A:M,MATCH($A$1,Database!$A$1:$M$1,),)</f>
        <v>124470</v>
      </c>
      <c r="C8" s="113">
        <f>(Table53514[[#This Row],[Manufacturers'' New Orders: Durable Goods]]-B7)/B7</f>
        <v>3.7033951260154137E-2</v>
      </c>
    </row>
    <row r="9" spans="1:3">
      <c r="A9" s="74">
        <v>33725</v>
      </c>
      <c r="B9" s="75">
        <f>VLOOKUP(A9,Database!A:M,MATCH($A$1,Database!$A$1:$M$1,),)</f>
        <v>125822</v>
      </c>
      <c r="C9" s="113">
        <f>(Table53514[[#This Row],[Manufacturers'' New Orders: Durable Goods]]-B8)/B8</f>
        <v>1.0862055113682012E-2</v>
      </c>
    </row>
    <row r="10" spans="1:3">
      <c r="A10" s="74">
        <v>33756</v>
      </c>
      <c r="B10" s="75">
        <f>VLOOKUP(A10,Database!A:M,MATCH($A$1,Database!$A$1:$M$1,),)</f>
        <v>122834</v>
      </c>
      <c r="C10" s="113">
        <f>(Table53514[[#This Row],[Manufacturers'' New Orders: Durable Goods]]-B9)/B9</f>
        <v>-2.3747834242024448E-2</v>
      </c>
    </row>
    <row r="11" spans="1:3">
      <c r="A11" s="74">
        <v>33786</v>
      </c>
      <c r="B11" s="75">
        <f>VLOOKUP(A11,Database!A:M,MATCH($A$1,Database!$A$1:$M$1,),)</f>
        <v>122590</v>
      </c>
      <c r="C11" s="113">
        <f>(Table53514[[#This Row],[Manufacturers'' New Orders: Durable Goods]]-B10)/B10</f>
        <v>-1.9864206978523861E-3</v>
      </c>
    </row>
    <row r="12" spans="1:3">
      <c r="A12" s="74">
        <v>33817</v>
      </c>
      <c r="B12" s="75">
        <f>VLOOKUP(A12,Database!A:M,MATCH($A$1,Database!$A$1:$M$1,),)</f>
        <v>120411</v>
      </c>
      <c r="C12" s="113">
        <f>(Table53514[[#This Row],[Manufacturers'' New Orders: Durable Goods]]-B11)/B11</f>
        <v>-1.7774696141610244E-2</v>
      </c>
    </row>
    <row r="13" spans="1:3">
      <c r="A13" s="74">
        <v>33848</v>
      </c>
      <c r="B13" s="75">
        <f>VLOOKUP(A13,Database!A:M,MATCH($A$1,Database!$A$1:$M$1,),)</f>
        <v>120711</v>
      </c>
      <c r="C13" s="113">
        <f>(Table53514[[#This Row],[Manufacturers'' New Orders: Durable Goods]]-B12)/B12</f>
        <v>2.491466726461868E-3</v>
      </c>
    </row>
    <row r="14" spans="1:3">
      <c r="A14" s="74">
        <v>33878</v>
      </c>
      <c r="B14" s="75">
        <f>VLOOKUP(A14,Database!A:M,MATCH($A$1,Database!$A$1:$M$1,),)</f>
        <v>127392</v>
      </c>
      <c r="C14" s="113">
        <f>(Table53514[[#This Row],[Manufacturers'' New Orders: Durable Goods]]-B13)/B13</f>
        <v>5.5347068618435767E-2</v>
      </c>
    </row>
    <row r="15" spans="1:3">
      <c r="A15" s="74">
        <v>33909</v>
      </c>
      <c r="B15" s="75">
        <f>VLOOKUP(A15,Database!A:M,MATCH($A$1,Database!$A$1:$M$1,),)</f>
        <v>122374</v>
      </c>
      <c r="C15" s="113">
        <f>(Table53514[[#This Row],[Manufacturers'' New Orders: Durable Goods]]-B14)/B14</f>
        <v>-3.9390228585782464E-2</v>
      </c>
    </row>
    <row r="16" spans="1:3">
      <c r="A16" s="74">
        <v>33939</v>
      </c>
      <c r="B16" s="75">
        <f>VLOOKUP(A16,Database!A:M,MATCH($A$1,Database!$A$1:$M$1,),)</f>
        <v>126080</v>
      </c>
      <c r="C16" s="113">
        <f>(Table53514[[#This Row],[Manufacturers'' New Orders: Durable Goods]]-B15)/B15</f>
        <v>3.0284210698350956E-2</v>
      </c>
    </row>
    <row r="17" spans="1:3">
      <c r="A17" s="74">
        <v>33970</v>
      </c>
      <c r="B17" s="75">
        <f>VLOOKUP(A17,Database!A:M,MATCH($A$1,Database!$A$1:$M$1,),)</f>
        <v>121637</v>
      </c>
      <c r="C17" s="113">
        <f>(Table53514[[#This Row],[Manufacturers'' New Orders: Durable Goods]]-B16)/B16</f>
        <v>-3.523953045685279E-2</v>
      </c>
    </row>
    <row r="18" spans="1:3">
      <c r="A18" s="74">
        <v>34001</v>
      </c>
      <c r="B18" s="75">
        <f>VLOOKUP(A18,Database!A:M,MATCH($A$1,Database!$A$1:$M$1,),)</f>
        <v>128854</v>
      </c>
      <c r="C18" s="113">
        <f>(Table53514[[#This Row],[Manufacturers'' New Orders: Durable Goods]]-B17)/B17</f>
        <v>5.933227554115935E-2</v>
      </c>
    </row>
    <row r="19" spans="1:3">
      <c r="A19" s="74">
        <v>34029</v>
      </c>
      <c r="B19" s="75">
        <f>VLOOKUP(A19,Database!A:M,MATCH($A$1,Database!$A$1:$M$1,),)</f>
        <v>126762</v>
      </c>
      <c r="C19" s="113">
        <f>(Table53514[[#This Row],[Manufacturers'' New Orders: Durable Goods]]-B18)/B18</f>
        <v>-1.6235429245502662E-2</v>
      </c>
    </row>
    <row r="20" spans="1:3">
      <c r="A20" s="74">
        <v>34060</v>
      </c>
      <c r="B20" s="75">
        <f>VLOOKUP(A20,Database!A:M,MATCH($A$1,Database!$A$1:$M$1,),)</f>
        <v>127395</v>
      </c>
      <c r="C20" s="113">
        <f>(Table53514[[#This Row],[Manufacturers'' New Orders: Durable Goods]]-B19)/B19</f>
        <v>4.993610072419179E-3</v>
      </c>
    </row>
    <row r="21" spans="1:3">
      <c r="A21" s="74">
        <v>34090</v>
      </c>
      <c r="B21" s="75">
        <f>VLOOKUP(A21,Database!A:M,MATCH($A$1,Database!$A$1:$M$1,),)</f>
        <v>126529</v>
      </c>
      <c r="C21" s="113">
        <f>(Table53514[[#This Row],[Manufacturers'' New Orders: Durable Goods]]-B20)/B20</f>
        <v>-6.797755013933043E-3</v>
      </c>
    </row>
    <row r="22" spans="1:3">
      <c r="A22" s="74">
        <v>34121</v>
      </c>
      <c r="B22" s="75">
        <f>VLOOKUP(A22,Database!A:M,MATCH($A$1,Database!$A$1:$M$1,),)</f>
        <v>130212</v>
      </c>
      <c r="C22" s="113">
        <f>(Table53514[[#This Row],[Manufacturers'' New Orders: Durable Goods]]-B21)/B21</f>
        <v>2.9107951536801839E-2</v>
      </c>
    </row>
    <row r="23" spans="1:3">
      <c r="A23" s="74">
        <v>34151</v>
      </c>
      <c r="B23" s="75">
        <f>VLOOKUP(A23,Database!A:M,MATCH($A$1,Database!$A$1:$M$1,),)</f>
        <v>128111</v>
      </c>
      <c r="C23" s="113">
        <f>(Table53514[[#This Row],[Manufacturers'' New Orders: Durable Goods]]-B22)/B22</f>
        <v>-1.6135225632046203E-2</v>
      </c>
    </row>
    <row r="24" spans="1:3">
      <c r="A24" s="74">
        <v>34182</v>
      </c>
      <c r="B24" s="75">
        <f>VLOOKUP(A24,Database!A:M,MATCH($A$1,Database!$A$1:$M$1,),)</f>
        <v>129378</v>
      </c>
      <c r="C24" s="113">
        <f>(Table53514[[#This Row],[Manufacturers'' New Orders: Durable Goods]]-B23)/B23</f>
        <v>9.8898611360460856E-3</v>
      </c>
    </row>
    <row r="25" spans="1:3">
      <c r="A25" s="74">
        <v>34213</v>
      </c>
      <c r="B25" s="75">
        <f>VLOOKUP(A25,Database!A:M,MATCH($A$1,Database!$A$1:$M$1,),)</f>
        <v>127233</v>
      </c>
      <c r="C25" s="113">
        <f>(Table53514[[#This Row],[Manufacturers'' New Orders: Durable Goods]]-B24)/B24</f>
        <v>-1.6579325696795436E-2</v>
      </c>
    </row>
    <row r="26" spans="1:3">
      <c r="A26" s="74">
        <v>34243</v>
      </c>
      <c r="B26" s="75">
        <f>VLOOKUP(A26,Database!A:M,MATCH($A$1,Database!$A$1:$M$1,),)</f>
        <v>133168</v>
      </c>
      <c r="C26" s="113">
        <f>(Table53514[[#This Row],[Manufacturers'' New Orders: Durable Goods]]-B25)/B25</f>
        <v>4.6646703292384836E-2</v>
      </c>
    </row>
    <row r="27" spans="1:3">
      <c r="A27" s="74">
        <v>34274</v>
      </c>
      <c r="B27" s="75">
        <f>VLOOKUP(A27,Database!A:M,MATCH($A$1,Database!$A$1:$M$1,),)</f>
        <v>130391</v>
      </c>
      <c r="C27" s="113">
        <f>(Table53514[[#This Row],[Manufacturers'' New Orders: Durable Goods]]-B26)/B26</f>
        <v>-2.0853358164123512E-2</v>
      </c>
    </row>
    <row r="28" spans="1:3">
      <c r="A28" s="74">
        <v>34304</v>
      </c>
      <c r="B28" s="75">
        <f>VLOOKUP(A28,Database!A:M,MATCH($A$1,Database!$A$1:$M$1,),)</f>
        <v>133565</v>
      </c>
      <c r="C28" s="113">
        <f>(Table53514[[#This Row],[Manufacturers'' New Orders: Durable Goods]]-B27)/B27</f>
        <v>2.4342170855350447E-2</v>
      </c>
    </row>
    <row r="29" spans="1:3">
      <c r="A29" s="74">
        <v>34335</v>
      </c>
      <c r="B29" s="75">
        <f>VLOOKUP(A29,Database!A:M,MATCH($A$1,Database!$A$1:$M$1,),)</f>
        <v>138498</v>
      </c>
      <c r="C29" s="113">
        <f>(Table53514[[#This Row],[Manufacturers'' New Orders: Durable Goods]]-B28)/B28</f>
        <v>3.6933328342005765E-2</v>
      </c>
    </row>
    <row r="30" spans="1:3">
      <c r="A30" s="74">
        <v>34366</v>
      </c>
      <c r="B30" s="75">
        <f>VLOOKUP(A30,Database!A:M,MATCH($A$1,Database!$A$1:$M$1,),)</f>
        <v>137141</v>
      </c>
      <c r="C30" s="113">
        <f>(Table53514[[#This Row],[Manufacturers'' New Orders: Durable Goods]]-B29)/B29</f>
        <v>-9.7979754220277552E-3</v>
      </c>
    </row>
    <row r="31" spans="1:3">
      <c r="A31" s="74">
        <v>34394</v>
      </c>
      <c r="B31" s="75">
        <f>VLOOKUP(A31,Database!A:M,MATCH($A$1,Database!$A$1:$M$1,),)</f>
        <v>136548</v>
      </c>
      <c r="C31" s="113">
        <f>(Table53514[[#This Row],[Manufacturers'' New Orders: Durable Goods]]-B30)/B30</f>
        <v>-4.3240168877286883E-3</v>
      </c>
    </row>
    <row r="32" spans="1:3">
      <c r="A32" s="74">
        <v>34425</v>
      </c>
      <c r="B32" s="75">
        <f>VLOOKUP(A32,Database!A:M,MATCH($A$1,Database!$A$1:$M$1,),)</f>
        <v>140336</v>
      </c>
      <c r="C32" s="113">
        <f>(Table53514[[#This Row],[Manufacturers'' New Orders: Durable Goods]]-B31)/B31</f>
        <v>2.7741160617511789E-2</v>
      </c>
    </row>
    <row r="33" spans="1:3">
      <c r="A33" s="74">
        <v>34455</v>
      </c>
      <c r="B33" s="75">
        <f>VLOOKUP(A33,Database!A:M,MATCH($A$1,Database!$A$1:$M$1,),)</f>
        <v>142630</v>
      </c>
      <c r="C33" s="113">
        <f>(Table53514[[#This Row],[Manufacturers'' New Orders: Durable Goods]]-B32)/B32</f>
        <v>1.6346482727169081E-2</v>
      </c>
    </row>
    <row r="34" spans="1:3">
      <c r="A34" s="74">
        <v>34486</v>
      </c>
      <c r="B34" s="75">
        <f>VLOOKUP(A34,Database!A:M,MATCH($A$1,Database!$A$1:$M$1,),)</f>
        <v>145063</v>
      </c>
      <c r="C34" s="113">
        <f>(Table53514[[#This Row],[Manufacturers'' New Orders: Durable Goods]]-B33)/B33</f>
        <v>1.7058122414639276E-2</v>
      </c>
    </row>
    <row r="35" spans="1:3">
      <c r="A35" s="74">
        <v>34516</v>
      </c>
      <c r="B35" s="75">
        <f>VLOOKUP(A35,Database!A:M,MATCH($A$1,Database!$A$1:$M$1,),)</f>
        <v>145013</v>
      </c>
      <c r="C35" s="113">
        <f>(Table53514[[#This Row],[Manufacturers'' New Orders: Durable Goods]]-B34)/B34</f>
        <v>-3.4467782963264236E-4</v>
      </c>
    </row>
    <row r="36" spans="1:3">
      <c r="A36" s="74">
        <v>34547</v>
      </c>
      <c r="B36" s="75">
        <f>VLOOKUP(A36,Database!A:M,MATCH($A$1,Database!$A$1:$M$1,),)</f>
        <v>145884</v>
      </c>
      <c r="C36" s="113">
        <f>(Table53514[[#This Row],[Manufacturers'' New Orders: Durable Goods]]-B35)/B35</f>
        <v>6.0063580506575275E-3</v>
      </c>
    </row>
    <row r="37" spans="1:3">
      <c r="A37" s="74">
        <v>34578</v>
      </c>
      <c r="B37" s="75">
        <f>VLOOKUP(A37,Database!A:M,MATCH($A$1,Database!$A$1:$M$1,),)</f>
        <v>145487</v>
      </c>
      <c r="C37" s="113">
        <f>(Table53514[[#This Row],[Manufacturers'' New Orders: Durable Goods]]-B36)/B36</f>
        <v>-2.7213402429327412E-3</v>
      </c>
    </row>
    <row r="38" spans="1:3">
      <c r="A38" s="74">
        <v>34608</v>
      </c>
      <c r="B38" s="75">
        <f>VLOOKUP(A38,Database!A:M,MATCH($A$1,Database!$A$1:$M$1,),)</f>
        <v>149547</v>
      </c>
      <c r="C38" s="113">
        <f>(Table53514[[#This Row],[Manufacturers'' New Orders: Durable Goods]]-B37)/B37</f>
        <v>2.7906273412744782E-2</v>
      </c>
    </row>
    <row r="39" spans="1:3">
      <c r="A39" s="74">
        <v>34639</v>
      </c>
      <c r="B39" s="75">
        <f>VLOOKUP(A39,Database!A:M,MATCH($A$1,Database!$A$1:$M$1,),)</f>
        <v>150038</v>
      </c>
      <c r="C39" s="113">
        <f>(Table53514[[#This Row],[Manufacturers'' New Orders: Durable Goods]]-B38)/B38</f>
        <v>3.2832487445418495E-3</v>
      </c>
    </row>
    <row r="40" spans="1:3">
      <c r="A40" s="74">
        <v>34669</v>
      </c>
      <c r="B40" s="75">
        <f>VLOOKUP(A40,Database!A:M,MATCH($A$1,Database!$A$1:$M$1,),)</f>
        <v>152489</v>
      </c>
      <c r="C40" s="113">
        <f>(Table53514[[#This Row],[Manufacturers'' New Orders: Durable Goods]]-B39)/B39</f>
        <v>1.6335861581732627E-2</v>
      </c>
    </row>
    <row r="41" spans="1:3">
      <c r="A41" s="74">
        <v>34700</v>
      </c>
      <c r="B41" s="75">
        <f>VLOOKUP(A41,Database!A:M,MATCH($A$1,Database!$A$1:$M$1,),)</f>
        <v>150459</v>
      </c>
      <c r="C41" s="113">
        <f>(Table53514[[#This Row],[Manufacturers'' New Orders: Durable Goods]]-B40)/B40</f>
        <v>-1.3312435651096145E-2</v>
      </c>
    </row>
    <row r="42" spans="1:3">
      <c r="A42" s="74">
        <v>34731</v>
      </c>
      <c r="B42" s="75">
        <f>VLOOKUP(A42,Database!A:M,MATCH($A$1,Database!$A$1:$M$1,),)</f>
        <v>153856</v>
      </c>
      <c r="C42" s="113">
        <f>(Table53514[[#This Row],[Manufacturers'' New Orders: Durable Goods]]-B41)/B41</f>
        <v>2.2577579274087958E-2</v>
      </c>
    </row>
    <row r="43" spans="1:3">
      <c r="A43" s="74">
        <v>34759</v>
      </c>
      <c r="B43" s="75">
        <f>VLOOKUP(A43,Database!A:M,MATCH($A$1,Database!$A$1:$M$1,),)</f>
        <v>152888</v>
      </c>
      <c r="C43" s="113">
        <f>(Table53514[[#This Row],[Manufacturers'' New Orders: Durable Goods]]-B42)/B42</f>
        <v>-6.2915973377703823E-3</v>
      </c>
    </row>
    <row r="44" spans="1:3">
      <c r="A44" s="74">
        <v>34790</v>
      </c>
      <c r="B44" s="75">
        <f>VLOOKUP(A44,Database!A:M,MATCH($A$1,Database!$A$1:$M$1,),)</f>
        <v>151401</v>
      </c>
      <c r="C44" s="113">
        <f>(Table53514[[#This Row],[Manufacturers'' New Orders: Durable Goods]]-B43)/B43</f>
        <v>-9.7260739888022606E-3</v>
      </c>
    </row>
    <row r="45" spans="1:3">
      <c r="A45" s="74">
        <v>34820</v>
      </c>
      <c r="B45" s="75">
        <f>VLOOKUP(A45,Database!A:M,MATCH($A$1,Database!$A$1:$M$1,),)</f>
        <v>152838</v>
      </c>
      <c r="C45" s="113">
        <f>(Table53514[[#This Row],[Manufacturers'' New Orders: Durable Goods]]-B44)/B44</f>
        <v>9.4913507836804252E-3</v>
      </c>
    </row>
    <row r="46" spans="1:3">
      <c r="A46" s="74">
        <v>34851</v>
      </c>
      <c r="B46" s="75">
        <f>VLOOKUP(A46,Database!A:M,MATCH($A$1,Database!$A$1:$M$1,),)</f>
        <v>150051</v>
      </c>
      <c r="C46" s="113">
        <f>(Table53514[[#This Row],[Manufacturers'' New Orders: Durable Goods]]-B45)/B45</f>
        <v>-1.823499391512582E-2</v>
      </c>
    </row>
    <row r="47" spans="1:3">
      <c r="A47" s="74">
        <v>34881</v>
      </c>
      <c r="B47" s="75">
        <f>VLOOKUP(A47,Database!A:M,MATCH($A$1,Database!$A$1:$M$1,),)</f>
        <v>148915</v>
      </c>
      <c r="C47" s="113">
        <f>(Table53514[[#This Row],[Manufacturers'' New Orders: Durable Goods]]-B46)/B46</f>
        <v>-7.570759275179772E-3</v>
      </c>
    </row>
    <row r="48" spans="1:3">
      <c r="A48" s="74">
        <v>34912</v>
      </c>
      <c r="B48" s="75">
        <f>VLOOKUP(A48,Database!A:M,MATCH($A$1,Database!$A$1:$M$1,),)</f>
        <v>154372</v>
      </c>
      <c r="C48" s="113">
        <f>(Table53514[[#This Row],[Manufacturers'' New Orders: Durable Goods]]-B47)/B47</f>
        <v>3.6645065977235339E-2</v>
      </c>
    </row>
    <row r="49" spans="1:3">
      <c r="A49" s="74">
        <v>34943</v>
      </c>
      <c r="B49" s="75">
        <f>VLOOKUP(A49,Database!A:M,MATCH($A$1,Database!$A$1:$M$1,),)</f>
        <v>160175</v>
      </c>
      <c r="C49" s="113">
        <f>(Table53514[[#This Row],[Manufacturers'' New Orders: Durable Goods]]-B48)/B48</f>
        <v>3.759101391444044E-2</v>
      </c>
    </row>
    <row r="50" spans="1:3">
      <c r="A50" s="74">
        <v>34973</v>
      </c>
      <c r="B50" s="75">
        <f>VLOOKUP(A50,Database!A:M,MATCH($A$1,Database!$A$1:$M$1,),)</f>
        <v>155473</v>
      </c>
      <c r="C50" s="113">
        <f>(Table53514[[#This Row],[Manufacturers'' New Orders: Durable Goods]]-B49)/B49</f>
        <v>-2.9355392539410021E-2</v>
      </c>
    </row>
    <row r="51" spans="1:3">
      <c r="A51" s="74">
        <v>35004</v>
      </c>
      <c r="B51" s="75">
        <f>VLOOKUP(A51,Database!A:M,MATCH($A$1,Database!$A$1:$M$1,),)</f>
        <v>156146</v>
      </c>
      <c r="C51" s="113">
        <f>(Table53514[[#This Row],[Manufacturers'' New Orders: Durable Goods]]-B50)/B50</f>
        <v>4.3287258880963251E-3</v>
      </c>
    </row>
    <row r="52" spans="1:3">
      <c r="A52" s="74">
        <v>35034</v>
      </c>
      <c r="B52" s="75">
        <f>VLOOKUP(A52,Database!A:M,MATCH($A$1,Database!$A$1:$M$1,),)</f>
        <v>163279</v>
      </c>
      <c r="C52" s="113">
        <f>(Table53514[[#This Row],[Manufacturers'' New Orders: Durable Goods]]-B51)/B51</f>
        <v>4.5681605676738436E-2</v>
      </c>
    </row>
    <row r="53" spans="1:3">
      <c r="A53" s="74">
        <v>35065</v>
      </c>
      <c r="B53" s="75">
        <f>VLOOKUP(A53,Database!A:M,MATCH($A$1,Database!$A$1:$M$1,),)</f>
        <v>155806</v>
      </c>
      <c r="C53" s="113">
        <f>(Table53514[[#This Row],[Manufacturers'' New Orders: Durable Goods]]-B52)/B52</f>
        <v>-4.5768286184996232E-2</v>
      </c>
    </row>
    <row r="54" spans="1:3">
      <c r="A54" s="74">
        <v>35096</v>
      </c>
      <c r="B54" s="75">
        <f>VLOOKUP(A54,Database!A:M,MATCH($A$1,Database!$A$1:$M$1,),)</f>
        <v>150773</v>
      </c>
      <c r="C54" s="113">
        <f>(Table53514[[#This Row],[Manufacturers'' New Orders: Durable Goods]]-B53)/B53</f>
        <v>-3.2302992182586039E-2</v>
      </c>
    </row>
    <row r="55" spans="1:3">
      <c r="A55" s="74">
        <v>35125</v>
      </c>
      <c r="B55" s="75">
        <f>VLOOKUP(A55,Database!A:M,MATCH($A$1,Database!$A$1:$M$1,),)</f>
        <v>164976</v>
      </c>
      <c r="C55" s="113">
        <f>(Table53514[[#This Row],[Manufacturers'' New Orders: Durable Goods]]-B54)/B54</f>
        <v>9.420121639816148E-2</v>
      </c>
    </row>
    <row r="56" spans="1:3">
      <c r="A56" s="74">
        <v>35156</v>
      </c>
      <c r="B56" s="75">
        <f>VLOOKUP(A56,Database!A:M,MATCH($A$1,Database!$A$1:$M$1,),)</f>
        <v>156830</v>
      </c>
      <c r="C56" s="113">
        <f>(Table53514[[#This Row],[Manufacturers'' New Orders: Durable Goods]]-B55)/B55</f>
        <v>-4.9376879061196782E-2</v>
      </c>
    </row>
    <row r="57" spans="1:3">
      <c r="A57" s="74">
        <v>35186</v>
      </c>
      <c r="B57" s="75">
        <f>VLOOKUP(A57,Database!A:M,MATCH($A$1,Database!$A$1:$M$1,),)</f>
        <v>164502</v>
      </c>
      <c r="C57" s="113">
        <f>(Table53514[[#This Row],[Manufacturers'' New Orders: Durable Goods]]-B56)/B56</f>
        <v>4.8919211885481095E-2</v>
      </c>
    </row>
    <row r="58" spans="1:3">
      <c r="A58" s="74">
        <v>35217</v>
      </c>
      <c r="B58" s="75">
        <f>VLOOKUP(A58,Database!A:M,MATCH($A$1,Database!$A$1:$M$1,),)</f>
        <v>164599</v>
      </c>
      <c r="C58" s="113">
        <f>(Table53514[[#This Row],[Manufacturers'' New Orders: Durable Goods]]-B57)/B57</f>
        <v>5.8965848439532654E-4</v>
      </c>
    </row>
    <row r="59" spans="1:3">
      <c r="A59" s="74">
        <v>35247</v>
      </c>
      <c r="B59" s="75">
        <f>VLOOKUP(A59,Database!A:M,MATCH($A$1,Database!$A$1:$M$1,),)</f>
        <v>163588</v>
      </c>
      <c r="C59" s="113">
        <f>(Table53514[[#This Row],[Manufacturers'' New Orders: Durable Goods]]-B58)/B58</f>
        <v>-6.1422001348732371E-3</v>
      </c>
    </row>
    <row r="60" spans="1:3">
      <c r="A60" s="74">
        <v>35278</v>
      </c>
      <c r="B60" s="75">
        <f>VLOOKUP(A60,Database!A:M,MATCH($A$1,Database!$A$1:$M$1,),)</f>
        <v>157310</v>
      </c>
      <c r="C60" s="113">
        <f>(Table53514[[#This Row],[Manufacturers'' New Orders: Durable Goods]]-B59)/B59</f>
        <v>-3.8376898060982469E-2</v>
      </c>
    </row>
    <row r="61" spans="1:3">
      <c r="A61" s="74">
        <v>35309</v>
      </c>
      <c r="B61" s="75">
        <f>VLOOKUP(A61,Database!A:M,MATCH($A$1,Database!$A$1:$M$1,),)</f>
        <v>165442</v>
      </c>
      <c r="C61" s="113">
        <f>(Table53514[[#This Row],[Manufacturers'' New Orders: Durable Goods]]-B60)/B60</f>
        <v>5.1694107176911828E-2</v>
      </c>
    </row>
    <row r="62" spans="1:3">
      <c r="A62" s="74">
        <v>35339</v>
      </c>
      <c r="B62" s="75">
        <f>VLOOKUP(A62,Database!A:M,MATCH($A$1,Database!$A$1:$M$1,),)</f>
        <v>165266</v>
      </c>
      <c r="C62" s="113">
        <f>(Table53514[[#This Row],[Manufacturers'' New Orders: Durable Goods]]-B61)/B61</f>
        <v>-1.0638169267779645E-3</v>
      </c>
    </row>
    <row r="63" spans="1:3">
      <c r="A63" s="74">
        <v>35370</v>
      </c>
      <c r="B63" s="75">
        <f>VLOOKUP(A63,Database!A:M,MATCH($A$1,Database!$A$1:$M$1,),)</f>
        <v>170783</v>
      </c>
      <c r="C63" s="113">
        <f>(Table53514[[#This Row],[Manufacturers'' New Orders: Durable Goods]]-B62)/B62</f>
        <v>3.3382546924352254E-2</v>
      </c>
    </row>
    <row r="64" spans="1:3">
      <c r="A64" s="74">
        <v>35400</v>
      </c>
      <c r="B64" s="75">
        <f>VLOOKUP(A64,Database!A:M,MATCH($A$1,Database!$A$1:$M$1,),)</f>
        <v>162332</v>
      </c>
      <c r="C64" s="113">
        <f>(Table53514[[#This Row],[Manufacturers'' New Orders: Durable Goods]]-B63)/B63</f>
        <v>-4.9483847923973701E-2</v>
      </c>
    </row>
    <row r="65" spans="1:3">
      <c r="A65" s="74">
        <v>35431</v>
      </c>
      <c r="B65" s="75">
        <f>VLOOKUP(A65,Database!A:M,MATCH($A$1,Database!$A$1:$M$1,),)</f>
        <v>161827</v>
      </c>
      <c r="C65" s="113">
        <f>(Table53514[[#This Row],[Manufacturers'' New Orders: Durable Goods]]-B64)/B64</f>
        <v>-3.1109085084887762E-3</v>
      </c>
    </row>
    <row r="66" spans="1:3">
      <c r="A66" s="74">
        <v>35462</v>
      </c>
      <c r="B66" s="75">
        <f>VLOOKUP(A66,Database!A:M,MATCH($A$1,Database!$A$1:$M$1,),)</f>
        <v>170221</v>
      </c>
      <c r="C66" s="113">
        <f>(Table53514[[#This Row],[Manufacturers'' New Orders: Durable Goods]]-B65)/B65</f>
        <v>5.1870207072985348E-2</v>
      </c>
    </row>
    <row r="67" spans="1:3">
      <c r="A67" s="74">
        <v>35490</v>
      </c>
      <c r="B67" s="75">
        <f>VLOOKUP(A67,Database!A:M,MATCH($A$1,Database!$A$1:$M$1,),)</f>
        <v>167568</v>
      </c>
      <c r="C67" s="113">
        <f>(Table53514[[#This Row],[Manufacturers'' New Orders: Durable Goods]]-B66)/B66</f>
        <v>-1.5585621045581919E-2</v>
      </c>
    </row>
    <row r="68" spans="1:3">
      <c r="A68" s="74">
        <v>35521</v>
      </c>
      <c r="B68" s="75">
        <f>VLOOKUP(A68,Database!A:M,MATCH($A$1,Database!$A$1:$M$1,),)</f>
        <v>174054</v>
      </c>
      <c r="C68" s="113">
        <f>(Table53514[[#This Row],[Manufacturers'' New Orders: Durable Goods]]-B67)/B67</f>
        <v>3.8706674305356632E-2</v>
      </c>
    </row>
    <row r="69" spans="1:3">
      <c r="A69" s="74">
        <v>35551</v>
      </c>
      <c r="B69" s="75">
        <f>VLOOKUP(A69,Database!A:M,MATCH($A$1,Database!$A$1:$M$1,),)</f>
        <v>168586</v>
      </c>
      <c r="C69" s="113">
        <f>(Table53514[[#This Row],[Manufacturers'' New Orders: Durable Goods]]-B68)/B68</f>
        <v>-3.1415537706688729E-2</v>
      </c>
    </row>
    <row r="70" spans="1:3">
      <c r="A70" s="74">
        <v>35582</v>
      </c>
      <c r="B70" s="75">
        <f>VLOOKUP(A70,Database!A:M,MATCH($A$1,Database!$A$1:$M$1,),)</f>
        <v>174828</v>
      </c>
      <c r="C70" s="113">
        <f>(Table53514[[#This Row],[Manufacturers'' New Orders: Durable Goods]]-B69)/B69</f>
        <v>3.7025613040228729E-2</v>
      </c>
    </row>
    <row r="71" spans="1:3">
      <c r="A71" s="74">
        <v>35612</v>
      </c>
      <c r="B71" s="75">
        <f>VLOOKUP(A71,Database!A:M,MATCH($A$1,Database!$A$1:$M$1,),)</f>
        <v>178860</v>
      </c>
      <c r="C71" s="113">
        <f>(Table53514[[#This Row],[Manufacturers'' New Orders: Durable Goods]]-B70)/B70</f>
        <v>2.3062667307296315E-2</v>
      </c>
    </row>
    <row r="72" spans="1:3">
      <c r="A72" s="74">
        <v>35643</v>
      </c>
      <c r="B72" s="75">
        <f>VLOOKUP(A72,Database!A:M,MATCH($A$1,Database!$A$1:$M$1,),)</f>
        <v>177302</v>
      </c>
      <c r="C72" s="113">
        <f>(Table53514[[#This Row],[Manufacturers'' New Orders: Durable Goods]]-B71)/B71</f>
        <v>-8.7107234708710731E-3</v>
      </c>
    </row>
    <row r="73" spans="1:3">
      <c r="A73" s="74">
        <v>35674</v>
      </c>
      <c r="B73" s="75">
        <f>VLOOKUP(A73,Database!A:M,MATCH($A$1,Database!$A$1:$M$1,),)</f>
        <v>177835</v>
      </c>
      <c r="C73" s="113">
        <f>(Table53514[[#This Row],[Manufacturers'' New Orders: Durable Goods]]-B72)/B72</f>
        <v>3.0061702631668003E-3</v>
      </c>
    </row>
    <row r="74" spans="1:3">
      <c r="A74" s="74">
        <v>35704</v>
      </c>
      <c r="B74" s="75">
        <f>VLOOKUP(A74,Database!A:M,MATCH($A$1,Database!$A$1:$M$1,),)</f>
        <v>177801</v>
      </c>
      <c r="C74" s="113">
        <f>(Table53514[[#This Row],[Manufacturers'' New Orders: Durable Goods]]-B73)/B73</f>
        <v>-1.9118846121404673E-4</v>
      </c>
    </row>
    <row r="75" spans="1:3">
      <c r="A75" s="74">
        <v>35735</v>
      </c>
      <c r="B75" s="75">
        <f>VLOOKUP(A75,Database!A:M,MATCH($A$1,Database!$A$1:$M$1,),)</f>
        <v>191187</v>
      </c>
      <c r="C75" s="113">
        <f>(Table53514[[#This Row],[Manufacturers'' New Orders: Durable Goods]]-B74)/B74</f>
        <v>7.5286415711947621E-2</v>
      </c>
    </row>
    <row r="76" spans="1:3">
      <c r="A76" s="74">
        <v>35765</v>
      </c>
      <c r="B76" s="75">
        <f>VLOOKUP(A76,Database!A:M,MATCH($A$1,Database!$A$1:$M$1,),)</f>
        <v>173770</v>
      </c>
      <c r="C76" s="113">
        <f>(Table53514[[#This Row],[Manufacturers'' New Orders: Durable Goods]]-B75)/B75</f>
        <v>-9.1099290223707677E-2</v>
      </c>
    </row>
    <row r="77" spans="1:3">
      <c r="A77" s="74">
        <v>35796</v>
      </c>
      <c r="B77" s="75">
        <f>VLOOKUP(A77,Database!A:M,MATCH($A$1,Database!$A$1:$M$1,),)</f>
        <v>174288</v>
      </c>
      <c r="C77" s="113">
        <f>(Table53514[[#This Row],[Manufacturers'' New Orders: Durable Goods]]-B76)/B76</f>
        <v>2.9809518328825458E-3</v>
      </c>
    </row>
    <row r="78" spans="1:3">
      <c r="A78" s="74">
        <v>35827</v>
      </c>
      <c r="B78" s="75">
        <f>VLOOKUP(A78,Database!A:M,MATCH($A$1,Database!$A$1:$M$1,),)</f>
        <v>181270</v>
      </c>
      <c r="C78" s="113">
        <f>(Table53514[[#This Row],[Manufacturers'' New Orders: Durable Goods]]-B77)/B77</f>
        <v>4.0060130358946115E-2</v>
      </c>
    </row>
    <row r="79" spans="1:3">
      <c r="A79" s="74">
        <v>35855</v>
      </c>
      <c r="B79" s="75">
        <f>VLOOKUP(A79,Database!A:M,MATCH($A$1,Database!$A$1:$M$1,),)</f>
        <v>176886</v>
      </c>
      <c r="C79" s="113">
        <f>(Table53514[[#This Row],[Manufacturers'' New Orders: Durable Goods]]-B78)/B78</f>
        <v>-2.4184917526341922E-2</v>
      </c>
    </row>
    <row r="80" spans="1:3">
      <c r="A80" s="74">
        <v>35886</v>
      </c>
      <c r="B80" s="75">
        <f>VLOOKUP(A80,Database!A:M,MATCH($A$1,Database!$A$1:$M$1,),)</f>
        <v>180915</v>
      </c>
      <c r="C80" s="113">
        <f>(Table53514[[#This Row],[Manufacturers'' New Orders: Durable Goods]]-B79)/B79</f>
        <v>2.2777382042671553E-2</v>
      </c>
    </row>
    <row r="81" spans="1:3">
      <c r="A81" s="74">
        <v>35916</v>
      </c>
      <c r="B81" s="75">
        <f>VLOOKUP(A81,Database!A:M,MATCH($A$1,Database!$A$1:$M$1,),)</f>
        <v>180634</v>
      </c>
      <c r="C81" s="113">
        <f>(Table53514[[#This Row],[Manufacturers'' New Orders: Durable Goods]]-B80)/B80</f>
        <v>-1.5532155984854766E-3</v>
      </c>
    </row>
    <row r="82" spans="1:3">
      <c r="A82" s="74">
        <v>35947</v>
      </c>
      <c r="B82" s="75">
        <f>VLOOKUP(A82,Database!A:M,MATCH($A$1,Database!$A$1:$M$1,),)</f>
        <v>172189</v>
      </c>
      <c r="C82" s="113">
        <f>(Table53514[[#This Row],[Manufacturers'' New Orders: Durable Goods]]-B81)/B81</f>
        <v>-4.6751995748308732E-2</v>
      </c>
    </row>
    <row r="83" spans="1:3">
      <c r="A83" s="74">
        <v>35977</v>
      </c>
      <c r="B83" s="75">
        <f>VLOOKUP(A83,Database!A:M,MATCH($A$1,Database!$A$1:$M$1,),)</f>
        <v>170459</v>
      </c>
      <c r="C83" s="113">
        <f>(Table53514[[#This Row],[Manufacturers'' New Orders: Durable Goods]]-B82)/B82</f>
        <v>-1.0047099408208422E-2</v>
      </c>
    </row>
    <row r="84" spans="1:3">
      <c r="A84" s="74">
        <v>36008</v>
      </c>
      <c r="B84" s="75">
        <f>VLOOKUP(A84,Database!A:M,MATCH($A$1,Database!$A$1:$M$1,),)</f>
        <v>179033</v>
      </c>
      <c r="C84" s="113">
        <f>(Table53514[[#This Row],[Manufacturers'' New Orders: Durable Goods]]-B83)/B83</f>
        <v>5.0299485506778756E-2</v>
      </c>
    </row>
    <row r="85" spans="1:3">
      <c r="A85" s="74">
        <v>36039</v>
      </c>
      <c r="B85" s="75">
        <f>VLOOKUP(A85,Database!A:M,MATCH($A$1,Database!$A$1:$M$1,),)</f>
        <v>181422</v>
      </c>
      <c r="C85" s="113">
        <f>(Table53514[[#This Row],[Manufacturers'' New Orders: Durable Goods]]-B84)/B84</f>
        <v>1.334390866488301E-2</v>
      </c>
    </row>
    <row r="86" spans="1:3">
      <c r="A86" s="74">
        <v>36069</v>
      </c>
      <c r="B86" s="75">
        <f>VLOOKUP(A86,Database!A:M,MATCH($A$1,Database!$A$1:$M$1,),)</f>
        <v>178527</v>
      </c>
      <c r="C86" s="113">
        <f>(Table53514[[#This Row],[Manufacturers'' New Orders: Durable Goods]]-B85)/B85</f>
        <v>-1.5957270893276448E-2</v>
      </c>
    </row>
    <row r="87" spans="1:3">
      <c r="A87" s="74">
        <v>36100</v>
      </c>
      <c r="B87" s="75">
        <f>VLOOKUP(A87,Database!A:M,MATCH($A$1,Database!$A$1:$M$1,),)</f>
        <v>182400</v>
      </c>
      <c r="C87" s="113">
        <f>(Table53514[[#This Row],[Manufacturers'' New Orders: Durable Goods]]-B86)/B86</f>
        <v>2.1694197516342065E-2</v>
      </c>
    </row>
    <row r="88" spans="1:3">
      <c r="A88" s="74">
        <v>36130</v>
      </c>
      <c r="B88" s="75">
        <f>VLOOKUP(A88,Database!A:M,MATCH($A$1,Database!$A$1:$M$1,),)</f>
        <v>178424</v>
      </c>
      <c r="C88" s="113">
        <f>(Table53514[[#This Row],[Manufacturers'' New Orders: Durable Goods]]-B87)/B87</f>
        <v>-2.1798245614035087E-2</v>
      </c>
    </row>
    <row r="89" spans="1:3">
      <c r="A89" s="74">
        <v>36161</v>
      </c>
      <c r="B89" s="75">
        <f>VLOOKUP(A89,Database!A:M,MATCH($A$1,Database!$A$1:$M$1,),)</f>
        <v>186527</v>
      </c>
      <c r="C89" s="113">
        <f>(Table53514[[#This Row],[Manufacturers'' New Orders: Durable Goods]]-B88)/B88</f>
        <v>4.5414294041160382E-2</v>
      </c>
    </row>
    <row r="90" spans="1:3">
      <c r="A90" s="74">
        <v>36192</v>
      </c>
      <c r="B90" s="75">
        <f>VLOOKUP(A90,Database!A:M,MATCH($A$1,Database!$A$1:$M$1,),)</f>
        <v>185546</v>
      </c>
      <c r="C90" s="113">
        <f>(Table53514[[#This Row],[Manufacturers'' New Orders: Durable Goods]]-B89)/B89</f>
        <v>-5.2592922204292144E-3</v>
      </c>
    </row>
    <row r="91" spans="1:3">
      <c r="A91" s="74">
        <v>36220</v>
      </c>
      <c r="B91" s="75">
        <f>VLOOKUP(A91,Database!A:M,MATCH($A$1,Database!$A$1:$M$1,),)</f>
        <v>184689</v>
      </c>
      <c r="C91" s="113">
        <f>(Table53514[[#This Row],[Manufacturers'' New Orders: Durable Goods]]-B90)/B90</f>
        <v>-4.6188007286602781E-3</v>
      </c>
    </row>
    <row r="92" spans="1:3">
      <c r="A92" s="74">
        <v>36251</v>
      </c>
      <c r="B92" s="75">
        <f>VLOOKUP(A92,Database!A:M,MATCH($A$1,Database!$A$1:$M$1,),)</f>
        <v>182993</v>
      </c>
      <c r="C92" s="113">
        <f>(Table53514[[#This Row],[Manufacturers'' New Orders: Durable Goods]]-B91)/B91</f>
        <v>-9.1830049434454674E-3</v>
      </c>
    </row>
    <row r="93" spans="1:3">
      <c r="A93" s="74">
        <v>36281</v>
      </c>
      <c r="B93" s="75">
        <f>VLOOKUP(A93,Database!A:M,MATCH($A$1,Database!$A$1:$M$1,),)</f>
        <v>185963</v>
      </c>
      <c r="C93" s="113">
        <f>(Table53514[[#This Row],[Manufacturers'' New Orders: Durable Goods]]-B92)/B92</f>
        <v>1.6230129021328685E-2</v>
      </c>
    </row>
    <row r="94" spans="1:3">
      <c r="A94" s="74">
        <v>36312</v>
      </c>
      <c r="B94" s="75">
        <f>VLOOKUP(A94,Database!A:M,MATCH($A$1,Database!$A$1:$M$1,),)</f>
        <v>182590</v>
      </c>
      <c r="C94" s="113">
        <f>(Table53514[[#This Row],[Manufacturers'' New Orders: Durable Goods]]-B93)/B93</f>
        <v>-1.8138016702247222E-2</v>
      </c>
    </row>
    <row r="95" spans="1:3">
      <c r="A95" s="74">
        <v>36342</v>
      </c>
      <c r="B95" s="75">
        <f>VLOOKUP(A95,Database!A:M,MATCH($A$1,Database!$A$1:$M$1,),)</f>
        <v>189083</v>
      </c>
      <c r="C95" s="113">
        <f>(Table53514[[#This Row],[Manufacturers'' New Orders: Durable Goods]]-B94)/B94</f>
        <v>3.5560545484418643E-2</v>
      </c>
    </row>
    <row r="96" spans="1:3">
      <c r="A96" s="74">
        <v>36373</v>
      </c>
      <c r="B96" s="75">
        <f>VLOOKUP(A96,Database!A:M,MATCH($A$1,Database!$A$1:$M$1,),)</f>
        <v>189414</v>
      </c>
      <c r="C96" s="113">
        <f>(Table53514[[#This Row],[Manufacturers'' New Orders: Durable Goods]]-B95)/B95</f>
        <v>1.7505539895178307E-3</v>
      </c>
    </row>
    <row r="97" spans="1:3">
      <c r="A97" s="74">
        <v>36404</v>
      </c>
      <c r="B97" s="75">
        <f>VLOOKUP(A97,Database!A:M,MATCH($A$1,Database!$A$1:$M$1,),)</f>
        <v>188910</v>
      </c>
      <c r="C97" s="113">
        <f>(Table53514[[#This Row],[Manufacturers'' New Orders: Durable Goods]]-B96)/B96</f>
        <v>-2.6608381640216669E-3</v>
      </c>
    </row>
    <row r="98" spans="1:3">
      <c r="A98" s="74">
        <v>36434</v>
      </c>
      <c r="B98" s="75">
        <f>VLOOKUP(A98,Database!A:M,MATCH($A$1,Database!$A$1:$M$1,),)</f>
        <v>194547</v>
      </c>
      <c r="C98" s="113">
        <f>(Table53514[[#This Row],[Manufacturers'' New Orders: Durable Goods]]-B97)/B97</f>
        <v>2.9839606161664284E-2</v>
      </c>
    </row>
    <row r="99" spans="1:3">
      <c r="A99" s="74">
        <v>36465</v>
      </c>
      <c r="B99" s="75">
        <f>VLOOKUP(A99,Database!A:M,MATCH($A$1,Database!$A$1:$M$1,),)</f>
        <v>186597</v>
      </c>
      <c r="C99" s="113">
        <f>(Table53514[[#This Row],[Manufacturers'' New Orders: Durable Goods]]-B98)/B98</f>
        <v>-4.0864161359465835E-2</v>
      </c>
    </row>
    <row r="100" spans="1:3">
      <c r="A100" s="74">
        <v>36495</v>
      </c>
      <c r="B100" s="75">
        <f>VLOOKUP(A100,Database!A:M,MATCH($A$1,Database!$A$1:$M$1,),)</f>
        <v>196344</v>
      </c>
      <c r="C100" s="113">
        <f>(Table53514[[#This Row],[Manufacturers'' New Orders: Durable Goods]]-B99)/B99</f>
        <v>5.2235566488207208E-2</v>
      </c>
    </row>
    <row r="101" spans="1:3">
      <c r="A101" s="74">
        <v>36526</v>
      </c>
      <c r="B101" s="75">
        <f>VLOOKUP(A101,Database!A:M,MATCH($A$1,Database!$A$1:$M$1,),)</f>
        <v>201360</v>
      </c>
      <c r="C101" s="113">
        <f>(Table53514[[#This Row],[Manufacturers'' New Orders: Durable Goods]]-B100)/B100</f>
        <v>2.554699914435888E-2</v>
      </c>
    </row>
    <row r="102" spans="1:3">
      <c r="A102" s="74">
        <v>36557</v>
      </c>
      <c r="B102" s="75">
        <f>VLOOKUP(A102,Database!A:M,MATCH($A$1,Database!$A$1:$M$1,),)</f>
        <v>183911</v>
      </c>
      <c r="C102" s="113">
        <f>(Table53514[[#This Row],[Manufacturers'' New Orders: Durable Goods]]-B101)/B101</f>
        <v>-8.6655740961462058E-2</v>
      </c>
    </row>
    <row r="103" spans="1:3">
      <c r="A103" s="74">
        <v>36586</v>
      </c>
      <c r="B103" s="75">
        <f>VLOOKUP(A103,Database!A:M,MATCH($A$1,Database!$A$1:$M$1,),)</f>
        <v>192130</v>
      </c>
      <c r="C103" s="113">
        <f>(Table53514[[#This Row],[Manufacturers'' New Orders: Durable Goods]]-B102)/B102</f>
        <v>4.4690094665354438E-2</v>
      </c>
    </row>
    <row r="104" spans="1:3">
      <c r="A104" s="74">
        <v>36617</v>
      </c>
      <c r="B104" s="75">
        <f>VLOOKUP(A104,Database!A:M,MATCH($A$1,Database!$A$1:$M$1,),)</f>
        <v>195044</v>
      </c>
      <c r="C104" s="113">
        <f>(Table53514[[#This Row],[Manufacturers'' New Orders: Durable Goods]]-B103)/B103</f>
        <v>1.5166814136261905E-2</v>
      </c>
    </row>
    <row r="105" spans="1:3">
      <c r="A105" s="74">
        <v>36647</v>
      </c>
      <c r="B105" s="75">
        <f>VLOOKUP(A105,Database!A:M,MATCH($A$1,Database!$A$1:$M$1,),)</f>
        <v>188606</v>
      </c>
      <c r="C105" s="113">
        <f>(Table53514[[#This Row],[Manufacturers'' New Orders: Durable Goods]]-B104)/B104</f>
        <v>-3.3007936670699942E-2</v>
      </c>
    </row>
    <row r="106" spans="1:3">
      <c r="A106" s="74">
        <v>36678</v>
      </c>
      <c r="B106" s="75">
        <f>VLOOKUP(A106,Database!A:M,MATCH($A$1,Database!$A$1:$M$1,),)</f>
        <v>219745</v>
      </c>
      <c r="C106" s="113">
        <f>(Table53514[[#This Row],[Manufacturers'' New Orders: Durable Goods]]-B105)/B105</f>
        <v>0.16510079212750389</v>
      </c>
    </row>
    <row r="107" spans="1:3">
      <c r="A107" s="74">
        <v>36708</v>
      </c>
      <c r="B107" s="75">
        <f>VLOOKUP(A107,Database!A:M,MATCH($A$1,Database!$A$1:$M$1,),)</f>
        <v>189265</v>
      </c>
      <c r="C107" s="113">
        <f>(Table53514[[#This Row],[Manufacturers'' New Orders: Durable Goods]]-B106)/B106</f>
        <v>-0.1387062276729846</v>
      </c>
    </row>
    <row r="108" spans="1:3">
      <c r="A108" s="74">
        <v>36739</v>
      </c>
      <c r="B108" s="75">
        <f>VLOOKUP(A108,Database!A:M,MATCH($A$1,Database!$A$1:$M$1,),)</f>
        <v>188730</v>
      </c>
      <c r="C108" s="113">
        <f>(Table53514[[#This Row],[Manufacturers'' New Orders: Durable Goods]]-B107)/B107</f>
        <v>-2.8267244339946636E-3</v>
      </c>
    </row>
    <row r="109" spans="1:3">
      <c r="A109" s="74">
        <v>36770</v>
      </c>
      <c r="B109" s="75">
        <f>VLOOKUP(A109,Database!A:M,MATCH($A$1,Database!$A$1:$M$1,),)</f>
        <v>199947</v>
      </c>
      <c r="C109" s="113">
        <f>(Table53514[[#This Row],[Manufacturers'' New Orders: Durable Goods]]-B108)/B108</f>
        <v>5.9434112223811793E-2</v>
      </c>
    </row>
    <row r="110" spans="1:3">
      <c r="A110" s="74">
        <v>36800</v>
      </c>
      <c r="B110" s="75">
        <f>VLOOKUP(A110,Database!A:M,MATCH($A$1,Database!$A$1:$M$1,),)</f>
        <v>186158</v>
      </c>
      <c r="C110" s="113">
        <f>(Table53514[[#This Row],[Manufacturers'' New Orders: Durable Goods]]-B109)/B109</f>
        <v>-6.8963275267946003E-2</v>
      </c>
    </row>
    <row r="111" spans="1:3">
      <c r="A111" s="74">
        <v>36831</v>
      </c>
      <c r="B111" s="75">
        <f>VLOOKUP(A111,Database!A:M,MATCH($A$1,Database!$A$1:$M$1,),)</f>
        <v>189392</v>
      </c>
      <c r="C111" s="113">
        <f>(Table53514[[#This Row],[Manufacturers'' New Orders: Durable Goods]]-B110)/B110</f>
        <v>1.7372339625479433E-2</v>
      </c>
    </row>
    <row r="112" spans="1:3">
      <c r="A112" s="74">
        <v>36861</v>
      </c>
      <c r="B112" s="75">
        <f>VLOOKUP(A112,Database!A:M,MATCH($A$1,Database!$A$1:$M$1,),)</f>
        <v>188659</v>
      </c>
      <c r="C112" s="113">
        <f>(Table53514[[#This Row],[Manufacturers'' New Orders: Durable Goods]]-B111)/B111</f>
        <v>-3.8702796316634281E-3</v>
      </c>
    </row>
    <row r="113" spans="1:3">
      <c r="A113" s="74">
        <v>36892</v>
      </c>
      <c r="B113" s="75">
        <f>VLOOKUP(A113,Database!A:M,MATCH($A$1,Database!$A$1:$M$1,),)</f>
        <v>177056</v>
      </c>
      <c r="C113" s="113">
        <f>(Table53514[[#This Row],[Manufacturers'' New Orders: Durable Goods]]-B112)/B112</f>
        <v>-6.1502499218166112E-2</v>
      </c>
    </row>
    <row r="114" spans="1:3">
      <c r="A114" s="74">
        <v>36923</v>
      </c>
      <c r="B114" s="75">
        <f>VLOOKUP(A114,Database!A:M,MATCH($A$1,Database!$A$1:$M$1,),)</f>
        <v>180276</v>
      </c>
      <c r="C114" s="113">
        <f>(Table53514[[#This Row],[Manufacturers'' New Orders: Durable Goods]]-B113)/B113</f>
        <v>1.8186336526296764E-2</v>
      </c>
    </row>
    <row r="115" spans="1:3">
      <c r="A115" s="74">
        <v>36951</v>
      </c>
      <c r="B115" s="75">
        <f>VLOOKUP(A115,Database!A:M,MATCH($A$1,Database!$A$1:$M$1,),)</f>
        <v>182209</v>
      </c>
      <c r="C115" s="113">
        <f>(Table53514[[#This Row],[Manufacturers'' New Orders: Durable Goods]]-B114)/B114</f>
        <v>1.0722447802258759E-2</v>
      </c>
    </row>
    <row r="116" spans="1:3">
      <c r="A116" s="74">
        <v>36982</v>
      </c>
      <c r="B116" s="75">
        <f>VLOOKUP(A116,Database!A:M,MATCH($A$1,Database!$A$1:$M$1,),)</f>
        <v>171850</v>
      </c>
      <c r="C116" s="113">
        <f>(Table53514[[#This Row],[Manufacturers'' New Orders: Durable Goods]]-B115)/B115</f>
        <v>-5.6852295989769992E-2</v>
      </c>
    </row>
    <row r="117" spans="1:3">
      <c r="A117" s="74">
        <v>37012</v>
      </c>
      <c r="B117" s="75">
        <f>VLOOKUP(A117,Database!A:M,MATCH($A$1,Database!$A$1:$M$1,),)</f>
        <v>177749</v>
      </c>
      <c r="C117" s="113">
        <f>(Table53514[[#This Row],[Manufacturers'' New Orders: Durable Goods]]-B116)/B116</f>
        <v>3.4326447483270295E-2</v>
      </c>
    </row>
    <row r="118" spans="1:3">
      <c r="A118" s="74">
        <v>37043</v>
      </c>
      <c r="B118" s="75">
        <f>VLOOKUP(A118,Database!A:M,MATCH($A$1,Database!$A$1:$M$1,),)</f>
        <v>176350</v>
      </c>
      <c r="C118" s="113">
        <f>(Table53514[[#This Row],[Manufacturers'' New Orders: Durable Goods]]-B117)/B117</f>
        <v>-7.870649061316801E-3</v>
      </c>
    </row>
    <row r="119" spans="1:3">
      <c r="A119" s="74">
        <v>37073</v>
      </c>
      <c r="B119" s="75">
        <f>VLOOKUP(A119,Database!A:M,MATCH($A$1,Database!$A$1:$M$1,),)</f>
        <v>170129</v>
      </c>
      <c r="C119" s="113">
        <f>(Table53514[[#This Row],[Manufacturers'' New Orders: Durable Goods]]-B118)/B118</f>
        <v>-3.5276438899914941E-2</v>
      </c>
    </row>
    <row r="120" spans="1:3">
      <c r="A120" s="74">
        <v>37104</v>
      </c>
      <c r="B120" s="75">
        <f>VLOOKUP(A120,Database!A:M,MATCH($A$1,Database!$A$1:$M$1,),)</f>
        <v>170484</v>
      </c>
      <c r="C120" s="113">
        <f>(Table53514[[#This Row],[Manufacturers'' New Orders: Durable Goods]]-B119)/B119</f>
        <v>2.0866518935631199E-3</v>
      </c>
    </row>
    <row r="121" spans="1:3">
      <c r="A121" s="74">
        <v>37135</v>
      </c>
      <c r="B121" s="75">
        <f>VLOOKUP(A121,Database!A:M,MATCH($A$1,Database!$A$1:$M$1,),)</f>
        <v>164123</v>
      </c>
      <c r="C121" s="113">
        <f>(Table53514[[#This Row],[Manufacturers'' New Orders: Durable Goods]]-B120)/B120</f>
        <v>-3.7311419253419673E-2</v>
      </c>
    </row>
    <row r="122" spans="1:3">
      <c r="A122" s="74">
        <v>37165</v>
      </c>
      <c r="B122" s="75">
        <f>VLOOKUP(A122,Database!A:M,MATCH($A$1,Database!$A$1:$M$1,),)</f>
        <v>171530</v>
      </c>
      <c r="C122" s="113">
        <f>(Table53514[[#This Row],[Manufacturers'' New Orders: Durable Goods]]-B121)/B121</f>
        <v>4.5130786056798863E-2</v>
      </c>
    </row>
    <row r="123" spans="1:3">
      <c r="A123" s="74">
        <v>37196</v>
      </c>
      <c r="B123" s="75">
        <f>VLOOKUP(A123,Database!A:M,MATCH($A$1,Database!$A$1:$M$1,),)</f>
        <v>163811</v>
      </c>
      <c r="C123" s="113">
        <f>(Table53514[[#This Row],[Manufacturers'' New Orders: Durable Goods]]-B122)/B122</f>
        <v>-4.5000874482597798E-2</v>
      </c>
    </row>
    <row r="124" spans="1:3">
      <c r="A124" s="74">
        <v>37226</v>
      </c>
      <c r="B124" s="75">
        <f>VLOOKUP(A124,Database!A:M,MATCH($A$1,Database!$A$1:$M$1,),)</f>
        <v>165304</v>
      </c>
      <c r="C124" s="113">
        <f>(Table53514[[#This Row],[Manufacturers'' New Orders: Durable Goods]]-B123)/B123</f>
        <v>9.1141620526094102E-3</v>
      </c>
    </row>
    <row r="125" spans="1:3">
      <c r="A125" s="74">
        <v>37257</v>
      </c>
      <c r="B125" s="75">
        <f>VLOOKUP(A125,Database!A:M,MATCH($A$1,Database!$A$1:$M$1,),)</f>
        <v>163324</v>
      </c>
      <c r="C125" s="113">
        <f>(Table53514[[#This Row],[Manufacturers'' New Orders: Durable Goods]]-B124)/B124</f>
        <v>-1.197793156850409E-2</v>
      </c>
    </row>
    <row r="126" spans="1:3">
      <c r="A126" s="74">
        <v>37288</v>
      </c>
      <c r="B126" s="75">
        <f>VLOOKUP(A126,Database!A:M,MATCH($A$1,Database!$A$1:$M$1,),)</f>
        <v>172406</v>
      </c>
      <c r="C126" s="113">
        <f>(Table53514[[#This Row],[Manufacturers'' New Orders: Durable Goods]]-B125)/B125</f>
        <v>5.5607259190321078E-2</v>
      </c>
    </row>
    <row r="127" spans="1:3">
      <c r="A127" s="74">
        <v>37316</v>
      </c>
      <c r="B127" s="75">
        <f>VLOOKUP(A127,Database!A:M,MATCH($A$1,Database!$A$1:$M$1,),)</f>
        <v>167853</v>
      </c>
      <c r="C127" s="113">
        <f>(Table53514[[#This Row],[Manufacturers'' New Orders: Durable Goods]]-B126)/B126</f>
        <v>-2.6408593668433813E-2</v>
      </c>
    </row>
    <row r="128" spans="1:3">
      <c r="A128" s="74">
        <v>37347</v>
      </c>
      <c r="B128" s="75">
        <f>VLOOKUP(A128,Database!A:M,MATCH($A$1,Database!$A$1:$M$1,),)</f>
        <v>171852</v>
      </c>
      <c r="C128" s="113">
        <f>(Table53514[[#This Row],[Manufacturers'' New Orders: Durable Goods]]-B127)/B127</f>
        <v>2.3824417794141302E-2</v>
      </c>
    </row>
    <row r="129" spans="1:3">
      <c r="A129" s="74">
        <v>37377</v>
      </c>
      <c r="B129" s="75">
        <f>VLOOKUP(A129,Database!A:M,MATCH($A$1,Database!$A$1:$M$1,),)</f>
        <v>171854</v>
      </c>
      <c r="C129" s="113">
        <f>(Table53514[[#This Row],[Manufacturers'' New Orders: Durable Goods]]-B128)/B128</f>
        <v>1.163792100179224E-5</v>
      </c>
    </row>
    <row r="130" spans="1:3">
      <c r="A130" s="74">
        <v>37408</v>
      </c>
      <c r="B130" s="75">
        <f>VLOOKUP(A130,Database!A:M,MATCH($A$1,Database!$A$1:$M$1,),)</f>
        <v>166070</v>
      </c>
      <c r="C130" s="113">
        <f>(Table53514[[#This Row],[Manufacturers'' New Orders: Durable Goods]]-B129)/B129</f>
        <v>-3.3656475845776065E-2</v>
      </c>
    </row>
    <row r="131" spans="1:3">
      <c r="A131" s="74">
        <v>37438</v>
      </c>
      <c r="B131" s="75">
        <f>VLOOKUP(A131,Database!A:M,MATCH($A$1,Database!$A$1:$M$1,),)</f>
        <v>174282</v>
      </c>
      <c r="C131" s="113">
        <f>(Table53514[[#This Row],[Manufacturers'' New Orders: Durable Goods]]-B130)/B130</f>
        <v>4.9449027518516285E-2</v>
      </c>
    </row>
    <row r="132" spans="1:3">
      <c r="A132" s="74">
        <v>37469</v>
      </c>
      <c r="B132" s="75">
        <f>VLOOKUP(A132,Database!A:M,MATCH($A$1,Database!$A$1:$M$1,),)</f>
        <v>177126</v>
      </c>
      <c r="C132" s="113">
        <f>(Table53514[[#This Row],[Manufacturers'' New Orders: Durable Goods]]-B131)/B131</f>
        <v>1.6318380555651185E-2</v>
      </c>
    </row>
    <row r="133" spans="1:3">
      <c r="A133" s="74">
        <v>37500</v>
      </c>
      <c r="B133" s="75">
        <f>VLOOKUP(A133,Database!A:M,MATCH($A$1,Database!$A$1:$M$1,),)</f>
        <v>166838</v>
      </c>
      <c r="C133" s="113">
        <f>(Table53514[[#This Row],[Manufacturers'' New Orders: Durable Goods]]-B132)/B132</f>
        <v>-5.8082946602983188E-2</v>
      </c>
    </row>
    <row r="134" spans="1:3">
      <c r="A134" s="74">
        <v>37530</v>
      </c>
      <c r="B134" s="75">
        <f>VLOOKUP(A134,Database!A:M,MATCH($A$1,Database!$A$1:$M$1,),)</f>
        <v>169134</v>
      </c>
      <c r="C134" s="113">
        <f>(Table53514[[#This Row],[Manufacturers'' New Orders: Durable Goods]]-B133)/B133</f>
        <v>1.3761852815305866E-2</v>
      </c>
    </row>
    <row r="135" spans="1:3">
      <c r="A135" s="74">
        <v>37561</v>
      </c>
      <c r="B135" s="75">
        <f>VLOOKUP(A135,Database!A:M,MATCH($A$1,Database!$A$1:$M$1,),)</f>
        <v>170023</v>
      </c>
      <c r="C135" s="113">
        <f>(Table53514[[#This Row],[Manufacturers'' New Orders: Durable Goods]]-B134)/B134</f>
        <v>5.2561874017051568E-3</v>
      </c>
    </row>
    <row r="136" spans="1:3">
      <c r="A136" s="74">
        <v>37591</v>
      </c>
      <c r="B136" s="75">
        <f>VLOOKUP(A136,Database!A:M,MATCH($A$1,Database!$A$1:$M$1,),)</f>
        <v>163962</v>
      </c>
      <c r="C136" s="113">
        <f>(Table53514[[#This Row],[Manufacturers'' New Orders: Durable Goods]]-B135)/B135</f>
        <v>-3.5648118195773515E-2</v>
      </c>
    </row>
    <row r="137" spans="1:3">
      <c r="A137" s="74">
        <v>37622</v>
      </c>
      <c r="B137" s="75">
        <f>VLOOKUP(A137,Database!A:M,MATCH($A$1,Database!$A$1:$M$1,),)</f>
        <v>169994</v>
      </c>
      <c r="C137" s="113">
        <f>(Table53514[[#This Row],[Manufacturers'' New Orders: Durable Goods]]-B136)/B136</f>
        <v>3.6789012088166768E-2</v>
      </c>
    </row>
    <row r="138" spans="1:3">
      <c r="A138" s="74">
        <v>37653</v>
      </c>
      <c r="B138" s="75">
        <f>VLOOKUP(A138,Database!A:M,MATCH($A$1,Database!$A$1:$M$1,),)</f>
        <v>174113</v>
      </c>
      <c r="C138" s="113">
        <f>(Table53514[[#This Row],[Manufacturers'' New Orders: Durable Goods]]-B137)/B137</f>
        <v>2.4230266950598257E-2</v>
      </c>
    </row>
    <row r="139" spans="1:3">
      <c r="A139" s="74">
        <v>37681</v>
      </c>
      <c r="B139" s="75">
        <f>VLOOKUP(A139,Database!A:M,MATCH($A$1,Database!$A$1:$M$1,),)</f>
        <v>172245</v>
      </c>
      <c r="C139" s="113">
        <f>(Table53514[[#This Row],[Manufacturers'' New Orders: Durable Goods]]-B138)/B138</f>
        <v>-1.0728664717740777E-2</v>
      </c>
    </row>
    <row r="140" spans="1:3">
      <c r="A140" s="74">
        <v>37712</v>
      </c>
      <c r="B140" s="75">
        <f>VLOOKUP(A140,Database!A:M,MATCH($A$1,Database!$A$1:$M$1,),)</f>
        <v>169347</v>
      </c>
      <c r="C140" s="113">
        <f>(Table53514[[#This Row],[Manufacturers'' New Orders: Durable Goods]]-B139)/B139</f>
        <v>-1.6824871549246712E-2</v>
      </c>
    </row>
    <row r="141" spans="1:3">
      <c r="A141" s="74">
        <v>37742</v>
      </c>
      <c r="B141" s="75">
        <f>VLOOKUP(A141,Database!A:M,MATCH($A$1,Database!$A$1:$M$1,),)</f>
        <v>171542</v>
      </c>
      <c r="C141" s="113">
        <f>(Table53514[[#This Row],[Manufacturers'' New Orders: Durable Goods]]-B140)/B140</f>
        <v>1.2961552315659562E-2</v>
      </c>
    </row>
    <row r="142" spans="1:3">
      <c r="A142" s="74">
        <v>37773</v>
      </c>
      <c r="B142" s="75">
        <f>VLOOKUP(A142,Database!A:M,MATCH($A$1,Database!$A$1:$M$1,),)</f>
        <v>173507</v>
      </c>
      <c r="C142" s="113">
        <f>(Table53514[[#This Row],[Manufacturers'' New Orders: Durable Goods]]-B141)/B141</f>
        <v>1.1454920660829418E-2</v>
      </c>
    </row>
    <row r="143" spans="1:3">
      <c r="A143" s="74">
        <v>37803</v>
      </c>
      <c r="B143" s="75">
        <f>VLOOKUP(A143,Database!A:M,MATCH($A$1,Database!$A$1:$M$1,),)</f>
        <v>173320</v>
      </c>
      <c r="C143" s="113">
        <f>(Table53514[[#This Row],[Manufacturers'' New Orders: Durable Goods]]-B142)/B142</f>
        <v>-1.0777663149037216E-3</v>
      </c>
    </row>
    <row r="144" spans="1:3">
      <c r="A144" s="74">
        <v>37834</v>
      </c>
      <c r="B144" s="75">
        <f>VLOOKUP(A144,Database!A:M,MATCH($A$1,Database!$A$1:$M$1,),)</f>
        <v>173044</v>
      </c>
      <c r="C144" s="113">
        <f>(Table53514[[#This Row],[Manufacturers'' New Orders: Durable Goods]]-B143)/B143</f>
        <v>-1.5924301869374568E-3</v>
      </c>
    </row>
    <row r="145" spans="1:3">
      <c r="A145" s="74">
        <v>37865</v>
      </c>
      <c r="B145" s="75">
        <f>VLOOKUP(A145,Database!A:M,MATCH($A$1,Database!$A$1:$M$1,),)</f>
        <v>178690</v>
      </c>
      <c r="C145" s="113">
        <f>(Table53514[[#This Row],[Manufacturers'' New Orders: Durable Goods]]-B144)/B144</f>
        <v>3.2627539816462867E-2</v>
      </c>
    </row>
    <row r="146" spans="1:3">
      <c r="A146" s="74">
        <v>37895</v>
      </c>
      <c r="B146" s="75">
        <f>VLOOKUP(A146,Database!A:M,MATCH($A$1,Database!$A$1:$M$1,),)</f>
        <v>183704</v>
      </c>
      <c r="C146" s="113">
        <f>(Table53514[[#This Row],[Manufacturers'' New Orders: Durable Goods]]-B145)/B145</f>
        <v>2.8059768313839609E-2</v>
      </c>
    </row>
    <row r="147" spans="1:3">
      <c r="A147" s="74">
        <v>37926</v>
      </c>
      <c r="B147" s="75">
        <f>VLOOKUP(A147,Database!A:M,MATCH($A$1,Database!$A$1:$M$1,),)</f>
        <v>181685</v>
      </c>
      <c r="C147" s="113">
        <f>(Table53514[[#This Row],[Manufacturers'' New Orders: Durable Goods]]-B146)/B146</f>
        <v>-1.0990506466925053E-2</v>
      </c>
    </row>
    <row r="148" spans="1:3">
      <c r="A148" s="74">
        <v>37956</v>
      </c>
      <c r="B148" s="75">
        <f>VLOOKUP(A148,Database!A:M,MATCH($A$1,Database!$A$1:$M$1,),)</f>
        <v>181513</v>
      </c>
      <c r="C148" s="113">
        <f>(Table53514[[#This Row],[Manufacturers'' New Orders: Durable Goods]]-B147)/B147</f>
        <v>-9.4669345295428906E-4</v>
      </c>
    </row>
    <row r="149" spans="1:3">
      <c r="A149" s="74">
        <v>37987</v>
      </c>
      <c r="B149" s="75">
        <f>VLOOKUP(A149,Database!A:M,MATCH($A$1,Database!$A$1:$M$1,),)</f>
        <v>178696</v>
      </c>
      <c r="C149" s="113">
        <f>(Table53514[[#This Row],[Manufacturers'' New Orders: Durable Goods]]-B148)/B148</f>
        <v>-1.5519549563943079E-2</v>
      </c>
    </row>
    <row r="150" spans="1:3">
      <c r="A150" s="74">
        <v>38018</v>
      </c>
      <c r="B150" s="75">
        <f>VLOOKUP(A150,Database!A:M,MATCH($A$1,Database!$A$1:$M$1,),)</f>
        <v>181662</v>
      </c>
      <c r="C150" s="113">
        <f>(Table53514[[#This Row],[Manufacturers'' New Orders: Durable Goods]]-B149)/B149</f>
        <v>1.659802122039665E-2</v>
      </c>
    </row>
    <row r="151" spans="1:3">
      <c r="A151" s="74">
        <v>38047</v>
      </c>
      <c r="B151" s="75">
        <f>VLOOKUP(A151,Database!A:M,MATCH($A$1,Database!$A$1:$M$1,),)</f>
        <v>190869</v>
      </c>
      <c r="C151" s="113">
        <f>(Table53514[[#This Row],[Manufacturers'' New Orders: Durable Goods]]-B150)/B150</f>
        <v>5.0682035868811308E-2</v>
      </c>
    </row>
    <row r="152" spans="1:3">
      <c r="A152" s="74">
        <v>38078</v>
      </c>
      <c r="B152" s="75">
        <f>VLOOKUP(A152,Database!A:M,MATCH($A$1,Database!$A$1:$M$1,),)</f>
        <v>184368</v>
      </c>
      <c r="C152" s="113">
        <f>(Table53514[[#This Row],[Manufacturers'' New Orders: Durable Goods]]-B151)/B151</f>
        <v>-3.4060009744903572E-2</v>
      </c>
    </row>
    <row r="153" spans="1:3">
      <c r="A153" s="74">
        <v>38108</v>
      </c>
      <c r="B153" s="75">
        <f>VLOOKUP(A153,Database!A:M,MATCH($A$1,Database!$A$1:$M$1,),)</f>
        <v>183459</v>
      </c>
      <c r="C153" s="113">
        <f>(Table53514[[#This Row],[Manufacturers'' New Orders: Durable Goods]]-B152)/B152</f>
        <v>-4.9303566779484512E-3</v>
      </c>
    </row>
    <row r="154" spans="1:3">
      <c r="A154" s="74">
        <v>38139</v>
      </c>
      <c r="B154" s="75">
        <f>VLOOKUP(A154,Database!A:M,MATCH($A$1,Database!$A$1:$M$1,),)</f>
        <v>185640</v>
      </c>
      <c r="C154" s="113">
        <f>(Table53514[[#This Row],[Manufacturers'' New Orders: Durable Goods]]-B153)/B153</f>
        <v>1.1888214805487875E-2</v>
      </c>
    </row>
    <row r="155" spans="1:3">
      <c r="A155" s="74">
        <v>38169</v>
      </c>
      <c r="B155" s="75">
        <f>VLOOKUP(A155,Database!A:M,MATCH($A$1,Database!$A$1:$M$1,),)</f>
        <v>186835</v>
      </c>
      <c r="C155" s="113">
        <f>(Table53514[[#This Row],[Manufacturers'' New Orders: Durable Goods]]-B154)/B154</f>
        <v>6.4371902607196722E-3</v>
      </c>
    </row>
    <row r="156" spans="1:3">
      <c r="A156" s="74">
        <v>38200</v>
      </c>
      <c r="B156" s="75">
        <f>VLOOKUP(A156,Database!A:M,MATCH($A$1,Database!$A$1:$M$1,),)</f>
        <v>183728</v>
      </c>
      <c r="C156" s="113">
        <f>(Table53514[[#This Row],[Manufacturers'' New Orders: Durable Goods]]-B155)/B155</f>
        <v>-1.662964647951401E-2</v>
      </c>
    </row>
    <row r="157" spans="1:3">
      <c r="A157" s="74">
        <v>38231</v>
      </c>
      <c r="B157" s="75">
        <f>VLOOKUP(A157,Database!A:M,MATCH($A$1,Database!$A$1:$M$1,),)</f>
        <v>188444</v>
      </c>
      <c r="C157" s="113">
        <f>(Table53514[[#This Row],[Manufacturers'' New Orders: Durable Goods]]-B156)/B156</f>
        <v>2.5668379343377165E-2</v>
      </c>
    </row>
    <row r="158" spans="1:3">
      <c r="A158" s="74">
        <v>38261</v>
      </c>
      <c r="B158" s="75">
        <f>VLOOKUP(A158,Database!A:M,MATCH($A$1,Database!$A$1:$M$1,),)</f>
        <v>185187</v>
      </c>
      <c r="C158" s="113">
        <f>(Table53514[[#This Row],[Manufacturers'' New Orders: Durable Goods]]-B157)/B157</f>
        <v>-1.7283649253889751E-2</v>
      </c>
    </row>
    <row r="159" spans="1:3">
      <c r="A159" s="74">
        <v>38292</v>
      </c>
      <c r="B159" s="75">
        <f>VLOOKUP(A159,Database!A:M,MATCH($A$1,Database!$A$1:$M$1,),)</f>
        <v>192545</v>
      </c>
      <c r="C159" s="113">
        <f>(Table53514[[#This Row],[Manufacturers'' New Orders: Durable Goods]]-B158)/B158</f>
        <v>3.973281061845594E-2</v>
      </c>
    </row>
    <row r="160" spans="1:3">
      <c r="A160" s="74">
        <v>38322</v>
      </c>
      <c r="B160" s="75">
        <f>VLOOKUP(A160,Database!A:M,MATCH($A$1,Database!$A$1:$M$1,),)</f>
        <v>193578</v>
      </c>
      <c r="C160" s="113">
        <f>(Table53514[[#This Row],[Manufacturers'' New Orders: Durable Goods]]-B159)/B159</f>
        <v>5.364979615154899E-3</v>
      </c>
    </row>
    <row r="161" spans="1:3">
      <c r="A161" s="74">
        <v>38353</v>
      </c>
      <c r="B161" s="75">
        <f>VLOOKUP(A161,Database!A:M,MATCH($A$1,Database!$A$1:$M$1,),)</f>
        <v>194875</v>
      </c>
      <c r="C161" s="113">
        <f>(Table53514[[#This Row],[Manufacturers'' New Orders: Durable Goods]]-B160)/B160</f>
        <v>6.7001415450102797E-3</v>
      </c>
    </row>
    <row r="162" spans="1:3">
      <c r="A162" s="74">
        <v>38384</v>
      </c>
      <c r="B162" s="75">
        <f>VLOOKUP(A162,Database!A:M,MATCH($A$1,Database!$A$1:$M$1,),)</f>
        <v>196475</v>
      </c>
      <c r="C162" s="113">
        <f>(Table53514[[#This Row],[Manufacturers'' New Orders: Durable Goods]]-B161)/B161</f>
        <v>8.2103912764592696E-3</v>
      </c>
    </row>
    <row r="163" spans="1:3">
      <c r="A163" s="74">
        <v>38412</v>
      </c>
      <c r="B163" s="75">
        <f>VLOOKUP(A163,Database!A:M,MATCH($A$1,Database!$A$1:$M$1,),)</f>
        <v>186608</v>
      </c>
      <c r="C163" s="113">
        <f>(Table53514[[#This Row],[Manufacturers'' New Orders: Durable Goods]]-B162)/B162</f>
        <v>-5.0220129787504772E-2</v>
      </c>
    </row>
    <row r="164" spans="1:3">
      <c r="A164" s="74">
        <v>38443</v>
      </c>
      <c r="B164" s="75">
        <f>VLOOKUP(A164,Database!A:M,MATCH($A$1,Database!$A$1:$M$1,),)</f>
        <v>194847</v>
      </c>
      <c r="C164" s="113">
        <f>(Table53514[[#This Row],[Manufacturers'' New Orders: Durable Goods]]-B163)/B163</f>
        <v>4.415137614678899E-2</v>
      </c>
    </row>
    <row r="165" spans="1:3">
      <c r="A165" s="74">
        <v>38473</v>
      </c>
      <c r="B165" s="75">
        <f>VLOOKUP(A165,Database!A:M,MATCH($A$1,Database!$A$1:$M$1,),)</f>
        <v>206623</v>
      </c>
      <c r="C165" s="113">
        <f>(Table53514[[#This Row],[Manufacturers'' New Orders: Durable Goods]]-B164)/B164</f>
        <v>6.0437163518042361E-2</v>
      </c>
    </row>
    <row r="166" spans="1:3">
      <c r="A166" s="74">
        <v>38504</v>
      </c>
      <c r="B166" s="75">
        <f>VLOOKUP(A166,Database!A:M,MATCH($A$1,Database!$A$1:$M$1,),)</f>
        <v>210020</v>
      </c>
      <c r="C166" s="113">
        <f>(Table53514[[#This Row],[Manufacturers'' New Orders: Durable Goods]]-B165)/B165</f>
        <v>1.6440570507639519E-2</v>
      </c>
    </row>
    <row r="167" spans="1:3">
      <c r="A167" s="74">
        <v>38534</v>
      </c>
      <c r="B167" s="75">
        <f>VLOOKUP(A167,Database!A:M,MATCH($A$1,Database!$A$1:$M$1,),)</f>
        <v>194475</v>
      </c>
      <c r="C167" s="113">
        <f>(Table53514[[#This Row],[Manufacturers'' New Orders: Durable Goods]]-B166)/B166</f>
        <v>-7.401676030854204E-2</v>
      </c>
    </row>
    <row r="168" spans="1:3">
      <c r="A168" s="74">
        <v>38565</v>
      </c>
      <c r="B168" s="75">
        <f>VLOOKUP(A168,Database!A:M,MATCH($A$1,Database!$A$1:$M$1,),)</f>
        <v>204839</v>
      </c>
      <c r="C168" s="113">
        <f>(Table53514[[#This Row],[Manufacturers'' New Orders: Durable Goods]]-B167)/B167</f>
        <v>5.3292196940480784E-2</v>
      </c>
    </row>
    <row r="169" spans="1:3">
      <c r="A169" s="74">
        <v>38596</v>
      </c>
      <c r="B169" s="75">
        <f>VLOOKUP(A169,Database!A:M,MATCH($A$1,Database!$A$1:$M$1,),)</f>
        <v>203997</v>
      </c>
      <c r="C169" s="113">
        <f>(Table53514[[#This Row],[Manufacturers'' New Orders: Durable Goods]]-B168)/B168</f>
        <v>-4.1105453551325676E-3</v>
      </c>
    </row>
    <row r="170" spans="1:3">
      <c r="A170" s="74">
        <v>38626</v>
      </c>
      <c r="B170" s="75">
        <f>VLOOKUP(A170,Database!A:M,MATCH($A$1,Database!$A$1:$M$1,),)</f>
        <v>209901</v>
      </c>
      <c r="C170" s="113">
        <f>(Table53514[[#This Row],[Manufacturers'' New Orders: Durable Goods]]-B169)/B169</f>
        <v>2.8941602082383566E-2</v>
      </c>
    </row>
    <row r="171" spans="1:3">
      <c r="A171" s="74">
        <v>38657</v>
      </c>
      <c r="B171" s="75">
        <f>VLOOKUP(A171,Database!A:M,MATCH($A$1,Database!$A$1:$M$1,),)</f>
        <v>220733</v>
      </c>
      <c r="C171" s="113">
        <f>(Table53514[[#This Row],[Manufacturers'' New Orders: Durable Goods]]-B170)/B170</f>
        <v>5.1605280584656577E-2</v>
      </c>
    </row>
    <row r="172" spans="1:3">
      <c r="A172" s="74">
        <v>38687</v>
      </c>
      <c r="B172" s="75">
        <f>VLOOKUP(A172,Database!A:M,MATCH($A$1,Database!$A$1:$M$1,),)</f>
        <v>221499</v>
      </c>
      <c r="C172" s="113">
        <f>(Table53514[[#This Row],[Manufacturers'' New Orders: Durable Goods]]-B171)/B171</f>
        <v>3.4702559200482032E-3</v>
      </c>
    </row>
    <row r="173" spans="1:3">
      <c r="A173" s="74">
        <v>38718</v>
      </c>
      <c r="B173" s="75">
        <f>VLOOKUP(A173,Database!A:M,MATCH($A$1,Database!$A$1:$M$1,),)</f>
        <v>209540</v>
      </c>
      <c r="C173" s="113">
        <f>(Table53514[[#This Row],[Manufacturers'' New Orders: Durable Goods]]-B172)/B172</f>
        <v>-5.3991214407288518E-2</v>
      </c>
    </row>
    <row r="174" spans="1:3">
      <c r="A174" s="74">
        <v>38749</v>
      </c>
      <c r="B174" s="75">
        <f>VLOOKUP(A174,Database!A:M,MATCH($A$1,Database!$A$1:$M$1,),)</f>
        <v>219738</v>
      </c>
      <c r="C174" s="113">
        <f>(Table53514[[#This Row],[Manufacturers'' New Orders: Durable Goods]]-B173)/B173</f>
        <v>4.8668511978619836E-2</v>
      </c>
    </row>
    <row r="175" spans="1:3">
      <c r="A175" s="74">
        <v>38777</v>
      </c>
      <c r="B175" s="75">
        <f>VLOOKUP(A175,Database!A:M,MATCH($A$1,Database!$A$1:$M$1,),)</f>
        <v>227188</v>
      </c>
      <c r="C175" s="113">
        <f>(Table53514[[#This Row],[Manufacturers'' New Orders: Durable Goods]]-B174)/B174</f>
        <v>3.3904012960889789E-2</v>
      </c>
    </row>
    <row r="176" spans="1:3">
      <c r="A176" s="74">
        <v>38808</v>
      </c>
      <c r="B176" s="75">
        <f>VLOOKUP(A176,Database!A:M,MATCH($A$1,Database!$A$1:$M$1,),)</f>
        <v>214625</v>
      </c>
      <c r="C176" s="113">
        <f>(Table53514[[#This Row],[Manufacturers'' New Orders: Durable Goods]]-B175)/B175</f>
        <v>-5.5297815025441482E-2</v>
      </c>
    </row>
    <row r="177" spans="1:3">
      <c r="A177" s="74">
        <v>38838</v>
      </c>
      <c r="B177" s="75">
        <f>VLOOKUP(A177,Database!A:M,MATCH($A$1,Database!$A$1:$M$1,),)</f>
        <v>215819</v>
      </c>
      <c r="C177" s="113">
        <f>(Table53514[[#This Row],[Manufacturers'' New Orders: Durable Goods]]-B176)/B176</f>
        <v>5.5631916132789748E-3</v>
      </c>
    </row>
    <row r="178" spans="1:3">
      <c r="A178" s="74">
        <v>38869</v>
      </c>
      <c r="B178" s="75">
        <f>VLOOKUP(A178,Database!A:M,MATCH($A$1,Database!$A$1:$M$1,),)</f>
        <v>221220</v>
      </c>
      <c r="C178" s="113">
        <f>(Table53514[[#This Row],[Manufacturers'' New Orders: Durable Goods]]-B177)/B177</f>
        <v>2.5025600155686015E-2</v>
      </c>
    </row>
    <row r="179" spans="1:3">
      <c r="A179" s="74">
        <v>38899</v>
      </c>
      <c r="B179" s="75">
        <f>VLOOKUP(A179,Database!A:M,MATCH($A$1,Database!$A$1:$M$1,),)</f>
        <v>209494</v>
      </c>
      <c r="C179" s="113">
        <f>(Table53514[[#This Row],[Manufacturers'' New Orders: Durable Goods]]-B178)/B178</f>
        <v>-5.3006057318506467E-2</v>
      </c>
    </row>
    <row r="180" spans="1:3">
      <c r="A180" s="74">
        <v>38930</v>
      </c>
      <c r="B180" s="75">
        <f>VLOOKUP(A180,Database!A:M,MATCH($A$1,Database!$A$1:$M$1,),)</f>
        <v>210473</v>
      </c>
      <c r="C180" s="113">
        <f>(Table53514[[#This Row],[Manufacturers'' New Orders: Durable Goods]]-B179)/B179</f>
        <v>4.6731648639101835E-3</v>
      </c>
    </row>
    <row r="181" spans="1:3">
      <c r="A181" s="74">
        <v>38961</v>
      </c>
      <c r="B181" s="75">
        <f>VLOOKUP(A181,Database!A:M,MATCH($A$1,Database!$A$1:$M$1,),)</f>
        <v>234701</v>
      </c>
      <c r="C181" s="113">
        <f>(Table53514[[#This Row],[Manufacturers'' New Orders: Durable Goods]]-B180)/B180</f>
        <v>0.11511215215253263</v>
      </c>
    </row>
    <row r="182" spans="1:3">
      <c r="A182" s="74">
        <v>38991</v>
      </c>
      <c r="B182" s="75">
        <f>VLOOKUP(A182,Database!A:M,MATCH($A$1,Database!$A$1:$M$1,),)</f>
        <v>216952</v>
      </c>
      <c r="C182" s="113">
        <f>(Table53514[[#This Row],[Manufacturers'' New Orders: Durable Goods]]-B181)/B181</f>
        <v>-7.5623878892718821E-2</v>
      </c>
    </row>
    <row r="183" spans="1:3">
      <c r="A183" s="74">
        <v>39022</v>
      </c>
      <c r="B183" s="75">
        <f>VLOOKUP(A183,Database!A:M,MATCH($A$1,Database!$A$1:$M$1,),)</f>
        <v>224809</v>
      </c>
      <c r="C183" s="113">
        <f>(Table53514[[#This Row],[Manufacturers'' New Orders: Durable Goods]]-B182)/B182</f>
        <v>3.6215384048084366E-2</v>
      </c>
    </row>
    <row r="184" spans="1:3">
      <c r="A184" s="74">
        <v>39052</v>
      </c>
      <c r="B184" s="75">
        <f>VLOOKUP(A184,Database!A:M,MATCH($A$1,Database!$A$1:$M$1,),)</f>
        <v>229243</v>
      </c>
      <c r="C184" s="113">
        <f>(Table53514[[#This Row],[Manufacturers'' New Orders: Durable Goods]]-B183)/B183</f>
        <v>1.972340964996953E-2</v>
      </c>
    </row>
    <row r="185" spans="1:3">
      <c r="A185" s="74">
        <v>39083</v>
      </c>
      <c r="B185" s="75">
        <f>VLOOKUP(A185,Database!A:M,MATCH($A$1,Database!$A$1:$M$1,),)</f>
        <v>222969</v>
      </c>
      <c r="C185" s="113">
        <f>(Table53514[[#This Row],[Manufacturers'' New Orders: Durable Goods]]-B184)/B184</f>
        <v>-2.7368338400736335E-2</v>
      </c>
    </row>
    <row r="186" spans="1:3">
      <c r="A186" s="74">
        <v>39114</v>
      </c>
      <c r="B186" s="75">
        <f>VLOOKUP(A186,Database!A:M,MATCH($A$1,Database!$A$1:$M$1,),)</f>
        <v>220962</v>
      </c>
      <c r="C186" s="113">
        <f>(Table53514[[#This Row],[Manufacturers'' New Orders: Durable Goods]]-B185)/B185</f>
        <v>-9.0012512950230755E-3</v>
      </c>
    </row>
    <row r="187" spans="1:3">
      <c r="A187" s="74">
        <v>39142</v>
      </c>
      <c r="B187" s="75">
        <f>VLOOKUP(A187,Database!A:M,MATCH($A$1,Database!$A$1:$M$1,),)</f>
        <v>229526</v>
      </c>
      <c r="C187" s="113">
        <f>(Table53514[[#This Row],[Manufacturers'' New Orders: Durable Goods]]-B186)/B186</f>
        <v>3.875779545804256E-2</v>
      </c>
    </row>
    <row r="188" spans="1:3">
      <c r="A188" s="74">
        <v>39173</v>
      </c>
      <c r="B188" s="75">
        <f>VLOOKUP(A188,Database!A:M,MATCH($A$1,Database!$A$1:$M$1,),)</f>
        <v>233420</v>
      </c>
      <c r="C188" s="113">
        <f>(Table53514[[#This Row],[Manufacturers'' New Orders: Durable Goods]]-B187)/B187</f>
        <v>1.6965398255535322E-2</v>
      </c>
    </row>
    <row r="189" spans="1:3">
      <c r="A189" s="74">
        <v>39203</v>
      </c>
      <c r="B189" s="75">
        <f>VLOOKUP(A189,Database!A:M,MATCH($A$1,Database!$A$1:$M$1,),)</f>
        <v>228836</v>
      </c>
      <c r="C189" s="113">
        <f>(Table53514[[#This Row],[Manufacturers'' New Orders: Durable Goods]]-B188)/B188</f>
        <v>-1.9638420015422844E-2</v>
      </c>
    </row>
    <row r="190" spans="1:3">
      <c r="A190" s="74">
        <v>39234</v>
      </c>
      <c r="B190" s="75">
        <f>VLOOKUP(A190,Database!A:M,MATCH($A$1,Database!$A$1:$M$1,),)</f>
        <v>228868</v>
      </c>
      <c r="C190" s="113">
        <f>(Table53514[[#This Row],[Manufacturers'' New Orders: Durable Goods]]-B189)/B189</f>
        <v>1.3983813735601042E-4</v>
      </c>
    </row>
    <row r="191" spans="1:3">
      <c r="A191" s="74">
        <v>39264</v>
      </c>
      <c r="B191" s="75">
        <f>VLOOKUP(A191,Database!A:M,MATCH($A$1,Database!$A$1:$M$1,),)</f>
        <v>233176</v>
      </c>
      <c r="C191" s="113">
        <f>(Table53514[[#This Row],[Manufacturers'' New Orders: Durable Goods]]-B190)/B190</f>
        <v>1.8823077057517869E-2</v>
      </c>
    </row>
    <row r="192" spans="1:3">
      <c r="A192" s="74">
        <v>39295</v>
      </c>
      <c r="B192" s="75">
        <f>VLOOKUP(A192,Database!A:M,MATCH($A$1,Database!$A$1:$M$1,),)</f>
        <v>235758</v>
      </c>
      <c r="C192" s="113">
        <f>(Table53514[[#This Row],[Manufacturers'' New Orders: Durable Goods]]-B191)/B191</f>
        <v>1.107318077332144E-2</v>
      </c>
    </row>
    <row r="193" spans="1:3">
      <c r="A193" s="74">
        <v>39326</v>
      </c>
      <c r="B193" s="75">
        <f>VLOOKUP(A193,Database!A:M,MATCH($A$1,Database!$A$1:$M$1,),)</f>
        <v>226473</v>
      </c>
      <c r="C193" s="113">
        <f>(Table53514[[#This Row],[Manufacturers'' New Orders: Durable Goods]]-B192)/B192</f>
        <v>-3.9383605222304226E-2</v>
      </c>
    </row>
    <row r="194" spans="1:3">
      <c r="A194" s="74">
        <v>39356</v>
      </c>
      <c r="B194" s="75">
        <f>VLOOKUP(A194,Database!A:M,MATCH($A$1,Database!$A$1:$M$1,),)</f>
        <v>230700</v>
      </c>
      <c r="C194" s="113">
        <f>(Table53514[[#This Row],[Manufacturers'' New Orders: Durable Goods]]-B193)/B193</f>
        <v>1.8664476560119748E-2</v>
      </c>
    </row>
    <row r="195" spans="1:3">
      <c r="A195" s="74">
        <v>39387</v>
      </c>
      <c r="B195" s="75">
        <f>VLOOKUP(A195,Database!A:M,MATCH($A$1,Database!$A$1:$M$1,),)</f>
        <v>227005</v>
      </c>
      <c r="C195" s="113">
        <f>(Table53514[[#This Row],[Manufacturers'' New Orders: Durable Goods]]-B194)/B194</f>
        <v>-1.6016471608149112E-2</v>
      </c>
    </row>
    <row r="196" spans="1:3">
      <c r="A196" s="74">
        <v>39417</v>
      </c>
      <c r="B196" s="75">
        <f>VLOOKUP(A196,Database!A:M,MATCH($A$1,Database!$A$1:$M$1,),)</f>
        <v>244443</v>
      </c>
      <c r="C196" s="113">
        <f>(Table53514[[#This Row],[Manufacturers'' New Orders: Durable Goods]]-B195)/B195</f>
        <v>7.6817691240281052E-2</v>
      </c>
    </row>
    <row r="197" spans="1:3">
      <c r="A197" s="74">
        <v>39448</v>
      </c>
      <c r="B197" s="75">
        <f>VLOOKUP(A197,Database!A:M,MATCH($A$1,Database!$A$1:$M$1,),)</f>
        <v>239389</v>
      </c>
      <c r="C197" s="113">
        <f>(Table53514[[#This Row],[Manufacturers'' New Orders: Durable Goods]]-B196)/B196</f>
        <v>-2.0675576719316979E-2</v>
      </c>
    </row>
    <row r="198" spans="1:3">
      <c r="A198" s="74">
        <v>39479</v>
      </c>
      <c r="B198" s="75">
        <f>VLOOKUP(A198,Database!A:M,MATCH($A$1,Database!$A$1:$M$1,),)</f>
        <v>235037</v>
      </c>
      <c r="C198" s="113">
        <f>(Table53514[[#This Row],[Manufacturers'' New Orders: Durable Goods]]-B197)/B197</f>
        <v>-1.8179615604727035E-2</v>
      </c>
    </row>
    <row r="199" spans="1:3">
      <c r="A199" s="74">
        <v>39508</v>
      </c>
      <c r="B199" s="75">
        <f>VLOOKUP(A199,Database!A:M,MATCH($A$1,Database!$A$1:$M$1,),)</f>
        <v>234868</v>
      </c>
      <c r="C199" s="113">
        <f>(Table53514[[#This Row],[Manufacturers'' New Orders: Durable Goods]]-B198)/B198</f>
        <v>-7.1903572628990325E-4</v>
      </c>
    </row>
    <row r="200" spans="1:3">
      <c r="A200" s="74">
        <v>39539</v>
      </c>
      <c r="B200" s="75">
        <f>VLOOKUP(A200,Database!A:M,MATCH($A$1,Database!$A$1:$M$1,),)</f>
        <v>231086</v>
      </c>
      <c r="C200" s="113">
        <f>(Table53514[[#This Row],[Manufacturers'' New Orders: Durable Goods]]-B199)/B199</f>
        <v>-1.6102661920738458E-2</v>
      </c>
    </row>
    <row r="201" spans="1:3">
      <c r="A201" s="74">
        <v>39569</v>
      </c>
      <c r="B201" s="75">
        <f>VLOOKUP(A201,Database!A:M,MATCH($A$1,Database!$A$1:$M$1,),)</f>
        <v>227370</v>
      </c>
      <c r="C201" s="113">
        <f>(Table53514[[#This Row],[Manufacturers'' New Orders: Durable Goods]]-B200)/B200</f>
        <v>-1.6080593372164477E-2</v>
      </c>
    </row>
    <row r="202" spans="1:3">
      <c r="A202" s="74">
        <v>39600</v>
      </c>
      <c r="B202" s="75">
        <f>VLOOKUP(A202,Database!A:M,MATCH($A$1,Database!$A$1:$M$1,),)</f>
        <v>229262</v>
      </c>
      <c r="C202" s="113">
        <f>(Table53514[[#This Row],[Manufacturers'' New Orders: Durable Goods]]-B201)/B201</f>
        <v>8.3212385099177555E-3</v>
      </c>
    </row>
    <row r="203" spans="1:3">
      <c r="A203" s="74">
        <v>39630</v>
      </c>
      <c r="B203" s="75">
        <f>VLOOKUP(A203,Database!A:M,MATCH($A$1,Database!$A$1:$M$1,),)</f>
        <v>220411</v>
      </c>
      <c r="C203" s="113">
        <f>(Table53514[[#This Row],[Manufacturers'' New Orders: Durable Goods]]-B202)/B202</f>
        <v>-3.8606485156720258E-2</v>
      </c>
    </row>
    <row r="204" spans="1:3">
      <c r="A204" s="74">
        <v>39661</v>
      </c>
      <c r="B204" s="75">
        <f>VLOOKUP(A204,Database!A:M,MATCH($A$1,Database!$A$1:$M$1,),)</f>
        <v>214106</v>
      </c>
      <c r="C204" s="113">
        <f>(Table53514[[#This Row],[Manufacturers'' New Orders: Durable Goods]]-B203)/B203</f>
        <v>-2.8605650353203789E-2</v>
      </c>
    </row>
    <row r="205" spans="1:3">
      <c r="A205" s="74">
        <v>39692</v>
      </c>
      <c r="B205" s="75">
        <f>VLOOKUP(A205,Database!A:M,MATCH($A$1,Database!$A$1:$M$1,),)</f>
        <v>215245</v>
      </c>
      <c r="C205" s="113">
        <f>(Table53514[[#This Row],[Manufacturers'' New Orders: Durable Goods]]-B204)/B204</f>
        <v>5.3197948679625977E-3</v>
      </c>
    </row>
    <row r="206" spans="1:3">
      <c r="A206" s="74">
        <v>39722</v>
      </c>
      <c r="B206" s="75">
        <f>VLOOKUP(A206,Database!A:M,MATCH($A$1,Database!$A$1:$M$1,),)</f>
        <v>191912</v>
      </c>
      <c r="C206" s="113">
        <f>(Table53514[[#This Row],[Manufacturers'' New Orders: Durable Goods]]-B205)/B205</f>
        <v>-0.1084020534739483</v>
      </c>
    </row>
    <row r="207" spans="1:3">
      <c r="A207" s="74">
        <v>39753</v>
      </c>
      <c r="B207" s="75">
        <f>VLOOKUP(A207,Database!A:M,MATCH($A$1,Database!$A$1:$M$1,),)</f>
        <v>181552</v>
      </c>
      <c r="C207" s="113">
        <f>(Table53514[[#This Row],[Manufacturers'' New Orders: Durable Goods]]-B206)/B206</f>
        <v>-5.3983075576305807E-2</v>
      </c>
    </row>
    <row r="208" spans="1:3">
      <c r="A208" s="74">
        <v>39783</v>
      </c>
      <c r="B208" s="75">
        <f>VLOOKUP(A208,Database!A:M,MATCH($A$1,Database!$A$1:$M$1,),)</f>
        <v>173849</v>
      </c>
      <c r="C208" s="113">
        <f>(Table53514[[#This Row],[Manufacturers'' New Orders: Durable Goods]]-B207)/B207</f>
        <v>-4.242861549308187E-2</v>
      </c>
    </row>
    <row r="209" spans="1:3">
      <c r="A209" s="74">
        <v>39814</v>
      </c>
      <c r="B209" s="75">
        <f>VLOOKUP(A209,Database!A:M,MATCH($A$1,Database!$A$1:$M$1,),)</f>
        <v>151085</v>
      </c>
      <c r="C209" s="113">
        <f>(Table53514[[#This Row],[Manufacturers'' New Orders: Durable Goods]]-B208)/B208</f>
        <v>-0.13094121910393502</v>
      </c>
    </row>
    <row r="210" spans="1:3">
      <c r="A210" s="74">
        <v>39845</v>
      </c>
      <c r="B210" s="75">
        <f>VLOOKUP(A210,Database!A:M,MATCH($A$1,Database!$A$1:$M$1,),)</f>
        <v>148834</v>
      </c>
      <c r="C210" s="113">
        <f>(Table53514[[#This Row],[Manufacturers'' New Orders: Durable Goods]]-B209)/B209</f>
        <v>-1.4898897971340636E-2</v>
      </c>
    </row>
    <row r="211" spans="1:3">
      <c r="A211" s="74">
        <v>39873</v>
      </c>
      <c r="B211" s="75">
        <f>VLOOKUP(A211,Database!A:M,MATCH($A$1,Database!$A$1:$M$1,),)</f>
        <v>146323</v>
      </c>
      <c r="C211" s="113">
        <f>(Table53514[[#This Row],[Manufacturers'' New Orders: Durable Goods]]-B210)/B210</f>
        <v>-1.6871145034064797E-2</v>
      </c>
    </row>
    <row r="212" spans="1:3">
      <c r="A212" s="74">
        <v>39904</v>
      </c>
      <c r="B212" s="75">
        <f>VLOOKUP(A212,Database!A:M,MATCH($A$1,Database!$A$1:$M$1,),)</f>
        <v>147467</v>
      </c>
      <c r="C212" s="113">
        <f>(Table53514[[#This Row],[Manufacturers'' New Orders: Durable Goods]]-B211)/B211</f>
        <v>7.818319744674453E-3</v>
      </c>
    </row>
    <row r="213" spans="1:3">
      <c r="A213" s="74">
        <v>39934</v>
      </c>
      <c r="B213" s="75">
        <f>VLOOKUP(A213,Database!A:M,MATCH($A$1,Database!$A$1:$M$1,),)</f>
        <v>149255</v>
      </c>
      <c r="C213" s="113">
        <f>(Table53514[[#This Row],[Manufacturers'' New Orders: Durable Goods]]-B212)/B212</f>
        <v>1.2124746553466199E-2</v>
      </c>
    </row>
    <row r="214" spans="1:3">
      <c r="A214" s="74">
        <v>39965</v>
      </c>
      <c r="B214" s="75">
        <f>VLOOKUP(A214,Database!A:M,MATCH($A$1,Database!$A$1:$M$1,),)</f>
        <v>147033</v>
      </c>
      <c r="C214" s="113">
        <f>(Table53514[[#This Row],[Manufacturers'' New Orders: Durable Goods]]-B213)/B213</f>
        <v>-1.4887273458175606E-2</v>
      </c>
    </row>
    <row r="215" spans="1:3">
      <c r="A215" s="74">
        <v>39995</v>
      </c>
      <c r="B215" s="75">
        <f>VLOOKUP(A215,Database!A:M,MATCH($A$1,Database!$A$1:$M$1,),)</f>
        <v>153691</v>
      </c>
      <c r="C215" s="113">
        <f>(Table53514[[#This Row],[Manufacturers'' New Orders: Durable Goods]]-B214)/B214</f>
        <v>4.5282351580937616E-2</v>
      </c>
    </row>
    <row r="216" spans="1:3">
      <c r="A216" s="74">
        <v>40026</v>
      </c>
      <c r="B216" s="75">
        <f>VLOOKUP(A216,Database!A:M,MATCH($A$1,Database!$A$1:$M$1,),)</f>
        <v>157489</v>
      </c>
      <c r="C216" s="113">
        <f>(Table53514[[#This Row],[Manufacturers'' New Orders: Durable Goods]]-B215)/B215</f>
        <v>2.4711921973310083E-2</v>
      </c>
    </row>
    <row r="217" spans="1:3">
      <c r="A217" s="74">
        <v>40057</v>
      </c>
      <c r="B217" s="75">
        <f>VLOOKUP(A217,Database!A:M,MATCH($A$1,Database!$A$1:$M$1,),)</f>
        <v>158041</v>
      </c>
      <c r="C217" s="113">
        <f>(Table53514[[#This Row],[Manufacturers'' New Orders: Durable Goods]]-B216)/B216</f>
        <v>3.5050066988805569E-3</v>
      </c>
    </row>
    <row r="218" spans="1:3">
      <c r="A218" s="74">
        <v>40087</v>
      </c>
      <c r="B218" s="75">
        <f>VLOOKUP(A218,Database!A:M,MATCH($A$1,Database!$A$1:$M$1,),)</f>
        <v>161097</v>
      </c>
      <c r="C218" s="113">
        <f>(Table53514[[#This Row],[Manufacturers'' New Orders: Durable Goods]]-B217)/B217</f>
        <v>1.9336754386519953E-2</v>
      </c>
    </row>
    <row r="219" spans="1:3">
      <c r="A219" s="74">
        <v>40118</v>
      </c>
      <c r="B219" s="75">
        <f>VLOOKUP(A219,Database!A:M,MATCH($A$1,Database!$A$1:$M$1,),)</f>
        <v>160419</v>
      </c>
      <c r="C219" s="113">
        <f>(Table53514[[#This Row],[Manufacturers'' New Orders: Durable Goods]]-B218)/B218</f>
        <v>-4.2086444812752567E-3</v>
      </c>
    </row>
    <row r="220" spans="1:3">
      <c r="A220" s="74">
        <v>40148</v>
      </c>
      <c r="B220" s="75">
        <f>VLOOKUP(A220,Database!A:M,MATCH($A$1,Database!$A$1:$M$1,),)</f>
        <v>160520</v>
      </c>
      <c r="C220" s="113">
        <f>(Table53514[[#This Row],[Manufacturers'' New Orders: Durable Goods]]-B219)/B219</f>
        <v>6.2960123177429109E-4</v>
      </c>
    </row>
    <row r="221" spans="1:3">
      <c r="A221" s="74">
        <v>40179</v>
      </c>
      <c r="B221" s="75">
        <f>VLOOKUP(A221,Database!A:M,MATCH($A$1,Database!$A$1:$M$1,),)</f>
        <v>181016</v>
      </c>
      <c r="C221" s="113">
        <f>(Table53514[[#This Row],[Manufacturers'' New Orders: Durable Goods]]-B220)/B220</f>
        <v>0.12768502367306256</v>
      </c>
    </row>
    <row r="222" spans="1:3">
      <c r="A222" s="74">
        <v>40210</v>
      </c>
      <c r="B222" s="75">
        <f>VLOOKUP(A222,Database!A:M,MATCH($A$1,Database!$A$1:$M$1,),)</f>
        <v>180450</v>
      </c>
      <c r="C222" s="113">
        <f>(Table53514[[#This Row],[Manufacturers'' New Orders: Durable Goods]]-B221)/B221</f>
        <v>-3.1267954213992132E-3</v>
      </c>
    </row>
    <row r="223" spans="1:3">
      <c r="A223" s="74">
        <v>40238</v>
      </c>
      <c r="B223" s="75">
        <f>VLOOKUP(A223,Database!A:M,MATCH($A$1,Database!$A$1:$M$1,),)</f>
        <v>182148</v>
      </c>
      <c r="C223" s="113">
        <f>(Table53514[[#This Row],[Manufacturers'' New Orders: Durable Goods]]-B222)/B222</f>
        <v>9.4098088113050704E-3</v>
      </c>
    </row>
    <row r="224" spans="1:3">
      <c r="A224" s="74">
        <v>40269</v>
      </c>
      <c r="B224" s="75">
        <f>VLOOKUP(A224,Database!A:M,MATCH($A$1,Database!$A$1:$M$1,),)</f>
        <v>182948</v>
      </c>
      <c r="C224" s="113">
        <f>(Table53514[[#This Row],[Manufacturers'' New Orders: Durable Goods]]-B223)/B223</f>
        <v>4.392032852405736E-3</v>
      </c>
    </row>
    <row r="225" spans="1:3">
      <c r="A225" s="74">
        <v>40299</v>
      </c>
      <c r="B225" s="75">
        <f>VLOOKUP(A225,Database!A:M,MATCH($A$1,Database!$A$1:$M$1,),)</f>
        <v>189932</v>
      </c>
      <c r="C225" s="113">
        <f>(Table53514[[#This Row],[Manufacturers'' New Orders: Durable Goods]]-B224)/B224</f>
        <v>3.8174781905240832E-2</v>
      </c>
    </row>
    <row r="226" spans="1:3">
      <c r="A226" s="74">
        <v>40330</v>
      </c>
      <c r="B226" s="75">
        <f>VLOOKUP(A226,Database!A:M,MATCH($A$1,Database!$A$1:$M$1,),)</f>
        <v>185667</v>
      </c>
      <c r="C226" s="113">
        <f>(Table53514[[#This Row],[Manufacturers'' New Orders: Durable Goods]]-B225)/B225</f>
        <v>-2.2455405092348842E-2</v>
      </c>
    </row>
    <row r="227" spans="1:3">
      <c r="A227" s="74">
        <v>40360</v>
      </c>
      <c r="B227" s="75">
        <f>VLOOKUP(A227,Database!A:M,MATCH($A$1,Database!$A$1:$M$1,),)</f>
        <v>187506</v>
      </c>
      <c r="C227" s="113">
        <f>(Table53514[[#This Row],[Manufacturers'' New Orders: Durable Goods]]-B226)/B226</f>
        <v>9.9048296143094891E-3</v>
      </c>
    </row>
    <row r="228" spans="1:3">
      <c r="A228" s="74">
        <v>40391</v>
      </c>
      <c r="B228" s="75">
        <f>VLOOKUP(A228,Database!A:M,MATCH($A$1,Database!$A$1:$M$1,),)</f>
        <v>191745</v>
      </c>
      <c r="C228" s="113">
        <f>(Table53514[[#This Row],[Manufacturers'' New Orders: Durable Goods]]-B227)/B227</f>
        <v>2.260727656714985E-2</v>
      </c>
    </row>
    <row r="229" spans="1:3">
      <c r="A229" s="74">
        <v>40422</v>
      </c>
      <c r="B229" s="75">
        <f>VLOOKUP(A229,Database!A:M,MATCH($A$1,Database!$A$1:$M$1,),)</f>
        <v>201932</v>
      </c>
      <c r="C229" s="113">
        <f>(Table53514[[#This Row],[Manufacturers'' New Orders: Durable Goods]]-B228)/B228</f>
        <v>5.3127852095230646E-2</v>
      </c>
    </row>
    <row r="230" spans="1:3">
      <c r="A230" s="74">
        <v>40452</v>
      </c>
      <c r="B230" s="75">
        <f>VLOOKUP(A230,Database!A:M,MATCH($A$1,Database!$A$1:$M$1,),)</f>
        <v>193066</v>
      </c>
      <c r="C230" s="113">
        <f>(Table53514[[#This Row],[Manufacturers'' New Orders: Durable Goods]]-B229)/B229</f>
        <v>-4.3905869302537488E-2</v>
      </c>
    </row>
    <row r="231" spans="1:3">
      <c r="A231" s="74">
        <v>40483</v>
      </c>
      <c r="B231" s="75">
        <f>VLOOKUP(A231,Database!A:M,MATCH($A$1,Database!$A$1:$M$1,),)</f>
        <v>197202</v>
      </c>
      <c r="C231" s="113">
        <f>(Table53514[[#This Row],[Manufacturers'' New Orders: Durable Goods]]-B230)/B230</f>
        <v>2.1422725907202719E-2</v>
      </c>
    </row>
    <row r="232" spans="1:3">
      <c r="A232" s="74">
        <v>40513</v>
      </c>
      <c r="B232" s="75">
        <f>VLOOKUP(A232,Database!A:M,MATCH($A$1,Database!$A$1:$M$1,),)</f>
        <v>193452</v>
      </c>
      <c r="C232" s="113">
        <f>(Table53514[[#This Row],[Manufacturers'' New Orders: Durable Goods]]-B231)/B231</f>
        <v>-1.901603432013874E-2</v>
      </c>
    </row>
    <row r="233" spans="1:3">
      <c r="A233" s="74">
        <v>40544</v>
      </c>
      <c r="B233" s="75">
        <f>VLOOKUP(A233,Database!A:M,MATCH($A$1,Database!$A$1:$M$1,),)</f>
        <v>203636</v>
      </c>
      <c r="C233" s="113">
        <f>(Table53514[[#This Row],[Manufacturers'' New Orders: Durable Goods]]-B232)/B232</f>
        <v>5.2643549821144262E-2</v>
      </c>
    </row>
    <row r="234" spans="1:3">
      <c r="A234" s="74">
        <v>40575</v>
      </c>
      <c r="B234" s="75">
        <f>VLOOKUP(A234,Database!A:M,MATCH($A$1,Database!$A$1:$M$1,),)</f>
        <v>196393</v>
      </c>
      <c r="C234" s="113">
        <f>(Table53514[[#This Row],[Manufacturers'' New Orders: Durable Goods]]-B233)/B233</f>
        <v>-3.5568367086369797E-2</v>
      </c>
    </row>
    <row r="235" spans="1:3">
      <c r="A235" s="74">
        <v>40603</v>
      </c>
      <c r="B235" s="75">
        <f>VLOOKUP(A235,Database!A:M,MATCH($A$1,Database!$A$1:$M$1,),)</f>
        <v>212748</v>
      </c>
      <c r="C235" s="113">
        <f>(Table53514[[#This Row],[Manufacturers'' New Orders: Durable Goods]]-B234)/B234</f>
        <v>8.3276898871141022E-2</v>
      </c>
    </row>
    <row r="236" spans="1:3">
      <c r="A236" s="74">
        <v>40634</v>
      </c>
      <c r="B236" s="75">
        <f>VLOOKUP(A236,Database!A:M,MATCH($A$1,Database!$A$1:$M$1,),)</f>
        <v>200733</v>
      </c>
      <c r="C236" s="113">
        <f>(Table53514[[#This Row],[Manufacturers'' New Orders: Durable Goods]]-B235)/B235</f>
        <v>-5.6475266512493655E-2</v>
      </c>
    </row>
    <row r="237" spans="1:3">
      <c r="A237" s="74">
        <v>40664</v>
      </c>
      <c r="B237" s="75">
        <f>VLOOKUP(A237,Database!A:M,MATCH($A$1,Database!$A$1:$M$1,),)</f>
        <v>207170</v>
      </c>
      <c r="C237" s="113">
        <f>(Table53514[[#This Row],[Manufacturers'' New Orders: Durable Goods]]-B236)/B236</f>
        <v>3.2067472712508656E-2</v>
      </c>
    </row>
    <row r="238" spans="1:3">
      <c r="A238" s="74">
        <v>40695</v>
      </c>
      <c r="B238" s="75">
        <f>VLOOKUP(A238,Database!A:M,MATCH($A$1,Database!$A$1:$M$1,),)</f>
        <v>201579</v>
      </c>
      <c r="C238" s="113">
        <f>(Table53514[[#This Row],[Manufacturers'' New Orders: Durable Goods]]-B237)/B237</f>
        <v>-2.6987498189892357E-2</v>
      </c>
    </row>
    <row r="239" spans="1:3">
      <c r="A239" s="74">
        <v>40725</v>
      </c>
      <c r="B239" s="75">
        <f>VLOOKUP(A239,Database!A:M,MATCH($A$1,Database!$A$1:$M$1,),)</f>
        <v>206458</v>
      </c>
      <c r="C239" s="113">
        <f>(Table53514[[#This Row],[Manufacturers'' New Orders: Durable Goods]]-B238)/B238</f>
        <v>2.420391012952738E-2</v>
      </c>
    </row>
    <row r="240" spans="1:3">
      <c r="A240" s="74">
        <v>40756</v>
      </c>
      <c r="B240" s="75">
        <f>VLOOKUP(A240,Database!A:M,MATCH($A$1,Database!$A$1:$M$1,),)</f>
        <v>216705</v>
      </c>
      <c r="C240" s="113">
        <f>(Table53514[[#This Row],[Manufacturers'' New Orders: Durable Goods]]-B239)/B239</f>
        <v>4.9632370748529969E-2</v>
      </c>
    </row>
    <row r="241" spans="1:3">
      <c r="A241" s="74">
        <v>40787</v>
      </c>
      <c r="B241" s="75">
        <f>VLOOKUP(A241,Database!A:M,MATCH($A$1,Database!$A$1:$M$1,),)</f>
        <v>204738</v>
      </c>
      <c r="C241" s="113">
        <f>(Table53514[[#This Row],[Manufacturers'' New Orders: Durable Goods]]-B240)/B240</f>
        <v>-5.522253755104866E-2</v>
      </c>
    </row>
    <row r="242" spans="1:3">
      <c r="A242" s="74">
        <v>40817</v>
      </c>
      <c r="B242" s="75">
        <f>VLOOKUP(A242,Database!A:M,MATCH($A$1,Database!$A$1:$M$1,),)</f>
        <v>210799</v>
      </c>
      <c r="C242" s="113">
        <f>(Table53514[[#This Row],[Manufacturers'' New Orders: Durable Goods]]-B241)/B241</f>
        <v>2.9603688616671061E-2</v>
      </c>
    </row>
    <row r="243" spans="1:3">
      <c r="A243" s="74">
        <v>40848</v>
      </c>
      <c r="B243" s="75">
        <f>VLOOKUP(A243,Database!A:M,MATCH($A$1,Database!$A$1:$M$1,),)</f>
        <v>215531</v>
      </c>
      <c r="C243" s="113">
        <f>(Table53514[[#This Row],[Manufacturers'' New Orders: Durable Goods]]-B242)/B242</f>
        <v>2.2447924326016729E-2</v>
      </c>
    </row>
    <row r="244" spans="1:3">
      <c r="A244" s="74">
        <v>40878</v>
      </c>
      <c r="B244" s="75">
        <f>VLOOKUP(A244,Database!A:M,MATCH($A$1,Database!$A$1:$M$1,),)</f>
        <v>223835</v>
      </c>
      <c r="C244" s="113">
        <f>(Table53514[[#This Row],[Manufacturers'' New Orders: Durable Goods]]-B243)/B243</f>
        <v>3.8528100366072633E-2</v>
      </c>
    </row>
    <row r="245" spans="1:3">
      <c r="A245" s="74">
        <v>40909</v>
      </c>
      <c r="B245" s="75">
        <f>VLOOKUP(A245,Database!A:M,MATCH($A$1,Database!$A$1:$M$1,),)</f>
        <v>225182</v>
      </c>
      <c r="C245" s="113">
        <f>(Table53514[[#This Row],[Manufacturers'' New Orders: Durable Goods]]-B244)/B244</f>
        <v>6.0178256304867428E-3</v>
      </c>
    </row>
    <row r="246" spans="1:3">
      <c r="A246" s="74">
        <v>40940</v>
      </c>
      <c r="B246" s="75">
        <f>VLOOKUP(A246,Database!A:M,MATCH($A$1,Database!$A$1:$M$1,),)</f>
        <v>227597</v>
      </c>
      <c r="C246" s="113">
        <f>(Table53514[[#This Row],[Manufacturers'' New Orders: Durable Goods]]-B245)/B245</f>
        <v>1.072465827641641E-2</v>
      </c>
    </row>
    <row r="247" spans="1:3">
      <c r="A247" s="74">
        <v>40969</v>
      </c>
      <c r="B247" s="75">
        <f>VLOOKUP(A247,Database!A:M,MATCH($A$1,Database!$A$1:$M$1,),)</f>
        <v>219960</v>
      </c>
      <c r="C247" s="113">
        <f>(Table53514[[#This Row],[Manufacturers'' New Orders: Durable Goods]]-B246)/B246</f>
        <v>-3.3554923834672692E-2</v>
      </c>
    </row>
    <row r="248" spans="1:3">
      <c r="A248" s="74">
        <v>41000</v>
      </c>
      <c r="B248" s="75">
        <f>VLOOKUP(A248,Database!A:M,MATCH($A$1,Database!$A$1:$M$1,),)</f>
        <v>218414</v>
      </c>
      <c r="C248" s="113">
        <f>(Table53514[[#This Row],[Manufacturers'' New Orders: Durable Goods]]-B247)/B247</f>
        <v>-7.028550645571922E-3</v>
      </c>
    </row>
    <row r="249" spans="1:3">
      <c r="A249" s="74">
        <v>41030</v>
      </c>
      <c r="B249" s="75">
        <f>VLOOKUP(A249,Database!A:M,MATCH($A$1,Database!$A$1:$M$1,),)</f>
        <v>219076</v>
      </c>
      <c r="C249" s="113">
        <f>(Table53514[[#This Row],[Manufacturers'' New Orders: Durable Goods]]-B248)/B248</f>
        <v>3.030941240030401E-3</v>
      </c>
    </row>
    <row r="250" spans="1:3">
      <c r="A250" s="74">
        <v>41061</v>
      </c>
      <c r="B250" s="75">
        <f>VLOOKUP(A250,Database!A:M,MATCH($A$1,Database!$A$1:$M$1,),)</f>
        <v>218755</v>
      </c>
      <c r="C250" s="113">
        <f>(Table53514[[#This Row],[Manufacturers'' New Orders: Durable Goods]]-B249)/B249</f>
        <v>-1.4652449378297942E-3</v>
      </c>
    </row>
    <row r="251" spans="1:3">
      <c r="A251" s="74">
        <v>41091</v>
      </c>
      <c r="B251" s="75">
        <f>VLOOKUP(A251,Database!A:M,MATCH($A$1,Database!$A$1:$M$1,),)</f>
        <v>225223</v>
      </c>
      <c r="C251" s="113">
        <f>(Table53514[[#This Row],[Manufacturers'' New Orders: Durable Goods]]-B250)/B250</f>
        <v>2.9567324175447419E-2</v>
      </c>
    </row>
    <row r="252" spans="1:3">
      <c r="A252" s="74">
        <v>41122</v>
      </c>
      <c r="B252" s="75">
        <f>VLOOKUP(A252,Database!A:M,MATCH($A$1,Database!$A$1:$M$1,),)</f>
        <v>200423</v>
      </c>
      <c r="C252" s="113">
        <f>(Table53514[[#This Row],[Manufacturers'' New Orders: Durable Goods]]-B251)/B251</f>
        <v>-0.11011308791730862</v>
      </c>
    </row>
    <row r="253" spans="1:3">
      <c r="A253" s="74">
        <v>41153</v>
      </c>
      <c r="B253" s="75">
        <f>VLOOKUP(A253,Database!A:M,MATCH($A$1,Database!$A$1:$M$1,),)</f>
        <v>217241</v>
      </c>
      <c r="C253" s="113">
        <f>(Table53514[[#This Row],[Manufacturers'' New Orders: Durable Goods]]-B252)/B252</f>
        <v>8.391252500960468E-2</v>
      </c>
    </row>
    <row r="254" spans="1:3">
      <c r="A254" s="74">
        <v>41183</v>
      </c>
      <c r="B254" s="75">
        <f>VLOOKUP(A254,Database!A:M,MATCH($A$1,Database!$A$1:$M$1,),)</f>
        <v>219017</v>
      </c>
      <c r="C254" s="113">
        <f>(Table53514[[#This Row],[Manufacturers'' New Orders: Durable Goods]]-B253)/B253</f>
        <v>8.1752523694882638E-3</v>
      </c>
    </row>
    <row r="255" spans="1:3">
      <c r="A255" s="74">
        <v>41214</v>
      </c>
      <c r="B255" s="75">
        <f>VLOOKUP(A255,Database!A:M,MATCH($A$1,Database!$A$1:$M$1,),)</f>
        <v>214689</v>
      </c>
      <c r="C255" s="113">
        <f>(Table53514[[#This Row],[Manufacturers'' New Orders: Durable Goods]]-B254)/B254</f>
        <v>-1.9761023116926995E-2</v>
      </c>
    </row>
    <row r="256" spans="1:3">
      <c r="A256" s="74">
        <v>41244</v>
      </c>
      <c r="B256" s="75">
        <f>VLOOKUP(A256,Database!A:M,MATCH($A$1,Database!$A$1:$M$1,),)</f>
        <v>230992</v>
      </c>
      <c r="C256" s="113">
        <f>(Table53514[[#This Row],[Manufacturers'' New Orders: Durable Goods]]-B255)/B255</f>
        <v>7.5937751817745675E-2</v>
      </c>
    </row>
    <row r="257" spans="1:3">
      <c r="A257" s="74">
        <v>41275</v>
      </c>
      <c r="B257" s="75">
        <f>VLOOKUP(A257,Database!A:M,MATCH($A$1,Database!$A$1:$M$1,),)</f>
        <v>222797</v>
      </c>
      <c r="C257" s="113">
        <f>(Table53514[[#This Row],[Manufacturers'' New Orders: Durable Goods]]-B256)/B256</f>
        <v>-3.5477419131398492E-2</v>
      </c>
    </row>
    <row r="258" spans="1:3">
      <c r="A258" s="74">
        <v>41306</v>
      </c>
      <c r="B258" s="75">
        <f>VLOOKUP(A258,Database!A:M,MATCH($A$1,Database!$A$1:$M$1,),)</f>
        <v>235952</v>
      </c>
      <c r="C258" s="113">
        <f>(Table53514[[#This Row],[Manufacturers'' New Orders: Durable Goods]]-B257)/B257</f>
        <v>5.9044780674784671E-2</v>
      </c>
    </row>
    <row r="259" spans="1:3">
      <c r="A259" s="74">
        <v>41334</v>
      </c>
      <c r="B259" s="75">
        <f>VLOOKUP(A259,Database!A:M,MATCH($A$1,Database!$A$1:$M$1,),)</f>
        <v>215188</v>
      </c>
      <c r="C259" s="113">
        <f>(Table53514[[#This Row],[Manufacturers'' New Orders: Durable Goods]]-B258)/B258</f>
        <v>-8.8000949345629617E-2</v>
      </c>
    </row>
    <row r="260" spans="1:3">
      <c r="A260" s="74">
        <v>41365</v>
      </c>
      <c r="B260" s="75">
        <f>VLOOKUP(A260,Database!A:M,MATCH($A$1,Database!$A$1:$M$1,),)</f>
        <v>226541</v>
      </c>
      <c r="C260" s="113">
        <f>(Table53514[[#This Row],[Manufacturers'' New Orders: Durable Goods]]-B259)/B259</f>
        <v>5.2758518132981394E-2</v>
      </c>
    </row>
    <row r="261" spans="1:3">
      <c r="A261" s="74">
        <v>41395</v>
      </c>
      <c r="B261" s="75">
        <f>VLOOKUP(A261,Database!A:M,MATCH($A$1,Database!$A$1:$M$1,),)</f>
        <v>235258</v>
      </c>
      <c r="C261" s="113">
        <f>(Table53514[[#This Row],[Manufacturers'' New Orders: Durable Goods]]-B260)/B260</f>
        <v>3.8478685977372751E-2</v>
      </c>
    </row>
    <row r="262" spans="1:3">
      <c r="A262" s="74">
        <v>41426</v>
      </c>
      <c r="B262" s="75">
        <f>VLOOKUP(A262,Database!A:M,MATCH($A$1,Database!$A$1:$M$1,),)</f>
        <v>248010</v>
      </c>
      <c r="C262" s="113">
        <f>(Table53514[[#This Row],[Manufacturers'' New Orders: Durable Goods]]-B261)/B261</f>
        <v>5.4204320363175747E-2</v>
      </c>
    </row>
    <row r="263" spans="1:3">
      <c r="A263" s="74">
        <v>41456</v>
      </c>
      <c r="B263" s="75">
        <f>VLOOKUP(A263,Database!A:M,MATCH($A$1,Database!$A$1:$M$1,),)</f>
        <v>223780</v>
      </c>
      <c r="C263" s="113">
        <f>(Table53514[[#This Row],[Manufacturers'' New Orders: Durable Goods]]-B262)/B262</f>
        <v>-9.7697673480908034E-2</v>
      </c>
    </row>
    <row r="264" spans="1:3">
      <c r="A264" s="74">
        <v>41487</v>
      </c>
      <c r="B264" s="75">
        <f>VLOOKUP(A264,Database!A:M,MATCH($A$1,Database!$A$1:$M$1,),)</f>
        <v>225010</v>
      </c>
      <c r="C264" s="113">
        <f>(Table53514[[#This Row],[Manufacturers'' New Orders: Durable Goods]]-B263)/B263</f>
        <v>5.4964697470730184E-3</v>
      </c>
    </row>
    <row r="265" spans="1:3">
      <c r="A265" s="74">
        <v>41518</v>
      </c>
      <c r="B265" s="75">
        <f>VLOOKUP(A265,Database!A:M,MATCH($A$1,Database!$A$1:$M$1,),)</f>
        <v>238632</v>
      </c>
      <c r="C265" s="113">
        <f>(Table53514[[#This Row],[Manufacturers'' New Orders: Durable Goods]]-B264)/B264</f>
        <v>6.0539531576374386E-2</v>
      </c>
    </row>
    <row r="266" spans="1:3">
      <c r="A266" s="74">
        <v>41548</v>
      </c>
      <c r="B266" s="75">
        <f>VLOOKUP(A266,Database!A:M,MATCH($A$1,Database!$A$1:$M$1,),)</f>
        <v>231962</v>
      </c>
      <c r="C266" s="113">
        <f>(Table53514[[#This Row],[Manufacturers'' New Orders: Durable Goods]]-B265)/B265</f>
        <v>-2.7950987294243855E-2</v>
      </c>
    </row>
    <row r="267" spans="1:3">
      <c r="A267" s="74">
        <v>41579</v>
      </c>
      <c r="B267" s="75">
        <f>VLOOKUP(A267,Database!A:M,MATCH($A$1,Database!$A$1:$M$1,),)</f>
        <v>241389</v>
      </c>
      <c r="C267" s="113">
        <f>(Table53514[[#This Row],[Manufacturers'' New Orders: Durable Goods]]-B266)/B266</f>
        <v>4.0640277286796977E-2</v>
      </c>
    </row>
    <row r="268" spans="1:3">
      <c r="A268" s="74">
        <v>41609</v>
      </c>
      <c r="B268" s="75">
        <f>VLOOKUP(A268,Database!A:M,MATCH($A$1,Database!$A$1:$M$1,),)</f>
        <v>238377</v>
      </c>
      <c r="C268" s="113">
        <f>(Table53514[[#This Row],[Manufacturers'' New Orders: Durable Goods]]-B267)/B267</f>
        <v>-1.2477784820352212E-2</v>
      </c>
    </row>
    <row r="269" spans="1:3">
      <c r="A269" s="74">
        <v>41640</v>
      </c>
      <c r="B269" s="75">
        <f>VLOOKUP(A269,Database!A:M,MATCH($A$1,Database!$A$1:$M$1,),)</f>
        <v>223144</v>
      </c>
      <c r="C269" s="113">
        <f>(Table53514[[#This Row],[Manufacturers'' New Orders: Durable Goods]]-B268)/B268</f>
        <v>-6.3902977216761678E-2</v>
      </c>
    </row>
    <row r="270" spans="1:3">
      <c r="A270" s="74">
        <v>41671</v>
      </c>
      <c r="B270" s="75">
        <f>VLOOKUP(A270,Database!A:M,MATCH($A$1,Database!$A$1:$M$1,),)</f>
        <v>232711</v>
      </c>
      <c r="C270" s="113">
        <f>(Table53514[[#This Row],[Manufacturers'' New Orders: Durable Goods]]-B269)/B269</f>
        <v>4.2873660058079091E-2</v>
      </c>
    </row>
    <row r="271" spans="1:3">
      <c r="A271" s="74">
        <v>41699</v>
      </c>
      <c r="B271" s="75">
        <f>VLOOKUP(A271,Database!A:M,MATCH($A$1,Database!$A$1:$M$1,),)</f>
        <v>233153</v>
      </c>
      <c r="C271" s="113">
        <f>(Table53514[[#This Row],[Manufacturers'' New Orders: Durable Goods]]-B270)/B270</f>
        <v>1.8993515562220952E-3</v>
      </c>
    </row>
    <row r="272" spans="1:3">
      <c r="A272" s="74">
        <v>41730</v>
      </c>
      <c r="B272" s="75">
        <f>VLOOKUP(A272,Database!A:M,MATCH($A$1,Database!$A$1:$M$1,),)</f>
        <v>237372</v>
      </c>
      <c r="C272" s="113">
        <f>(Table53514[[#This Row],[Manufacturers'' New Orders: Durable Goods]]-B271)/B271</f>
        <v>1.8095413741191408E-2</v>
      </c>
    </row>
    <row r="273" spans="1:3">
      <c r="A273" s="74">
        <v>41760</v>
      </c>
      <c r="B273" s="75">
        <f>VLOOKUP(A273,Database!A:M,MATCH($A$1,Database!$A$1:$M$1,),)</f>
        <v>232959</v>
      </c>
      <c r="C273" s="113">
        <f>(Table53514[[#This Row],[Manufacturers'' New Orders: Durable Goods]]-B272)/B272</f>
        <v>-1.859107224103938E-2</v>
      </c>
    </row>
    <row r="274" spans="1:3">
      <c r="A274" s="74">
        <v>41791</v>
      </c>
      <c r="B274" s="75">
        <f>VLOOKUP(A274,Database!A:M,MATCH($A$1,Database!$A$1:$M$1,),)</f>
        <v>240181</v>
      </c>
      <c r="C274" s="113">
        <f>(Table53514[[#This Row],[Manufacturers'' New Orders: Durable Goods]]-B273)/B273</f>
        <v>3.1001163294828705E-2</v>
      </c>
    </row>
    <row r="275" spans="1:3">
      <c r="A275" s="74">
        <v>41821</v>
      </c>
      <c r="B275" s="75">
        <f>VLOOKUP(A275,Database!A:M,MATCH($A$1,Database!$A$1:$M$1,),)</f>
        <v>303162</v>
      </c>
      <c r="C275" s="113">
        <f>(Table53514[[#This Row],[Manufacturers'' New Orders: Durable Goods]]-B274)/B274</f>
        <v>0.26222307343211992</v>
      </c>
    </row>
    <row r="276" spans="1:3">
      <c r="A276" s="74">
        <v>41852</v>
      </c>
      <c r="B276" s="75">
        <f>VLOOKUP(A276,Database!A:M,MATCH($A$1,Database!$A$1:$M$1,),)</f>
        <v>236666</v>
      </c>
      <c r="C276" s="113">
        <f>(Table53514[[#This Row],[Manufacturers'' New Orders: Durable Goods]]-B275)/B275</f>
        <v>-0.21934147419531472</v>
      </c>
    </row>
    <row r="277" spans="1:3">
      <c r="A277" s="74">
        <v>41883</v>
      </c>
      <c r="B277" s="75">
        <f>VLOOKUP(A277,Database!A:M,MATCH($A$1,Database!$A$1:$M$1,),)</f>
        <v>237534</v>
      </c>
      <c r="C277" s="113">
        <f>(Table53514[[#This Row],[Manufacturers'' New Orders: Durable Goods]]-B276)/B276</f>
        <v>3.6676159651153947E-3</v>
      </c>
    </row>
    <row r="278" spans="1:3">
      <c r="A278" s="74">
        <v>41913</v>
      </c>
      <c r="B278" s="75">
        <f>VLOOKUP(A278,Database!A:M,MATCH($A$1,Database!$A$1:$M$1,),)</f>
        <v>232089</v>
      </c>
      <c r="C278" s="113">
        <f>(Table53514[[#This Row],[Manufacturers'' New Orders: Durable Goods]]-B277)/B277</f>
        <v>-2.2923034176160043E-2</v>
      </c>
    </row>
    <row r="279" spans="1:3">
      <c r="A279" s="74">
        <v>41944</v>
      </c>
      <c r="B279" s="75">
        <f>VLOOKUP(A279,Database!A:M,MATCH($A$1,Database!$A$1:$M$1,),)</f>
        <v>226155</v>
      </c>
      <c r="C279" s="113">
        <f>(Table53514[[#This Row],[Manufacturers'' New Orders: Durable Goods]]-B278)/B278</f>
        <v>-2.5567777878313921E-2</v>
      </c>
    </row>
    <row r="280" spans="1:3">
      <c r="A280" s="74">
        <v>41974</v>
      </c>
      <c r="B280" s="75">
        <f>VLOOKUP(A280,Database!A:M,MATCH($A$1,Database!$A$1:$M$1,),)</f>
        <v>225835</v>
      </c>
      <c r="C280" s="113">
        <f>(Table53514[[#This Row],[Manufacturers'' New Orders: Durable Goods]]-B279)/B279</f>
        <v>-1.4149587672171741E-3</v>
      </c>
    </row>
    <row r="281" spans="1:3">
      <c r="A281" s="74">
        <v>42005</v>
      </c>
      <c r="B281" s="75">
        <f>VLOOKUP(A281,Database!A:M,MATCH($A$1,Database!$A$1:$M$1,),)</f>
        <v>224061</v>
      </c>
      <c r="C281" s="113">
        <f>(Table53514[[#This Row],[Manufacturers'' New Orders: Durable Goods]]-B280)/B280</f>
        <v>-7.8552925808665613E-3</v>
      </c>
    </row>
    <row r="282" spans="1:3">
      <c r="A282" s="74">
        <v>42036</v>
      </c>
      <c r="B282" s="75">
        <f>VLOOKUP(A282,Database!A:M,MATCH($A$1,Database!$A$1:$M$1,),)</f>
        <v>218966</v>
      </c>
      <c r="C282" s="113">
        <f>(Table53514[[#This Row],[Manufacturers'' New Orders: Durable Goods]]-B281)/B281</f>
        <v>-2.2739343303832437E-2</v>
      </c>
    </row>
    <row r="283" spans="1:3">
      <c r="A283" s="74">
        <v>42064</v>
      </c>
      <c r="B283" s="75">
        <f>VLOOKUP(A283,Database!A:M,MATCH($A$1,Database!$A$1:$M$1,),)</f>
        <v>227573</v>
      </c>
      <c r="C283" s="113">
        <f>(Table53514[[#This Row],[Manufacturers'' New Orders: Durable Goods]]-B282)/B282</f>
        <v>3.9307472392974253E-2</v>
      </c>
    </row>
    <row r="284" spans="1:3">
      <c r="A284" s="74">
        <v>42095</v>
      </c>
      <c r="B284" s="75">
        <f>VLOOKUP(A284,Database!A:M,MATCH($A$1,Database!$A$1:$M$1,),)</f>
        <v>224339</v>
      </c>
      <c r="C284" s="113">
        <f>(Table53514[[#This Row],[Manufacturers'' New Orders: Durable Goods]]-B283)/B283</f>
        <v>-1.4210824658461241E-2</v>
      </c>
    </row>
    <row r="285" spans="1:3">
      <c r="A285" s="74">
        <v>42125</v>
      </c>
      <c r="B285" s="75">
        <f>VLOOKUP(A285,Database!A:M,MATCH($A$1,Database!$A$1:$M$1,),)</f>
        <v>217332</v>
      </c>
      <c r="C285" s="113">
        <f>(Table53514[[#This Row],[Manufacturers'' New Orders: Durable Goods]]-B284)/B284</f>
        <v>-3.1233980716683235E-2</v>
      </c>
    </row>
    <row r="286" spans="1:3">
      <c r="A286" s="74">
        <v>42156</v>
      </c>
      <c r="B286" s="75">
        <f>VLOOKUP(A286,Database!A:M,MATCH($A$1,Database!$A$1:$M$1,),)</f>
        <v>232766</v>
      </c>
      <c r="C286" s="113">
        <f>(Table53514[[#This Row],[Manufacturers'' New Orders: Durable Goods]]-B285)/B285</f>
        <v>7.1015773102902469E-2</v>
      </c>
    </row>
    <row r="287" spans="1:3">
      <c r="A287" s="74">
        <v>42186</v>
      </c>
      <c r="B287" s="75">
        <f>VLOOKUP(A287,Database!A:M,MATCH($A$1,Database!$A$1:$M$1,),)</f>
        <v>230189</v>
      </c>
      <c r="C287" s="113">
        <f>(Table53514[[#This Row],[Manufacturers'' New Orders: Durable Goods]]-B286)/B286</f>
        <v>-1.1071204557366626E-2</v>
      </c>
    </row>
    <row r="288" spans="1:3">
      <c r="A288" s="74">
        <v>42217</v>
      </c>
      <c r="B288" s="75">
        <f>VLOOKUP(A288,Database!A:M,MATCH($A$1,Database!$A$1:$M$1,),)</f>
        <v>222647</v>
      </c>
      <c r="C288" s="113">
        <f>(Table53514[[#This Row],[Manufacturers'' New Orders: Durable Goods]]-B287)/B287</f>
        <v>-3.2764380574223789E-2</v>
      </c>
    </row>
    <row r="289" spans="1:3">
      <c r="A289" s="74">
        <v>42248</v>
      </c>
      <c r="B289" s="75">
        <f>VLOOKUP(A289,Database!A:M,MATCH($A$1,Database!$A$1:$M$1,),)</f>
        <v>218738</v>
      </c>
      <c r="C289" s="113">
        <f>(Table53514[[#This Row],[Manufacturers'' New Orders: Durable Goods]]-B288)/B288</f>
        <v>-1.7556939909363252E-2</v>
      </c>
    </row>
    <row r="290" spans="1:3">
      <c r="A290" s="74">
        <v>42278</v>
      </c>
      <c r="B290" s="75">
        <f>VLOOKUP(A290,Database!A:M,MATCH($A$1,Database!$A$1:$M$1,),)</f>
        <v>226032</v>
      </c>
      <c r="C290" s="113">
        <f>(Table53514[[#This Row],[Manufacturers'' New Orders: Durable Goods]]-B289)/B289</f>
        <v>3.3345829256919236E-2</v>
      </c>
    </row>
    <row r="291" spans="1:3">
      <c r="A291" s="74">
        <v>42309</v>
      </c>
      <c r="B291" s="75">
        <f>VLOOKUP(A291,Database!A:M,MATCH($A$1,Database!$A$1:$M$1,),)</f>
        <v>223223</v>
      </c>
      <c r="C291" s="113">
        <f>(Table53514[[#This Row],[Manufacturers'' New Orders: Durable Goods]]-B290)/B290</f>
        <v>-1.2427443901748426E-2</v>
      </c>
    </row>
    <row r="292" spans="1:3">
      <c r="A292" s="74">
        <v>42339</v>
      </c>
      <c r="B292" s="75">
        <f>VLOOKUP(A292,Database!A:M,MATCH($A$1,Database!$A$1:$M$1,),)</f>
        <v>217474</v>
      </c>
      <c r="C292" s="113">
        <f>(Table53514[[#This Row],[Manufacturers'' New Orders: Durable Goods]]-B291)/B291</f>
        <v>-2.5754514543752213E-2</v>
      </c>
    </row>
    <row r="293" spans="1:3">
      <c r="A293" s="74">
        <v>42370</v>
      </c>
      <c r="B293" s="75">
        <f>VLOOKUP(A293,Database!A:M,MATCH($A$1,Database!$A$1:$M$1,),)</f>
        <v>226905</v>
      </c>
      <c r="C293" s="113">
        <f>(Table53514[[#This Row],[Manufacturers'' New Orders: Durable Goods]]-B292)/B292</f>
        <v>4.3366103534215585E-2</v>
      </c>
    </row>
    <row r="294" spans="1:3">
      <c r="A294" s="74">
        <v>42401</v>
      </c>
      <c r="B294" s="75">
        <f>VLOOKUP(A294,Database!A:M,MATCH($A$1,Database!$A$1:$M$1,),)</f>
        <v>217371</v>
      </c>
      <c r="C294" s="113">
        <f>(Table53514[[#This Row],[Manufacturers'' New Orders: Durable Goods]]-B293)/B293</f>
        <v>-4.2017584451642755E-2</v>
      </c>
    </row>
    <row r="295" spans="1:3">
      <c r="A295" s="74">
        <v>42430</v>
      </c>
      <c r="B295" s="75">
        <f>VLOOKUP(A295,Database!A:M,MATCH($A$1,Database!$A$1:$M$1,),)</f>
        <v>216899</v>
      </c>
      <c r="C295" s="113">
        <f>(Table53514[[#This Row],[Manufacturers'' New Orders: Durable Goods]]-B294)/B294</f>
        <v>-2.1714028090223628E-3</v>
      </c>
    </row>
    <row r="296" spans="1:3">
      <c r="A296" s="74">
        <v>42461</v>
      </c>
      <c r="B296" s="75">
        <f>VLOOKUP(A296,Database!A:M,MATCH($A$1,Database!$A$1:$M$1,),)</f>
        <v>228585</v>
      </c>
      <c r="C296" s="113">
        <f>(Table53514[[#This Row],[Manufacturers'' New Orders: Durable Goods]]-B295)/B295</f>
        <v>5.3877611238410505E-2</v>
      </c>
    </row>
    <row r="297" spans="1:3">
      <c r="A297" s="74">
        <v>42491</v>
      </c>
      <c r="B297" s="75">
        <f>VLOOKUP(A297,Database!A:M,MATCH($A$1,Database!$A$1:$M$1,),)</f>
        <v>221991</v>
      </c>
      <c r="C297" s="113">
        <f>(Table53514[[#This Row],[Manufacturers'' New Orders: Durable Goods]]-B296)/B296</f>
        <v>-2.8847037207165825E-2</v>
      </c>
    </row>
    <row r="298" spans="1:3">
      <c r="A298" s="74">
        <v>42522</v>
      </c>
      <c r="B298" s="75">
        <f>VLOOKUP(A298,Database!A:M,MATCH($A$1,Database!$A$1:$M$1,),)</f>
        <v>209356</v>
      </c>
      <c r="C298" s="113">
        <f>(Table53514[[#This Row],[Manufacturers'' New Orders: Durable Goods]]-B297)/B297</f>
        <v>-5.6916721849083973E-2</v>
      </c>
    </row>
    <row r="299" spans="1:3">
      <c r="A299" s="74">
        <v>42552</v>
      </c>
      <c r="B299" s="75">
        <f>VLOOKUP(A299,Database!A:M,MATCH($A$1,Database!$A$1:$M$1,),)</f>
        <v>217997</v>
      </c>
      <c r="C299" s="113">
        <f>(Table53514[[#This Row],[Manufacturers'' New Orders: Durable Goods]]-B298)/B298</f>
        <v>4.1274193240222398E-2</v>
      </c>
    </row>
    <row r="300" spans="1:3">
      <c r="A300" s="74">
        <v>42583</v>
      </c>
      <c r="B300" s="75">
        <f>VLOOKUP(A300,Database!A:M,MATCH($A$1,Database!$A$1:$M$1,),)</f>
        <v>219140</v>
      </c>
      <c r="C300" s="113">
        <f>(Table53514[[#This Row],[Manufacturers'' New Orders: Durable Goods]]-B299)/B299</f>
        <v>5.2431914200654134E-3</v>
      </c>
    </row>
    <row r="301" spans="1:3">
      <c r="A301" s="74">
        <v>42614</v>
      </c>
      <c r="B301" s="75">
        <f>VLOOKUP(A301,Database!A:M,MATCH($A$1,Database!$A$1:$M$1,),)</f>
        <v>216058</v>
      </c>
      <c r="C301" s="113">
        <f>(Table53514[[#This Row],[Manufacturers'' New Orders: Durable Goods]]-B300)/B300</f>
        <v>-1.4064068631924796E-2</v>
      </c>
    </row>
    <row r="302" spans="1:3">
      <c r="A302" s="74">
        <v>42644</v>
      </c>
      <c r="B302" s="75">
        <f>VLOOKUP(A302,Database!A:M,MATCH($A$1,Database!$A$1:$M$1,),)</f>
        <v>234217</v>
      </c>
      <c r="C302" s="113">
        <f>(Table53514[[#This Row],[Manufacturers'' New Orders: Durable Goods]]-B301)/B301</f>
        <v>8.4046876301733797E-2</v>
      </c>
    </row>
    <row r="303" spans="1:3">
      <c r="A303" s="74">
        <v>42675</v>
      </c>
      <c r="B303" s="75">
        <f>VLOOKUP(A303,Database!A:M,MATCH($A$1,Database!$A$1:$M$1,),)</f>
        <v>216703</v>
      </c>
      <c r="C303" s="113">
        <f>(Table53514[[#This Row],[Manufacturers'' New Orders: Durable Goods]]-B302)/B302</f>
        <v>-7.4776809539871147E-2</v>
      </c>
    </row>
    <row r="304" spans="1:3">
      <c r="A304" s="74">
        <v>42705</v>
      </c>
      <c r="B304" s="75">
        <f>VLOOKUP(A304,Database!A:M,MATCH($A$1,Database!$A$1:$M$1,),)</f>
        <v>218450</v>
      </c>
      <c r="C304" s="113">
        <f>(Table53514[[#This Row],[Manufacturers'' New Orders: Durable Goods]]-B303)/B303</f>
        <v>8.0617250338020242E-3</v>
      </c>
    </row>
    <row r="305" spans="1:3">
      <c r="A305" s="74">
        <v>42736</v>
      </c>
      <c r="B305" s="75">
        <f>VLOOKUP(A305,Database!A:M,MATCH($A$1,Database!$A$1:$M$1,),)</f>
        <v>218011</v>
      </c>
      <c r="C305" s="113">
        <f>(Table53514[[#This Row],[Manufacturers'' New Orders: Durable Goods]]-B304)/B304</f>
        <v>-2.0096131837949189E-3</v>
      </c>
    </row>
    <row r="306" spans="1:3">
      <c r="A306" s="74">
        <v>42767</v>
      </c>
      <c r="B306" s="75">
        <f>VLOOKUP(A306,Database!A:M,MATCH($A$1,Database!$A$1:$M$1,),)</f>
        <v>221815</v>
      </c>
      <c r="C306" s="113">
        <f>(Table53514[[#This Row],[Manufacturers'' New Orders: Durable Goods]]-B305)/B305</f>
        <v>1.7448660847388435E-2</v>
      </c>
    </row>
    <row r="307" spans="1:3">
      <c r="A307" s="74">
        <v>42795</v>
      </c>
      <c r="B307" s="75">
        <f>VLOOKUP(A307,Database!A:M,MATCH($A$1,Database!$A$1:$M$1,),)</f>
        <v>221965</v>
      </c>
      <c r="C307" s="113">
        <f>(Table53514[[#This Row],[Manufacturers'' New Orders: Durable Goods]]-B306)/B306</f>
        <v>6.7623920834930008E-4</v>
      </c>
    </row>
    <row r="308" spans="1:3">
      <c r="A308" s="74">
        <v>42826</v>
      </c>
      <c r="B308" s="75">
        <f>VLOOKUP(A308,Database!A:M,MATCH($A$1,Database!$A$1:$M$1,),)</f>
        <v>222025</v>
      </c>
      <c r="C308" s="113">
        <f>(Table53514[[#This Row],[Manufacturers'' New Orders: Durable Goods]]-B307)/B307</f>
        <v>2.703128871668957E-4</v>
      </c>
    </row>
    <row r="309" spans="1:3">
      <c r="A309" s="74">
        <v>42856</v>
      </c>
      <c r="B309" s="75">
        <f>VLOOKUP(A309,Database!A:M,MATCH($A$1,Database!$A$1:$M$1,),)</f>
        <v>222398</v>
      </c>
      <c r="C309" s="113">
        <f>(Table53514[[#This Row],[Manufacturers'' New Orders: Durable Goods]]-B308)/B308</f>
        <v>1.6799909920054048E-3</v>
      </c>
    </row>
    <row r="310" spans="1:3">
      <c r="A310" s="74">
        <v>42887</v>
      </c>
      <c r="B310" s="75">
        <f>VLOOKUP(A310,Database!A:M,MATCH($A$1,Database!$A$1:$M$1,),)</f>
        <v>238347</v>
      </c>
      <c r="C310" s="113">
        <f>(Table53514[[#This Row],[Manufacturers'' New Orders: Durable Goods]]-B309)/B309</f>
        <v>7.1713774404446082E-2</v>
      </c>
    </row>
    <row r="311" spans="1:3">
      <c r="A311" s="74">
        <v>42917</v>
      </c>
      <c r="B311" s="75">
        <f>VLOOKUP(A311,Database!A:M,MATCH($A$1,Database!$A$1:$M$1,),)</f>
        <v>218978</v>
      </c>
      <c r="C311" s="113">
        <f>(Table53514[[#This Row],[Manufacturers'' New Orders: Durable Goods]]-B310)/B310</f>
        <v>-8.1263871582188993E-2</v>
      </c>
    </row>
    <row r="312" spans="1:3">
      <c r="A312" s="74">
        <v>42948</v>
      </c>
      <c r="B312" s="75">
        <f>VLOOKUP(A312,Database!A:M,MATCH($A$1,Database!$A$1:$M$1,),)</f>
        <v>223602</v>
      </c>
      <c r="C312" s="113">
        <f>(Table53514[[#This Row],[Manufacturers'' New Orders: Durable Goods]]-B311)/B311</f>
        <v>2.1116276520929043E-2</v>
      </c>
    </row>
    <row r="313" spans="1:3">
      <c r="A313" s="74">
        <v>42979</v>
      </c>
      <c r="B313" s="75">
        <f>VLOOKUP(A313,Database!A:M,MATCH($A$1,Database!$A$1:$M$1,),)</f>
        <v>228198</v>
      </c>
      <c r="C313" s="113">
        <f>(Table53514[[#This Row],[Manufacturers'' New Orders: Durable Goods]]-B312)/B312</f>
        <v>2.0554377867818715E-2</v>
      </c>
    </row>
    <row r="314" spans="1:3">
      <c r="A314" s="74">
        <v>43009</v>
      </c>
      <c r="B314" s="75">
        <f>VLOOKUP(A314,Database!A:M,MATCH($A$1,Database!$A$1:$M$1,),)</f>
        <v>229757</v>
      </c>
      <c r="C314" s="113">
        <f>(Table53514[[#This Row],[Manufacturers'' New Orders: Durable Goods]]-B313)/B313</f>
        <v>6.8317864310817799E-3</v>
      </c>
    </row>
    <row r="315" spans="1:3">
      <c r="A315" s="74">
        <v>43040</v>
      </c>
      <c r="B315" s="75">
        <f>VLOOKUP(A315,Database!A:M,MATCH($A$1,Database!$A$1:$M$1,),)</f>
        <v>229646</v>
      </c>
      <c r="C315" s="113">
        <f>(Table53514[[#This Row],[Manufacturers'' New Orders: Durable Goods]]-B314)/B314</f>
        <v>-4.8311912150663527E-4</v>
      </c>
    </row>
    <row r="316" spans="1:3">
      <c r="A316" s="74">
        <v>43070</v>
      </c>
      <c r="B316" s="75">
        <f>VLOOKUP(A316,Database!A:M,MATCH($A$1,Database!$A$1:$M$1,),)</f>
        <v>239903</v>
      </c>
      <c r="C316" s="113">
        <f>(Table53514[[#This Row],[Manufacturers'' New Orders: Durable Goods]]-B315)/B315</f>
        <v>4.4664396505926511E-2</v>
      </c>
    </row>
    <row r="317" spans="1:3">
      <c r="A317" s="74">
        <v>43101</v>
      </c>
      <c r="B317" s="75">
        <f>VLOOKUP(A317,Database!A:M,MATCH($A$1,Database!$A$1:$M$1,),)</f>
        <v>225906</v>
      </c>
      <c r="C317" s="113">
        <f>(Table53514[[#This Row],[Manufacturers'' New Orders: Durable Goods]]-B316)/B316</f>
        <v>-5.8344414200739464E-2</v>
      </c>
    </row>
    <row r="318" spans="1:3">
      <c r="A318" s="74">
        <v>43132</v>
      </c>
      <c r="B318" s="75">
        <f>VLOOKUP(A318,Database!A:M,MATCH($A$1,Database!$A$1:$M$1,),)</f>
        <v>234140</v>
      </c>
      <c r="C318" s="113">
        <f>(Table53514[[#This Row],[Manufacturers'' New Orders: Durable Goods]]-B317)/B317</f>
        <v>3.6448788434127466E-2</v>
      </c>
    </row>
    <row r="319" spans="1:3">
      <c r="A319" s="74">
        <v>43160</v>
      </c>
      <c r="B319" s="75">
        <f>VLOOKUP(A319,Database!A:M,MATCH($A$1,Database!$A$1:$M$1,),)</f>
        <v>242658</v>
      </c>
      <c r="C319" s="113">
        <f>(Table53514[[#This Row],[Manufacturers'' New Orders: Durable Goods]]-B318)/B318</f>
        <v>3.6379943623473139E-2</v>
      </c>
    </row>
    <row r="320" spans="1:3">
      <c r="A320" s="74">
        <v>43191</v>
      </c>
      <c r="B320" s="75">
        <f>VLOOKUP(A320,Database!A:M,MATCH($A$1,Database!$A$1:$M$1,),)</f>
        <v>239492</v>
      </c>
      <c r="C320" s="113">
        <f>(Table53514[[#This Row],[Manufacturers'' New Orders: Durable Goods]]-B319)/B319</f>
        <v>-1.3047169267034262E-2</v>
      </c>
    </row>
    <row r="321" spans="1:3">
      <c r="A321" s="74">
        <v>43221</v>
      </c>
      <c r="B321" s="75">
        <f>VLOOKUP(A321,Database!A:M,MATCH($A$1,Database!$A$1:$M$1,),)</f>
        <v>240608</v>
      </c>
      <c r="C321" s="113">
        <f>(Table53514[[#This Row],[Manufacturers'' New Orders: Durable Goods]]-B320)/B320</f>
        <v>4.6598633774823373E-3</v>
      </c>
    </row>
    <row r="322" spans="1:3">
      <c r="A322" s="74">
        <v>43252</v>
      </c>
      <c r="B322" s="75">
        <f>VLOOKUP(A322,Database!A:M,MATCH($A$1,Database!$A$1:$M$1,),)</f>
        <v>243274</v>
      </c>
      <c r="C322" s="113">
        <f>(Table53514[[#This Row],[Manufacturers'' New Orders: Durable Goods]]-B321)/B321</f>
        <v>1.1080263332890012E-2</v>
      </c>
    </row>
    <row r="323" spans="1:3">
      <c r="A323" s="74">
        <v>43282</v>
      </c>
      <c r="B323" s="75">
        <f>VLOOKUP(A323,Database!A:M,MATCH($A$1,Database!$A$1:$M$1,),)</f>
        <v>234585</v>
      </c>
      <c r="C323" s="113">
        <f>(Table53514[[#This Row],[Manufacturers'' New Orders: Durable Goods]]-B322)/B322</f>
        <v>-3.5716928237296219E-2</v>
      </c>
    </row>
    <row r="324" spans="1:3">
      <c r="A324" s="74">
        <v>43313</v>
      </c>
      <c r="B324" s="75">
        <f>VLOOKUP(A324,Database!A:M,MATCH($A$1,Database!$A$1:$M$1,),)</f>
        <v>244108</v>
      </c>
      <c r="C324" s="113">
        <f>(Table53514[[#This Row],[Manufacturers'' New Orders: Durable Goods]]-B323)/B323</f>
        <v>4.0595093462923885E-2</v>
      </c>
    </row>
    <row r="325" spans="1:3">
      <c r="A325" s="74">
        <v>43344</v>
      </c>
      <c r="B325" s="75">
        <f>VLOOKUP(A325,Database!A:M,MATCH($A$1,Database!$A$1:$M$1,),)</f>
        <v>244834</v>
      </c>
      <c r="C325" s="113">
        <f>(Table53514[[#This Row],[Manufacturers'' New Orders: Durable Goods]]-B324)/B324</f>
        <v>2.9740934340537796E-3</v>
      </c>
    </row>
    <row r="326" spans="1:3">
      <c r="A326" s="74">
        <v>43374</v>
      </c>
      <c r="B326" s="75">
        <f>VLOOKUP(A326,Database!A:M,MATCH($A$1,Database!$A$1:$M$1,),)</f>
        <v>239723</v>
      </c>
      <c r="C326" s="113">
        <f>(Table53514[[#This Row],[Manufacturers'' New Orders: Durable Goods]]-B325)/B325</f>
        <v>-2.0875368617103835E-2</v>
      </c>
    </row>
    <row r="327" spans="1:3">
      <c r="A327" s="74">
        <v>43405</v>
      </c>
      <c r="B327" s="75">
        <f>VLOOKUP(A327,Database!A:M,MATCH($A$1,Database!$A$1:$M$1,),)</f>
        <v>231653</v>
      </c>
      <c r="C327" s="113">
        <f>(Table53514[[#This Row],[Manufacturers'' New Orders: Durable Goods]]-B326)/B326</f>
        <v>-3.3663853697809554E-2</v>
      </c>
    </row>
    <row r="328" spans="1:3">
      <c r="A328" s="74">
        <v>43435</v>
      </c>
      <c r="B328" s="75">
        <f>VLOOKUP(A328,Database!A:M,MATCH($A$1,Database!$A$1:$M$1,),)</f>
        <v>238448</v>
      </c>
      <c r="C328" s="113">
        <f>(Table53514[[#This Row],[Manufacturers'' New Orders: Durable Goods]]-B327)/B327</f>
        <v>2.9332665668046605E-2</v>
      </c>
    </row>
    <row r="329" spans="1:3">
      <c r="A329" s="74">
        <v>43466</v>
      </c>
      <c r="B329" s="75">
        <f>VLOOKUP(A329,Database!A:M,MATCH($A$1,Database!$A$1:$M$1,),)</f>
        <v>229028</v>
      </c>
      <c r="C329" s="113">
        <f>(Table53514[[#This Row],[Manufacturers'' New Orders: Durable Goods]]-B328)/B328</f>
        <v>-3.9505468697577671E-2</v>
      </c>
    </row>
    <row r="330" spans="1:3">
      <c r="A330" s="74">
        <v>43497</v>
      </c>
      <c r="B330" s="75">
        <f>VLOOKUP(A330,Database!A:M,MATCH($A$1,Database!$A$1:$M$1,),)</f>
        <v>223455</v>
      </c>
      <c r="C330" s="113">
        <f>(Table53514[[#This Row],[Manufacturers'' New Orders: Durable Goods]]-B329)/B329</f>
        <v>-2.4333269294584067E-2</v>
      </c>
    </row>
    <row r="331" spans="1:3">
      <c r="A331" s="74">
        <v>43525</v>
      </c>
      <c r="B331" s="75">
        <f>VLOOKUP(A331,Database!A:M,MATCH($A$1,Database!$A$1:$M$1,),)</f>
        <v>233044</v>
      </c>
      <c r="C331" s="113">
        <f>(Table53514[[#This Row],[Manufacturers'' New Orders: Durable Goods]]-B330)/B330</f>
        <v>4.2912443221230223E-2</v>
      </c>
    </row>
    <row r="332" spans="1:3">
      <c r="A332" s="74">
        <v>43556</v>
      </c>
      <c r="B332" s="75">
        <f>VLOOKUP(A332,Database!A:M,MATCH($A$1,Database!$A$1:$M$1,),)</f>
        <v>223929</v>
      </c>
      <c r="C332" s="113">
        <f>(Table53514[[#This Row],[Manufacturers'' New Orders: Durable Goods]]-B331)/B331</f>
        <v>-3.9112785568390519E-2</v>
      </c>
    </row>
    <row r="333" spans="1:3">
      <c r="A333" s="74">
        <v>43586</v>
      </c>
      <c r="B333" s="75">
        <f>VLOOKUP(A333,Database!A:M,MATCH($A$1,Database!$A$1:$M$1,),)</f>
        <v>217479</v>
      </c>
      <c r="C333" s="113">
        <f>(Table53514[[#This Row],[Manufacturers'' New Orders: Durable Goods]]-B332)/B332</f>
        <v>-2.8803772624358615E-2</v>
      </c>
    </row>
    <row r="334" spans="1:3">
      <c r="A334" s="74">
        <v>43617</v>
      </c>
      <c r="B334" s="75">
        <f>VLOOKUP(A334,Database!A:M,MATCH($A$1,Database!$A$1:$M$1,),)</f>
        <v>219553</v>
      </c>
      <c r="C334" s="113">
        <f>(Table53514[[#This Row],[Manufacturers'' New Orders: Durable Goods]]-B333)/B333</f>
        <v>9.5365529545381397E-3</v>
      </c>
    </row>
    <row r="335" spans="1:3">
      <c r="A335" s="74">
        <v>43647</v>
      </c>
      <c r="B335" s="75">
        <f>VLOOKUP(A335,Database!A:M,MATCH($A$1,Database!$A$1:$M$1,),)</f>
        <v>225239</v>
      </c>
      <c r="C335" s="113">
        <f>(Table53514[[#This Row],[Manufacturers'' New Orders: Durable Goods]]-B334)/B334</f>
        <v>2.5898074724553979E-2</v>
      </c>
    </row>
    <row r="336" spans="1:3">
      <c r="A336" s="74">
        <v>43678</v>
      </c>
      <c r="B336" s="75">
        <f>VLOOKUP(A336,Database!A:M,MATCH($A$1,Database!$A$1:$M$1,),)</f>
        <v>224546</v>
      </c>
      <c r="C336" s="113">
        <f>(Table53514[[#This Row],[Manufacturers'' New Orders: Durable Goods]]-B335)/B335</f>
        <v>-3.0767318270814555E-3</v>
      </c>
    </row>
    <row r="337" spans="1:3">
      <c r="A337" s="74">
        <v>43709</v>
      </c>
      <c r="B337" s="75">
        <f>VLOOKUP(A337,Database!A:M,MATCH($A$1,Database!$A$1:$M$1,),)</f>
        <v>221949</v>
      </c>
      <c r="C337" s="113">
        <f>(Table53514[[#This Row],[Manufacturers'' New Orders: Durable Goods]]-B336)/B336</f>
        <v>-1.1565558950059231E-2</v>
      </c>
    </row>
    <row r="338" spans="1:3">
      <c r="A338" s="74">
        <v>43739</v>
      </c>
      <c r="B338" s="75">
        <f>VLOOKUP(A338,Database!A:M,MATCH($A$1,Database!$A$1:$M$1,),)</f>
        <v>222975</v>
      </c>
      <c r="C338" s="113">
        <f>(Table53514[[#This Row],[Manufacturers'' New Orders: Durable Goods]]-B337)/B337</f>
        <v>4.6226835894732574E-3</v>
      </c>
    </row>
    <row r="339" spans="1:3">
      <c r="A339" s="74">
        <v>43770</v>
      </c>
      <c r="B339" s="75">
        <f>VLOOKUP(A339,Database!A:M,MATCH($A$1,Database!$A$1:$M$1,),)</f>
        <v>212779</v>
      </c>
      <c r="C339" s="113">
        <f>(Table53514[[#This Row],[Manufacturers'' New Orders: Durable Goods]]-B338)/B338</f>
        <v>-4.5727099450611056E-2</v>
      </c>
    </row>
    <row r="340" spans="1:3">
      <c r="A340" s="74">
        <v>43800</v>
      </c>
      <c r="B340" s="75">
        <f>VLOOKUP(A340,Database!A:M,MATCH($A$1,Database!$A$1:$M$1,),)</f>
        <v>215324</v>
      </c>
      <c r="C340" s="113">
        <f>(Table53514[[#This Row],[Manufacturers'' New Orders: Durable Goods]]-B339)/B339</f>
        <v>1.1960766804994853E-2</v>
      </c>
    </row>
    <row r="341" spans="1:3">
      <c r="A341" s="74">
        <v>43831</v>
      </c>
      <c r="B341" s="75">
        <f>VLOOKUP(A341,Database!A:M,MATCH($A$1,Database!$A$1:$M$1,),)</f>
        <v>225551</v>
      </c>
      <c r="C341" s="113">
        <f>(Table53514[[#This Row],[Manufacturers'' New Orders: Durable Goods]]-B340)/B340</f>
        <v>4.7495866693912432E-2</v>
      </c>
    </row>
    <row r="342" spans="1:3">
      <c r="A342" s="74">
        <v>43862</v>
      </c>
      <c r="B342" s="75">
        <f>VLOOKUP(A342,Database!A:M,MATCH($A$1,Database!$A$1:$M$1,),)</f>
        <v>231488</v>
      </c>
      <c r="C342" s="113">
        <f>(Table53514[[#This Row],[Manufacturers'' New Orders: Durable Goods]]-B341)/B341</f>
        <v>2.6322206507619121E-2</v>
      </c>
    </row>
    <row r="343" spans="1:3">
      <c r="A343" s="74">
        <v>43891</v>
      </c>
      <c r="B343" s="75">
        <f>VLOOKUP(A343,Database!A:M,MATCH($A$1,Database!$A$1:$M$1,),)</f>
        <v>200119</v>
      </c>
      <c r="C343" s="113">
        <f>(Table53514[[#This Row],[Manufacturers'' New Orders: Durable Goods]]-B342)/B342</f>
        <v>-0.13551026403096489</v>
      </c>
    </row>
    <row r="344" spans="1:3">
      <c r="A344" s="74">
        <v>43922</v>
      </c>
      <c r="B344" s="75">
        <f>VLOOKUP(A344,Database!A:M,MATCH($A$1,Database!$A$1:$M$1,),)</f>
        <v>159130</v>
      </c>
      <c r="C344" s="113">
        <f>(Table53514[[#This Row],[Manufacturers'' New Orders: Durable Goods]]-B343)/B343</f>
        <v>-0.20482313023750867</v>
      </c>
    </row>
    <row r="345" spans="1:3">
      <c r="A345" s="74">
        <v>43952</v>
      </c>
      <c r="B345" s="75">
        <f>VLOOKUP(A345,Database!A:M,MATCH($A$1,Database!$A$1:$M$1,),)</f>
        <v>179384</v>
      </c>
      <c r="C345" s="113">
        <f>(Table53514[[#This Row],[Manufacturers'' New Orders: Durable Goods]]-B344)/B344</f>
        <v>0.12727958273110035</v>
      </c>
    </row>
    <row r="346" spans="1:3">
      <c r="A346" s="74">
        <v>43983</v>
      </c>
      <c r="B346" s="75">
        <f>VLOOKUP(A346,Database!A:M,MATCH($A$1,Database!$A$1:$M$1,),)</f>
        <v>198774</v>
      </c>
      <c r="C346" s="113">
        <f>(Table53514[[#This Row],[Manufacturers'' New Orders: Durable Goods]]-B345)/B345</f>
        <v>0.10809213753735004</v>
      </c>
    </row>
    <row r="347" spans="1:3">
      <c r="A347" s="74">
        <v>44013</v>
      </c>
      <c r="B347" s="75">
        <f>VLOOKUP(A347,Database!A:M,MATCH($A$1,Database!$A$1:$M$1,),)</f>
        <v>218041</v>
      </c>
      <c r="C347" s="113">
        <f>(Table53514[[#This Row],[Manufacturers'' New Orders: Durable Goods]]-B346)/B346</f>
        <v>9.6929175847947927E-2</v>
      </c>
    </row>
    <row r="348" spans="1:3">
      <c r="A348" s="74">
        <v>44044</v>
      </c>
      <c r="B348" s="75">
        <f>VLOOKUP(A348,Database!A:M,MATCH($A$1,Database!$A$1:$M$1,),)</f>
        <v>221086</v>
      </c>
      <c r="C348" s="113">
        <f>(Table53514[[#This Row],[Manufacturers'' New Orders: Durable Goods]]-B347)/B347</f>
        <v>1.3965263413761631E-2</v>
      </c>
    </row>
    <row r="349" spans="1:3">
      <c r="A349" s="74">
        <v>44075</v>
      </c>
      <c r="B349" s="75">
        <f>VLOOKUP(A349,Database!A:M,MATCH($A$1,Database!$A$1:$M$1,),)</f>
        <v>225593</v>
      </c>
      <c r="C349" s="113">
        <f>(Table53514[[#This Row],[Manufacturers'' New Orders: Durable Goods]]-B348)/B348</f>
        <v>2.038573224898908E-2</v>
      </c>
    </row>
    <row r="350" spans="1:3">
      <c r="A350" s="74">
        <v>44105</v>
      </c>
      <c r="B350" s="75">
        <f>VLOOKUP(A350,Database!A:M,MATCH($A$1,Database!$A$1:$M$1,),)</f>
        <v>229735</v>
      </c>
      <c r="C350" s="113">
        <f>(Table53514[[#This Row],[Manufacturers'' New Orders: Durable Goods]]-B349)/B349</f>
        <v>1.8360498774341403E-2</v>
      </c>
    </row>
    <row r="351" spans="1:3">
      <c r="A351" s="74">
        <v>44136</v>
      </c>
      <c r="B351" s="75">
        <f>VLOOKUP(A351,Database!A:M,MATCH($A$1,Database!$A$1:$M$1,),)</f>
        <v>228470</v>
      </c>
      <c r="C351" s="113">
        <f>(Table53514[[#This Row],[Manufacturers'' New Orders: Durable Goods]]-B350)/B350</f>
        <v>-5.5063442662197752E-3</v>
      </c>
    </row>
    <row r="352" spans="1:3">
      <c r="A352" s="74">
        <v>44166</v>
      </c>
      <c r="B352" s="75">
        <f>VLOOKUP(A352,Database!A:M,MATCH($A$1,Database!$A$1:$M$1,),)</f>
        <v>231460</v>
      </c>
      <c r="C352" s="113">
        <f>(Table53514[[#This Row],[Manufacturers'' New Orders: Durable Goods]]-B351)/B351</f>
        <v>1.3087057381713136E-2</v>
      </c>
    </row>
    <row r="353" spans="1:3">
      <c r="A353" s="74">
        <v>44197</v>
      </c>
      <c r="B353" s="75">
        <f>VLOOKUP(A353,Database!A:M,MATCH($A$1,Database!$A$1:$M$1,),)</f>
        <v>237284</v>
      </c>
      <c r="C353" s="113">
        <f>(Table53514[[#This Row],[Manufacturers'' New Orders: Durable Goods]]-B352)/B352</f>
        <v>2.5162015034995249E-2</v>
      </c>
    </row>
    <row r="354" spans="1:3">
      <c r="A354" s="74">
        <v>44228</v>
      </c>
      <c r="B354" s="75">
        <f>VLOOKUP(A354,Database!A:M,MATCH($A$1,Database!$A$1:$M$1,),)</f>
        <v>237479</v>
      </c>
      <c r="C354" s="113">
        <f>(Table53514[[#This Row],[Manufacturers'' New Orders: Durable Goods]]-B353)/B353</f>
        <v>8.218000370863607E-4</v>
      </c>
    </row>
    <row r="355" spans="1:3">
      <c r="A355" s="74">
        <v>44256</v>
      </c>
      <c r="B355" s="75">
        <f>VLOOKUP(A355,Database!A:M,MATCH($A$1,Database!$A$1:$M$1,),)</f>
        <v>241392</v>
      </c>
      <c r="C355" s="113">
        <f>(Table53514[[#This Row],[Manufacturers'' New Orders: Durable Goods]]-B354)/B354</f>
        <v>1.6477246409156179E-2</v>
      </c>
    </row>
    <row r="356" spans="1:3">
      <c r="A356" s="74">
        <v>44287</v>
      </c>
      <c r="B356" s="75">
        <f>VLOOKUP(A356,Database!A:M,MATCH($A$1,Database!$A$1:$M$1,),)</f>
        <v>236566</v>
      </c>
      <c r="C356" s="113">
        <f>(Table53514[[#This Row],[Manufacturers'' New Orders: Durable Goods]]-B355)/B355</f>
        <v>-1.9992377543580565E-2</v>
      </c>
    </row>
    <row r="357" spans="1:3">
      <c r="A357" s="74">
        <v>44317</v>
      </c>
      <c r="B357" s="75">
        <f>VLOOKUP(A357,Database!A:M,MATCH($A$1,Database!$A$1:$M$1,),)</f>
        <v>241545</v>
      </c>
      <c r="C357" s="113">
        <f>(Table53514[[#This Row],[Manufacturers'' New Orders: Durable Goods]]-B356)/B356</f>
        <v>2.1046980546655054E-2</v>
      </c>
    </row>
    <row r="358" spans="1:3">
      <c r="A358" s="74">
        <v>44348</v>
      </c>
      <c r="B358" s="75">
        <f>VLOOKUP(A358,Database!A:M,MATCH($A$1,Database!$A$1:$M$1,),)</f>
        <v>245826</v>
      </c>
      <c r="C358" s="113">
        <f>(Table53514[[#This Row],[Manufacturers'' New Orders: Durable Goods]]-B357)/B357</f>
        <v>1.7723405576600633E-2</v>
      </c>
    </row>
    <row r="359" spans="1:3">
      <c r="A359" s="74">
        <v>44378</v>
      </c>
      <c r="B359" s="75">
        <f>VLOOKUP(A359,Database!A:M,MATCH($A$1,Database!$A$1:$M$1,),)</f>
        <v>246741</v>
      </c>
      <c r="C359" s="113">
        <f>(Table53514[[#This Row],[Manufacturers'' New Orders: Durable Goods]]-B358)/B358</f>
        <v>3.7221449317810158E-3</v>
      </c>
    </row>
    <row r="360" spans="1:3">
      <c r="A360" s="74">
        <v>44409</v>
      </c>
      <c r="B360" s="75">
        <f>VLOOKUP(A360,Database!A:M,MATCH($A$1,Database!$A$1:$M$1,),)</f>
        <v>250577</v>
      </c>
      <c r="C360" s="113">
        <f>(Table53514[[#This Row],[Manufacturers'' New Orders: Durable Goods]]-B359)/B359</f>
        <v>1.5546666342440049E-2</v>
      </c>
    </row>
    <row r="361" spans="1:3">
      <c r="A361" s="74">
        <v>44440</v>
      </c>
      <c r="B361" s="75">
        <f>VLOOKUP(A361,Database!A:M,MATCH($A$1,Database!$A$1:$M$1,),)</f>
        <v>246849</v>
      </c>
      <c r="C361" s="113">
        <f>(Table53514[[#This Row],[Manufacturers'' New Orders: Durable Goods]]-B360)/B360</f>
        <v>-1.4877662355284005E-2</v>
      </c>
    </row>
    <row r="362" spans="1:3">
      <c r="A362" s="74">
        <v>44470</v>
      </c>
      <c r="B362" s="75">
        <f>VLOOKUP(A362,Database!A:M,MATCH($A$1,Database!$A$1:$M$1,),)</f>
        <v>250503</v>
      </c>
      <c r="C362" s="113">
        <f>(Table53514[[#This Row],[Manufacturers'' New Orders: Durable Goods]]-B361)/B361</f>
        <v>1.4802571612605278E-2</v>
      </c>
    </row>
    <row r="363" spans="1:3">
      <c r="A363" s="74">
        <v>44501</v>
      </c>
      <c r="B363" s="75">
        <f>VLOOKUP(A363,Database!A:M,MATCH($A$1,Database!$A$1:$M$1,),)</f>
        <v>254074</v>
      </c>
      <c r="C363" s="113">
        <f>(Table53514[[#This Row],[Manufacturers'' New Orders: Durable Goods]]-B362)/B362</f>
        <v>1.4255318299581243E-2</v>
      </c>
    </row>
    <row r="364" spans="1:3">
      <c r="A364" s="74">
        <v>44531</v>
      </c>
      <c r="B364" s="75">
        <f>VLOOKUP(A364,Database!A:M,MATCH($A$1,Database!$A$1:$M$1,),)</f>
        <v>256464</v>
      </c>
      <c r="C364" s="113">
        <f>(Table53514[[#This Row],[Manufacturers'' New Orders: Durable Goods]]-B363)/B363</f>
        <v>9.406708281839149E-3</v>
      </c>
    </row>
    <row r="365" spans="1:3">
      <c r="A365" s="74">
        <v>44562</v>
      </c>
      <c r="B365" s="75">
        <f>VLOOKUP(A365,Database!A:M,MATCH($A$1,Database!$A$1:$M$1,),)</f>
        <v>264356</v>
      </c>
      <c r="C365" s="113">
        <f>(Table53514[[#This Row],[Manufacturers'' New Orders: Durable Goods]]-B364)/B364</f>
        <v>3.0772350115415809E-2</v>
      </c>
    </row>
    <row r="366" spans="1:3">
      <c r="A366" s="74">
        <v>44593</v>
      </c>
      <c r="B366" s="75">
        <f>VLOOKUP(A366,Database!A:M,MATCH($A$1,Database!$A$1:$M$1,),)</f>
        <v>262494</v>
      </c>
      <c r="C366" s="113">
        <f>(Table53514[[#This Row],[Manufacturers'' New Orders: Durable Goods]]-B365)/B365</f>
        <v>-7.0435322065699286E-3</v>
      </c>
    </row>
    <row r="367" spans="1:3">
      <c r="A367" s="74">
        <v>44621</v>
      </c>
      <c r="B367" s="75">
        <f>VLOOKUP(A367,Database!A:M,MATCH($A$1,Database!$A$1:$M$1,),)</f>
        <v>264258</v>
      </c>
      <c r="C367" s="113">
        <f>(Table53514[[#This Row],[Manufacturers'' New Orders: Durable Goods]]-B366)/B366</f>
        <v>6.7201536035109378E-3</v>
      </c>
    </row>
    <row r="368" spans="1:3">
      <c r="A368" s="74">
        <v>44652</v>
      </c>
      <c r="B368" s="75">
        <f>VLOOKUP(A368,Database!A:M,MATCH($A$1,Database!$A$1:$M$1,),)</f>
        <v>265376</v>
      </c>
      <c r="C368" s="113">
        <f>(Table53514[[#This Row],[Manufacturers'' New Orders: Durable Goods]]-B367)/B367</f>
        <v>4.2307139235141416E-3</v>
      </c>
    </row>
    <row r="369" spans="1:3">
      <c r="A369" s="74">
        <v>44682</v>
      </c>
      <c r="B369" s="75">
        <f>VLOOKUP(A369,Database!A:M,MATCH($A$1,Database!$A$1:$M$1,),)</f>
        <v>267533</v>
      </c>
      <c r="C369" s="113">
        <f>(Table53514[[#This Row],[Manufacturers'' New Orders: Durable Goods]]-B368)/B368</f>
        <v>8.1280899553840581E-3</v>
      </c>
    </row>
    <row r="370" spans="1:3">
      <c r="A370" s="74">
        <v>44713</v>
      </c>
      <c r="B370" s="75">
        <f>VLOOKUP(A370,Database!A:M,MATCH($A$1,Database!$A$1:$M$1,),)</f>
        <v>273571</v>
      </c>
      <c r="C370" s="113">
        <f>(Table53514[[#This Row],[Manufacturers'' New Orders: Durable Goods]]-B369)/B369</f>
        <v>2.2569178381732346E-2</v>
      </c>
    </row>
    <row r="371" spans="1:3">
      <c r="A371" s="74">
        <v>44743</v>
      </c>
      <c r="B371" s="75">
        <f>VLOOKUP(A371,Database!A:M,MATCH($A$1,Database!$A$1:$M$1,),)</f>
        <v>273186</v>
      </c>
      <c r="C371" s="113">
        <f>(Table53514[[#This Row],[Manufacturers'' New Orders: Durable Goods]]-B370)/B370</f>
        <v>-1.407312909628579E-3</v>
      </c>
    </row>
  </sheetData>
  <conditionalFormatting sqref="B4:B5 C2:C3">
    <cfRule type="colorScale" priority="2">
      <colorScale>
        <cfvo type="min"/>
        <cfvo type="percentile" val="50"/>
        <cfvo type="max"/>
        <color rgb="FFF8696B"/>
        <color rgb="FFFFEB84"/>
        <color rgb="FF63BE7B"/>
      </colorScale>
    </cfRule>
  </conditionalFormatting>
  <conditionalFormatting sqref="C221:C37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1"/>
  <sheetViews>
    <sheetView zoomScale="150" zoomScaleNormal="150" workbookViewId="0">
      <pane ySplit="5" topLeftCell="A359" activePane="bottomLeft" state="frozen"/>
      <selection pane="bottomLeft" activeCell="AB360" sqref="AB360"/>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3">
      <c r="A1" s="68" t="s">
        <v>21</v>
      </c>
      <c r="B1" s="69" t="s">
        <v>111</v>
      </c>
      <c r="C1" s="70"/>
    </row>
    <row r="2" spans="1:3">
      <c r="A2" s="68" t="s">
        <v>112</v>
      </c>
      <c r="B2" s="68"/>
      <c r="C2" s="69"/>
    </row>
    <row r="3" spans="1:3">
      <c r="B3" s="68"/>
      <c r="C3" s="69"/>
    </row>
    <row r="4" spans="1:3" ht="16" customHeight="1" thickBot="1"/>
    <row r="5" spans="1:3" ht="68.25" customHeight="1">
      <c r="A5" s="72" t="s">
        <v>109</v>
      </c>
      <c r="B5" s="73" t="s">
        <v>113</v>
      </c>
      <c r="C5" s="111" t="s">
        <v>110</v>
      </c>
    </row>
    <row r="6" spans="1:3">
      <c r="A6" s="74">
        <v>33635</v>
      </c>
      <c r="B6" s="75">
        <f>VLOOKUP(A6,Database!A:M,MATCH($A$1,Database!$A$1:$M$1,),)</f>
        <v>33857</v>
      </c>
      <c r="C6" s="112"/>
    </row>
    <row r="7" spans="1:3">
      <c r="A7" s="74">
        <v>33664</v>
      </c>
      <c r="B7" s="75">
        <f>VLOOKUP(A7,Database!A:M,MATCH($A$1,Database!$A$1:$M$1,),)</f>
        <v>35258</v>
      </c>
      <c r="C7" s="113">
        <f>(Table535[[#This Row],[New Orders - Nondefense Capital Goods Excluding Aircraft]]-B6)/B6</f>
        <v>4.1379921434267657E-2</v>
      </c>
    </row>
    <row r="8" spans="1:3">
      <c r="A8" s="74">
        <v>33695</v>
      </c>
      <c r="B8" s="75">
        <f>VLOOKUP(A8,Database!A:M,MATCH($A$1,Database!$A$1:$M$1,),)</f>
        <v>35992</v>
      </c>
      <c r="C8" s="113">
        <f>(Table535[[#This Row],[New Orders - Nondefense Capital Goods Excluding Aircraft]]-B7)/B7</f>
        <v>2.0817970389698792E-2</v>
      </c>
    </row>
    <row r="9" spans="1:3">
      <c r="A9" s="74">
        <v>33725</v>
      </c>
      <c r="B9" s="75">
        <f>VLOOKUP(A9,Database!A:M,MATCH($A$1,Database!$A$1:$M$1,),)</f>
        <v>36811</v>
      </c>
      <c r="C9" s="113">
        <f>(Table535[[#This Row],[New Orders - Nondefense Capital Goods Excluding Aircraft]]-B8)/B8</f>
        <v>2.2755056679262059E-2</v>
      </c>
    </row>
    <row r="10" spans="1:3">
      <c r="A10" s="74">
        <v>33756</v>
      </c>
      <c r="B10" s="75">
        <f>VLOOKUP(A10,Database!A:M,MATCH($A$1,Database!$A$1:$M$1,),)</f>
        <v>36666</v>
      </c>
      <c r="C10" s="113">
        <f>(Table535[[#This Row],[New Orders - Nondefense Capital Goods Excluding Aircraft]]-B9)/B9</f>
        <v>-3.9390399608812583E-3</v>
      </c>
    </row>
    <row r="11" spans="1:3">
      <c r="A11" s="74">
        <v>33786</v>
      </c>
      <c r="B11" s="75">
        <f>VLOOKUP(A11,Database!A:M,MATCH($A$1,Database!$A$1:$M$1,),)</f>
        <v>36629</v>
      </c>
      <c r="C11" s="113">
        <f>(Table535[[#This Row],[New Orders - Nondefense Capital Goods Excluding Aircraft]]-B10)/B10</f>
        <v>-1.009109256531937E-3</v>
      </c>
    </row>
    <row r="12" spans="1:3">
      <c r="A12" s="74">
        <v>33817</v>
      </c>
      <c r="B12" s="75">
        <f>VLOOKUP(A12,Database!A:M,MATCH($A$1,Database!$A$1:$M$1,),)</f>
        <v>36131</v>
      </c>
      <c r="C12" s="113">
        <f>(Table535[[#This Row],[New Orders - Nondefense Capital Goods Excluding Aircraft]]-B11)/B11</f>
        <v>-1.3595784760708728E-2</v>
      </c>
    </row>
    <row r="13" spans="1:3">
      <c r="A13" s="74">
        <v>33848</v>
      </c>
      <c r="B13" s="75">
        <f>VLOOKUP(A13,Database!A:M,MATCH($A$1,Database!$A$1:$M$1,),)</f>
        <v>37629</v>
      </c>
      <c r="C13" s="113">
        <f>(Table535[[#This Row],[New Orders - Nondefense Capital Goods Excluding Aircraft]]-B12)/B12</f>
        <v>4.146024189753951E-2</v>
      </c>
    </row>
    <row r="14" spans="1:3">
      <c r="A14" s="74">
        <v>33878</v>
      </c>
      <c r="B14" s="75">
        <f>VLOOKUP(A14,Database!A:M,MATCH($A$1,Database!$A$1:$M$1,),)</f>
        <v>36668</v>
      </c>
      <c r="C14" s="113">
        <f>(Table535[[#This Row],[New Orders - Nondefense Capital Goods Excluding Aircraft]]-B13)/B13</f>
        <v>-2.553881314943262E-2</v>
      </c>
    </row>
    <row r="15" spans="1:3">
      <c r="A15" s="74">
        <v>33909</v>
      </c>
      <c r="B15" s="75">
        <f>VLOOKUP(A15,Database!A:M,MATCH($A$1,Database!$A$1:$M$1,),)</f>
        <v>37573</v>
      </c>
      <c r="C15" s="113">
        <f>(Table535[[#This Row],[New Orders - Nondefense Capital Goods Excluding Aircraft]]-B14)/B14</f>
        <v>2.4680920693792952E-2</v>
      </c>
    </row>
    <row r="16" spans="1:3">
      <c r="A16" s="74">
        <v>33939</v>
      </c>
      <c r="B16" s="75">
        <f>VLOOKUP(A16,Database!A:M,MATCH($A$1,Database!$A$1:$M$1,),)</f>
        <v>38374</v>
      </c>
      <c r="C16" s="113">
        <f>(Table535[[#This Row],[New Orders - Nondefense Capital Goods Excluding Aircraft]]-B15)/B15</f>
        <v>2.1318499986692573E-2</v>
      </c>
    </row>
    <row r="17" spans="1:3">
      <c r="A17" s="74">
        <v>33970</v>
      </c>
      <c r="B17" s="75">
        <f>VLOOKUP(A17,Database!A:M,MATCH($A$1,Database!$A$1:$M$1,),)</f>
        <v>37041</v>
      </c>
      <c r="C17" s="113">
        <f>(Table535[[#This Row],[New Orders - Nondefense Capital Goods Excluding Aircraft]]-B16)/B16</f>
        <v>-3.4737061552092566E-2</v>
      </c>
    </row>
    <row r="18" spans="1:3">
      <c r="A18" s="74">
        <v>34001</v>
      </c>
      <c r="B18" s="75">
        <f>VLOOKUP(A18,Database!A:M,MATCH($A$1,Database!$A$1:$M$1,),)</f>
        <v>36962</v>
      </c>
      <c r="C18" s="113">
        <f>(Table535[[#This Row],[New Orders - Nondefense Capital Goods Excluding Aircraft]]-B17)/B17</f>
        <v>-2.1327717934181041E-3</v>
      </c>
    </row>
    <row r="19" spans="1:3">
      <c r="A19" s="74">
        <v>34029</v>
      </c>
      <c r="B19" s="75">
        <f>VLOOKUP(A19,Database!A:M,MATCH($A$1,Database!$A$1:$M$1,),)</f>
        <v>36895</v>
      </c>
      <c r="C19" s="113">
        <f>(Table535[[#This Row],[New Orders - Nondefense Capital Goods Excluding Aircraft]]-B18)/B18</f>
        <v>-1.8126724744332017E-3</v>
      </c>
    </row>
    <row r="20" spans="1:3">
      <c r="A20" s="74">
        <v>34060</v>
      </c>
      <c r="B20" s="75">
        <f>VLOOKUP(A20,Database!A:M,MATCH($A$1,Database!$A$1:$M$1,),)</f>
        <v>37729</v>
      </c>
      <c r="C20" s="113">
        <f>(Table535[[#This Row],[New Orders - Nondefense Capital Goods Excluding Aircraft]]-B19)/B19</f>
        <v>2.2604688982246917E-2</v>
      </c>
    </row>
    <row r="21" spans="1:3">
      <c r="A21" s="74">
        <v>34090</v>
      </c>
      <c r="B21" s="75">
        <f>VLOOKUP(A21,Database!A:M,MATCH($A$1,Database!$A$1:$M$1,),)</f>
        <v>37869</v>
      </c>
      <c r="C21" s="113">
        <f>(Table535[[#This Row],[New Orders - Nondefense Capital Goods Excluding Aircraft]]-B20)/B20</f>
        <v>3.7106734872379339E-3</v>
      </c>
    </row>
    <row r="22" spans="1:3">
      <c r="A22" s="74">
        <v>34121</v>
      </c>
      <c r="B22" s="75">
        <f>VLOOKUP(A22,Database!A:M,MATCH($A$1,Database!$A$1:$M$1,),)</f>
        <v>38381</v>
      </c>
      <c r="C22" s="113">
        <f>(Table535[[#This Row],[New Orders - Nondefense Capital Goods Excluding Aircraft]]-B21)/B21</f>
        <v>1.3520293643877577E-2</v>
      </c>
    </row>
    <row r="23" spans="1:3">
      <c r="A23" s="74">
        <v>34151</v>
      </c>
      <c r="B23" s="75">
        <f>VLOOKUP(A23,Database!A:M,MATCH($A$1,Database!$A$1:$M$1,),)</f>
        <v>38915</v>
      </c>
      <c r="C23" s="113">
        <f>(Table535[[#This Row],[New Orders - Nondefense Capital Goods Excluding Aircraft]]-B22)/B22</f>
        <v>1.3913134102811286E-2</v>
      </c>
    </row>
    <row r="24" spans="1:3">
      <c r="A24" s="74">
        <v>34182</v>
      </c>
      <c r="B24" s="75">
        <f>VLOOKUP(A24,Database!A:M,MATCH($A$1,Database!$A$1:$M$1,),)</f>
        <v>39309</v>
      </c>
      <c r="C24" s="113">
        <f>(Table535[[#This Row],[New Orders - Nondefense Capital Goods Excluding Aircraft]]-B23)/B23</f>
        <v>1.0124630605165103E-2</v>
      </c>
    </row>
    <row r="25" spans="1:3">
      <c r="A25" s="74">
        <v>34213</v>
      </c>
      <c r="B25" s="75">
        <f>VLOOKUP(A25,Database!A:M,MATCH($A$1,Database!$A$1:$M$1,),)</f>
        <v>39307</v>
      </c>
      <c r="C25" s="113">
        <f>(Table535[[#This Row],[New Orders - Nondefense Capital Goods Excluding Aircraft]]-B24)/B24</f>
        <v>-5.0878933577552216E-5</v>
      </c>
    </row>
    <row r="26" spans="1:3">
      <c r="A26" s="74">
        <v>34243</v>
      </c>
      <c r="B26" s="75">
        <f>VLOOKUP(A26,Database!A:M,MATCH($A$1,Database!$A$1:$M$1,),)</f>
        <v>40550</v>
      </c>
      <c r="C26" s="113">
        <f>(Table535[[#This Row],[New Orders - Nondefense Capital Goods Excluding Aircraft]]-B25)/B25</f>
        <v>3.1622866156155394E-2</v>
      </c>
    </row>
    <row r="27" spans="1:3">
      <c r="A27" s="74">
        <v>34274</v>
      </c>
      <c r="B27" s="75">
        <f>VLOOKUP(A27,Database!A:M,MATCH($A$1,Database!$A$1:$M$1,),)</f>
        <v>40301</v>
      </c>
      <c r="C27" s="113">
        <f>(Table535[[#This Row],[New Orders - Nondefense Capital Goods Excluding Aircraft]]-B26)/B26</f>
        <v>-6.1405672009864362E-3</v>
      </c>
    </row>
    <row r="28" spans="1:3">
      <c r="A28" s="74">
        <v>34304</v>
      </c>
      <c r="B28" s="75">
        <f>VLOOKUP(A28,Database!A:M,MATCH($A$1,Database!$A$1:$M$1,),)</f>
        <v>43296</v>
      </c>
      <c r="C28" s="113">
        <f>(Table535[[#This Row],[New Orders - Nondefense Capital Goods Excluding Aircraft]]-B27)/B27</f>
        <v>7.4315773802138899E-2</v>
      </c>
    </row>
    <row r="29" spans="1:3">
      <c r="A29" s="74">
        <v>34335</v>
      </c>
      <c r="B29" s="75">
        <f>VLOOKUP(A29,Database!A:M,MATCH($A$1,Database!$A$1:$M$1,),)</f>
        <v>39801</v>
      </c>
      <c r="C29" s="113">
        <f>(Table535[[#This Row],[New Orders - Nondefense Capital Goods Excluding Aircraft]]-B28)/B28</f>
        <v>-8.0723392461197335E-2</v>
      </c>
    </row>
    <row r="30" spans="1:3">
      <c r="A30" s="74">
        <v>34366</v>
      </c>
      <c r="B30" s="75">
        <f>VLOOKUP(A30,Database!A:M,MATCH($A$1,Database!$A$1:$M$1,),)</f>
        <v>41736</v>
      </c>
      <c r="C30" s="113">
        <f>(Table535[[#This Row],[New Orders - Nondefense Capital Goods Excluding Aircraft]]-B29)/B29</f>
        <v>4.8616868922891382E-2</v>
      </c>
    </row>
    <row r="31" spans="1:3">
      <c r="A31" s="74">
        <v>34394</v>
      </c>
      <c r="B31" s="75">
        <f>VLOOKUP(A31,Database!A:M,MATCH($A$1,Database!$A$1:$M$1,),)</f>
        <v>41245</v>
      </c>
      <c r="C31" s="113">
        <f>(Table535[[#This Row],[New Orders - Nondefense Capital Goods Excluding Aircraft]]-B30)/B30</f>
        <v>-1.1764423998466552E-2</v>
      </c>
    </row>
    <row r="32" spans="1:3">
      <c r="A32" s="74">
        <v>34425</v>
      </c>
      <c r="B32" s="75">
        <f>VLOOKUP(A32,Database!A:M,MATCH($A$1,Database!$A$1:$M$1,),)</f>
        <v>42992</v>
      </c>
      <c r="C32" s="113">
        <f>(Table535[[#This Row],[New Orders - Nondefense Capital Goods Excluding Aircraft]]-B31)/B31</f>
        <v>4.2356649290823133E-2</v>
      </c>
    </row>
    <row r="33" spans="1:3">
      <c r="A33" s="74">
        <v>34455</v>
      </c>
      <c r="B33" s="75">
        <f>VLOOKUP(A33,Database!A:M,MATCH($A$1,Database!$A$1:$M$1,),)</f>
        <v>42849</v>
      </c>
      <c r="C33" s="113">
        <f>(Table535[[#This Row],[New Orders - Nondefense Capital Goods Excluding Aircraft]]-B32)/B32</f>
        <v>-3.3262002232973577E-3</v>
      </c>
    </row>
    <row r="34" spans="1:3">
      <c r="A34" s="74">
        <v>34486</v>
      </c>
      <c r="B34" s="75">
        <f>VLOOKUP(A34,Database!A:M,MATCH($A$1,Database!$A$1:$M$1,),)</f>
        <v>44555</v>
      </c>
      <c r="C34" s="113">
        <f>(Table535[[#This Row],[New Orders - Nondefense Capital Goods Excluding Aircraft]]-B33)/B33</f>
        <v>3.9814231370627083E-2</v>
      </c>
    </row>
    <row r="35" spans="1:3">
      <c r="A35" s="74">
        <v>34516</v>
      </c>
      <c r="B35" s="75">
        <f>VLOOKUP(A35,Database!A:M,MATCH($A$1,Database!$A$1:$M$1,),)</f>
        <v>44016</v>
      </c>
      <c r="C35" s="113">
        <f>(Table535[[#This Row],[New Orders - Nondefense Capital Goods Excluding Aircraft]]-B34)/B34</f>
        <v>-1.2097407698350354E-2</v>
      </c>
    </row>
    <row r="36" spans="1:3">
      <c r="A36" s="74">
        <v>34547</v>
      </c>
      <c r="B36" s="75">
        <f>VLOOKUP(A36,Database!A:M,MATCH($A$1,Database!$A$1:$M$1,),)</f>
        <v>44406</v>
      </c>
      <c r="C36" s="113">
        <f>(Table535[[#This Row],[New Orders - Nondefense Capital Goods Excluding Aircraft]]-B35)/B35</f>
        <v>8.8604143947655402E-3</v>
      </c>
    </row>
    <row r="37" spans="1:3">
      <c r="A37" s="74">
        <v>34578</v>
      </c>
      <c r="B37" s="75">
        <f>VLOOKUP(A37,Database!A:M,MATCH($A$1,Database!$A$1:$M$1,),)</f>
        <v>44507</v>
      </c>
      <c r="C37" s="113">
        <f>(Table535[[#This Row],[New Orders - Nondefense Capital Goods Excluding Aircraft]]-B36)/B36</f>
        <v>2.274467414313381E-3</v>
      </c>
    </row>
    <row r="38" spans="1:3">
      <c r="A38" s="74">
        <v>34608</v>
      </c>
      <c r="B38" s="75">
        <f>VLOOKUP(A38,Database!A:M,MATCH($A$1,Database!$A$1:$M$1,),)</f>
        <v>45959</v>
      </c>
      <c r="C38" s="113">
        <f>(Table535[[#This Row],[New Orders - Nondefense Capital Goods Excluding Aircraft]]-B37)/B37</f>
        <v>3.2624081605140763E-2</v>
      </c>
    </row>
    <row r="39" spans="1:3">
      <c r="A39" s="74">
        <v>34639</v>
      </c>
      <c r="B39" s="75">
        <f>VLOOKUP(A39,Database!A:M,MATCH($A$1,Database!$A$1:$M$1,),)</f>
        <v>45942</v>
      </c>
      <c r="C39" s="113">
        <f>(Table535[[#This Row],[New Orders - Nondefense Capital Goods Excluding Aircraft]]-B38)/B38</f>
        <v>-3.698949063295546E-4</v>
      </c>
    </row>
    <row r="40" spans="1:3">
      <c r="A40" s="74">
        <v>34669</v>
      </c>
      <c r="B40" s="75">
        <f>VLOOKUP(A40,Database!A:M,MATCH($A$1,Database!$A$1:$M$1,),)</f>
        <v>46186</v>
      </c>
      <c r="C40" s="113">
        <f>(Table535[[#This Row],[New Orders - Nondefense Capital Goods Excluding Aircraft]]-B39)/B39</f>
        <v>5.3110443602803533E-3</v>
      </c>
    </row>
    <row r="41" spans="1:3">
      <c r="A41" s="74">
        <v>34700</v>
      </c>
      <c r="B41" s="75">
        <f>VLOOKUP(A41,Database!A:M,MATCH($A$1,Database!$A$1:$M$1,),)</f>
        <v>47317</v>
      </c>
      <c r="C41" s="113">
        <f>(Table535[[#This Row],[New Orders - Nondefense Capital Goods Excluding Aircraft]]-B40)/B40</f>
        <v>2.4487940068419003E-2</v>
      </c>
    </row>
    <row r="42" spans="1:3">
      <c r="A42" s="74">
        <v>34731</v>
      </c>
      <c r="B42" s="75">
        <f>VLOOKUP(A42,Database!A:M,MATCH($A$1,Database!$A$1:$M$1,),)</f>
        <v>46200</v>
      </c>
      <c r="C42" s="113">
        <f>(Table535[[#This Row],[New Orders - Nondefense Capital Goods Excluding Aircraft]]-B41)/B41</f>
        <v>-2.3606737536192066E-2</v>
      </c>
    </row>
    <row r="43" spans="1:3">
      <c r="A43" s="74">
        <v>34759</v>
      </c>
      <c r="B43" s="75">
        <f>VLOOKUP(A43,Database!A:M,MATCH($A$1,Database!$A$1:$M$1,),)</f>
        <v>46095</v>
      </c>
      <c r="C43" s="113">
        <f>(Table535[[#This Row],[New Orders - Nondefense Capital Goods Excluding Aircraft]]-B42)/B42</f>
        <v>-2.2727272727272726E-3</v>
      </c>
    </row>
    <row r="44" spans="1:3">
      <c r="A44" s="74">
        <v>34790</v>
      </c>
      <c r="B44" s="75">
        <f>VLOOKUP(A44,Database!A:M,MATCH($A$1,Database!$A$1:$M$1,),)</f>
        <v>46776</v>
      </c>
      <c r="C44" s="113">
        <f>(Table535[[#This Row],[New Orders - Nondefense Capital Goods Excluding Aircraft]]-B43)/B43</f>
        <v>1.4773836641718191E-2</v>
      </c>
    </row>
    <row r="45" spans="1:3">
      <c r="A45" s="74">
        <v>34820</v>
      </c>
      <c r="B45" s="75">
        <f>VLOOKUP(A45,Database!A:M,MATCH($A$1,Database!$A$1:$M$1,),)</f>
        <v>48401</v>
      </c>
      <c r="C45" s="113">
        <f>(Table535[[#This Row],[New Orders - Nondefense Capital Goods Excluding Aircraft]]-B44)/B44</f>
        <v>3.4740037626133057E-2</v>
      </c>
    </row>
    <row r="46" spans="1:3">
      <c r="A46" s="74">
        <v>34851</v>
      </c>
      <c r="B46" s="75">
        <f>VLOOKUP(A46,Database!A:M,MATCH($A$1,Database!$A$1:$M$1,),)</f>
        <v>47970</v>
      </c>
      <c r="C46" s="113">
        <f>(Table535[[#This Row],[New Orders - Nondefense Capital Goods Excluding Aircraft]]-B45)/B45</f>
        <v>-8.9047746947377125E-3</v>
      </c>
    </row>
    <row r="47" spans="1:3">
      <c r="A47" s="74">
        <v>34881</v>
      </c>
      <c r="B47" s="75">
        <f>VLOOKUP(A47,Database!A:M,MATCH($A$1,Database!$A$1:$M$1,),)</f>
        <v>45962</v>
      </c>
      <c r="C47" s="113">
        <f>(Table535[[#This Row],[New Orders - Nondefense Capital Goods Excluding Aircraft]]-B46)/B46</f>
        <v>-4.1859495518032107E-2</v>
      </c>
    </row>
    <row r="48" spans="1:3">
      <c r="A48" s="74">
        <v>34912</v>
      </c>
      <c r="B48" s="75">
        <f>VLOOKUP(A48,Database!A:M,MATCH($A$1,Database!$A$1:$M$1,),)</f>
        <v>47502</v>
      </c>
      <c r="C48" s="113">
        <f>(Table535[[#This Row],[New Orders - Nondefense Capital Goods Excluding Aircraft]]-B47)/B47</f>
        <v>3.350593968930856E-2</v>
      </c>
    </row>
    <row r="49" spans="1:3">
      <c r="A49" s="74">
        <v>34943</v>
      </c>
      <c r="B49" s="75">
        <f>VLOOKUP(A49,Database!A:M,MATCH($A$1,Database!$A$1:$M$1,),)</f>
        <v>49431</v>
      </c>
      <c r="C49" s="113">
        <f>(Table535[[#This Row],[New Orders - Nondefense Capital Goods Excluding Aircraft]]-B48)/B48</f>
        <v>4.0608816470885434E-2</v>
      </c>
    </row>
    <row r="50" spans="1:3">
      <c r="A50" s="74">
        <v>34973</v>
      </c>
      <c r="B50" s="75">
        <f>VLOOKUP(A50,Database!A:M,MATCH($A$1,Database!$A$1:$M$1,),)</f>
        <v>50283</v>
      </c>
      <c r="C50" s="113">
        <f>(Table535[[#This Row],[New Orders - Nondefense Capital Goods Excluding Aircraft]]-B49)/B49</f>
        <v>1.723614735692177E-2</v>
      </c>
    </row>
    <row r="51" spans="1:3">
      <c r="A51" s="74">
        <v>35004</v>
      </c>
      <c r="B51" s="75">
        <f>VLOOKUP(A51,Database!A:M,MATCH($A$1,Database!$A$1:$M$1,),)</f>
        <v>49798</v>
      </c>
      <c r="C51" s="113">
        <f>(Table535[[#This Row],[New Orders - Nondefense Capital Goods Excluding Aircraft]]-B50)/B50</f>
        <v>-9.6454069964003741E-3</v>
      </c>
    </row>
    <row r="52" spans="1:3">
      <c r="A52" s="74">
        <v>35034</v>
      </c>
      <c r="B52" s="75">
        <f>VLOOKUP(A52,Database!A:M,MATCH($A$1,Database!$A$1:$M$1,),)</f>
        <v>51221</v>
      </c>
      <c r="C52" s="113">
        <f>(Table535[[#This Row],[New Orders - Nondefense Capital Goods Excluding Aircraft]]-B51)/B51</f>
        <v>2.85754447969798E-2</v>
      </c>
    </row>
    <row r="53" spans="1:3">
      <c r="A53" s="74">
        <v>35065</v>
      </c>
      <c r="B53" s="75">
        <f>VLOOKUP(A53,Database!A:M,MATCH($A$1,Database!$A$1:$M$1,),)</f>
        <v>47931</v>
      </c>
      <c r="C53" s="113">
        <f>(Table535[[#This Row],[New Orders - Nondefense Capital Goods Excluding Aircraft]]-B52)/B52</f>
        <v>-6.4231467562132716E-2</v>
      </c>
    </row>
    <row r="54" spans="1:3">
      <c r="A54" s="74">
        <v>35096</v>
      </c>
      <c r="B54" s="75">
        <f>VLOOKUP(A54,Database!A:M,MATCH($A$1,Database!$A$1:$M$1,),)</f>
        <v>49183</v>
      </c>
      <c r="C54" s="113">
        <f>(Table535[[#This Row],[New Orders - Nondefense Capital Goods Excluding Aircraft]]-B53)/B53</f>
        <v>2.6120882101354031E-2</v>
      </c>
    </row>
    <row r="55" spans="1:3">
      <c r="A55" s="74">
        <v>35125</v>
      </c>
      <c r="B55" s="75">
        <f>VLOOKUP(A55,Database!A:M,MATCH($A$1,Database!$A$1:$M$1,),)</f>
        <v>49780</v>
      </c>
      <c r="C55" s="113">
        <f>(Table535[[#This Row],[New Orders - Nondefense Capital Goods Excluding Aircraft]]-B54)/B54</f>
        <v>1.2138340483500397E-2</v>
      </c>
    </row>
    <row r="56" spans="1:3">
      <c r="A56" s="74">
        <v>35156</v>
      </c>
      <c r="B56" s="75">
        <f>VLOOKUP(A56,Database!A:M,MATCH($A$1,Database!$A$1:$M$1,),)</f>
        <v>48102</v>
      </c>
      <c r="C56" s="113">
        <f>(Table535[[#This Row],[New Orders - Nondefense Capital Goods Excluding Aircraft]]-B55)/B55</f>
        <v>-3.3708316593009241E-2</v>
      </c>
    </row>
    <row r="57" spans="1:3">
      <c r="A57" s="74">
        <v>35186</v>
      </c>
      <c r="B57" s="75">
        <f>VLOOKUP(A57,Database!A:M,MATCH($A$1,Database!$A$1:$M$1,),)</f>
        <v>50505</v>
      </c>
      <c r="C57" s="113">
        <f>(Table535[[#This Row],[New Orders - Nondefense Capital Goods Excluding Aircraft]]-B56)/B56</f>
        <v>4.9956342771610325E-2</v>
      </c>
    </row>
    <row r="58" spans="1:3">
      <c r="A58" s="74">
        <v>35217</v>
      </c>
      <c r="B58" s="75">
        <f>VLOOKUP(A58,Database!A:M,MATCH($A$1,Database!$A$1:$M$1,),)</f>
        <v>51556</v>
      </c>
      <c r="C58" s="113">
        <f>(Table535[[#This Row],[New Orders - Nondefense Capital Goods Excluding Aircraft]]-B57)/B57</f>
        <v>2.0809820809820811E-2</v>
      </c>
    </row>
    <row r="59" spans="1:3">
      <c r="A59" s="74">
        <v>35247</v>
      </c>
      <c r="B59" s="75">
        <f>VLOOKUP(A59,Database!A:M,MATCH($A$1,Database!$A$1:$M$1,),)</f>
        <v>51047</v>
      </c>
      <c r="C59" s="113">
        <f>(Table535[[#This Row],[New Orders - Nondefense Capital Goods Excluding Aircraft]]-B58)/B58</f>
        <v>-9.8727597175886413E-3</v>
      </c>
    </row>
    <row r="60" spans="1:3">
      <c r="A60" s="74">
        <v>35278</v>
      </c>
      <c r="B60" s="75">
        <f>VLOOKUP(A60,Database!A:M,MATCH($A$1,Database!$A$1:$M$1,),)</f>
        <v>50780</v>
      </c>
      <c r="C60" s="113">
        <f>(Table535[[#This Row],[New Orders - Nondefense Capital Goods Excluding Aircraft]]-B59)/B59</f>
        <v>-5.2304738770153E-3</v>
      </c>
    </row>
    <row r="61" spans="1:3">
      <c r="A61" s="74">
        <v>35309</v>
      </c>
      <c r="B61" s="75">
        <f>VLOOKUP(A61,Database!A:M,MATCH($A$1,Database!$A$1:$M$1,),)</f>
        <v>49824</v>
      </c>
      <c r="C61" s="113">
        <f>(Table535[[#This Row],[New Orders - Nondefense Capital Goods Excluding Aircraft]]-B60)/B60</f>
        <v>-1.8826309570697124E-2</v>
      </c>
    </row>
    <row r="62" spans="1:3">
      <c r="A62" s="74">
        <v>35339</v>
      </c>
      <c r="B62" s="75">
        <f>VLOOKUP(A62,Database!A:M,MATCH($A$1,Database!$A$1:$M$1,),)</f>
        <v>52556</v>
      </c>
      <c r="C62" s="113">
        <f>(Table535[[#This Row],[New Orders - Nondefense Capital Goods Excluding Aircraft]]-B61)/B61</f>
        <v>5.4833012202954397E-2</v>
      </c>
    </row>
    <row r="63" spans="1:3">
      <c r="A63" s="74">
        <v>35370</v>
      </c>
      <c r="B63" s="75">
        <f>VLOOKUP(A63,Database!A:M,MATCH($A$1,Database!$A$1:$M$1,),)</f>
        <v>52664</v>
      </c>
      <c r="C63" s="113">
        <f>(Table535[[#This Row],[New Orders - Nondefense Capital Goods Excluding Aircraft]]-B62)/B62</f>
        <v>2.0549509095060506E-3</v>
      </c>
    </row>
    <row r="64" spans="1:3">
      <c r="A64" s="74">
        <v>35400</v>
      </c>
      <c r="B64" s="75">
        <f>VLOOKUP(A64,Database!A:M,MATCH($A$1,Database!$A$1:$M$1,),)</f>
        <v>50765</v>
      </c>
      <c r="C64" s="113">
        <f>(Table535[[#This Row],[New Orders - Nondefense Capital Goods Excluding Aircraft]]-B63)/B63</f>
        <v>-3.6058787786723376E-2</v>
      </c>
    </row>
    <row r="65" spans="1:3">
      <c r="A65" s="74">
        <v>35431</v>
      </c>
      <c r="B65" s="75">
        <f>VLOOKUP(A65,Database!A:M,MATCH($A$1,Database!$A$1:$M$1,),)</f>
        <v>51958</v>
      </c>
      <c r="C65" s="113">
        <f>(Table535[[#This Row],[New Orders - Nondefense Capital Goods Excluding Aircraft]]-B64)/B64</f>
        <v>2.3500443218753077E-2</v>
      </c>
    </row>
    <row r="66" spans="1:3">
      <c r="A66" s="74">
        <v>35462</v>
      </c>
      <c r="B66" s="75">
        <f>VLOOKUP(A66,Database!A:M,MATCH($A$1,Database!$A$1:$M$1,),)</f>
        <v>54285</v>
      </c>
      <c r="C66" s="113">
        <f>(Table535[[#This Row],[New Orders - Nondefense Capital Goods Excluding Aircraft]]-B65)/B65</f>
        <v>4.4786173447784752E-2</v>
      </c>
    </row>
    <row r="67" spans="1:3">
      <c r="A67" s="74">
        <v>35490</v>
      </c>
      <c r="B67" s="75">
        <f>VLOOKUP(A67,Database!A:M,MATCH($A$1,Database!$A$1:$M$1,),)</f>
        <v>54195</v>
      </c>
      <c r="C67" s="113">
        <f>(Table535[[#This Row],[New Orders - Nondefense Capital Goods Excluding Aircraft]]-B66)/B66</f>
        <v>-1.6579165515335729E-3</v>
      </c>
    </row>
    <row r="68" spans="1:3">
      <c r="A68" s="74">
        <v>35521</v>
      </c>
      <c r="B68" s="75">
        <f>VLOOKUP(A68,Database!A:M,MATCH($A$1,Database!$A$1:$M$1,),)</f>
        <v>55044</v>
      </c>
      <c r="C68" s="113">
        <f>(Table535[[#This Row],[New Orders - Nondefense Capital Goods Excluding Aircraft]]-B67)/B67</f>
        <v>1.566565181289787E-2</v>
      </c>
    </row>
    <row r="69" spans="1:3">
      <c r="A69" s="74">
        <v>35551</v>
      </c>
      <c r="B69" s="75">
        <f>VLOOKUP(A69,Database!A:M,MATCH($A$1,Database!$A$1:$M$1,),)</f>
        <v>53924</v>
      </c>
      <c r="C69" s="113">
        <f>(Table535[[#This Row],[New Orders - Nondefense Capital Goods Excluding Aircraft]]-B68)/B68</f>
        <v>-2.0347358476854881E-2</v>
      </c>
    </row>
    <row r="70" spans="1:3">
      <c r="A70" s="74">
        <v>35582</v>
      </c>
      <c r="B70" s="75">
        <f>VLOOKUP(A70,Database!A:M,MATCH($A$1,Database!$A$1:$M$1,),)</f>
        <v>55972</v>
      </c>
      <c r="C70" s="113">
        <f>(Table535[[#This Row],[New Orders - Nondefense Capital Goods Excluding Aircraft]]-B69)/B69</f>
        <v>3.7979378384392852E-2</v>
      </c>
    </row>
    <row r="71" spans="1:3">
      <c r="A71" s="74">
        <v>35612</v>
      </c>
      <c r="B71" s="75">
        <f>VLOOKUP(A71,Database!A:M,MATCH($A$1,Database!$A$1:$M$1,),)</f>
        <v>58969</v>
      </c>
      <c r="C71" s="113">
        <f>(Table535[[#This Row],[New Orders - Nondefense Capital Goods Excluding Aircraft]]-B70)/B70</f>
        <v>5.3544629457585938E-2</v>
      </c>
    </row>
    <row r="72" spans="1:3">
      <c r="A72" s="74">
        <v>35643</v>
      </c>
      <c r="B72" s="75">
        <f>VLOOKUP(A72,Database!A:M,MATCH($A$1,Database!$A$1:$M$1,),)</f>
        <v>58232</v>
      </c>
      <c r="C72" s="113">
        <f>(Table535[[#This Row],[New Orders - Nondefense Capital Goods Excluding Aircraft]]-B71)/B71</f>
        <v>-1.2498092217945022E-2</v>
      </c>
    </row>
    <row r="73" spans="1:3">
      <c r="A73" s="74">
        <v>35674</v>
      </c>
      <c r="B73" s="75">
        <f>VLOOKUP(A73,Database!A:M,MATCH($A$1,Database!$A$1:$M$1,),)</f>
        <v>60143</v>
      </c>
      <c r="C73" s="113">
        <f>(Table535[[#This Row],[New Orders - Nondefense Capital Goods Excluding Aircraft]]-B72)/B72</f>
        <v>3.2817007830745981E-2</v>
      </c>
    </row>
    <row r="74" spans="1:3">
      <c r="A74" s="74">
        <v>35704</v>
      </c>
      <c r="B74" s="75">
        <f>VLOOKUP(A74,Database!A:M,MATCH($A$1,Database!$A$1:$M$1,),)</f>
        <v>57582</v>
      </c>
      <c r="C74" s="113">
        <f>(Table535[[#This Row],[New Orders - Nondefense Capital Goods Excluding Aircraft]]-B73)/B73</f>
        <v>-4.2581846598939196E-2</v>
      </c>
    </row>
    <row r="75" spans="1:3">
      <c r="A75" s="74">
        <v>35735</v>
      </c>
      <c r="B75" s="75">
        <f>VLOOKUP(A75,Database!A:M,MATCH($A$1,Database!$A$1:$M$1,),)</f>
        <v>57967</v>
      </c>
      <c r="C75" s="113">
        <f>(Table535[[#This Row],[New Orders - Nondefense Capital Goods Excluding Aircraft]]-B74)/B74</f>
        <v>6.686117189399465E-3</v>
      </c>
    </row>
    <row r="76" spans="1:3">
      <c r="A76" s="74">
        <v>35765</v>
      </c>
      <c r="B76" s="75">
        <f>VLOOKUP(A76,Database!A:M,MATCH($A$1,Database!$A$1:$M$1,),)</f>
        <v>58401</v>
      </c>
      <c r="C76" s="113">
        <f>(Table535[[#This Row],[New Orders - Nondefense Capital Goods Excluding Aircraft]]-B75)/B75</f>
        <v>7.4870184760294648E-3</v>
      </c>
    </row>
    <row r="77" spans="1:3">
      <c r="A77" s="74">
        <v>35796</v>
      </c>
      <c r="B77" s="75">
        <f>VLOOKUP(A77,Database!A:M,MATCH($A$1,Database!$A$1:$M$1,),)</f>
        <v>56811</v>
      </c>
      <c r="C77" s="113">
        <f>(Table535[[#This Row],[New Orders - Nondefense Capital Goods Excluding Aircraft]]-B76)/B76</f>
        <v>-2.7225561206143729E-2</v>
      </c>
    </row>
    <row r="78" spans="1:3">
      <c r="A78" s="74">
        <v>35827</v>
      </c>
      <c r="B78" s="75">
        <f>VLOOKUP(A78,Database!A:M,MATCH($A$1,Database!$A$1:$M$1,),)</f>
        <v>59362</v>
      </c>
      <c r="C78" s="113">
        <f>(Table535[[#This Row],[New Orders - Nondefense Capital Goods Excluding Aircraft]]-B77)/B77</f>
        <v>4.4903275774057838E-2</v>
      </c>
    </row>
    <row r="79" spans="1:3">
      <c r="A79" s="74">
        <v>35855</v>
      </c>
      <c r="B79" s="75">
        <f>VLOOKUP(A79,Database!A:M,MATCH($A$1,Database!$A$1:$M$1,),)</f>
        <v>57672</v>
      </c>
      <c r="C79" s="113">
        <f>(Table535[[#This Row],[New Orders - Nondefense Capital Goods Excluding Aircraft]]-B78)/B78</f>
        <v>-2.8469391193019104E-2</v>
      </c>
    </row>
    <row r="80" spans="1:3">
      <c r="A80" s="74">
        <v>35886</v>
      </c>
      <c r="B80" s="75">
        <f>VLOOKUP(A80,Database!A:M,MATCH($A$1,Database!$A$1:$M$1,),)</f>
        <v>55909</v>
      </c>
      <c r="C80" s="113">
        <f>(Table535[[#This Row],[New Orders - Nondefense Capital Goods Excluding Aircraft]]-B79)/B79</f>
        <v>-3.0569427105007631E-2</v>
      </c>
    </row>
    <row r="81" spans="1:3">
      <c r="A81" s="74">
        <v>35916</v>
      </c>
      <c r="B81" s="75">
        <f>VLOOKUP(A81,Database!A:M,MATCH($A$1,Database!$A$1:$M$1,),)</f>
        <v>58575</v>
      </c>
      <c r="C81" s="113">
        <f>(Table535[[#This Row],[New Orders - Nondefense Capital Goods Excluding Aircraft]]-B80)/B80</f>
        <v>4.7684630381512813E-2</v>
      </c>
    </row>
    <row r="82" spans="1:3">
      <c r="A82" s="74">
        <v>35947</v>
      </c>
      <c r="B82" s="75">
        <f>VLOOKUP(A82,Database!A:M,MATCH($A$1,Database!$A$1:$M$1,),)</f>
        <v>59020</v>
      </c>
      <c r="C82" s="113">
        <f>(Table535[[#This Row],[New Orders - Nondefense Capital Goods Excluding Aircraft]]-B81)/B81</f>
        <v>7.5970977379428081E-3</v>
      </c>
    </row>
    <row r="83" spans="1:3">
      <c r="A83" s="74">
        <v>35977</v>
      </c>
      <c r="B83" s="75">
        <f>VLOOKUP(A83,Database!A:M,MATCH($A$1,Database!$A$1:$M$1,),)</f>
        <v>56670</v>
      </c>
      <c r="C83" s="113">
        <f>(Table535[[#This Row],[New Orders - Nondefense Capital Goods Excluding Aircraft]]-B82)/B82</f>
        <v>-3.981701118264995E-2</v>
      </c>
    </row>
    <row r="84" spans="1:3">
      <c r="A84" s="74">
        <v>36008</v>
      </c>
      <c r="B84" s="75">
        <f>VLOOKUP(A84,Database!A:M,MATCH($A$1,Database!$A$1:$M$1,),)</f>
        <v>57658</v>
      </c>
      <c r="C84" s="113">
        <f>(Table535[[#This Row],[New Orders - Nondefense Capital Goods Excluding Aircraft]]-B83)/B83</f>
        <v>1.7434268572436917E-2</v>
      </c>
    </row>
    <row r="85" spans="1:3">
      <c r="A85" s="74">
        <v>36039</v>
      </c>
      <c r="B85" s="75">
        <f>VLOOKUP(A85,Database!A:M,MATCH($A$1,Database!$A$1:$M$1,),)</f>
        <v>60257</v>
      </c>
      <c r="C85" s="113">
        <f>(Table535[[#This Row],[New Orders - Nondefense Capital Goods Excluding Aircraft]]-B84)/B84</f>
        <v>4.5076138610427002E-2</v>
      </c>
    </row>
    <row r="86" spans="1:3">
      <c r="A86" s="74">
        <v>36069</v>
      </c>
      <c r="B86" s="75">
        <f>VLOOKUP(A86,Database!A:M,MATCH($A$1,Database!$A$1:$M$1,),)</f>
        <v>56319</v>
      </c>
      <c r="C86" s="113">
        <f>(Table535[[#This Row],[New Orders - Nondefense Capital Goods Excluding Aircraft]]-B85)/B85</f>
        <v>-6.5353402924141588E-2</v>
      </c>
    </row>
    <row r="87" spans="1:3">
      <c r="A87" s="74">
        <v>36100</v>
      </c>
      <c r="B87" s="75">
        <f>VLOOKUP(A87,Database!A:M,MATCH($A$1,Database!$A$1:$M$1,),)</f>
        <v>58162</v>
      </c>
      <c r="C87" s="113">
        <f>(Table535[[#This Row],[New Orders - Nondefense Capital Goods Excluding Aircraft]]-B86)/B86</f>
        <v>3.2724302633214367E-2</v>
      </c>
    </row>
    <row r="88" spans="1:3">
      <c r="A88" s="74">
        <v>36130</v>
      </c>
      <c r="B88" s="75">
        <f>VLOOKUP(A88,Database!A:M,MATCH($A$1,Database!$A$1:$M$1,),)</f>
        <v>60818</v>
      </c>
      <c r="C88" s="113">
        <f>(Table535[[#This Row],[New Orders - Nondefense Capital Goods Excluding Aircraft]]-B87)/B87</f>
        <v>4.566555482961384E-2</v>
      </c>
    </row>
    <row r="89" spans="1:3">
      <c r="A89" s="74">
        <v>36161</v>
      </c>
      <c r="B89" s="75">
        <f>VLOOKUP(A89,Database!A:M,MATCH($A$1,Database!$A$1:$M$1,),)</f>
        <v>57160</v>
      </c>
      <c r="C89" s="113">
        <f>(Table535[[#This Row],[New Orders - Nondefense Capital Goods Excluding Aircraft]]-B88)/B88</f>
        <v>-6.0146667105133347E-2</v>
      </c>
    </row>
    <row r="90" spans="1:3">
      <c r="A90" s="74">
        <v>36192</v>
      </c>
      <c r="B90" s="75">
        <f>VLOOKUP(A90,Database!A:M,MATCH($A$1,Database!$A$1:$M$1,),)</f>
        <v>58576</v>
      </c>
      <c r="C90" s="113">
        <f>(Table535[[#This Row],[New Orders - Nondefense Capital Goods Excluding Aircraft]]-B89)/B89</f>
        <v>2.4772568229531142E-2</v>
      </c>
    </row>
    <row r="91" spans="1:3">
      <c r="A91" s="74">
        <v>36220</v>
      </c>
      <c r="B91" s="75">
        <f>VLOOKUP(A91,Database!A:M,MATCH($A$1,Database!$A$1:$M$1,),)</f>
        <v>59657</v>
      </c>
      <c r="C91" s="113">
        <f>(Table535[[#This Row],[New Orders - Nondefense Capital Goods Excluding Aircraft]]-B90)/B90</f>
        <v>1.8454657197487026E-2</v>
      </c>
    </row>
    <row r="92" spans="1:3">
      <c r="A92" s="74">
        <v>36251</v>
      </c>
      <c r="B92" s="75">
        <f>VLOOKUP(A92,Database!A:M,MATCH($A$1,Database!$A$1:$M$1,),)</f>
        <v>58929</v>
      </c>
      <c r="C92" s="113">
        <f>(Table535[[#This Row],[New Orders - Nondefense Capital Goods Excluding Aircraft]]-B91)/B91</f>
        <v>-1.220309435606886E-2</v>
      </c>
    </row>
    <row r="93" spans="1:3">
      <c r="A93" s="74">
        <v>36281</v>
      </c>
      <c r="B93" s="75">
        <f>VLOOKUP(A93,Database!A:M,MATCH($A$1,Database!$A$1:$M$1,),)</f>
        <v>59814</v>
      </c>
      <c r="C93" s="113">
        <f>(Table535[[#This Row],[New Orders - Nondefense Capital Goods Excluding Aircraft]]-B92)/B92</f>
        <v>1.5018072595835666E-2</v>
      </c>
    </row>
    <row r="94" spans="1:3">
      <c r="A94" s="74">
        <v>36312</v>
      </c>
      <c r="B94" s="75">
        <f>VLOOKUP(A94,Database!A:M,MATCH($A$1,Database!$A$1:$M$1,),)</f>
        <v>59045</v>
      </c>
      <c r="C94" s="113">
        <f>(Table535[[#This Row],[New Orders - Nondefense Capital Goods Excluding Aircraft]]-B93)/B93</f>
        <v>-1.2856521884508643E-2</v>
      </c>
    </row>
    <row r="95" spans="1:3">
      <c r="A95" s="74">
        <v>36342</v>
      </c>
      <c r="B95" s="75">
        <f>VLOOKUP(A95,Database!A:M,MATCH($A$1,Database!$A$1:$M$1,),)</f>
        <v>62074</v>
      </c>
      <c r="C95" s="113">
        <f>(Table535[[#This Row],[New Orders - Nondefense Capital Goods Excluding Aircraft]]-B94)/B94</f>
        <v>5.1299856042001865E-2</v>
      </c>
    </row>
    <row r="96" spans="1:3">
      <c r="A96" s="74">
        <v>36373</v>
      </c>
      <c r="B96" s="75">
        <f>VLOOKUP(A96,Database!A:M,MATCH($A$1,Database!$A$1:$M$1,),)</f>
        <v>61732</v>
      </c>
      <c r="C96" s="113">
        <f>(Table535[[#This Row],[New Orders - Nondefense Capital Goods Excluding Aircraft]]-B95)/B95</f>
        <v>-5.5095531140251959E-3</v>
      </c>
    </row>
    <row r="97" spans="1:3">
      <c r="A97" s="74">
        <v>36404</v>
      </c>
      <c r="B97" s="75">
        <f>VLOOKUP(A97,Database!A:M,MATCH($A$1,Database!$A$1:$M$1,),)</f>
        <v>63231</v>
      </c>
      <c r="C97" s="113">
        <f>(Table535[[#This Row],[New Orders - Nondefense Capital Goods Excluding Aircraft]]-B96)/B96</f>
        <v>2.4282381908896519E-2</v>
      </c>
    </row>
    <row r="98" spans="1:3">
      <c r="A98" s="74">
        <v>36434</v>
      </c>
      <c r="B98" s="75">
        <f>VLOOKUP(A98,Database!A:M,MATCH($A$1,Database!$A$1:$M$1,),)</f>
        <v>61451</v>
      </c>
      <c r="C98" s="113">
        <f>(Table535[[#This Row],[New Orders - Nondefense Capital Goods Excluding Aircraft]]-B97)/B97</f>
        <v>-2.815074884154924E-2</v>
      </c>
    </row>
    <row r="99" spans="1:3">
      <c r="A99" s="74">
        <v>36465</v>
      </c>
      <c r="B99" s="75">
        <f>VLOOKUP(A99,Database!A:M,MATCH($A$1,Database!$A$1:$M$1,),)</f>
        <v>61849</v>
      </c>
      <c r="C99" s="113">
        <f>(Table535[[#This Row],[New Orders - Nondefense Capital Goods Excluding Aircraft]]-B98)/B98</f>
        <v>6.4767050170054189E-3</v>
      </c>
    </row>
    <row r="100" spans="1:3">
      <c r="A100" s="74">
        <v>36495</v>
      </c>
      <c r="B100" s="75">
        <f>VLOOKUP(A100,Database!A:M,MATCH($A$1,Database!$A$1:$M$1,),)</f>
        <v>65451</v>
      </c>
      <c r="C100" s="113">
        <f>(Table535[[#This Row],[New Orders - Nondefense Capital Goods Excluding Aircraft]]-B99)/B99</f>
        <v>5.8238613397144659E-2</v>
      </c>
    </row>
    <row r="101" spans="1:3">
      <c r="A101" s="74">
        <v>36526</v>
      </c>
      <c r="B101" s="75">
        <f>VLOOKUP(A101,Database!A:M,MATCH($A$1,Database!$A$1:$M$1,),)</f>
        <v>63975</v>
      </c>
      <c r="C101" s="113">
        <f>(Table535[[#This Row],[New Orders - Nondefense Capital Goods Excluding Aircraft]]-B100)/B100</f>
        <v>-2.2551221524499242E-2</v>
      </c>
    </row>
    <row r="102" spans="1:3">
      <c r="A102" s="74">
        <v>36557</v>
      </c>
      <c r="B102" s="75">
        <f>VLOOKUP(A102,Database!A:M,MATCH($A$1,Database!$A$1:$M$1,),)</f>
        <v>58497</v>
      </c>
      <c r="C102" s="113">
        <f>(Table535[[#This Row],[New Orders - Nondefense Capital Goods Excluding Aircraft]]-B101)/B101</f>
        <v>-8.5627198124267292E-2</v>
      </c>
    </row>
    <row r="103" spans="1:3">
      <c r="A103" s="74">
        <v>36586</v>
      </c>
      <c r="B103" s="75">
        <f>VLOOKUP(A103,Database!A:M,MATCH($A$1,Database!$A$1:$M$1,),)</f>
        <v>63642</v>
      </c>
      <c r="C103" s="113">
        <f>(Table535[[#This Row],[New Orders - Nondefense Capital Goods Excluding Aircraft]]-B102)/B102</f>
        <v>8.7953228370685671E-2</v>
      </c>
    </row>
    <row r="104" spans="1:3">
      <c r="A104" s="74">
        <v>36617</v>
      </c>
      <c r="B104" s="75">
        <f>VLOOKUP(A104,Database!A:M,MATCH($A$1,Database!$A$1:$M$1,),)</f>
        <v>64414</v>
      </c>
      <c r="C104" s="113">
        <f>(Table535[[#This Row],[New Orders - Nondefense Capital Goods Excluding Aircraft]]-B103)/B103</f>
        <v>1.2130354168630779E-2</v>
      </c>
    </row>
    <row r="105" spans="1:3">
      <c r="A105" s="74">
        <v>36647</v>
      </c>
      <c r="B105" s="75">
        <f>VLOOKUP(A105,Database!A:M,MATCH($A$1,Database!$A$1:$M$1,),)</f>
        <v>63753</v>
      </c>
      <c r="C105" s="113">
        <f>(Table535[[#This Row],[New Orders - Nondefense Capital Goods Excluding Aircraft]]-B104)/B104</f>
        <v>-1.0261744341292265E-2</v>
      </c>
    </row>
    <row r="106" spans="1:3">
      <c r="A106" s="74">
        <v>36678</v>
      </c>
      <c r="B106" s="75">
        <f>VLOOKUP(A106,Database!A:M,MATCH($A$1,Database!$A$1:$M$1,),)</f>
        <v>68292</v>
      </c>
      <c r="C106" s="113">
        <f>(Table535[[#This Row],[New Orders - Nondefense Capital Goods Excluding Aircraft]]-B105)/B105</f>
        <v>7.119664956943203E-2</v>
      </c>
    </row>
    <row r="107" spans="1:3">
      <c r="A107" s="74">
        <v>36708</v>
      </c>
      <c r="B107" s="75">
        <f>VLOOKUP(A107,Database!A:M,MATCH($A$1,Database!$A$1:$M$1,),)</f>
        <v>63581</v>
      </c>
      <c r="C107" s="113">
        <f>(Table535[[#This Row],[New Orders - Nondefense Capital Goods Excluding Aircraft]]-B106)/B106</f>
        <v>-6.8983189831898314E-2</v>
      </c>
    </row>
    <row r="108" spans="1:3">
      <c r="A108" s="74">
        <v>36739</v>
      </c>
      <c r="B108" s="75">
        <f>VLOOKUP(A108,Database!A:M,MATCH($A$1,Database!$A$1:$M$1,),)</f>
        <v>64759</v>
      </c>
      <c r="C108" s="113">
        <f>(Table535[[#This Row],[New Orders - Nondefense Capital Goods Excluding Aircraft]]-B107)/B107</f>
        <v>1.8527547537786446E-2</v>
      </c>
    </row>
    <row r="109" spans="1:3">
      <c r="A109" s="74">
        <v>36770</v>
      </c>
      <c r="B109" s="75">
        <f>VLOOKUP(A109,Database!A:M,MATCH($A$1,Database!$A$1:$M$1,),)</f>
        <v>66733</v>
      </c>
      <c r="C109" s="113">
        <f>(Table535[[#This Row],[New Orders - Nondefense Capital Goods Excluding Aircraft]]-B108)/B108</f>
        <v>3.0482249571488134E-2</v>
      </c>
    </row>
    <row r="110" spans="1:3">
      <c r="A110" s="74">
        <v>36800</v>
      </c>
      <c r="B110" s="75">
        <f>VLOOKUP(A110,Database!A:M,MATCH($A$1,Database!$A$1:$M$1,),)</f>
        <v>63580</v>
      </c>
      <c r="C110" s="113">
        <f>(Table535[[#This Row],[New Orders - Nondefense Capital Goods Excluding Aircraft]]-B109)/B109</f>
        <v>-4.724798825168957E-2</v>
      </c>
    </row>
    <row r="111" spans="1:3">
      <c r="A111" s="74">
        <v>36831</v>
      </c>
      <c r="B111" s="75">
        <f>VLOOKUP(A111,Database!A:M,MATCH($A$1,Database!$A$1:$M$1,),)</f>
        <v>62569</v>
      </c>
      <c r="C111" s="113">
        <f>(Table535[[#This Row],[New Orders - Nondefense Capital Goods Excluding Aircraft]]-B110)/B110</f>
        <v>-1.5901226800880779E-2</v>
      </c>
    </row>
    <row r="112" spans="1:3">
      <c r="A112" s="74">
        <v>36861</v>
      </c>
      <c r="B112" s="75">
        <f>VLOOKUP(A112,Database!A:M,MATCH($A$1,Database!$A$1:$M$1,),)</f>
        <v>62554</v>
      </c>
      <c r="C112" s="113">
        <f>(Table535[[#This Row],[New Orders - Nondefense Capital Goods Excluding Aircraft]]-B111)/B111</f>
        <v>-2.3973533219325864E-4</v>
      </c>
    </row>
    <row r="113" spans="1:3">
      <c r="A113" s="74">
        <v>36892</v>
      </c>
      <c r="B113" s="75">
        <f>VLOOKUP(A113,Database!A:M,MATCH($A$1,Database!$A$1:$M$1,),)</f>
        <v>60808</v>
      </c>
      <c r="C113" s="113">
        <f>(Table535[[#This Row],[New Orders - Nondefense Capital Goods Excluding Aircraft]]-B112)/B112</f>
        <v>-2.7911884132109856E-2</v>
      </c>
    </row>
    <row r="114" spans="1:3">
      <c r="A114" s="74">
        <v>36923</v>
      </c>
      <c r="B114" s="75">
        <f>VLOOKUP(A114,Database!A:M,MATCH($A$1,Database!$A$1:$M$1,),)</f>
        <v>60697</v>
      </c>
      <c r="C114" s="113">
        <f>(Table535[[#This Row],[New Orders - Nondefense Capital Goods Excluding Aircraft]]-B113)/B113</f>
        <v>-1.82541770819629E-3</v>
      </c>
    </row>
    <row r="115" spans="1:3">
      <c r="A115" s="74">
        <v>36951</v>
      </c>
      <c r="B115" s="75">
        <f>VLOOKUP(A115,Database!A:M,MATCH($A$1,Database!$A$1:$M$1,),)</f>
        <v>58146</v>
      </c>
      <c r="C115" s="113">
        <f>(Table535[[#This Row],[New Orders - Nondefense Capital Goods Excluding Aircraft]]-B114)/B114</f>
        <v>-4.2028436331284905E-2</v>
      </c>
    </row>
    <row r="116" spans="1:3">
      <c r="A116" s="74">
        <v>36982</v>
      </c>
      <c r="B116" s="75">
        <f>VLOOKUP(A116,Database!A:M,MATCH($A$1,Database!$A$1:$M$1,),)</f>
        <v>54841</v>
      </c>
      <c r="C116" s="113">
        <f>(Table535[[#This Row],[New Orders - Nondefense Capital Goods Excluding Aircraft]]-B115)/B115</f>
        <v>-5.6839679427647644E-2</v>
      </c>
    </row>
    <row r="117" spans="1:3">
      <c r="A117" s="74">
        <v>37012</v>
      </c>
      <c r="B117" s="75">
        <f>VLOOKUP(A117,Database!A:M,MATCH($A$1,Database!$A$1:$M$1,),)</f>
        <v>56599</v>
      </c>
      <c r="C117" s="113">
        <f>(Table535[[#This Row],[New Orders - Nondefense Capital Goods Excluding Aircraft]]-B116)/B116</f>
        <v>3.2056308236538357E-2</v>
      </c>
    </row>
    <row r="118" spans="1:3">
      <c r="A118" s="74">
        <v>37043</v>
      </c>
      <c r="B118" s="75">
        <f>VLOOKUP(A118,Database!A:M,MATCH($A$1,Database!$A$1:$M$1,),)</f>
        <v>55428</v>
      </c>
      <c r="C118" s="113">
        <f>(Table535[[#This Row],[New Orders - Nondefense Capital Goods Excluding Aircraft]]-B117)/B117</f>
        <v>-2.0689411473700948E-2</v>
      </c>
    </row>
    <row r="119" spans="1:3">
      <c r="A119" s="74">
        <v>37073</v>
      </c>
      <c r="B119" s="75">
        <f>VLOOKUP(A119,Database!A:M,MATCH($A$1,Database!$A$1:$M$1,),)</f>
        <v>53436</v>
      </c>
      <c r="C119" s="113">
        <f>(Table535[[#This Row],[New Orders - Nondefense Capital Goods Excluding Aircraft]]-B118)/B118</f>
        <v>-3.5938514830049798E-2</v>
      </c>
    </row>
    <row r="120" spans="1:3">
      <c r="A120" s="74">
        <v>37104</v>
      </c>
      <c r="B120" s="75">
        <f>VLOOKUP(A120,Database!A:M,MATCH($A$1,Database!$A$1:$M$1,),)</f>
        <v>54169</v>
      </c>
      <c r="C120" s="113">
        <f>(Table535[[#This Row],[New Orders - Nondefense Capital Goods Excluding Aircraft]]-B119)/B119</f>
        <v>1.3717344112583277E-2</v>
      </c>
    </row>
    <row r="121" spans="1:3">
      <c r="A121" s="74">
        <v>37135</v>
      </c>
      <c r="B121" s="75">
        <f>VLOOKUP(A121,Database!A:M,MATCH($A$1,Database!$A$1:$M$1,),)</f>
        <v>50735</v>
      </c>
      <c r="C121" s="113">
        <f>(Table535[[#This Row],[New Orders - Nondefense Capital Goods Excluding Aircraft]]-B120)/B120</f>
        <v>-6.339419225017999E-2</v>
      </c>
    </row>
    <row r="122" spans="1:3">
      <c r="A122" s="74">
        <v>37165</v>
      </c>
      <c r="B122" s="75">
        <f>VLOOKUP(A122,Database!A:M,MATCH($A$1,Database!$A$1:$M$1,),)</f>
        <v>49736</v>
      </c>
      <c r="C122" s="113">
        <f>(Table535[[#This Row],[New Orders - Nondefense Capital Goods Excluding Aircraft]]-B121)/B121</f>
        <v>-1.9690548930718439E-2</v>
      </c>
    </row>
    <row r="123" spans="1:3">
      <c r="A123" s="74">
        <v>37196</v>
      </c>
      <c r="B123" s="75">
        <f>VLOOKUP(A123,Database!A:M,MATCH($A$1,Database!$A$1:$M$1,),)</f>
        <v>51335</v>
      </c>
      <c r="C123" s="113">
        <f>(Table535[[#This Row],[New Orders - Nondefense Capital Goods Excluding Aircraft]]-B122)/B122</f>
        <v>3.2149750683609458E-2</v>
      </c>
    </row>
    <row r="124" spans="1:3">
      <c r="A124" s="74">
        <v>37226</v>
      </c>
      <c r="B124" s="75">
        <f>VLOOKUP(A124,Database!A:M,MATCH($A$1,Database!$A$1:$M$1,),)</f>
        <v>51290</v>
      </c>
      <c r="C124" s="113">
        <f>(Table535[[#This Row],[New Orders - Nondefense Capital Goods Excluding Aircraft]]-B123)/B123</f>
        <v>-8.7659491574948868E-4</v>
      </c>
    </row>
    <row r="125" spans="1:3">
      <c r="A125" s="74">
        <v>37257</v>
      </c>
      <c r="B125" s="75">
        <f>VLOOKUP(A125,Database!A:M,MATCH($A$1,Database!$A$1:$M$1,),)</f>
        <v>47643</v>
      </c>
      <c r="C125" s="113">
        <f>(Table535[[#This Row],[New Orders - Nondefense Capital Goods Excluding Aircraft]]-B124)/B124</f>
        <v>-7.1105478650809129E-2</v>
      </c>
    </row>
    <row r="126" spans="1:3">
      <c r="A126" s="74">
        <v>37288</v>
      </c>
      <c r="B126" s="75">
        <f>VLOOKUP(A126,Database!A:M,MATCH($A$1,Database!$A$1:$M$1,),)</f>
        <v>50422</v>
      </c>
      <c r="C126" s="113">
        <f>(Table535[[#This Row],[New Orders - Nondefense Capital Goods Excluding Aircraft]]-B125)/B125</f>
        <v>5.8329660180928992E-2</v>
      </c>
    </row>
    <row r="127" spans="1:3">
      <c r="A127" s="74">
        <v>37316</v>
      </c>
      <c r="B127" s="75">
        <f>VLOOKUP(A127,Database!A:M,MATCH($A$1,Database!$A$1:$M$1,),)</f>
        <v>47371</v>
      </c>
      <c r="C127" s="113">
        <f>(Table535[[#This Row],[New Orders - Nondefense Capital Goods Excluding Aircraft]]-B126)/B126</f>
        <v>-6.0509301495379003E-2</v>
      </c>
    </row>
    <row r="128" spans="1:3">
      <c r="A128" s="74">
        <v>37347</v>
      </c>
      <c r="B128" s="75">
        <f>VLOOKUP(A128,Database!A:M,MATCH($A$1,Database!$A$1:$M$1,),)</f>
        <v>49964</v>
      </c>
      <c r="C128" s="113">
        <f>(Table535[[#This Row],[New Orders - Nondefense Capital Goods Excluding Aircraft]]-B127)/B127</f>
        <v>5.4738130923983025E-2</v>
      </c>
    </row>
    <row r="129" spans="1:3">
      <c r="A129" s="74">
        <v>37377</v>
      </c>
      <c r="B129" s="75">
        <f>VLOOKUP(A129,Database!A:M,MATCH($A$1,Database!$A$1:$M$1,),)</f>
        <v>50680</v>
      </c>
      <c r="C129" s="113">
        <f>(Table535[[#This Row],[New Orders - Nondefense Capital Goods Excluding Aircraft]]-B128)/B128</f>
        <v>1.4330317828836762E-2</v>
      </c>
    </row>
    <row r="130" spans="1:3">
      <c r="A130" s="74">
        <v>37408</v>
      </c>
      <c r="B130" s="75">
        <f>VLOOKUP(A130,Database!A:M,MATCH($A$1,Database!$A$1:$M$1,),)</f>
        <v>48847</v>
      </c>
      <c r="C130" s="113">
        <f>(Table535[[#This Row],[New Orders - Nondefense Capital Goods Excluding Aircraft]]-B129)/B129</f>
        <v>-3.6168113654301497E-2</v>
      </c>
    </row>
    <row r="131" spans="1:3">
      <c r="A131" s="74">
        <v>37438</v>
      </c>
      <c r="B131" s="75">
        <f>VLOOKUP(A131,Database!A:M,MATCH($A$1,Database!$A$1:$M$1,),)</f>
        <v>49531</v>
      </c>
      <c r="C131" s="113">
        <f>(Table535[[#This Row],[New Orders - Nondefense Capital Goods Excluding Aircraft]]-B130)/B130</f>
        <v>1.4002907036256064E-2</v>
      </c>
    </row>
    <row r="132" spans="1:3">
      <c r="A132" s="74">
        <v>37469</v>
      </c>
      <c r="B132" s="75">
        <f>VLOOKUP(A132,Database!A:M,MATCH($A$1,Database!$A$1:$M$1,),)</f>
        <v>51112</v>
      </c>
      <c r="C132" s="113">
        <f>(Table535[[#This Row],[New Orders - Nondefense Capital Goods Excluding Aircraft]]-B131)/B131</f>
        <v>3.1919404009610144E-2</v>
      </c>
    </row>
    <row r="133" spans="1:3">
      <c r="A133" s="74">
        <v>37500</v>
      </c>
      <c r="B133" s="75">
        <f>VLOOKUP(A133,Database!A:M,MATCH($A$1,Database!$A$1:$M$1,),)</f>
        <v>48089</v>
      </c>
      <c r="C133" s="113">
        <f>(Table535[[#This Row],[New Orders - Nondefense Capital Goods Excluding Aircraft]]-B132)/B132</f>
        <v>-5.914462357176397E-2</v>
      </c>
    </row>
    <row r="134" spans="1:3">
      <c r="A134" s="74">
        <v>37530</v>
      </c>
      <c r="B134" s="75">
        <f>VLOOKUP(A134,Database!A:M,MATCH($A$1,Database!$A$1:$M$1,),)</f>
        <v>49106</v>
      </c>
      <c r="C134" s="113">
        <f>(Table535[[#This Row],[New Orders - Nondefense Capital Goods Excluding Aircraft]]-B133)/B133</f>
        <v>2.1148287550167399E-2</v>
      </c>
    </row>
    <row r="135" spans="1:3">
      <c r="A135" s="74">
        <v>37561</v>
      </c>
      <c r="B135" s="75">
        <f>VLOOKUP(A135,Database!A:M,MATCH($A$1,Database!$A$1:$M$1,),)</f>
        <v>49620</v>
      </c>
      <c r="C135" s="113">
        <f>(Table535[[#This Row],[New Orders - Nondefense Capital Goods Excluding Aircraft]]-B134)/B134</f>
        <v>1.046715269009897E-2</v>
      </c>
    </row>
    <row r="136" spans="1:3">
      <c r="A136" s="74">
        <v>37591</v>
      </c>
      <c r="B136" s="75">
        <f>VLOOKUP(A136,Database!A:M,MATCH($A$1,Database!$A$1:$M$1,),)</f>
        <v>48744</v>
      </c>
      <c r="C136" s="113">
        <f>(Table535[[#This Row],[New Orders - Nondefense Capital Goods Excluding Aircraft]]-B135)/B135</f>
        <v>-1.7654171704957679E-2</v>
      </c>
    </row>
    <row r="137" spans="1:3">
      <c r="A137" s="74">
        <v>37622</v>
      </c>
      <c r="B137" s="75">
        <f>VLOOKUP(A137,Database!A:M,MATCH($A$1,Database!$A$1:$M$1,),)</f>
        <v>48896</v>
      </c>
      <c r="C137" s="113">
        <f>(Table535[[#This Row],[New Orders - Nondefense Capital Goods Excluding Aircraft]]-B136)/B136</f>
        <v>3.1183325127195141E-3</v>
      </c>
    </row>
    <row r="138" spans="1:3">
      <c r="A138" s="74">
        <v>37653</v>
      </c>
      <c r="B138" s="75">
        <f>VLOOKUP(A138,Database!A:M,MATCH($A$1,Database!$A$1:$M$1,),)</f>
        <v>49128</v>
      </c>
      <c r="C138" s="113">
        <f>(Table535[[#This Row],[New Orders - Nondefense Capital Goods Excluding Aircraft]]-B137)/B137</f>
        <v>4.744764397905759E-3</v>
      </c>
    </row>
    <row r="139" spans="1:3">
      <c r="A139" s="74">
        <v>37681</v>
      </c>
      <c r="B139" s="75">
        <f>VLOOKUP(A139,Database!A:M,MATCH($A$1,Database!$A$1:$M$1,),)</f>
        <v>51757</v>
      </c>
      <c r="C139" s="113">
        <f>(Table535[[#This Row],[New Orders - Nondefense Capital Goods Excluding Aircraft]]-B138)/B138</f>
        <v>5.3513271454160558E-2</v>
      </c>
    </row>
    <row r="140" spans="1:3">
      <c r="A140" s="74">
        <v>37712</v>
      </c>
      <c r="B140" s="75">
        <f>VLOOKUP(A140,Database!A:M,MATCH($A$1,Database!$A$1:$M$1,),)</f>
        <v>49199</v>
      </c>
      <c r="C140" s="113">
        <f>(Table535[[#This Row],[New Orders - Nondefense Capital Goods Excluding Aircraft]]-B139)/B139</f>
        <v>-4.9423266418069052E-2</v>
      </c>
    </row>
    <row r="141" spans="1:3">
      <c r="A141" s="74">
        <v>37742</v>
      </c>
      <c r="B141" s="75">
        <f>VLOOKUP(A141,Database!A:M,MATCH($A$1,Database!$A$1:$M$1,),)</f>
        <v>50849</v>
      </c>
      <c r="C141" s="113">
        <f>(Table535[[#This Row],[New Orders - Nondefense Capital Goods Excluding Aircraft]]-B140)/B140</f>
        <v>3.3537267017622309E-2</v>
      </c>
    </row>
    <row r="142" spans="1:3">
      <c r="A142" s="74">
        <v>37773</v>
      </c>
      <c r="B142" s="75">
        <f>VLOOKUP(A142,Database!A:M,MATCH($A$1,Database!$A$1:$M$1,),)</f>
        <v>49941</v>
      </c>
      <c r="C142" s="113">
        <f>(Table535[[#This Row],[New Orders - Nondefense Capital Goods Excluding Aircraft]]-B141)/B141</f>
        <v>-1.7856791677319121E-2</v>
      </c>
    </row>
    <row r="143" spans="1:3">
      <c r="A143" s="74">
        <v>37803</v>
      </c>
      <c r="B143" s="75">
        <f>VLOOKUP(A143,Database!A:M,MATCH($A$1,Database!$A$1:$M$1,),)</f>
        <v>49408</v>
      </c>
      <c r="C143" s="113">
        <f>(Table535[[#This Row],[New Orders - Nondefense Capital Goods Excluding Aircraft]]-B142)/B142</f>
        <v>-1.0672593660519413E-2</v>
      </c>
    </row>
    <row r="144" spans="1:3">
      <c r="A144" s="74">
        <v>37834</v>
      </c>
      <c r="B144" s="75">
        <f>VLOOKUP(A144,Database!A:M,MATCH($A$1,Database!$A$1:$M$1,),)</f>
        <v>50447</v>
      </c>
      <c r="C144" s="113">
        <f>(Table535[[#This Row],[New Orders - Nondefense Capital Goods Excluding Aircraft]]-B143)/B143</f>
        <v>2.102898316062176E-2</v>
      </c>
    </row>
    <row r="145" spans="1:3">
      <c r="A145" s="74">
        <v>37865</v>
      </c>
      <c r="B145" s="75">
        <f>VLOOKUP(A145,Database!A:M,MATCH($A$1,Database!$A$1:$M$1,),)</f>
        <v>51971</v>
      </c>
      <c r="C145" s="113">
        <f>(Table535[[#This Row],[New Orders - Nondefense Capital Goods Excluding Aircraft]]-B144)/B144</f>
        <v>3.0209923285824728E-2</v>
      </c>
    </row>
    <row r="146" spans="1:3">
      <c r="A146" s="74">
        <v>37895</v>
      </c>
      <c r="B146" s="75">
        <f>VLOOKUP(A146,Database!A:M,MATCH($A$1,Database!$A$1:$M$1,),)</f>
        <v>51088</v>
      </c>
      <c r="C146" s="113">
        <f>(Table535[[#This Row],[New Orders - Nondefense Capital Goods Excluding Aircraft]]-B145)/B145</f>
        <v>-1.6990244559465857E-2</v>
      </c>
    </row>
    <row r="147" spans="1:3">
      <c r="A147" s="74">
        <v>37926</v>
      </c>
      <c r="B147" s="75">
        <f>VLOOKUP(A147,Database!A:M,MATCH($A$1,Database!$A$1:$M$1,),)</f>
        <v>52318</v>
      </c>
      <c r="C147" s="113">
        <f>(Table535[[#This Row],[New Orders - Nondefense Capital Goods Excluding Aircraft]]-B146)/B146</f>
        <v>2.4076103977450674E-2</v>
      </c>
    </row>
    <row r="148" spans="1:3">
      <c r="A148" s="74">
        <v>37956</v>
      </c>
      <c r="B148" s="75">
        <f>VLOOKUP(A148,Database!A:M,MATCH($A$1,Database!$A$1:$M$1,),)</f>
        <v>53325</v>
      </c>
      <c r="C148" s="113">
        <f>(Table535[[#This Row],[New Orders - Nondefense Capital Goods Excluding Aircraft]]-B147)/B147</f>
        <v>1.9247677663519248E-2</v>
      </c>
    </row>
    <row r="149" spans="1:3">
      <c r="A149" s="74">
        <v>37987</v>
      </c>
      <c r="B149" s="75">
        <f>VLOOKUP(A149,Database!A:M,MATCH($A$1,Database!$A$1:$M$1,),)</f>
        <v>50190</v>
      </c>
      <c r="C149" s="113">
        <f>(Table535[[#This Row],[New Orders - Nondefense Capital Goods Excluding Aircraft]]-B148)/B148</f>
        <v>-5.8790436005625876E-2</v>
      </c>
    </row>
    <row r="150" spans="1:3">
      <c r="A150" s="74">
        <v>38018</v>
      </c>
      <c r="B150" s="75">
        <f>VLOOKUP(A150,Database!A:M,MATCH($A$1,Database!$A$1:$M$1,),)</f>
        <v>51210</v>
      </c>
      <c r="C150" s="113">
        <f>(Table535[[#This Row],[New Orders - Nondefense Capital Goods Excluding Aircraft]]-B149)/B149</f>
        <v>2.0322773460848775E-2</v>
      </c>
    </row>
    <row r="151" spans="1:3">
      <c r="A151" s="74">
        <v>38047</v>
      </c>
      <c r="B151" s="75">
        <f>VLOOKUP(A151,Database!A:M,MATCH($A$1,Database!$A$1:$M$1,),)</f>
        <v>54995</v>
      </c>
      <c r="C151" s="113">
        <f>(Table535[[#This Row],[New Orders - Nondefense Capital Goods Excluding Aircraft]]-B150)/B150</f>
        <v>7.3911345440343681E-2</v>
      </c>
    </row>
    <row r="152" spans="1:3">
      <c r="A152" s="74">
        <v>38078</v>
      </c>
      <c r="B152" s="75">
        <f>VLOOKUP(A152,Database!A:M,MATCH($A$1,Database!$A$1:$M$1,),)</f>
        <v>52065</v>
      </c>
      <c r="C152" s="113">
        <f>(Table535[[#This Row],[New Orders - Nondefense Capital Goods Excluding Aircraft]]-B151)/B151</f>
        <v>-5.3277570688244388E-2</v>
      </c>
    </row>
    <row r="153" spans="1:3">
      <c r="A153" s="74">
        <v>38108</v>
      </c>
      <c r="B153" s="75">
        <f>VLOOKUP(A153,Database!A:M,MATCH($A$1,Database!$A$1:$M$1,),)</f>
        <v>52405</v>
      </c>
      <c r="C153" s="113">
        <f>(Table535[[#This Row],[New Orders - Nondefense Capital Goods Excluding Aircraft]]-B152)/B152</f>
        <v>6.5302986651301258E-3</v>
      </c>
    </row>
    <row r="154" spans="1:3">
      <c r="A154" s="74">
        <v>38139</v>
      </c>
      <c r="B154" s="75">
        <f>VLOOKUP(A154,Database!A:M,MATCH($A$1,Database!$A$1:$M$1,),)</f>
        <v>53213</v>
      </c>
      <c r="C154" s="113">
        <f>(Table535[[#This Row],[New Orders - Nondefense Capital Goods Excluding Aircraft]]-B153)/B153</f>
        <v>1.541837610914989E-2</v>
      </c>
    </row>
    <row r="155" spans="1:3">
      <c r="A155" s="74">
        <v>38169</v>
      </c>
      <c r="B155" s="75">
        <f>VLOOKUP(A155,Database!A:M,MATCH($A$1,Database!$A$1:$M$1,),)</f>
        <v>53699</v>
      </c>
      <c r="C155" s="113">
        <f>(Table535[[#This Row],[New Orders - Nondefense Capital Goods Excluding Aircraft]]-B154)/B154</f>
        <v>9.1331065717024044E-3</v>
      </c>
    </row>
    <row r="156" spans="1:3">
      <c r="A156" s="74">
        <v>38200</v>
      </c>
      <c r="B156" s="75">
        <f>VLOOKUP(A156,Database!A:M,MATCH($A$1,Database!$A$1:$M$1,),)</f>
        <v>51950</v>
      </c>
      <c r="C156" s="113">
        <f>(Table535[[#This Row],[New Orders - Nondefense Capital Goods Excluding Aircraft]]-B155)/B155</f>
        <v>-3.2570438928099223E-2</v>
      </c>
    </row>
    <row r="157" spans="1:3">
      <c r="A157" s="74">
        <v>38231</v>
      </c>
      <c r="B157" s="75">
        <f>VLOOKUP(A157,Database!A:M,MATCH($A$1,Database!$A$1:$M$1,),)</f>
        <v>56227</v>
      </c>
      <c r="C157" s="113">
        <f>(Table535[[#This Row],[New Orders - Nondefense Capital Goods Excluding Aircraft]]-B156)/B156</f>
        <v>8.232916265640039E-2</v>
      </c>
    </row>
    <row r="158" spans="1:3">
      <c r="A158" s="74">
        <v>38261</v>
      </c>
      <c r="B158" s="75">
        <f>VLOOKUP(A158,Database!A:M,MATCH($A$1,Database!$A$1:$M$1,),)</f>
        <v>53948</v>
      </c>
      <c r="C158" s="113">
        <f>(Table535[[#This Row],[New Orders - Nondefense Capital Goods Excluding Aircraft]]-B157)/B157</f>
        <v>-4.0532128692620982E-2</v>
      </c>
    </row>
    <row r="159" spans="1:3">
      <c r="A159" s="74">
        <v>38292</v>
      </c>
      <c r="B159" s="75">
        <f>VLOOKUP(A159,Database!A:M,MATCH($A$1,Database!$A$1:$M$1,),)</f>
        <v>55318</v>
      </c>
      <c r="C159" s="113">
        <f>(Table535[[#This Row],[New Orders - Nondefense Capital Goods Excluding Aircraft]]-B158)/B158</f>
        <v>2.5394824645955365E-2</v>
      </c>
    </row>
    <row r="160" spans="1:3">
      <c r="A160" s="74">
        <v>38322</v>
      </c>
      <c r="B160" s="75">
        <f>VLOOKUP(A160,Database!A:M,MATCH($A$1,Database!$A$1:$M$1,),)</f>
        <v>56631</v>
      </c>
      <c r="C160" s="113">
        <f>(Table535[[#This Row],[New Orders - Nondefense Capital Goods Excluding Aircraft]]-B159)/B159</f>
        <v>2.3735492967930871E-2</v>
      </c>
    </row>
    <row r="161" spans="1:3">
      <c r="A161" s="74">
        <v>38353</v>
      </c>
      <c r="B161" s="75">
        <f>VLOOKUP(A161,Database!A:M,MATCH($A$1,Database!$A$1:$M$1,),)</f>
        <v>57884</v>
      </c>
      <c r="C161" s="113">
        <f>(Table535[[#This Row],[New Orders - Nondefense Capital Goods Excluding Aircraft]]-B160)/B160</f>
        <v>2.2125690876021967E-2</v>
      </c>
    </row>
    <row r="162" spans="1:3">
      <c r="A162" s="74">
        <v>38384</v>
      </c>
      <c r="B162" s="75">
        <f>VLOOKUP(A162,Database!A:M,MATCH($A$1,Database!$A$1:$M$1,),)</f>
        <v>57580</v>
      </c>
      <c r="C162" s="113">
        <f>(Table535[[#This Row],[New Orders - Nondefense Capital Goods Excluding Aircraft]]-B161)/B161</f>
        <v>-5.2518830764978234E-3</v>
      </c>
    </row>
    <row r="163" spans="1:3">
      <c r="A163" s="74">
        <v>38412</v>
      </c>
      <c r="B163" s="75">
        <f>VLOOKUP(A163,Database!A:M,MATCH($A$1,Database!$A$1:$M$1,),)</f>
        <v>56576</v>
      </c>
      <c r="C163" s="113">
        <f>(Table535[[#This Row],[New Orders - Nondefense Capital Goods Excluding Aircraft]]-B162)/B162</f>
        <v>-1.7436609934004862E-2</v>
      </c>
    </row>
    <row r="164" spans="1:3">
      <c r="A164" s="74">
        <v>38443</v>
      </c>
      <c r="B164" s="75">
        <f>VLOOKUP(A164,Database!A:M,MATCH($A$1,Database!$A$1:$M$1,),)</f>
        <v>58138</v>
      </c>
      <c r="C164" s="113">
        <f>(Table535[[#This Row],[New Orders - Nondefense Capital Goods Excluding Aircraft]]-B163)/B163</f>
        <v>2.7608880090497737E-2</v>
      </c>
    </row>
    <row r="165" spans="1:3">
      <c r="A165" s="74">
        <v>38473</v>
      </c>
      <c r="B165" s="75">
        <f>VLOOKUP(A165,Database!A:M,MATCH($A$1,Database!$A$1:$M$1,),)</f>
        <v>57105</v>
      </c>
      <c r="C165" s="113">
        <f>(Table535[[#This Row],[New Orders - Nondefense Capital Goods Excluding Aircraft]]-B164)/B164</f>
        <v>-1.7768069077023635E-2</v>
      </c>
    </row>
    <row r="166" spans="1:3">
      <c r="A166" s="74">
        <v>38504</v>
      </c>
      <c r="B166" s="75">
        <f>VLOOKUP(A166,Database!A:M,MATCH($A$1,Database!$A$1:$M$1,),)</f>
        <v>58903</v>
      </c>
      <c r="C166" s="113">
        <f>(Table535[[#This Row],[New Orders - Nondefense Capital Goods Excluding Aircraft]]-B165)/B165</f>
        <v>3.1485859381840467E-2</v>
      </c>
    </row>
    <row r="167" spans="1:3">
      <c r="A167" s="74">
        <v>38534</v>
      </c>
      <c r="B167" s="75">
        <f>VLOOKUP(A167,Database!A:M,MATCH($A$1,Database!$A$1:$M$1,),)</f>
        <v>57606</v>
      </c>
      <c r="C167" s="113">
        <f>(Table535[[#This Row],[New Orders - Nondefense Capital Goods Excluding Aircraft]]-B166)/B166</f>
        <v>-2.2019251990560752E-2</v>
      </c>
    </row>
    <row r="168" spans="1:3">
      <c r="A168" s="74">
        <v>38565</v>
      </c>
      <c r="B168" s="75">
        <f>VLOOKUP(A168,Database!A:M,MATCH($A$1,Database!$A$1:$M$1,),)</f>
        <v>60352</v>
      </c>
      <c r="C168" s="113">
        <f>(Table535[[#This Row],[New Orders - Nondefense Capital Goods Excluding Aircraft]]-B167)/B167</f>
        <v>4.7668645627191614E-2</v>
      </c>
    </row>
    <row r="169" spans="1:3">
      <c r="A169" s="74">
        <v>38596</v>
      </c>
      <c r="B169" s="75">
        <f>VLOOKUP(A169,Database!A:M,MATCH($A$1,Database!$A$1:$M$1,),)</f>
        <v>58344</v>
      </c>
      <c r="C169" s="113">
        <f>(Table535[[#This Row],[New Orders - Nondefense Capital Goods Excluding Aircraft]]-B168)/B168</f>
        <v>-3.3271474019088018E-2</v>
      </c>
    </row>
    <row r="170" spans="1:3">
      <c r="A170" s="74">
        <v>38626</v>
      </c>
      <c r="B170" s="75">
        <f>VLOOKUP(A170,Database!A:M,MATCH($A$1,Database!$A$1:$M$1,),)</f>
        <v>59751</v>
      </c>
      <c r="C170" s="113">
        <f>(Table535[[#This Row],[New Orders - Nondefense Capital Goods Excluding Aircraft]]-B169)/B169</f>
        <v>2.4115590292060882E-2</v>
      </c>
    </row>
    <row r="171" spans="1:3">
      <c r="A171" s="74">
        <v>38657</v>
      </c>
      <c r="B171" s="75">
        <f>VLOOKUP(A171,Database!A:M,MATCH($A$1,Database!$A$1:$M$1,),)</f>
        <v>60459</v>
      </c>
      <c r="C171" s="113">
        <f>(Table535[[#This Row],[New Orders - Nondefense Capital Goods Excluding Aircraft]]-B170)/B170</f>
        <v>1.1849174072400461E-2</v>
      </c>
    </row>
    <row r="172" spans="1:3">
      <c r="A172" s="74">
        <v>38687</v>
      </c>
      <c r="B172" s="75">
        <f>VLOOKUP(A172,Database!A:M,MATCH($A$1,Database!$A$1:$M$1,),)</f>
        <v>61271</v>
      </c>
      <c r="C172" s="113">
        <f>(Table535[[#This Row],[New Orders - Nondefense Capital Goods Excluding Aircraft]]-B171)/B171</f>
        <v>1.3430589324997105E-2</v>
      </c>
    </row>
    <row r="173" spans="1:3">
      <c r="A173" s="74">
        <v>38718</v>
      </c>
      <c r="B173" s="75">
        <f>VLOOKUP(A173,Database!A:M,MATCH($A$1,Database!$A$1:$M$1,),)</f>
        <v>62469</v>
      </c>
      <c r="C173" s="113">
        <f>(Table535[[#This Row],[New Orders - Nondefense Capital Goods Excluding Aircraft]]-B172)/B172</f>
        <v>1.9552479966052454E-2</v>
      </c>
    </row>
    <row r="174" spans="1:3">
      <c r="A174" s="74">
        <v>38749</v>
      </c>
      <c r="B174" s="75">
        <f>VLOOKUP(A174,Database!A:M,MATCH($A$1,Database!$A$1:$M$1,),)</f>
        <v>62592</v>
      </c>
      <c r="C174" s="113">
        <f>(Table535[[#This Row],[New Orders - Nondefense Capital Goods Excluding Aircraft]]-B173)/B173</f>
        <v>1.9689766123997502E-3</v>
      </c>
    </row>
    <row r="175" spans="1:3">
      <c r="A175" s="74">
        <v>38777</v>
      </c>
      <c r="B175" s="75">
        <f>VLOOKUP(A175,Database!A:M,MATCH($A$1,Database!$A$1:$M$1,),)</f>
        <v>65096</v>
      </c>
      <c r="C175" s="113">
        <f>(Table535[[#This Row],[New Orders - Nondefense Capital Goods Excluding Aircraft]]-B174)/B174</f>
        <v>4.000511247443763E-2</v>
      </c>
    </row>
    <row r="176" spans="1:3">
      <c r="A176" s="74">
        <v>38808</v>
      </c>
      <c r="B176" s="75">
        <f>VLOOKUP(A176,Database!A:M,MATCH($A$1,Database!$A$1:$M$1,),)</f>
        <v>63272</v>
      </c>
      <c r="C176" s="113">
        <f>(Table535[[#This Row],[New Orders - Nondefense Capital Goods Excluding Aircraft]]-B175)/B175</f>
        <v>-2.802015484822416E-2</v>
      </c>
    </row>
    <row r="177" spans="1:3">
      <c r="A177" s="74">
        <v>38838</v>
      </c>
      <c r="B177" s="75">
        <f>VLOOKUP(A177,Database!A:M,MATCH($A$1,Database!$A$1:$M$1,),)</f>
        <v>64145</v>
      </c>
      <c r="C177" s="113">
        <f>(Table535[[#This Row],[New Orders - Nondefense Capital Goods Excluding Aircraft]]-B176)/B176</f>
        <v>1.3797572385889493E-2</v>
      </c>
    </row>
    <row r="178" spans="1:3">
      <c r="A178" s="74">
        <v>38869</v>
      </c>
      <c r="B178" s="75">
        <f>VLOOKUP(A178,Database!A:M,MATCH($A$1,Database!$A$1:$M$1,),)</f>
        <v>63601</v>
      </c>
      <c r="C178" s="113">
        <f>(Table535[[#This Row],[New Orders - Nondefense Capital Goods Excluding Aircraft]]-B177)/B177</f>
        <v>-8.4807857198534575E-3</v>
      </c>
    </row>
    <row r="179" spans="1:3">
      <c r="A179" s="74">
        <v>38899</v>
      </c>
      <c r="B179" s="75">
        <f>VLOOKUP(A179,Database!A:M,MATCH($A$1,Database!$A$1:$M$1,),)</f>
        <v>63922</v>
      </c>
      <c r="C179" s="113">
        <f>(Table535[[#This Row],[New Orders - Nondefense Capital Goods Excluding Aircraft]]-B178)/B178</f>
        <v>5.047090454552601E-3</v>
      </c>
    </row>
    <row r="180" spans="1:3">
      <c r="A180" s="74">
        <v>38930</v>
      </c>
      <c r="B180" s="75">
        <f>VLOOKUP(A180,Database!A:M,MATCH($A$1,Database!$A$1:$M$1,),)</f>
        <v>64379</v>
      </c>
      <c r="C180" s="113">
        <f>(Table535[[#This Row],[New Orders - Nondefense Capital Goods Excluding Aircraft]]-B179)/B179</f>
        <v>7.1493382559994993E-3</v>
      </c>
    </row>
    <row r="181" spans="1:3">
      <c r="A181" s="74">
        <v>38961</v>
      </c>
      <c r="B181" s="75">
        <f>VLOOKUP(A181,Database!A:M,MATCH($A$1,Database!$A$1:$M$1,),)</f>
        <v>66981</v>
      </c>
      <c r="C181" s="113">
        <f>(Table535[[#This Row],[New Orders - Nondefense Capital Goods Excluding Aircraft]]-B180)/B180</f>
        <v>4.0416906133987789E-2</v>
      </c>
    </row>
    <row r="182" spans="1:3">
      <c r="A182" s="74">
        <v>38991</v>
      </c>
      <c r="B182" s="75">
        <f>VLOOKUP(A182,Database!A:M,MATCH($A$1,Database!$A$1:$M$1,),)</f>
        <v>66492</v>
      </c>
      <c r="C182" s="113">
        <f>(Table535[[#This Row],[New Orders - Nondefense Capital Goods Excluding Aircraft]]-B181)/B181</f>
        <v>-7.3005777757871636E-3</v>
      </c>
    </row>
    <row r="183" spans="1:3">
      <c r="A183" s="74">
        <v>39022</v>
      </c>
      <c r="B183" s="75">
        <f>VLOOKUP(A183,Database!A:M,MATCH($A$1,Database!$A$1:$M$1,),)</f>
        <v>66484</v>
      </c>
      <c r="C183" s="113">
        <f>(Table535[[#This Row],[New Orders - Nondefense Capital Goods Excluding Aircraft]]-B182)/B182</f>
        <v>-1.2031522589183661E-4</v>
      </c>
    </row>
    <row r="184" spans="1:3">
      <c r="A184" s="74">
        <v>39052</v>
      </c>
      <c r="B184" s="75">
        <f>VLOOKUP(A184,Database!A:M,MATCH($A$1,Database!$A$1:$M$1,),)</f>
        <v>65935</v>
      </c>
      <c r="C184" s="113">
        <f>(Table535[[#This Row],[New Orders - Nondefense Capital Goods Excluding Aircraft]]-B183)/B183</f>
        <v>-8.257625894952169E-3</v>
      </c>
    </row>
    <row r="185" spans="1:3">
      <c r="A185" s="74">
        <v>39083</v>
      </c>
      <c r="B185" s="75">
        <f>VLOOKUP(A185,Database!A:M,MATCH($A$1,Database!$A$1:$M$1,),)</f>
        <v>64155</v>
      </c>
      <c r="C185" s="113">
        <f>(Table535[[#This Row],[New Orders - Nondefense Capital Goods Excluding Aircraft]]-B184)/B184</f>
        <v>-2.6996284219306894E-2</v>
      </c>
    </row>
    <row r="186" spans="1:3">
      <c r="A186" s="74">
        <v>39114</v>
      </c>
      <c r="B186" s="75">
        <f>VLOOKUP(A186,Database!A:M,MATCH($A$1,Database!$A$1:$M$1,),)</f>
        <v>63735</v>
      </c>
      <c r="C186" s="113">
        <f>(Table535[[#This Row],[New Orders - Nondefense Capital Goods Excluding Aircraft]]-B185)/B185</f>
        <v>-6.5466448445171853E-3</v>
      </c>
    </row>
    <row r="187" spans="1:3">
      <c r="A187" s="74">
        <v>39142</v>
      </c>
      <c r="B187" s="75">
        <f>VLOOKUP(A187,Database!A:M,MATCH($A$1,Database!$A$1:$M$1,),)</f>
        <v>66936</v>
      </c>
      <c r="C187" s="113">
        <f>(Table535[[#This Row],[New Orders - Nondefense Capital Goods Excluding Aircraft]]-B186)/B186</f>
        <v>5.0223582019298656E-2</v>
      </c>
    </row>
    <row r="188" spans="1:3">
      <c r="A188" s="74">
        <v>39173</v>
      </c>
      <c r="B188" s="75">
        <f>VLOOKUP(A188,Database!A:M,MATCH($A$1,Database!$A$1:$M$1,),)</f>
        <v>66118</v>
      </c>
      <c r="C188" s="113">
        <f>(Table535[[#This Row],[New Orders - Nondefense Capital Goods Excluding Aircraft]]-B187)/B187</f>
        <v>-1.2220628660212741E-2</v>
      </c>
    </row>
    <row r="189" spans="1:3">
      <c r="A189" s="74">
        <v>39203</v>
      </c>
      <c r="B189" s="75">
        <f>VLOOKUP(A189,Database!A:M,MATCH($A$1,Database!$A$1:$M$1,),)</f>
        <v>64975</v>
      </c>
      <c r="C189" s="113">
        <f>(Table535[[#This Row],[New Orders - Nondefense Capital Goods Excluding Aircraft]]-B188)/B188</f>
        <v>-1.7287274267219214E-2</v>
      </c>
    </row>
    <row r="190" spans="1:3">
      <c r="A190" s="74">
        <v>39234</v>
      </c>
      <c r="B190" s="75">
        <f>VLOOKUP(A190,Database!A:M,MATCH($A$1,Database!$A$1:$M$1,),)</f>
        <v>64874</v>
      </c>
      <c r="C190" s="113">
        <f>(Table535[[#This Row],[New Orders - Nondefense Capital Goods Excluding Aircraft]]-B189)/B189</f>
        <v>-1.5544440169295883E-3</v>
      </c>
    </row>
    <row r="191" spans="1:3">
      <c r="A191" s="74">
        <v>39264</v>
      </c>
      <c r="B191" s="75">
        <f>VLOOKUP(A191,Database!A:M,MATCH($A$1,Database!$A$1:$M$1,),)</f>
        <v>64902</v>
      </c>
      <c r="C191" s="113">
        <f>(Table535[[#This Row],[New Orders - Nondefense Capital Goods Excluding Aircraft]]-B190)/B190</f>
        <v>4.3160588217159418E-4</v>
      </c>
    </row>
    <row r="192" spans="1:3">
      <c r="A192" s="74">
        <v>39295</v>
      </c>
      <c r="B192" s="75">
        <f>VLOOKUP(A192,Database!A:M,MATCH($A$1,Database!$A$1:$M$1,),)</f>
        <v>66265</v>
      </c>
      <c r="C192" s="113">
        <f>(Table535[[#This Row],[New Orders - Nondefense Capital Goods Excluding Aircraft]]-B191)/B191</f>
        <v>2.100089365504915E-2</v>
      </c>
    </row>
    <row r="193" spans="1:3">
      <c r="A193" s="74">
        <v>39326</v>
      </c>
      <c r="B193" s="75">
        <f>VLOOKUP(A193,Database!A:M,MATCH($A$1,Database!$A$1:$M$1,),)</f>
        <v>65393</v>
      </c>
      <c r="C193" s="113">
        <f>(Table535[[#This Row],[New Orders - Nondefense Capital Goods Excluding Aircraft]]-B192)/B192</f>
        <v>-1.3159284690258809E-2</v>
      </c>
    </row>
    <row r="194" spans="1:3">
      <c r="A194" s="74">
        <v>39356</v>
      </c>
      <c r="B194" s="75">
        <f>VLOOKUP(A194,Database!A:M,MATCH($A$1,Database!$A$1:$M$1,),)</f>
        <v>64974</v>
      </c>
      <c r="C194" s="113">
        <f>(Table535[[#This Row],[New Orders - Nondefense Capital Goods Excluding Aircraft]]-B193)/B193</f>
        <v>-6.4074136375453028E-3</v>
      </c>
    </row>
    <row r="195" spans="1:3">
      <c r="A195" s="74">
        <v>39387</v>
      </c>
      <c r="B195" s="75">
        <f>VLOOKUP(A195,Database!A:M,MATCH($A$1,Database!$A$1:$M$1,),)</f>
        <v>65466</v>
      </c>
      <c r="C195" s="113">
        <f>(Table535[[#This Row],[New Orders - Nondefense Capital Goods Excluding Aircraft]]-B194)/B194</f>
        <v>7.5722596731000093E-3</v>
      </c>
    </row>
    <row r="196" spans="1:3">
      <c r="A196" s="74">
        <v>39417</v>
      </c>
      <c r="B196" s="75">
        <f>VLOOKUP(A196,Database!A:M,MATCH($A$1,Database!$A$1:$M$1,),)</f>
        <v>68096</v>
      </c>
      <c r="C196" s="113">
        <f>(Table535[[#This Row],[New Orders - Nondefense Capital Goods Excluding Aircraft]]-B195)/B195</f>
        <v>4.0173525188647544E-2</v>
      </c>
    </row>
    <row r="197" spans="1:3">
      <c r="A197" s="74">
        <v>39448</v>
      </c>
      <c r="B197" s="75">
        <f>VLOOKUP(A197,Database!A:M,MATCH($A$1,Database!$A$1:$M$1,),)</f>
        <v>68408</v>
      </c>
      <c r="C197" s="113">
        <f>(Table535[[#This Row],[New Orders - Nondefense Capital Goods Excluding Aircraft]]-B196)/B196</f>
        <v>4.5817669172932328E-3</v>
      </c>
    </row>
    <row r="198" spans="1:3">
      <c r="A198" s="74">
        <v>39479</v>
      </c>
      <c r="B198" s="75">
        <f>VLOOKUP(A198,Database!A:M,MATCH($A$1,Database!$A$1:$M$1,),)</f>
        <v>66568</v>
      </c>
      <c r="C198" s="113">
        <f>(Table535[[#This Row],[New Orders - Nondefense Capital Goods Excluding Aircraft]]-B197)/B197</f>
        <v>-2.6897438896035551E-2</v>
      </c>
    </row>
    <row r="199" spans="1:3">
      <c r="A199" s="74">
        <v>39508</v>
      </c>
      <c r="B199" s="75">
        <f>VLOOKUP(A199,Database!A:M,MATCH($A$1,Database!$A$1:$M$1,),)</f>
        <v>66526</v>
      </c>
      <c r="C199" s="113">
        <f>(Table535[[#This Row],[New Orders - Nondefense Capital Goods Excluding Aircraft]]-B198)/B198</f>
        <v>-6.3093378199735606E-4</v>
      </c>
    </row>
    <row r="200" spans="1:3">
      <c r="A200" s="74">
        <v>39539</v>
      </c>
      <c r="B200" s="75">
        <f>VLOOKUP(A200,Database!A:M,MATCH($A$1,Database!$A$1:$M$1,),)</f>
        <v>69373</v>
      </c>
      <c r="C200" s="113">
        <f>(Table535[[#This Row],[New Orders - Nondefense Capital Goods Excluding Aircraft]]-B199)/B199</f>
        <v>4.2795298078946574E-2</v>
      </c>
    </row>
    <row r="201" spans="1:3">
      <c r="A201" s="74">
        <v>39569</v>
      </c>
      <c r="B201" s="75">
        <f>VLOOKUP(A201,Database!A:M,MATCH($A$1,Database!$A$1:$M$1,),)</f>
        <v>68443</v>
      </c>
      <c r="C201" s="113">
        <f>(Table535[[#This Row],[New Orders - Nondefense Capital Goods Excluding Aircraft]]-B200)/B200</f>
        <v>-1.340579187868479E-2</v>
      </c>
    </row>
    <row r="202" spans="1:3">
      <c r="A202" s="74">
        <v>39600</v>
      </c>
      <c r="B202" s="75">
        <f>VLOOKUP(A202,Database!A:M,MATCH($A$1,Database!$A$1:$M$1,),)</f>
        <v>67754</v>
      </c>
      <c r="C202" s="113">
        <f>(Table535[[#This Row],[New Orders - Nondefense Capital Goods Excluding Aircraft]]-B201)/B201</f>
        <v>-1.0066770889645398E-2</v>
      </c>
    </row>
    <row r="203" spans="1:3">
      <c r="A203" s="74">
        <v>39630</v>
      </c>
      <c r="B203" s="75">
        <f>VLOOKUP(A203,Database!A:M,MATCH($A$1,Database!$A$1:$M$1,),)</f>
        <v>67856</v>
      </c>
      <c r="C203" s="113">
        <f>(Table535[[#This Row],[New Orders - Nondefense Capital Goods Excluding Aircraft]]-B202)/B202</f>
        <v>1.50544617291968E-3</v>
      </c>
    </row>
    <row r="204" spans="1:3">
      <c r="A204" s="74">
        <v>39661</v>
      </c>
      <c r="B204" s="75">
        <f>VLOOKUP(A204,Database!A:M,MATCH($A$1,Database!$A$1:$M$1,),)</f>
        <v>66142</v>
      </c>
      <c r="C204" s="113">
        <f>(Table535[[#This Row],[New Orders - Nondefense Capital Goods Excluding Aircraft]]-B203)/B203</f>
        <v>-2.5259372789436452E-2</v>
      </c>
    </row>
    <row r="205" spans="1:3">
      <c r="A205" s="74">
        <v>39692</v>
      </c>
      <c r="B205" s="75">
        <f>VLOOKUP(A205,Database!A:M,MATCH($A$1,Database!$A$1:$M$1,),)</f>
        <v>63854</v>
      </c>
      <c r="C205" s="113">
        <f>(Table535[[#This Row],[New Orders - Nondefense Capital Goods Excluding Aircraft]]-B204)/B204</f>
        <v>-3.459224093616764E-2</v>
      </c>
    </row>
    <row r="206" spans="1:3">
      <c r="A206" s="74">
        <v>39722</v>
      </c>
      <c r="B206" s="75">
        <f>VLOOKUP(A206,Database!A:M,MATCH($A$1,Database!$A$1:$M$1,),)</f>
        <v>59330</v>
      </c>
      <c r="C206" s="113">
        <f>(Table535[[#This Row],[New Orders - Nondefense Capital Goods Excluding Aircraft]]-B205)/B205</f>
        <v>-7.0849124565414853E-2</v>
      </c>
    </row>
    <row r="207" spans="1:3">
      <c r="A207" s="74">
        <v>39753</v>
      </c>
      <c r="B207" s="75">
        <f>VLOOKUP(A207,Database!A:M,MATCH($A$1,Database!$A$1:$M$1,),)</f>
        <v>60759</v>
      </c>
      <c r="C207" s="113">
        <f>(Table535[[#This Row],[New Orders - Nondefense Capital Goods Excluding Aircraft]]-B206)/B206</f>
        <v>2.4085622787797068E-2</v>
      </c>
    </row>
    <row r="208" spans="1:3">
      <c r="A208" s="74">
        <v>39783</v>
      </c>
      <c r="B208" s="75">
        <f>VLOOKUP(A208,Database!A:M,MATCH($A$1,Database!$A$1:$M$1,),)</f>
        <v>55512</v>
      </c>
      <c r="C208" s="113">
        <f>(Table535[[#This Row],[New Orders - Nondefense Capital Goods Excluding Aircraft]]-B207)/B207</f>
        <v>-8.6357576655310325E-2</v>
      </c>
    </row>
    <row r="209" spans="1:3">
      <c r="A209" s="74">
        <v>39814</v>
      </c>
      <c r="B209" s="75">
        <f>VLOOKUP(A209,Database!A:M,MATCH($A$1,Database!$A$1:$M$1,),)</f>
        <v>49530</v>
      </c>
      <c r="C209" s="113">
        <f>(Table535[[#This Row],[New Orders - Nondefense Capital Goods Excluding Aircraft]]-B208)/B208</f>
        <v>-0.10776048421962819</v>
      </c>
    </row>
    <row r="210" spans="1:3">
      <c r="A210" s="74">
        <v>39845</v>
      </c>
      <c r="B210" s="75">
        <f>VLOOKUP(A210,Database!A:M,MATCH($A$1,Database!$A$1:$M$1,),)</f>
        <v>50163</v>
      </c>
      <c r="C210" s="113">
        <f>(Table535[[#This Row],[New Orders - Nondefense Capital Goods Excluding Aircraft]]-B209)/B209</f>
        <v>1.2780133252574197E-2</v>
      </c>
    </row>
    <row r="211" spans="1:3">
      <c r="A211" s="74">
        <v>39873</v>
      </c>
      <c r="B211" s="75">
        <f>VLOOKUP(A211,Database!A:M,MATCH($A$1,Database!$A$1:$M$1,),)</f>
        <v>49254</v>
      </c>
      <c r="C211" s="113">
        <f>(Table535[[#This Row],[New Orders - Nondefense Capital Goods Excluding Aircraft]]-B210)/B210</f>
        <v>-1.812092578195084E-2</v>
      </c>
    </row>
    <row r="212" spans="1:3">
      <c r="A212" s="74">
        <v>39904</v>
      </c>
      <c r="B212" s="75">
        <f>VLOOKUP(A212,Database!A:M,MATCH($A$1,Database!$A$1:$M$1,),)</f>
        <v>47096</v>
      </c>
      <c r="C212" s="113">
        <f>(Table535[[#This Row],[New Orders - Nondefense Capital Goods Excluding Aircraft]]-B211)/B211</f>
        <v>-4.3813700410118978E-2</v>
      </c>
    </row>
    <row r="213" spans="1:3">
      <c r="A213" s="74">
        <v>39934</v>
      </c>
      <c r="B213" s="75">
        <f>VLOOKUP(A213,Database!A:M,MATCH($A$1,Database!$A$1:$M$1,),)</f>
        <v>48652</v>
      </c>
      <c r="C213" s="113">
        <f>(Table535[[#This Row],[New Orders - Nondefense Capital Goods Excluding Aircraft]]-B212)/B212</f>
        <v>3.3038899269577031E-2</v>
      </c>
    </row>
    <row r="214" spans="1:3">
      <c r="A214" s="74">
        <v>39965</v>
      </c>
      <c r="B214" s="75">
        <f>VLOOKUP(A214,Database!A:M,MATCH($A$1,Database!$A$1:$M$1,),)</f>
        <v>50533</v>
      </c>
      <c r="C214" s="113">
        <f>(Table535[[#This Row],[New Orders - Nondefense Capital Goods Excluding Aircraft]]-B213)/B213</f>
        <v>3.8662336594590153E-2</v>
      </c>
    </row>
    <row r="215" spans="1:3">
      <c r="A215" s="74">
        <v>39995</v>
      </c>
      <c r="B215" s="75">
        <f>VLOOKUP(A215,Database!A:M,MATCH($A$1,Database!$A$1:$M$1,),)</f>
        <v>50984</v>
      </c>
      <c r="C215" s="113">
        <f>(Table535[[#This Row],[New Orders - Nondefense Capital Goods Excluding Aircraft]]-B214)/B214</f>
        <v>8.9248609819325992E-3</v>
      </c>
    </row>
    <row r="216" spans="1:3">
      <c r="A216" s="74">
        <v>40026</v>
      </c>
      <c r="B216" s="75">
        <f>VLOOKUP(A216,Database!A:M,MATCH($A$1,Database!$A$1:$M$1,),)</f>
        <v>49900</v>
      </c>
      <c r="C216" s="113">
        <f>(Table535[[#This Row],[New Orders - Nondefense Capital Goods Excluding Aircraft]]-B215)/B215</f>
        <v>-2.1261572257963282E-2</v>
      </c>
    </row>
    <row r="217" spans="1:3">
      <c r="A217" s="74">
        <v>40057</v>
      </c>
      <c r="B217" s="75">
        <f>VLOOKUP(A217,Database!A:M,MATCH($A$1,Database!$A$1:$M$1,),)</f>
        <v>53034</v>
      </c>
      <c r="C217" s="113">
        <f>(Table535[[#This Row],[New Orders - Nondefense Capital Goods Excluding Aircraft]]-B216)/B216</f>
        <v>6.2805611222444893E-2</v>
      </c>
    </row>
    <row r="218" spans="1:3">
      <c r="A218" s="74">
        <v>40087</v>
      </c>
      <c r="B218" s="75">
        <f>VLOOKUP(A218,Database!A:M,MATCH($A$1,Database!$A$1:$M$1,),)</f>
        <v>51978</v>
      </c>
      <c r="C218" s="113">
        <f>(Table535[[#This Row],[New Orders - Nondefense Capital Goods Excluding Aircraft]]-B217)/B217</f>
        <v>-1.9911754723384998E-2</v>
      </c>
    </row>
    <row r="219" spans="1:3">
      <c r="A219" s="74">
        <v>40118</v>
      </c>
      <c r="B219" s="75">
        <f>VLOOKUP(A219,Database!A:M,MATCH($A$1,Database!$A$1:$M$1,),)</f>
        <v>52771</v>
      </c>
      <c r="C219" s="113">
        <f>(Table535[[#This Row],[New Orders - Nondefense Capital Goods Excluding Aircraft]]-B218)/B218</f>
        <v>1.5256454653892032E-2</v>
      </c>
    </row>
    <row r="220" spans="1:3">
      <c r="A220" s="74">
        <v>40148</v>
      </c>
      <c r="B220" s="75">
        <f>VLOOKUP(A220,Database!A:M,MATCH($A$1,Database!$A$1:$M$1,),)</f>
        <v>54616</v>
      </c>
      <c r="C220" s="113">
        <f>(Table535[[#This Row],[New Orders - Nondefense Capital Goods Excluding Aircraft]]-B219)/B219</f>
        <v>3.4962384643080477E-2</v>
      </c>
    </row>
    <row r="221" spans="1:3">
      <c r="A221" s="74">
        <v>40179</v>
      </c>
      <c r="B221" s="75">
        <f>VLOOKUP(A221,Database!A:M,MATCH($A$1,Database!$A$1:$M$1,),)</f>
        <v>52331</v>
      </c>
      <c r="C221" s="113">
        <f>(Table535[[#This Row],[New Orders - Nondefense Capital Goods Excluding Aircraft]]-B220)/B220</f>
        <v>-4.183755675992383E-2</v>
      </c>
    </row>
    <row r="222" spans="1:3">
      <c r="A222" s="74">
        <v>40210</v>
      </c>
      <c r="B222" s="75">
        <f>VLOOKUP(A222,Database!A:M,MATCH($A$1,Database!$A$1:$M$1,),)</f>
        <v>53488</v>
      </c>
      <c r="C222" s="113">
        <f>(Table535[[#This Row],[New Orders - Nondefense Capital Goods Excluding Aircraft]]-B221)/B221</f>
        <v>2.2109266018230111E-2</v>
      </c>
    </row>
    <row r="223" spans="1:3">
      <c r="A223" s="74">
        <v>40238</v>
      </c>
      <c r="B223" s="75">
        <f>VLOOKUP(A223,Database!A:M,MATCH($A$1,Database!$A$1:$M$1,),)</f>
        <v>56487</v>
      </c>
      <c r="C223" s="113">
        <f>(Table535[[#This Row],[New Orders - Nondefense Capital Goods Excluding Aircraft]]-B222)/B222</f>
        <v>5.6068650912354176E-2</v>
      </c>
    </row>
    <row r="224" spans="1:3">
      <c r="A224" s="74">
        <v>40269</v>
      </c>
      <c r="B224" s="75">
        <f>VLOOKUP(A224,Database!A:M,MATCH($A$1,Database!$A$1:$M$1,),)</f>
        <v>52283</v>
      </c>
      <c r="C224" s="113">
        <f>(Table535[[#This Row],[New Orders - Nondefense Capital Goods Excluding Aircraft]]-B223)/B223</f>
        <v>-7.4424203799104222E-2</v>
      </c>
    </row>
    <row r="225" spans="1:3">
      <c r="A225" s="74">
        <v>40299</v>
      </c>
      <c r="B225" s="75">
        <f>VLOOKUP(A225,Database!A:M,MATCH($A$1,Database!$A$1:$M$1,),)</f>
        <v>57262</v>
      </c>
      <c r="C225" s="113">
        <f>(Table535[[#This Row],[New Orders - Nondefense Capital Goods Excluding Aircraft]]-B224)/B224</f>
        <v>9.5231719679436916E-2</v>
      </c>
    </row>
    <row r="226" spans="1:3">
      <c r="A226" s="74">
        <v>40330</v>
      </c>
      <c r="B226" s="75">
        <f>VLOOKUP(A226,Database!A:M,MATCH($A$1,Database!$A$1:$M$1,),)</f>
        <v>59605</v>
      </c>
      <c r="C226" s="113">
        <f>(Table535[[#This Row],[New Orders - Nondefense Capital Goods Excluding Aircraft]]-B225)/B225</f>
        <v>4.0917187663721141E-2</v>
      </c>
    </row>
    <row r="227" spans="1:3">
      <c r="A227" s="74">
        <v>40360</v>
      </c>
      <c r="B227" s="75">
        <f>VLOOKUP(A227,Database!A:M,MATCH($A$1,Database!$A$1:$M$1,),)</f>
        <v>56474</v>
      </c>
      <c r="C227" s="113">
        <f>(Table535[[#This Row],[New Orders - Nondefense Capital Goods Excluding Aircraft]]-B226)/B226</f>
        <v>-5.2529150239073903E-2</v>
      </c>
    </row>
    <row r="228" spans="1:3">
      <c r="A228" s="74">
        <v>40391</v>
      </c>
      <c r="B228" s="75">
        <f>VLOOKUP(A228,Database!A:M,MATCH($A$1,Database!$A$1:$M$1,),)</f>
        <v>58224</v>
      </c>
      <c r="C228" s="113">
        <f>(Table535[[#This Row],[New Orders - Nondefense Capital Goods Excluding Aircraft]]-B227)/B227</f>
        <v>3.098771115911747E-2</v>
      </c>
    </row>
    <row r="229" spans="1:3">
      <c r="A229" s="74">
        <v>40422</v>
      </c>
      <c r="B229" s="75">
        <f>VLOOKUP(A229,Database!A:M,MATCH($A$1,Database!$A$1:$M$1,),)</f>
        <v>60134</v>
      </c>
      <c r="C229" s="113">
        <f>(Table535[[#This Row],[New Orders - Nondefense Capital Goods Excluding Aircraft]]-B228)/B228</f>
        <v>3.2804341852157186E-2</v>
      </c>
    </row>
    <row r="230" spans="1:3">
      <c r="A230" s="74">
        <v>40452</v>
      </c>
      <c r="B230" s="75">
        <f>VLOOKUP(A230,Database!A:M,MATCH($A$1,Database!$A$1:$M$1,),)</f>
        <v>57479</v>
      </c>
      <c r="C230" s="113">
        <f>(Table535[[#This Row],[New Orders - Nondefense Capital Goods Excluding Aircraft]]-B229)/B229</f>
        <v>-4.415139521734792E-2</v>
      </c>
    </row>
    <row r="231" spans="1:3">
      <c r="A231" s="74">
        <v>40483</v>
      </c>
      <c r="B231" s="75">
        <f>VLOOKUP(A231,Database!A:M,MATCH($A$1,Database!$A$1:$M$1,),)</f>
        <v>60405</v>
      </c>
      <c r="C231" s="113">
        <f>(Table535[[#This Row],[New Orders - Nondefense Capital Goods Excluding Aircraft]]-B230)/B230</f>
        <v>5.090554811322396E-2</v>
      </c>
    </row>
    <row r="232" spans="1:3">
      <c r="A232" s="74">
        <v>40513</v>
      </c>
      <c r="B232" s="75">
        <f>VLOOKUP(A232,Database!A:M,MATCH($A$1,Database!$A$1:$M$1,),)</f>
        <v>61939</v>
      </c>
      <c r="C232" s="113">
        <f>(Table535[[#This Row],[New Orders - Nondefense Capital Goods Excluding Aircraft]]-B231)/B231</f>
        <v>2.5395248737687278E-2</v>
      </c>
    </row>
    <row r="233" spans="1:3">
      <c r="A233" s="74">
        <v>40544</v>
      </c>
      <c r="B233" s="75">
        <f>VLOOKUP(A233,Database!A:M,MATCH($A$1,Database!$A$1:$M$1,),)</f>
        <v>60963</v>
      </c>
      <c r="C233" s="113">
        <f>(Table535[[#This Row],[New Orders - Nondefense Capital Goods Excluding Aircraft]]-B232)/B232</f>
        <v>-1.5757438770403139E-2</v>
      </c>
    </row>
    <row r="234" spans="1:3">
      <c r="A234" s="74">
        <v>40575</v>
      </c>
      <c r="B234" s="75">
        <f>VLOOKUP(A234,Database!A:M,MATCH($A$1,Database!$A$1:$M$1,),)</f>
        <v>59078</v>
      </c>
      <c r="C234" s="113">
        <f>(Table535[[#This Row],[New Orders - Nondefense Capital Goods Excluding Aircraft]]-B233)/B233</f>
        <v>-3.0920394337549006E-2</v>
      </c>
    </row>
    <row r="235" spans="1:3">
      <c r="A235" s="74">
        <v>40603</v>
      </c>
      <c r="B235" s="75">
        <f>VLOOKUP(A235,Database!A:M,MATCH($A$1,Database!$A$1:$M$1,),)</f>
        <v>62497</v>
      </c>
      <c r="C235" s="113">
        <f>(Table535[[#This Row],[New Orders - Nondefense Capital Goods Excluding Aircraft]]-B234)/B234</f>
        <v>5.787264294661295E-2</v>
      </c>
    </row>
    <row r="236" spans="1:3">
      <c r="A236" s="74">
        <v>40634</v>
      </c>
      <c r="B236" s="75">
        <f>VLOOKUP(A236,Database!A:M,MATCH($A$1,Database!$A$1:$M$1,),)</f>
        <v>61562</v>
      </c>
      <c r="C236" s="113">
        <f>(Table535[[#This Row],[New Orders - Nondefense Capital Goods Excluding Aircraft]]-B235)/B235</f>
        <v>-1.4960718114469494E-2</v>
      </c>
    </row>
    <row r="237" spans="1:3">
      <c r="A237" s="74">
        <v>40664</v>
      </c>
      <c r="B237" s="75">
        <f>VLOOKUP(A237,Database!A:M,MATCH($A$1,Database!$A$1:$M$1,),)</f>
        <v>63711</v>
      </c>
      <c r="C237" s="113">
        <f>(Table535[[#This Row],[New Orders - Nondefense Capital Goods Excluding Aircraft]]-B236)/B236</f>
        <v>3.4907897729118613E-2</v>
      </c>
    </row>
    <row r="238" spans="1:3">
      <c r="A238" s="74">
        <v>40695</v>
      </c>
      <c r="B238" s="75">
        <f>VLOOKUP(A238,Database!A:M,MATCH($A$1,Database!$A$1:$M$1,),)</f>
        <v>63751</v>
      </c>
      <c r="C238" s="113">
        <f>(Table535[[#This Row],[New Orders - Nondefense Capital Goods Excluding Aircraft]]-B237)/B237</f>
        <v>6.2783506772770797E-4</v>
      </c>
    </row>
    <row r="239" spans="1:3">
      <c r="A239" s="74">
        <v>40725</v>
      </c>
      <c r="B239" s="75">
        <f>VLOOKUP(A239,Database!A:M,MATCH($A$1,Database!$A$1:$M$1,),)</f>
        <v>64756</v>
      </c>
      <c r="C239" s="113">
        <f>(Table535[[#This Row],[New Orders - Nondefense Capital Goods Excluding Aircraft]]-B238)/B238</f>
        <v>1.5764458596727895E-2</v>
      </c>
    </row>
    <row r="240" spans="1:3">
      <c r="A240" s="74">
        <v>40756</v>
      </c>
      <c r="B240" s="75">
        <f>VLOOKUP(A240,Database!A:M,MATCH($A$1,Database!$A$1:$M$1,),)</f>
        <v>64464</v>
      </c>
      <c r="C240" s="113">
        <f>(Table535[[#This Row],[New Orders - Nondefense Capital Goods Excluding Aircraft]]-B239)/B239</f>
        <v>-4.5092346655136208E-3</v>
      </c>
    </row>
    <row r="241" spans="1:3">
      <c r="A241" s="74">
        <v>40787</v>
      </c>
      <c r="B241" s="75">
        <f>VLOOKUP(A241,Database!A:M,MATCH($A$1,Database!$A$1:$M$1,),)</f>
        <v>65581</v>
      </c>
      <c r="C241" s="113">
        <f>(Table535[[#This Row],[New Orders - Nondefense Capital Goods Excluding Aircraft]]-B240)/B240</f>
        <v>1.7327500620501365E-2</v>
      </c>
    </row>
    <row r="242" spans="1:3">
      <c r="A242" s="74">
        <v>40817</v>
      </c>
      <c r="B242" s="75">
        <f>VLOOKUP(A242,Database!A:M,MATCH($A$1,Database!$A$1:$M$1,),)</f>
        <v>67427</v>
      </c>
      <c r="C242" s="113">
        <f>(Table535[[#This Row],[New Orders - Nondefense Capital Goods Excluding Aircraft]]-B241)/B241</f>
        <v>2.8148396639270521E-2</v>
      </c>
    </row>
    <row r="243" spans="1:3">
      <c r="A243" s="74">
        <v>40848</v>
      </c>
      <c r="B243" s="75">
        <f>VLOOKUP(A243,Database!A:M,MATCH($A$1,Database!$A$1:$M$1,),)</f>
        <v>64660</v>
      </c>
      <c r="C243" s="113">
        <f>(Table535[[#This Row],[New Orders - Nondefense Capital Goods Excluding Aircraft]]-B242)/B242</f>
        <v>-4.1036973319293457E-2</v>
      </c>
    </row>
    <row r="244" spans="1:3">
      <c r="A244" s="74">
        <v>40878</v>
      </c>
      <c r="B244" s="75">
        <f>VLOOKUP(A244,Database!A:M,MATCH($A$1,Database!$A$1:$M$1,),)</f>
        <v>68881</v>
      </c>
      <c r="C244" s="113">
        <f>(Table535[[#This Row],[New Orders - Nondefense Capital Goods Excluding Aircraft]]-B243)/B243</f>
        <v>6.527992576554284E-2</v>
      </c>
    </row>
    <row r="245" spans="1:3">
      <c r="A245" s="74">
        <v>40909</v>
      </c>
      <c r="B245" s="75">
        <f>VLOOKUP(A245,Database!A:M,MATCH($A$1,Database!$A$1:$M$1,),)</f>
        <v>67658</v>
      </c>
      <c r="C245" s="113">
        <f>(Table535[[#This Row],[New Orders - Nondefense Capital Goods Excluding Aircraft]]-B244)/B244</f>
        <v>-1.7755259069990273E-2</v>
      </c>
    </row>
    <row r="246" spans="1:3">
      <c r="A246" s="74">
        <v>40940</v>
      </c>
      <c r="B246" s="75">
        <f>VLOOKUP(A246,Database!A:M,MATCH($A$1,Database!$A$1:$M$1,),)</f>
        <v>69902</v>
      </c>
      <c r="C246" s="113">
        <f>(Table535[[#This Row],[New Orders - Nondefense Capital Goods Excluding Aircraft]]-B245)/B245</f>
        <v>3.3166809542108842E-2</v>
      </c>
    </row>
    <row r="247" spans="1:3">
      <c r="A247" s="74">
        <v>40969</v>
      </c>
      <c r="B247" s="75">
        <f>VLOOKUP(A247,Database!A:M,MATCH($A$1,Database!$A$1:$M$1,),)</f>
        <v>69522</v>
      </c>
      <c r="C247" s="113">
        <f>(Table535[[#This Row],[New Orders - Nondefense Capital Goods Excluding Aircraft]]-B246)/B246</f>
        <v>-5.4361820834883121E-3</v>
      </c>
    </row>
    <row r="248" spans="1:3">
      <c r="A248" s="74">
        <v>41000</v>
      </c>
      <c r="B248" s="75">
        <f>VLOOKUP(A248,Database!A:M,MATCH($A$1,Database!$A$1:$M$1,),)</f>
        <v>67518</v>
      </c>
      <c r="C248" s="113">
        <f>(Table535[[#This Row],[New Orders - Nondefense Capital Goods Excluding Aircraft]]-B247)/B247</f>
        <v>-2.8825407784586175E-2</v>
      </c>
    </row>
    <row r="249" spans="1:3">
      <c r="A249" s="74">
        <v>41030</v>
      </c>
      <c r="B249" s="75">
        <f>VLOOKUP(A249,Database!A:M,MATCH($A$1,Database!$A$1:$M$1,),)</f>
        <v>69183</v>
      </c>
      <c r="C249" s="113">
        <f>(Table535[[#This Row],[New Orders - Nondefense Capital Goods Excluding Aircraft]]-B248)/B248</f>
        <v>2.4660090642495334E-2</v>
      </c>
    </row>
    <row r="250" spans="1:3">
      <c r="A250" s="74">
        <v>41061</v>
      </c>
      <c r="B250" s="75">
        <f>VLOOKUP(A250,Database!A:M,MATCH($A$1,Database!$A$1:$M$1,),)</f>
        <v>67129</v>
      </c>
      <c r="C250" s="113">
        <f>(Table535[[#This Row],[New Orders - Nondefense Capital Goods Excluding Aircraft]]-B249)/B249</f>
        <v>-2.9689374557333448E-2</v>
      </c>
    </row>
    <row r="251" spans="1:3">
      <c r="A251" s="74">
        <v>41091</v>
      </c>
      <c r="B251" s="75">
        <f>VLOOKUP(A251,Database!A:M,MATCH($A$1,Database!$A$1:$M$1,),)</f>
        <v>65294</v>
      </c>
      <c r="C251" s="113">
        <f>(Table535[[#This Row],[New Orders - Nondefense Capital Goods Excluding Aircraft]]-B250)/B250</f>
        <v>-2.7335428801263238E-2</v>
      </c>
    </row>
    <row r="252" spans="1:3">
      <c r="A252" s="74">
        <v>41122</v>
      </c>
      <c r="B252" s="75">
        <f>VLOOKUP(A252,Database!A:M,MATCH($A$1,Database!$A$1:$M$1,),)</f>
        <v>63721</v>
      </c>
      <c r="C252" s="113">
        <f>(Table535[[#This Row],[New Orders - Nondefense Capital Goods Excluding Aircraft]]-B251)/B251</f>
        <v>-2.4091034398260176E-2</v>
      </c>
    </row>
    <row r="253" spans="1:3">
      <c r="A253" s="74">
        <v>41153</v>
      </c>
      <c r="B253" s="75">
        <f>VLOOKUP(A253,Database!A:M,MATCH($A$1,Database!$A$1:$M$1,),)</f>
        <v>63976</v>
      </c>
      <c r="C253" s="113">
        <f>(Table535[[#This Row],[New Orders - Nondefense Capital Goods Excluding Aircraft]]-B252)/B252</f>
        <v>4.0018204359630266E-3</v>
      </c>
    </row>
    <row r="254" spans="1:3">
      <c r="A254" s="74">
        <v>41183</v>
      </c>
      <c r="B254" s="75">
        <f>VLOOKUP(A254,Database!A:M,MATCH($A$1,Database!$A$1:$M$1,),)</f>
        <v>65937</v>
      </c>
      <c r="C254" s="113">
        <f>(Table535[[#This Row],[New Orders - Nondefense Capital Goods Excluding Aircraft]]-B253)/B253</f>
        <v>3.0652119544829312E-2</v>
      </c>
    </row>
    <row r="255" spans="1:3">
      <c r="A255" s="74">
        <v>41214</v>
      </c>
      <c r="B255" s="75">
        <f>VLOOKUP(A255,Database!A:M,MATCH($A$1,Database!$A$1:$M$1,),)</f>
        <v>66473</v>
      </c>
      <c r="C255" s="113">
        <f>(Table535[[#This Row],[New Orders - Nondefense Capital Goods Excluding Aircraft]]-B254)/B254</f>
        <v>8.1289715940973967E-3</v>
      </c>
    </row>
    <row r="256" spans="1:3">
      <c r="A256" s="74">
        <v>41244</v>
      </c>
      <c r="B256" s="75">
        <f>VLOOKUP(A256,Database!A:M,MATCH($A$1,Database!$A$1:$M$1,),)</f>
        <v>66630</v>
      </c>
      <c r="C256" s="113">
        <f>(Table535[[#This Row],[New Orders - Nondefense Capital Goods Excluding Aircraft]]-B255)/B255</f>
        <v>2.3618612068057707E-3</v>
      </c>
    </row>
    <row r="257" spans="1:3">
      <c r="A257" s="74">
        <v>41275</v>
      </c>
      <c r="B257" s="75">
        <f>VLOOKUP(A257,Database!A:M,MATCH($A$1,Database!$A$1:$M$1,),)</f>
        <v>69758</v>
      </c>
      <c r="C257" s="113">
        <f>(Table535[[#This Row],[New Orders - Nondefense Capital Goods Excluding Aircraft]]-B256)/B256</f>
        <v>4.6945820201110613E-2</v>
      </c>
    </row>
    <row r="258" spans="1:3">
      <c r="A258" s="74">
        <v>41306</v>
      </c>
      <c r="B258" s="75">
        <f>VLOOKUP(A258,Database!A:M,MATCH($A$1,Database!$A$1:$M$1,),)</f>
        <v>66190</v>
      </c>
      <c r="C258" s="113">
        <f>(Table535[[#This Row],[New Orders - Nondefense Capital Goods Excluding Aircraft]]-B257)/B257</f>
        <v>-5.1148255397230426E-2</v>
      </c>
    </row>
    <row r="259" spans="1:3">
      <c r="A259" s="74">
        <v>41334</v>
      </c>
      <c r="B259" s="75">
        <f>VLOOKUP(A259,Database!A:M,MATCH($A$1,Database!$A$1:$M$1,),)</f>
        <v>66275</v>
      </c>
      <c r="C259" s="113">
        <f>(Table535[[#This Row],[New Orders - Nondefense Capital Goods Excluding Aircraft]]-B258)/B258</f>
        <v>1.2841819005892129E-3</v>
      </c>
    </row>
    <row r="260" spans="1:3">
      <c r="A260" s="74">
        <v>41365</v>
      </c>
      <c r="B260" s="75">
        <f>VLOOKUP(A260,Database!A:M,MATCH($A$1,Database!$A$1:$M$1,),)</f>
        <v>67553</v>
      </c>
      <c r="C260" s="113">
        <f>(Table535[[#This Row],[New Orders - Nondefense Capital Goods Excluding Aircraft]]-B259)/B259</f>
        <v>1.9283289324783102E-2</v>
      </c>
    </row>
    <row r="261" spans="1:3">
      <c r="A261" s="74">
        <v>41395</v>
      </c>
      <c r="B261" s="75">
        <f>VLOOKUP(A261,Database!A:M,MATCH($A$1,Database!$A$1:$M$1,),)</f>
        <v>69186</v>
      </c>
      <c r="C261" s="113">
        <f>(Table535[[#This Row],[New Orders - Nondefense Capital Goods Excluding Aircraft]]-B260)/B260</f>
        <v>2.4173611830710703E-2</v>
      </c>
    </row>
    <row r="262" spans="1:3">
      <c r="A262" s="74">
        <v>41426</v>
      </c>
      <c r="B262" s="75">
        <f>VLOOKUP(A262,Database!A:M,MATCH($A$1,Database!$A$1:$M$1,),)</f>
        <v>69443</v>
      </c>
      <c r="C262" s="113">
        <f>(Table535[[#This Row],[New Orders - Nondefense Capital Goods Excluding Aircraft]]-B261)/B261</f>
        <v>3.714624345965947E-3</v>
      </c>
    </row>
    <row r="263" spans="1:3">
      <c r="A263" s="74">
        <v>41456</v>
      </c>
      <c r="B263" s="75">
        <f>VLOOKUP(A263,Database!A:M,MATCH($A$1,Database!$A$1:$M$1,),)</f>
        <v>66557</v>
      </c>
      <c r="C263" s="113">
        <f>(Table535[[#This Row],[New Orders - Nondefense Capital Goods Excluding Aircraft]]-B262)/B262</f>
        <v>-4.1559264432700201E-2</v>
      </c>
    </row>
    <row r="264" spans="1:3">
      <c r="A264" s="74">
        <v>41487</v>
      </c>
      <c r="B264" s="75">
        <f>VLOOKUP(A264,Database!A:M,MATCH($A$1,Database!$A$1:$M$1,),)</f>
        <v>65935</v>
      </c>
      <c r="C264" s="113">
        <f>(Table535[[#This Row],[New Orders - Nondefense Capital Goods Excluding Aircraft]]-B263)/B263</f>
        <v>-9.3453731388133485E-3</v>
      </c>
    </row>
    <row r="265" spans="1:3">
      <c r="A265" s="74">
        <v>41518</v>
      </c>
      <c r="B265" s="75">
        <f>VLOOKUP(A265,Database!A:M,MATCH($A$1,Database!$A$1:$M$1,),)</f>
        <v>66636</v>
      </c>
      <c r="C265" s="113">
        <f>(Table535[[#This Row],[New Orders - Nondefense Capital Goods Excluding Aircraft]]-B264)/B264</f>
        <v>1.0631682717828165E-2</v>
      </c>
    </row>
    <row r="266" spans="1:3">
      <c r="A266" s="74">
        <v>41548</v>
      </c>
      <c r="B266" s="75">
        <f>VLOOKUP(A266,Database!A:M,MATCH($A$1,Database!$A$1:$M$1,),)</f>
        <v>64799</v>
      </c>
      <c r="C266" s="113">
        <f>(Table535[[#This Row],[New Orders - Nondefense Capital Goods Excluding Aircraft]]-B265)/B265</f>
        <v>-2.7567681133321326E-2</v>
      </c>
    </row>
    <row r="267" spans="1:3">
      <c r="A267" s="74">
        <v>41579</v>
      </c>
      <c r="B267" s="75">
        <f>VLOOKUP(A267,Database!A:M,MATCH($A$1,Database!$A$1:$M$1,),)</f>
        <v>68592</v>
      </c>
      <c r="C267" s="113">
        <f>(Table535[[#This Row],[New Orders - Nondefense Capital Goods Excluding Aircraft]]-B266)/B266</f>
        <v>5.8534853932931064E-2</v>
      </c>
    </row>
    <row r="268" spans="1:3">
      <c r="A268" s="74">
        <v>41609</v>
      </c>
      <c r="B268" s="75">
        <f>VLOOKUP(A268,Database!A:M,MATCH($A$1,Database!$A$1:$M$1,),)</f>
        <v>67496</v>
      </c>
      <c r="C268" s="113">
        <f>(Table535[[#This Row],[New Orders - Nondefense Capital Goods Excluding Aircraft]]-B267)/B267</f>
        <v>-1.5978539771401911E-2</v>
      </c>
    </row>
    <row r="269" spans="1:3">
      <c r="A269" s="74">
        <v>41640</v>
      </c>
      <c r="B269" s="75">
        <f>VLOOKUP(A269,Database!A:M,MATCH($A$1,Database!$A$1:$M$1,),)</f>
        <v>68106</v>
      </c>
      <c r="C269" s="113">
        <f>(Table535[[#This Row],[New Orders - Nondefense Capital Goods Excluding Aircraft]]-B268)/B268</f>
        <v>9.0375725968946316E-3</v>
      </c>
    </row>
    <row r="270" spans="1:3">
      <c r="A270" s="74">
        <v>41671</v>
      </c>
      <c r="B270" s="75">
        <f>VLOOKUP(A270,Database!A:M,MATCH($A$1,Database!$A$1:$M$1,),)</f>
        <v>67227</v>
      </c>
      <c r="C270" s="113">
        <f>(Table535[[#This Row],[New Orders - Nondefense Capital Goods Excluding Aircraft]]-B269)/B269</f>
        <v>-1.2906351863271959E-2</v>
      </c>
    </row>
    <row r="271" spans="1:3">
      <c r="A271" s="74">
        <v>41699</v>
      </c>
      <c r="B271" s="75">
        <f>VLOOKUP(A271,Database!A:M,MATCH($A$1,Database!$A$1:$M$1,),)</f>
        <v>68502</v>
      </c>
      <c r="C271" s="113">
        <f>(Table535[[#This Row],[New Orders - Nondefense Capital Goods Excluding Aircraft]]-B270)/B270</f>
        <v>1.8965594180909456E-2</v>
      </c>
    </row>
    <row r="272" spans="1:3">
      <c r="A272" s="74">
        <v>41730</v>
      </c>
      <c r="B272" s="75">
        <f>VLOOKUP(A272,Database!A:M,MATCH($A$1,Database!$A$1:$M$1,),)</f>
        <v>66341</v>
      </c>
      <c r="C272" s="113">
        <f>(Table535[[#This Row],[New Orders - Nondefense Capital Goods Excluding Aircraft]]-B271)/B271</f>
        <v>-3.1546524189074769E-2</v>
      </c>
    </row>
    <row r="273" spans="1:3">
      <c r="A273" s="74">
        <v>41760</v>
      </c>
      <c r="B273" s="75">
        <f>VLOOKUP(A273,Database!A:M,MATCH($A$1,Database!$A$1:$M$1,),)</f>
        <v>65817</v>
      </c>
      <c r="C273" s="113">
        <f>(Table535[[#This Row],[New Orders - Nondefense Capital Goods Excluding Aircraft]]-B272)/B272</f>
        <v>-7.8985845857011509E-3</v>
      </c>
    </row>
    <row r="274" spans="1:3">
      <c r="A274" s="74">
        <v>41791</v>
      </c>
      <c r="B274" s="75">
        <f>VLOOKUP(A274,Database!A:M,MATCH($A$1,Database!$A$1:$M$1,),)</f>
        <v>69872</v>
      </c>
      <c r="C274" s="113">
        <f>(Table535[[#This Row],[New Orders - Nondefense Capital Goods Excluding Aircraft]]-B273)/B273</f>
        <v>6.1610222282996792E-2</v>
      </c>
    </row>
    <row r="275" spans="1:3">
      <c r="A275" s="74">
        <v>41821</v>
      </c>
      <c r="B275" s="75">
        <f>VLOOKUP(A275,Database!A:M,MATCH($A$1,Database!$A$1:$M$1,),)</f>
        <v>67931</v>
      </c>
      <c r="C275" s="113">
        <f>(Table535[[#This Row],[New Orders - Nondefense Capital Goods Excluding Aircraft]]-B274)/B274</f>
        <v>-2.7779367987176552E-2</v>
      </c>
    </row>
    <row r="276" spans="1:3">
      <c r="A276" s="74">
        <v>41852</v>
      </c>
      <c r="B276" s="75">
        <f>VLOOKUP(A276,Database!A:M,MATCH($A$1,Database!$A$1:$M$1,),)</f>
        <v>68554</v>
      </c>
      <c r="C276" s="113">
        <f>(Table535[[#This Row],[New Orders - Nondefense Capital Goods Excluding Aircraft]]-B275)/B275</f>
        <v>9.1710706452135249E-3</v>
      </c>
    </row>
    <row r="277" spans="1:3">
      <c r="A277" s="74">
        <v>41883</v>
      </c>
      <c r="B277" s="75">
        <f>VLOOKUP(A277,Database!A:M,MATCH($A$1,Database!$A$1:$M$1,),)</f>
        <v>69426</v>
      </c>
      <c r="C277" s="113">
        <f>(Table535[[#This Row],[New Orders - Nondefense Capital Goods Excluding Aircraft]]-B276)/B276</f>
        <v>1.2719899641158794E-2</v>
      </c>
    </row>
    <row r="278" spans="1:3">
      <c r="A278" s="74">
        <v>41913</v>
      </c>
      <c r="B278" s="75">
        <f>VLOOKUP(A278,Database!A:M,MATCH($A$1,Database!$A$1:$M$1,),)</f>
        <v>65645</v>
      </c>
      <c r="C278" s="113">
        <f>(Table535[[#This Row],[New Orders - Nondefense Capital Goods Excluding Aircraft]]-B277)/B277</f>
        <v>-5.4460864805692392E-2</v>
      </c>
    </row>
    <row r="279" spans="1:3">
      <c r="A279" s="74">
        <v>41944</v>
      </c>
      <c r="B279" s="75">
        <f>VLOOKUP(A279,Database!A:M,MATCH($A$1,Database!$A$1:$M$1,),)</f>
        <v>63854</v>
      </c>
      <c r="C279" s="113">
        <f>(Table535[[#This Row],[New Orders - Nondefense Capital Goods Excluding Aircraft]]-B278)/B278</f>
        <v>-2.7283113717724121E-2</v>
      </c>
    </row>
    <row r="280" spans="1:3">
      <c r="A280" s="74">
        <v>41974</v>
      </c>
      <c r="B280" s="75">
        <f>VLOOKUP(A280,Database!A:M,MATCH($A$1,Database!$A$1:$M$1,),)</f>
        <v>65875</v>
      </c>
      <c r="C280" s="113">
        <f>(Table535[[#This Row],[New Orders - Nondefense Capital Goods Excluding Aircraft]]-B279)/B279</f>
        <v>3.1650327309174053E-2</v>
      </c>
    </row>
    <row r="281" spans="1:3">
      <c r="A281" s="74">
        <v>42005</v>
      </c>
      <c r="B281" s="75">
        <f>VLOOKUP(A281,Database!A:M,MATCH($A$1,Database!$A$1:$M$1,),)</f>
        <v>64666</v>
      </c>
      <c r="C281" s="113">
        <f>(Table535[[#This Row],[New Orders - Nondefense Capital Goods Excluding Aircraft]]-B280)/B280</f>
        <v>-1.8352941176470589E-2</v>
      </c>
    </row>
    <row r="282" spans="1:3">
      <c r="A282" s="74">
        <v>42036</v>
      </c>
      <c r="B282" s="75">
        <f>VLOOKUP(A282,Database!A:M,MATCH($A$1,Database!$A$1:$M$1,),)</f>
        <v>64257</v>
      </c>
      <c r="C282" s="113">
        <f>(Table535[[#This Row],[New Orders - Nondefense Capital Goods Excluding Aircraft]]-B281)/B281</f>
        <v>-6.3248074722419816E-3</v>
      </c>
    </row>
    <row r="283" spans="1:3">
      <c r="A283" s="74">
        <v>42064</v>
      </c>
      <c r="B283" s="75">
        <f>VLOOKUP(A283,Database!A:M,MATCH($A$1,Database!$A$1:$M$1,),)</f>
        <v>64721</v>
      </c>
      <c r="C283" s="113">
        <f>(Table535[[#This Row],[New Orders - Nondefense Capital Goods Excluding Aircraft]]-B282)/B282</f>
        <v>7.2210031591888818E-3</v>
      </c>
    </row>
    <row r="284" spans="1:3">
      <c r="A284" s="74">
        <v>42095</v>
      </c>
      <c r="B284" s="75">
        <f>VLOOKUP(A284,Database!A:M,MATCH($A$1,Database!$A$1:$M$1,),)</f>
        <v>64152</v>
      </c>
      <c r="C284" s="113">
        <f>(Table535[[#This Row],[New Orders - Nondefense Capital Goods Excluding Aircraft]]-B283)/B283</f>
        <v>-8.7915823303100996E-3</v>
      </c>
    </row>
    <row r="285" spans="1:3">
      <c r="A285" s="74">
        <v>42125</v>
      </c>
      <c r="B285" s="75">
        <f>VLOOKUP(A285,Database!A:M,MATCH($A$1,Database!$A$1:$M$1,),)</f>
        <v>62533</v>
      </c>
      <c r="C285" s="113">
        <f>(Table535[[#This Row],[New Orders - Nondefense Capital Goods Excluding Aircraft]]-B284)/B284</f>
        <v>-2.5236937273974309E-2</v>
      </c>
    </row>
    <row r="286" spans="1:3">
      <c r="A286" s="74">
        <v>42156</v>
      </c>
      <c r="B286" s="75">
        <f>VLOOKUP(A286,Database!A:M,MATCH($A$1,Database!$A$1:$M$1,),)</f>
        <v>63930</v>
      </c>
      <c r="C286" s="113">
        <f>(Table535[[#This Row],[New Orders - Nondefense Capital Goods Excluding Aircraft]]-B285)/B285</f>
        <v>2.2340204372091537E-2</v>
      </c>
    </row>
    <row r="287" spans="1:3">
      <c r="A287" s="74">
        <v>42186</v>
      </c>
      <c r="B287" s="75">
        <f>VLOOKUP(A287,Database!A:M,MATCH($A$1,Database!$A$1:$M$1,),)</f>
        <v>63774</v>
      </c>
      <c r="C287" s="113">
        <f>(Table535[[#This Row],[New Orders - Nondefense Capital Goods Excluding Aircraft]]-B286)/B286</f>
        <v>-2.4401689347724074E-3</v>
      </c>
    </row>
    <row r="288" spans="1:3">
      <c r="A288" s="74">
        <v>42217</v>
      </c>
      <c r="B288" s="75">
        <f>VLOOKUP(A288,Database!A:M,MATCH($A$1,Database!$A$1:$M$1,),)</f>
        <v>63370</v>
      </c>
      <c r="C288" s="113">
        <f>(Table535[[#This Row],[New Orders - Nondefense Capital Goods Excluding Aircraft]]-B287)/B287</f>
        <v>-6.3348700097218304E-3</v>
      </c>
    </row>
    <row r="289" spans="1:3">
      <c r="A289" s="74">
        <v>42248</v>
      </c>
      <c r="B289" s="75">
        <f>VLOOKUP(A289,Database!A:M,MATCH($A$1,Database!$A$1:$M$1,),)</f>
        <v>63318</v>
      </c>
      <c r="C289" s="113">
        <f>(Table535[[#This Row],[New Orders - Nondefense Capital Goods Excluding Aircraft]]-B288)/B288</f>
        <v>-8.2057756035979173E-4</v>
      </c>
    </row>
    <row r="290" spans="1:3">
      <c r="A290" s="74">
        <v>42278</v>
      </c>
      <c r="B290" s="75">
        <f>VLOOKUP(A290,Database!A:M,MATCH($A$1,Database!$A$1:$M$1,),)</f>
        <v>63051</v>
      </c>
      <c r="C290" s="113">
        <f>(Table535[[#This Row],[New Orders - Nondefense Capital Goods Excluding Aircraft]]-B289)/B289</f>
        <v>-4.216810385672321E-3</v>
      </c>
    </row>
    <row r="291" spans="1:3">
      <c r="A291" s="74">
        <v>42309</v>
      </c>
      <c r="B291" s="75">
        <f>VLOOKUP(A291,Database!A:M,MATCH($A$1,Database!$A$1:$M$1,),)</f>
        <v>62049</v>
      </c>
      <c r="C291" s="113">
        <f>(Table535[[#This Row],[New Orders - Nondefense Capital Goods Excluding Aircraft]]-B290)/B290</f>
        <v>-1.5891897035732978E-2</v>
      </c>
    </row>
    <row r="292" spans="1:3">
      <c r="A292" s="74">
        <v>42339</v>
      </c>
      <c r="B292" s="75">
        <f>VLOOKUP(A292,Database!A:M,MATCH($A$1,Database!$A$1:$M$1,),)</f>
        <v>60165</v>
      </c>
      <c r="C292" s="113">
        <f>(Table535[[#This Row],[New Orders - Nondefense Capital Goods Excluding Aircraft]]-B291)/B291</f>
        <v>-3.0363100130541991E-2</v>
      </c>
    </row>
    <row r="293" spans="1:3">
      <c r="A293" s="74">
        <v>42370</v>
      </c>
      <c r="B293" s="75">
        <f>VLOOKUP(A293,Database!A:M,MATCH($A$1,Database!$A$1:$M$1,),)</f>
        <v>61709</v>
      </c>
      <c r="C293" s="113">
        <f>(Table535[[#This Row],[New Orders - Nondefense Capital Goods Excluding Aircraft]]-B292)/B292</f>
        <v>2.5662760741294772E-2</v>
      </c>
    </row>
    <row r="294" spans="1:3">
      <c r="A294" s="74">
        <v>42401</v>
      </c>
      <c r="B294" s="75">
        <f>VLOOKUP(A294,Database!A:M,MATCH($A$1,Database!$A$1:$M$1,),)</f>
        <v>61077</v>
      </c>
      <c r="C294" s="113">
        <f>(Table535[[#This Row],[New Orders - Nondefense Capital Goods Excluding Aircraft]]-B293)/B293</f>
        <v>-1.0241617916349317E-2</v>
      </c>
    </row>
    <row r="295" spans="1:3">
      <c r="A295" s="74">
        <v>42430</v>
      </c>
      <c r="B295" s="75">
        <f>VLOOKUP(A295,Database!A:M,MATCH($A$1,Database!$A$1:$M$1,),)</f>
        <v>60564</v>
      </c>
      <c r="C295" s="113">
        <f>(Table535[[#This Row],[New Orders - Nondefense Capital Goods Excluding Aircraft]]-B294)/B294</f>
        <v>-8.3992337541136594E-3</v>
      </c>
    </row>
    <row r="296" spans="1:3">
      <c r="A296" s="74">
        <v>42461</v>
      </c>
      <c r="B296" s="75">
        <f>VLOOKUP(A296,Database!A:M,MATCH($A$1,Database!$A$1:$M$1,),)</f>
        <v>60970</v>
      </c>
      <c r="C296" s="113">
        <f>(Table535[[#This Row],[New Orders - Nondefense Capital Goods Excluding Aircraft]]-B295)/B295</f>
        <v>6.7036523347202958E-3</v>
      </c>
    </row>
    <row r="297" spans="1:3">
      <c r="A297" s="74">
        <v>42491</v>
      </c>
      <c r="B297" s="75">
        <f>VLOOKUP(A297,Database!A:M,MATCH($A$1,Database!$A$1:$M$1,),)</f>
        <v>59565</v>
      </c>
      <c r="C297" s="113">
        <f>(Table535[[#This Row],[New Orders - Nondefense Capital Goods Excluding Aircraft]]-B296)/B296</f>
        <v>-2.3044120059045433E-2</v>
      </c>
    </row>
    <row r="298" spans="1:3">
      <c r="A298" s="74">
        <v>42522</v>
      </c>
      <c r="B298" s="75">
        <f>VLOOKUP(A298,Database!A:M,MATCH($A$1,Database!$A$1:$M$1,),)</f>
        <v>59505</v>
      </c>
      <c r="C298" s="113">
        <f>(Table535[[#This Row],[New Orders - Nondefense Capital Goods Excluding Aircraft]]-B297)/B297</f>
        <v>-1.007302946361118E-3</v>
      </c>
    </row>
    <row r="299" spans="1:3">
      <c r="A299" s="74">
        <v>42552</v>
      </c>
      <c r="B299" s="75">
        <f>VLOOKUP(A299,Database!A:M,MATCH($A$1,Database!$A$1:$M$1,),)</f>
        <v>59899</v>
      </c>
      <c r="C299" s="113">
        <f>(Table535[[#This Row],[New Orders - Nondefense Capital Goods Excluding Aircraft]]-B298)/B298</f>
        <v>6.6212923283757667E-3</v>
      </c>
    </row>
    <row r="300" spans="1:3">
      <c r="A300" s="74">
        <v>42583</v>
      </c>
      <c r="B300" s="75">
        <f>VLOOKUP(A300,Database!A:M,MATCH($A$1,Database!$A$1:$M$1,),)</f>
        <v>61743</v>
      </c>
      <c r="C300" s="113">
        <f>(Table535[[#This Row],[New Orders - Nondefense Capital Goods Excluding Aircraft]]-B299)/B299</f>
        <v>3.0785155010935074E-2</v>
      </c>
    </row>
    <row r="301" spans="1:3">
      <c r="A301" s="74">
        <v>42614</v>
      </c>
      <c r="B301" s="75">
        <f>VLOOKUP(A301,Database!A:M,MATCH($A$1,Database!$A$1:$M$1,),)</f>
        <v>59290</v>
      </c>
      <c r="C301" s="113">
        <f>(Table535[[#This Row],[New Orders - Nondefense Capital Goods Excluding Aircraft]]-B300)/B300</f>
        <v>-3.972920007126314E-2</v>
      </c>
    </row>
    <row r="302" spans="1:3">
      <c r="A302" s="74">
        <v>42644</v>
      </c>
      <c r="B302" s="75">
        <f>VLOOKUP(A302,Database!A:M,MATCH($A$1,Database!$A$1:$M$1,),)</f>
        <v>59413</v>
      </c>
      <c r="C302" s="113">
        <f>(Table535[[#This Row],[New Orders - Nondefense Capital Goods Excluding Aircraft]]-B301)/B301</f>
        <v>2.0745488277955811E-3</v>
      </c>
    </row>
    <row r="303" spans="1:3">
      <c r="A303" s="74">
        <v>42675</v>
      </c>
      <c r="B303" s="75">
        <f>VLOOKUP(A303,Database!A:M,MATCH($A$1,Database!$A$1:$M$1,),)</f>
        <v>59262</v>
      </c>
      <c r="C303" s="113">
        <f>(Table535[[#This Row],[New Orders - Nondefense Capital Goods Excluding Aircraft]]-B302)/B302</f>
        <v>-2.5415313146954369E-3</v>
      </c>
    </row>
    <row r="304" spans="1:3">
      <c r="A304" s="74">
        <v>42705</v>
      </c>
      <c r="B304" s="75">
        <f>VLOOKUP(A304,Database!A:M,MATCH($A$1,Database!$A$1:$M$1,),)</f>
        <v>59355</v>
      </c>
      <c r="C304" s="113">
        <f>(Table535[[#This Row],[New Orders - Nondefense Capital Goods Excluding Aircraft]]-B303)/B303</f>
        <v>1.5693024197630859E-3</v>
      </c>
    </row>
    <row r="305" spans="1:3">
      <c r="A305" s="74">
        <v>42736</v>
      </c>
      <c r="B305" s="75">
        <f>VLOOKUP(A305,Database!A:M,MATCH($A$1,Database!$A$1:$M$1,),)</f>
        <v>60689</v>
      </c>
      <c r="C305" s="113">
        <f>(Table535[[#This Row],[New Orders - Nondefense Capital Goods Excluding Aircraft]]-B304)/B304</f>
        <v>2.2474938926796393E-2</v>
      </c>
    </row>
    <row r="306" spans="1:3">
      <c r="A306" s="74">
        <v>42767</v>
      </c>
      <c r="B306" s="75">
        <f>VLOOKUP(A306,Database!A:M,MATCH($A$1,Database!$A$1:$M$1,),)</f>
        <v>60752</v>
      </c>
      <c r="C306" s="113">
        <f>(Table535[[#This Row],[New Orders - Nondefense Capital Goods Excluding Aircraft]]-B305)/B305</f>
        <v>1.0380793883570333E-3</v>
      </c>
    </row>
    <row r="307" spans="1:3">
      <c r="A307" s="74">
        <v>42795</v>
      </c>
      <c r="B307" s="75">
        <f>VLOOKUP(A307,Database!A:M,MATCH($A$1,Database!$A$1:$M$1,),)</f>
        <v>61176</v>
      </c>
      <c r="C307" s="113">
        <f>(Table535[[#This Row],[New Orders - Nondefense Capital Goods Excluding Aircraft]]-B306)/B306</f>
        <v>6.9791941006057409E-3</v>
      </c>
    </row>
    <row r="308" spans="1:3">
      <c r="A308" s="74">
        <v>42826</v>
      </c>
      <c r="B308" s="75">
        <f>VLOOKUP(A308,Database!A:M,MATCH($A$1,Database!$A$1:$M$1,),)</f>
        <v>61339</v>
      </c>
      <c r="C308" s="113">
        <f>(Table535[[#This Row],[New Orders - Nondefense Capital Goods Excluding Aircraft]]-B307)/B307</f>
        <v>2.6644435726428666E-3</v>
      </c>
    </row>
    <row r="309" spans="1:3">
      <c r="A309" s="74">
        <v>42856</v>
      </c>
      <c r="B309" s="75">
        <f>VLOOKUP(A309,Database!A:M,MATCH($A$1,Database!$A$1:$M$1,),)</f>
        <v>61398</v>
      </c>
      <c r="C309" s="113">
        <f>(Table535[[#This Row],[New Orders - Nondefense Capital Goods Excluding Aircraft]]-B308)/B308</f>
        <v>9.6186765353201067E-4</v>
      </c>
    </row>
    <row r="310" spans="1:3">
      <c r="A310" s="74">
        <v>42887</v>
      </c>
      <c r="B310" s="75">
        <f>VLOOKUP(A310,Database!A:M,MATCH($A$1,Database!$A$1:$M$1,),)</f>
        <v>60227</v>
      </c>
      <c r="C310" s="113">
        <f>(Table535[[#This Row],[New Orders - Nondefense Capital Goods Excluding Aircraft]]-B309)/B309</f>
        <v>-1.907228248477149E-2</v>
      </c>
    </row>
    <row r="311" spans="1:3">
      <c r="A311" s="74">
        <v>42917</v>
      </c>
      <c r="B311" s="75">
        <f>VLOOKUP(A311,Database!A:M,MATCH($A$1,Database!$A$1:$M$1,),)</f>
        <v>61403</v>
      </c>
      <c r="C311" s="113">
        <f>(Table535[[#This Row],[New Orders - Nondefense Capital Goods Excluding Aircraft]]-B310)/B310</f>
        <v>1.9526126156042971E-2</v>
      </c>
    </row>
    <row r="312" spans="1:3">
      <c r="A312" s="74">
        <v>42948</v>
      </c>
      <c r="B312" s="75">
        <f>VLOOKUP(A312,Database!A:M,MATCH($A$1,Database!$A$1:$M$1,),)</f>
        <v>61643</v>
      </c>
      <c r="C312" s="113">
        <f>(Table535[[#This Row],[New Orders - Nondefense Capital Goods Excluding Aircraft]]-B311)/B311</f>
        <v>3.9086038141458888E-3</v>
      </c>
    </row>
    <row r="313" spans="1:3">
      <c r="A313" s="74">
        <v>42979</v>
      </c>
      <c r="B313" s="75">
        <f>VLOOKUP(A313,Database!A:M,MATCH($A$1,Database!$A$1:$M$1,),)</f>
        <v>63497</v>
      </c>
      <c r="C313" s="113">
        <f>(Table535[[#This Row],[New Orders - Nondefense Capital Goods Excluding Aircraft]]-B312)/B312</f>
        <v>3.0076407702415521E-2</v>
      </c>
    </row>
    <row r="314" spans="1:3">
      <c r="A314" s="74">
        <v>43009</v>
      </c>
      <c r="B314" s="75">
        <f>VLOOKUP(A314,Database!A:M,MATCH($A$1,Database!$A$1:$M$1,),)</f>
        <v>63980</v>
      </c>
      <c r="C314" s="113">
        <f>(Table535[[#This Row],[New Orders - Nondefense Capital Goods Excluding Aircraft]]-B313)/B313</f>
        <v>7.6066585822952264E-3</v>
      </c>
    </row>
    <row r="315" spans="1:3">
      <c r="A315" s="74">
        <v>43040</v>
      </c>
      <c r="B315" s="75">
        <f>VLOOKUP(A315,Database!A:M,MATCH($A$1,Database!$A$1:$M$1,),)</f>
        <v>63558</v>
      </c>
      <c r="C315" s="113">
        <f>(Table535[[#This Row],[New Orders - Nondefense Capital Goods Excluding Aircraft]]-B314)/B314</f>
        <v>-6.5958111909971869E-3</v>
      </c>
    </row>
    <row r="316" spans="1:3">
      <c r="A316" s="74">
        <v>43070</v>
      </c>
      <c r="B316" s="75">
        <f>VLOOKUP(A316,Database!A:M,MATCH($A$1,Database!$A$1:$M$1,),)</f>
        <v>63745</v>
      </c>
      <c r="C316" s="113">
        <f>(Table535[[#This Row],[New Orders - Nondefense Capital Goods Excluding Aircraft]]-B315)/B315</f>
        <v>2.9421945309795776E-3</v>
      </c>
    </row>
    <row r="317" spans="1:3">
      <c r="A317" s="74">
        <v>43101</v>
      </c>
      <c r="B317" s="75">
        <f>VLOOKUP(A317,Database!A:M,MATCH($A$1,Database!$A$1:$M$1,),)</f>
        <v>63816</v>
      </c>
      <c r="C317" s="113">
        <f>(Table535[[#This Row],[New Orders - Nondefense Capital Goods Excluding Aircraft]]-B316)/B316</f>
        <v>1.1138128480665151E-3</v>
      </c>
    </row>
    <row r="318" spans="1:3">
      <c r="A318" s="74">
        <v>43132</v>
      </c>
      <c r="B318" s="75">
        <f>VLOOKUP(A318,Database!A:M,MATCH($A$1,Database!$A$1:$M$1,),)</f>
        <v>65257</v>
      </c>
      <c r="C318" s="113">
        <f>(Table535[[#This Row],[New Orders - Nondefense Capital Goods Excluding Aircraft]]-B317)/B317</f>
        <v>2.258054406418453E-2</v>
      </c>
    </row>
    <row r="319" spans="1:3">
      <c r="A319" s="74">
        <v>43160</v>
      </c>
      <c r="B319" s="75">
        <f>VLOOKUP(A319,Database!A:M,MATCH($A$1,Database!$A$1:$M$1,),)</f>
        <v>64073</v>
      </c>
      <c r="C319" s="113">
        <f>(Table535[[#This Row],[New Orders - Nondefense Capital Goods Excluding Aircraft]]-B318)/B318</f>
        <v>-1.8143647424797339E-2</v>
      </c>
    </row>
    <row r="320" spans="1:3">
      <c r="A320" s="74">
        <v>43191</v>
      </c>
      <c r="B320" s="75">
        <f>VLOOKUP(A320,Database!A:M,MATCH($A$1,Database!$A$1:$M$1,),)</f>
        <v>65444</v>
      </c>
      <c r="C320" s="113">
        <f>(Table535[[#This Row],[New Orders - Nondefense Capital Goods Excluding Aircraft]]-B319)/B319</f>
        <v>2.1397468512477955E-2</v>
      </c>
    </row>
    <row r="321" spans="1:3">
      <c r="A321" s="74">
        <v>43221</v>
      </c>
      <c r="B321" s="75">
        <f>VLOOKUP(A321,Database!A:M,MATCH($A$1,Database!$A$1:$M$1,),)</f>
        <v>66748</v>
      </c>
      <c r="C321" s="113">
        <f>(Table535[[#This Row],[New Orders - Nondefense Capital Goods Excluding Aircraft]]-B320)/B320</f>
        <v>1.9925432430780515E-2</v>
      </c>
    </row>
    <row r="322" spans="1:3">
      <c r="A322" s="74">
        <v>43252</v>
      </c>
      <c r="B322" s="75">
        <f>VLOOKUP(A322,Database!A:M,MATCH($A$1,Database!$A$1:$M$1,),)</f>
        <v>67678</v>
      </c>
      <c r="C322" s="113">
        <f>(Table535[[#This Row],[New Orders - Nondefense Capital Goods Excluding Aircraft]]-B321)/B321</f>
        <v>1.3933001737879787E-2</v>
      </c>
    </row>
    <row r="323" spans="1:3">
      <c r="A323" s="74">
        <v>43282</v>
      </c>
      <c r="B323" s="75">
        <f>VLOOKUP(A323,Database!A:M,MATCH($A$1,Database!$A$1:$M$1,),)</f>
        <v>68406</v>
      </c>
      <c r="C323" s="113">
        <f>(Table535[[#This Row],[New Orders - Nondefense Capital Goods Excluding Aircraft]]-B322)/B322</f>
        <v>1.0756819054936612E-2</v>
      </c>
    </row>
    <row r="324" spans="1:3">
      <c r="A324" s="74">
        <v>43313</v>
      </c>
      <c r="B324" s="75">
        <f>VLOOKUP(A324,Database!A:M,MATCH($A$1,Database!$A$1:$M$1,),)</f>
        <v>67270</v>
      </c>
      <c r="C324" s="113">
        <f>(Table535[[#This Row],[New Orders - Nondefense Capital Goods Excluding Aircraft]]-B323)/B323</f>
        <v>-1.660673040376575E-2</v>
      </c>
    </row>
    <row r="325" spans="1:3">
      <c r="A325" s="74">
        <v>43344</v>
      </c>
      <c r="B325" s="75">
        <f>VLOOKUP(A325,Database!A:M,MATCH($A$1,Database!$A$1:$M$1,),)</f>
        <v>67127</v>
      </c>
      <c r="C325" s="113">
        <f>(Table535[[#This Row],[New Orders - Nondefense Capital Goods Excluding Aircraft]]-B324)/B324</f>
        <v>-2.1257618552103464E-3</v>
      </c>
    </row>
    <row r="326" spans="1:3">
      <c r="A326" s="74">
        <v>43374</v>
      </c>
      <c r="B326" s="75">
        <f>VLOOKUP(A326,Database!A:M,MATCH($A$1,Database!$A$1:$M$1,),)</f>
        <v>67931</v>
      </c>
      <c r="C326" s="113">
        <f>(Table535[[#This Row],[New Orders - Nondefense Capital Goods Excluding Aircraft]]-B325)/B325</f>
        <v>1.1977296765831931E-2</v>
      </c>
    </row>
    <row r="327" spans="1:3">
      <c r="A327" s="74">
        <v>43405</v>
      </c>
      <c r="B327" s="75">
        <f>VLOOKUP(A327,Database!A:M,MATCH($A$1,Database!$A$1:$M$1,),)</f>
        <v>65255</v>
      </c>
      <c r="C327" s="113">
        <f>(Table535[[#This Row],[New Orders - Nondefense Capital Goods Excluding Aircraft]]-B326)/B326</f>
        <v>-3.9392913397417968E-2</v>
      </c>
    </row>
    <row r="328" spans="1:3">
      <c r="A328" s="74">
        <v>43435</v>
      </c>
      <c r="B328" s="75">
        <f>VLOOKUP(A328,Database!A:M,MATCH($A$1,Database!$A$1:$M$1,),)</f>
        <v>65773</v>
      </c>
      <c r="C328" s="113">
        <f>(Table535[[#This Row],[New Orders - Nondefense Capital Goods Excluding Aircraft]]-B327)/B327</f>
        <v>7.9380890353229639E-3</v>
      </c>
    </row>
    <row r="329" spans="1:3">
      <c r="A329" s="74">
        <v>43466</v>
      </c>
      <c r="B329" s="75">
        <f>VLOOKUP(A329,Database!A:M,MATCH($A$1,Database!$A$1:$M$1,),)</f>
        <v>67110</v>
      </c>
      <c r="C329" s="113">
        <f>(Table535[[#This Row],[New Orders - Nondefense Capital Goods Excluding Aircraft]]-B328)/B328</f>
        <v>2.0327490003496877E-2</v>
      </c>
    </row>
    <row r="330" spans="1:3">
      <c r="A330" s="74">
        <v>43497</v>
      </c>
      <c r="B330" s="75">
        <f>VLOOKUP(A330,Database!A:M,MATCH($A$1,Database!$A$1:$M$1,),)</f>
        <v>66772</v>
      </c>
      <c r="C330" s="113">
        <f>(Table535[[#This Row],[New Orders - Nondefense Capital Goods Excluding Aircraft]]-B329)/B329</f>
        <v>-5.0365072269408437E-3</v>
      </c>
    </row>
    <row r="331" spans="1:3">
      <c r="A331" s="74">
        <v>43525</v>
      </c>
      <c r="B331" s="75">
        <f>VLOOKUP(A331,Database!A:M,MATCH($A$1,Database!$A$1:$M$1,),)</f>
        <v>67615</v>
      </c>
      <c r="C331" s="113">
        <f>(Table535[[#This Row],[New Orders - Nondefense Capital Goods Excluding Aircraft]]-B330)/B330</f>
        <v>1.2625052417180854E-2</v>
      </c>
    </row>
    <row r="332" spans="1:3">
      <c r="A332" s="74">
        <v>43556</v>
      </c>
      <c r="B332" s="75">
        <f>VLOOKUP(A332,Database!A:M,MATCH($A$1,Database!$A$1:$M$1,),)</f>
        <v>67038</v>
      </c>
      <c r="C332" s="113">
        <f>(Table535[[#This Row],[New Orders - Nondefense Capital Goods Excluding Aircraft]]-B331)/B331</f>
        <v>-8.5336094061968498E-3</v>
      </c>
    </row>
    <row r="333" spans="1:3">
      <c r="A333" s="74">
        <v>43586</v>
      </c>
      <c r="B333" s="75">
        <f>VLOOKUP(A333,Database!A:M,MATCH($A$1,Database!$A$1:$M$1,),)</f>
        <v>66680</v>
      </c>
      <c r="C333" s="113">
        <f>(Table535[[#This Row],[New Orders - Nondefense Capital Goods Excluding Aircraft]]-B332)/B332</f>
        <v>-5.3402547808705514E-3</v>
      </c>
    </row>
    <row r="334" spans="1:3">
      <c r="A334" s="74">
        <v>43617</v>
      </c>
      <c r="B334" s="75">
        <f>VLOOKUP(A334,Database!A:M,MATCH($A$1,Database!$A$1:$M$1,),)</f>
        <v>66243</v>
      </c>
      <c r="C334" s="113">
        <f>(Table535[[#This Row],[New Orders - Nondefense Capital Goods Excluding Aircraft]]-B333)/B333</f>
        <v>-6.5536892621475707E-3</v>
      </c>
    </row>
    <row r="335" spans="1:3">
      <c r="A335" s="74">
        <v>43647</v>
      </c>
      <c r="B335" s="75">
        <f>VLOOKUP(A335,Database!A:M,MATCH($A$1,Database!$A$1:$M$1,),)</f>
        <v>65872</v>
      </c>
      <c r="C335" s="113">
        <f>(Table535[[#This Row],[New Orders - Nondefense Capital Goods Excluding Aircraft]]-B334)/B334</f>
        <v>-5.6005917606388603E-3</v>
      </c>
    </row>
    <row r="336" spans="1:3">
      <c r="A336" s="74">
        <v>43678</v>
      </c>
      <c r="B336" s="75">
        <f>VLOOKUP(A336,Database!A:M,MATCH($A$1,Database!$A$1:$M$1,),)</f>
        <v>65829</v>
      </c>
      <c r="C336" s="113">
        <f>(Table535[[#This Row],[New Orders - Nondefense Capital Goods Excluding Aircraft]]-B335)/B335</f>
        <v>-6.5278115132377942E-4</v>
      </c>
    </row>
    <row r="337" spans="1:3">
      <c r="A337" s="74">
        <v>43709</v>
      </c>
      <c r="B337" s="75">
        <f>VLOOKUP(A337,Database!A:M,MATCH($A$1,Database!$A$1:$M$1,),)</f>
        <v>65203</v>
      </c>
      <c r="C337" s="113">
        <f>(Table535[[#This Row],[New Orders - Nondefense Capital Goods Excluding Aircraft]]-B336)/B336</f>
        <v>-9.5094867003904047E-3</v>
      </c>
    </row>
    <row r="338" spans="1:3">
      <c r="A338" s="74">
        <v>43739</v>
      </c>
      <c r="B338" s="75">
        <f>VLOOKUP(A338,Database!A:M,MATCH($A$1,Database!$A$1:$M$1,),)</f>
        <v>65207</v>
      </c>
      <c r="C338" s="113">
        <f>(Table535[[#This Row],[New Orders - Nondefense Capital Goods Excluding Aircraft]]-B337)/B337</f>
        <v>6.1346870542766432E-5</v>
      </c>
    </row>
    <row r="339" spans="1:3">
      <c r="A339" s="74">
        <v>43770</v>
      </c>
      <c r="B339" s="75">
        <f>VLOOKUP(A339,Database!A:M,MATCH($A$1,Database!$A$1:$M$1,),)</f>
        <v>63805</v>
      </c>
      <c r="C339" s="113">
        <f>(Table535[[#This Row],[New Orders - Nondefense Capital Goods Excluding Aircraft]]-B338)/B338</f>
        <v>-2.1500759120953273E-2</v>
      </c>
    </row>
    <row r="340" spans="1:3">
      <c r="A340" s="74">
        <v>43800</v>
      </c>
      <c r="B340" s="75">
        <f>VLOOKUP(A340,Database!A:M,MATCH($A$1,Database!$A$1:$M$1,),)</f>
        <v>62950</v>
      </c>
      <c r="C340" s="113">
        <f>(Table535[[#This Row],[New Orders - Nondefense Capital Goods Excluding Aircraft]]-B339)/B339</f>
        <v>-1.3400203745787948E-2</v>
      </c>
    </row>
    <row r="341" spans="1:3">
      <c r="A341" s="74">
        <v>43831</v>
      </c>
      <c r="B341" s="75">
        <f>VLOOKUP(A341,Database!A:M,MATCH($A$1,Database!$A$1:$M$1,),)</f>
        <v>62298</v>
      </c>
      <c r="C341" s="113">
        <f>(Table535[[#This Row],[New Orders - Nondefense Capital Goods Excluding Aircraft]]-B340)/B340</f>
        <v>-1.0357426528991263E-2</v>
      </c>
    </row>
    <row r="342" spans="1:3">
      <c r="A342" s="74">
        <v>43862</v>
      </c>
      <c r="B342" s="75">
        <f>VLOOKUP(A342,Database!A:M,MATCH($A$1,Database!$A$1:$M$1,),)</f>
        <v>61245</v>
      </c>
      <c r="C342" s="113">
        <f>(Table535[[#This Row],[New Orders - Nondefense Capital Goods Excluding Aircraft]]-B341)/B341</f>
        <v>-1.6902629297890784E-2</v>
      </c>
    </row>
    <row r="343" spans="1:3">
      <c r="A343" s="74">
        <v>43891</v>
      </c>
      <c r="B343" s="75">
        <f>VLOOKUP(A343,Database!A:M,MATCH($A$1,Database!$A$1:$M$1,),)</f>
        <v>60715</v>
      </c>
      <c r="C343" s="113">
        <f>(Table535[[#This Row],[New Orders - Nondefense Capital Goods Excluding Aircraft]]-B342)/B342</f>
        <v>-8.6537676545024086E-3</v>
      </c>
    </row>
    <row r="344" spans="1:3">
      <c r="A344" s="74">
        <v>43922</v>
      </c>
      <c r="B344" s="75">
        <f>VLOOKUP(A344,Database!A:M,MATCH($A$1,Database!$A$1:$M$1,),)</f>
        <v>55545</v>
      </c>
      <c r="C344" s="113">
        <f>(Table535[[#This Row],[New Orders - Nondefense Capital Goods Excluding Aircraft]]-B343)/B343</f>
        <v>-8.5151939388948369E-2</v>
      </c>
    </row>
    <row r="345" spans="1:3">
      <c r="A345" s="74">
        <v>43952</v>
      </c>
      <c r="B345" s="75">
        <f>VLOOKUP(A345,Database!A:M,MATCH($A$1,Database!$A$1:$M$1,),)</f>
        <v>56463</v>
      </c>
      <c r="C345" s="113">
        <f>(Table535[[#This Row],[New Orders - Nondefense Capital Goods Excluding Aircraft]]-B344)/B344</f>
        <v>1.652714015662976E-2</v>
      </c>
    </row>
    <row r="346" spans="1:3">
      <c r="A346" s="74">
        <v>43983</v>
      </c>
      <c r="B346" s="75">
        <f>VLOOKUP(A346,Database!A:M,MATCH($A$1,Database!$A$1:$M$1,),)</f>
        <v>58548</v>
      </c>
      <c r="C346" s="113">
        <f>(Table535[[#This Row],[New Orders - Nondefense Capital Goods Excluding Aircraft]]-B345)/B345</f>
        <v>3.6926837043727748E-2</v>
      </c>
    </row>
    <row r="347" spans="1:3">
      <c r="A347" s="74">
        <v>44013</v>
      </c>
      <c r="B347" s="75">
        <f>VLOOKUP(A347,Database!A:M,MATCH($A$1,Database!$A$1:$M$1,),)</f>
        <v>60095</v>
      </c>
      <c r="C347" s="113">
        <f>(Table535[[#This Row],[New Orders - Nondefense Capital Goods Excluding Aircraft]]-B346)/B346</f>
        <v>2.6422764227642278E-2</v>
      </c>
    </row>
    <row r="348" spans="1:3">
      <c r="A348" s="74">
        <v>44044</v>
      </c>
      <c r="B348" s="75">
        <f>VLOOKUP(A348,Database!A:M,MATCH($A$1,Database!$A$1:$M$1,),)</f>
        <v>60687</v>
      </c>
      <c r="C348" s="113">
        <f>(Table535[[#This Row],[New Orders - Nondefense Capital Goods Excluding Aircraft]]-B347)/B347</f>
        <v>9.8510691405274981E-3</v>
      </c>
    </row>
    <row r="349" spans="1:3">
      <c r="A349" s="74">
        <v>44075</v>
      </c>
      <c r="B349" s="75">
        <f>VLOOKUP(A349,Database!A:M,MATCH($A$1,Database!$A$1:$M$1,),)</f>
        <v>62159</v>
      </c>
      <c r="C349" s="113">
        <f>(Table535[[#This Row],[New Orders - Nondefense Capital Goods Excluding Aircraft]]-B348)/B348</f>
        <v>2.4255606637335839E-2</v>
      </c>
    </row>
    <row r="350" spans="1:3">
      <c r="A350" s="74">
        <v>44105</v>
      </c>
      <c r="B350" s="75">
        <f>VLOOKUP(A350,Database!A:M,MATCH($A$1,Database!$A$1:$M$1,),)</f>
        <v>62801</v>
      </c>
      <c r="C350" s="113">
        <f>(Table535[[#This Row],[New Orders - Nondefense Capital Goods Excluding Aircraft]]-B349)/B349</f>
        <v>1.0328351485706011E-2</v>
      </c>
    </row>
    <row r="351" spans="1:3">
      <c r="A351" s="74">
        <v>44136</v>
      </c>
      <c r="B351" s="75">
        <f>VLOOKUP(A351,Database!A:M,MATCH($A$1,Database!$A$1:$M$1,),)</f>
        <v>62967</v>
      </c>
      <c r="C351" s="113">
        <f>(Table535[[#This Row],[New Orders - Nondefense Capital Goods Excluding Aircraft]]-B350)/B350</f>
        <v>2.6432700116240187E-3</v>
      </c>
    </row>
    <row r="352" spans="1:3">
      <c r="A352" s="74">
        <v>44166</v>
      </c>
      <c r="B352" s="75">
        <f>VLOOKUP(A352,Database!A:M,MATCH($A$1,Database!$A$1:$M$1,),)</f>
        <v>63944</v>
      </c>
      <c r="C352" s="113">
        <f>(Table535[[#This Row],[New Orders - Nondefense Capital Goods Excluding Aircraft]]-B351)/B351</f>
        <v>1.551606397001604E-2</v>
      </c>
    </row>
    <row r="353" spans="1:3">
      <c r="A353" s="74">
        <v>44197</v>
      </c>
      <c r="B353" s="75">
        <f>VLOOKUP(A353,Database!A:M,MATCH($A$1,Database!$A$1:$M$1,),)</f>
        <v>64750</v>
      </c>
      <c r="C353" s="113">
        <f>(Table535[[#This Row],[New Orders - Nondefense Capital Goods Excluding Aircraft]]-B352)/B352</f>
        <v>1.2604779181784062E-2</v>
      </c>
    </row>
    <row r="354" spans="1:3">
      <c r="A354" s="74">
        <v>44228</v>
      </c>
      <c r="B354" s="75">
        <f>VLOOKUP(A354,Database!A:M,MATCH($A$1,Database!$A$1:$M$1,),)</f>
        <v>64562</v>
      </c>
      <c r="C354" s="113">
        <f>(Table535[[#This Row],[New Orders - Nondefense Capital Goods Excluding Aircraft]]-B353)/B353</f>
        <v>-2.9034749034749035E-3</v>
      </c>
    </row>
    <row r="355" spans="1:3">
      <c r="A355" s="74">
        <v>44256</v>
      </c>
      <c r="B355" s="75">
        <f>VLOOKUP(A355,Database!A:M,MATCH($A$1,Database!$A$1:$M$1,),)</f>
        <v>65886</v>
      </c>
      <c r="C355" s="113">
        <f>(Table535[[#This Row],[New Orders - Nondefense Capital Goods Excluding Aircraft]]-B354)/B354</f>
        <v>2.0507419224931073E-2</v>
      </c>
    </row>
    <row r="356" spans="1:3">
      <c r="A356" s="74">
        <v>44287</v>
      </c>
      <c r="B356" s="75">
        <f>VLOOKUP(A356,Database!A:M,MATCH($A$1,Database!$A$1:$M$1,),)</f>
        <v>67955</v>
      </c>
      <c r="C356" s="113">
        <f>(Table535[[#This Row],[New Orders - Nondefense Capital Goods Excluding Aircraft]]-B355)/B355</f>
        <v>3.1402725920529402E-2</v>
      </c>
    </row>
    <row r="357" spans="1:3">
      <c r="A357" s="74">
        <v>44317</v>
      </c>
      <c r="B357" s="75">
        <f>VLOOKUP(A357,Database!A:M,MATCH($A$1,Database!$A$1:$M$1,),)</f>
        <v>66882</v>
      </c>
      <c r="C357" s="113">
        <f>(Table535[[#This Row],[New Orders - Nondefense Capital Goods Excluding Aircraft]]-B356)/B356</f>
        <v>-1.5789860937385033E-2</v>
      </c>
    </row>
    <row r="358" spans="1:3">
      <c r="A358" s="74">
        <v>44348</v>
      </c>
      <c r="B358" s="75">
        <f>VLOOKUP(A358,Database!A:M,MATCH($A$1,Database!$A$1:$M$1,),)</f>
        <v>68158</v>
      </c>
      <c r="C358" s="113">
        <f>(Table535[[#This Row],[New Orders - Nondefense Capital Goods Excluding Aircraft]]-B357)/B357</f>
        <v>1.9078376842797763E-2</v>
      </c>
    </row>
    <row r="359" spans="1:3">
      <c r="A359" s="74">
        <v>44378</v>
      </c>
      <c r="B359" s="75">
        <f>VLOOKUP(A359,Database!A:M,MATCH($A$1,Database!$A$1:$M$1,),)</f>
        <v>68660</v>
      </c>
      <c r="C359" s="113">
        <f>(Table535[[#This Row],[New Orders - Nondefense Capital Goods Excluding Aircraft]]-B358)/B358</f>
        <v>7.365239590363567E-3</v>
      </c>
    </row>
    <row r="360" spans="1:3">
      <c r="A360" s="74">
        <v>44409</v>
      </c>
      <c r="B360" s="75">
        <f>VLOOKUP(A360,Database!A:M,MATCH($A$1,Database!$A$1:$M$1,),)</f>
        <v>69530</v>
      </c>
      <c r="C360" s="113">
        <f>(Table535[[#This Row],[New Orders - Nondefense Capital Goods Excluding Aircraft]]-B359)/B359</f>
        <v>1.2671133119720361E-2</v>
      </c>
    </row>
    <row r="361" spans="1:3">
      <c r="A361" s="74">
        <v>44440</v>
      </c>
      <c r="B361" s="75">
        <f>VLOOKUP(A361,Database!A:M,MATCH($A$1,Database!$A$1:$M$1,),)</f>
        <v>69298</v>
      </c>
      <c r="C361" s="113">
        <f>(Table535[[#This Row],[New Orders - Nondefense Capital Goods Excluding Aircraft]]-B360)/B360</f>
        <v>-3.3366891989069468E-3</v>
      </c>
    </row>
    <row r="362" spans="1:3">
      <c r="A362" s="74">
        <v>44470</v>
      </c>
      <c r="B362" s="75">
        <f>VLOOKUP(A362,Database!A:M,MATCH($A$1,Database!$A$1:$M$1,),)</f>
        <v>70632</v>
      </c>
      <c r="C362" s="113">
        <f>(Table535[[#This Row],[New Orders - Nondefense Capital Goods Excluding Aircraft]]-B361)/B361</f>
        <v>1.9250194810817051E-2</v>
      </c>
    </row>
    <row r="363" spans="1:3">
      <c r="A363" s="74">
        <v>44501</v>
      </c>
      <c r="B363" s="75">
        <f>VLOOKUP(A363,Database!A:M,MATCH($A$1,Database!$A$1:$M$1,),)</f>
        <v>71135</v>
      </c>
      <c r="C363" s="113">
        <f>(Table535[[#This Row],[New Orders - Nondefense Capital Goods Excluding Aircraft]]-B362)/B362</f>
        <v>7.1214180541397665E-3</v>
      </c>
    </row>
    <row r="364" spans="1:3">
      <c r="A364" s="74">
        <v>44531</v>
      </c>
      <c r="B364" s="75">
        <f>VLOOKUP(A364,Database!A:M,MATCH($A$1,Database!$A$1:$M$1,),)</f>
        <v>71199</v>
      </c>
      <c r="C364" s="113">
        <f>(Table535[[#This Row],[New Orders - Nondefense Capital Goods Excluding Aircraft]]-B363)/B363</f>
        <v>8.9969775778449431E-4</v>
      </c>
    </row>
    <row r="365" spans="1:3">
      <c r="A365" s="74">
        <v>44562</v>
      </c>
      <c r="B365" s="75">
        <f>VLOOKUP(A365,Database!A:M,MATCH($A$1,Database!$A$1:$M$1,),)</f>
        <v>72217</v>
      </c>
      <c r="C365" s="113">
        <f>(Table535[[#This Row],[New Orders - Nondefense Capital Goods Excluding Aircraft]]-B364)/B364</f>
        <v>1.4297953622944143E-2</v>
      </c>
    </row>
    <row r="366" spans="1:3">
      <c r="A366" s="74">
        <v>44593</v>
      </c>
      <c r="B366" s="75">
        <f>VLOOKUP(A366,Database!A:M,MATCH($A$1,Database!$A$1:$M$1,),)</f>
        <v>72038</v>
      </c>
      <c r="C366" s="113">
        <f>(Table535[[#This Row],[New Orders - Nondefense Capital Goods Excluding Aircraft]]-B365)/B365</f>
        <v>-2.4786407632551894E-3</v>
      </c>
    </row>
    <row r="367" spans="1:3">
      <c r="A367" s="74">
        <v>44621</v>
      </c>
      <c r="B367" s="75">
        <f>VLOOKUP(A367,Database!A:M,MATCH($A$1,Database!$A$1:$M$1,),)</f>
        <v>72857</v>
      </c>
      <c r="C367" s="113">
        <f>(Table535[[#This Row],[New Orders - Nondefense Capital Goods Excluding Aircraft]]-B366)/B366</f>
        <v>1.1368999694605624E-2</v>
      </c>
    </row>
    <row r="368" spans="1:3">
      <c r="A368" s="74">
        <v>44652</v>
      </c>
      <c r="B368" s="75">
        <f>VLOOKUP(A368,Database!A:M,MATCH($A$1,Database!$A$1:$M$1,),)</f>
        <v>73115</v>
      </c>
      <c r="C368" s="113">
        <f>(Table535[[#This Row],[New Orders - Nondefense Capital Goods Excluding Aircraft]]-B367)/B367</f>
        <v>3.5411834140851258E-3</v>
      </c>
    </row>
    <row r="369" spans="1:3">
      <c r="A369" s="74">
        <v>44682</v>
      </c>
      <c r="B369" s="75">
        <f>VLOOKUP(A369,Database!A:M,MATCH($A$1,Database!$A$1:$M$1,),)</f>
        <v>73477</v>
      </c>
      <c r="C369" s="113">
        <f>(Table535[[#This Row],[New Orders - Nondefense Capital Goods Excluding Aircraft]]-B368)/B368</f>
        <v>4.9511044245366884E-3</v>
      </c>
    </row>
    <row r="370" spans="1:3">
      <c r="A370" s="74">
        <v>44713</v>
      </c>
      <c r="B370" s="75">
        <f>VLOOKUP(A370,Database!A:M,MATCH($A$1,Database!$A$1:$M$1,),)</f>
        <v>74190</v>
      </c>
      <c r="C370" s="113">
        <f>(Table535[[#This Row],[New Orders - Nondefense Capital Goods Excluding Aircraft]]-B369)/B369</f>
        <v>9.7037168093416989E-3</v>
      </c>
    </row>
    <row r="371" spans="1:3">
      <c r="A371" s="74">
        <v>44743</v>
      </c>
      <c r="B371" s="75">
        <f>VLOOKUP(A371,Database!A:M,MATCH($A$1,Database!$A$1:$M$1,),)</f>
        <v>74440</v>
      </c>
      <c r="C371" s="113">
        <f>(Table535[[#This Row],[New Orders - Nondefense Capital Goods Excluding Aircraft]]-B370)/B370</f>
        <v>3.3697263782180888E-3</v>
      </c>
    </row>
  </sheetData>
  <conditionalFormatting sqref="B4:B5 C2:C3">
    <cfRule type="colorScale" priority="2">
      <colorScale>
        <cfvo type="min"/>
        <cfvo type="percentile" val="50"/>
        <cfvo type="max"/>
        <color rgb="FFF8696B"/>
        <color rgb="FFFFEB84"/>
        <color rgb="FF63BE7B"/>
      </colorScale>
    </cfRule>
  </conditionalFormatting>
  <conditionalFormatting sqref="C221:C37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1"/>
  <sheetViews>
    <sheetView zoomScale="160" zoomScaleNormal="160" workbookViewId="0">
      <pane ySplit="5" topLeftCell="A348" activePane="bottomLeft" state="frozen"/>
      <selection pane="bottomLeft" activeCell="I375" sqref="I375"/>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5">
      <c r="A1" s="1" t="s">
        <v>17</v>
      </c>
      <c r="B1" s="124" t="s">
        <v>13</v>
      </c>
      <c r="C1" s="147"/>
      <c r="D1" s="123"/>
      <c r="E1" s="123"/>
    </row>
    <row r="2" spans="1:5" ht="15" customHeight="1">
      <c r="A2" s="71"/>
      <c r="B2" s="68"/>
      <c r="C2" s="69"/>
    </row>
    <row r="3" spans="1:5">
      <c r="B3" s="68"/>
      <c r="C3" s="69"/>
    </row>
    <row r="4" spans="1:5" ht="16" customHeight="1" thickBot="1"/>
    <row r="5" spans="1:5" ht="68.25" customHeight="1">
      <c r="A5" s="72" t="s">
        <v>109</v>
      </c>
      <c r="B5" s="73" t="s">
        <v>13</v>
      </c>
      <c r="C5" s="111" t="s">
        <v>110</v>
      </c>
    </row>
    <row r="6" spans="1:5">
      <c r="A6" s="74">
        <v>33635</v>
      </c>
      <c r="B6" s="75">
        <f>VLOOKUP(A6,Database!A:M,MATCH($A$1,Database!$A$1:$M$1,),)</f>
        <v>82931</v>
      </c>
      <c r="C6" s="112"/>
    </row>
    <row r="7" spans="1:5">
      <c r="A7" s="74">
        <v>33664</v>
      </c>
      <c r="B7" s="75">
        <f>VLOOKUP(A7,Database!A:M,MATCH($A$1,Database!$A$1:$M$1,),)</f>
        <v>85725</v>
      </c>
      <c r="C7" s="113">
        <f>(Table5351415[[#This Row],[New Orders ex Transport]]-B6)/B6</f>
        <v>3.3690658499234305E-2</v>
      </c>
    </row>
    <row r="8" spans="1:5">
      <c r="A8" s="74">
        <v>33695</v>
      </c>
      <c r="B8" s="75">
        <f>VLOOKUP(A8,Database!A:M,MATCH($A$1,Database!$A$1:$M$1,),)</f>
        <v>86604</v>
      </c>
      <c r="C8" s="113">
        <f>(Table5351415[[#This Row],[New Orders ex Transport]]-B7)/B7</f>
        <v>1.0253718285214349E-2</v>
      </c>
    </row>
    <row r="9" spans="1:5">
      <c r="A9" s="74">
        <v>33725</v>
      </c>
      <c r="B9" s="75">
        <f>VLOOKUP(A9,Database!A:M,MATCH($A$1,Database!$A$1:$M$1,),)</f>
        <v>88340</v>
      </c>
      <c r="C9" s="113">
        <f>(Table5351415[[#This Row],[New Orders ex Transport]]-B8)/B8</f>
        <v>2.0045263498221791E-2</v>
      </c>
    </row>
    <row r="10" spans="1:5">
      <c r="A10" s="74">
        <v>33756</v>
      </c>
      <c r="B10" s="75">
        <f>VLOOKUP(A10,Database!A:M,MATCH($A$1,Database!$A$1:$M$1,),)</f>
        <v>88219</v>
      </c>
      <c r="C10" s="113">
        <f>(Table5351415[[#This Row],[New Orders ex Transport]]-B9)/B9</f>
        <v>-1.3697079465700701E-3</v>
      </c>
    </row>
    <row r="11" spans="1:5">
      <c r="A11" s="74">
        <v>33786</v>
      </c>
      <c r="B11" s="75">
        <f>VLOOKUP(A11,Database!A:M,MATCH($A$1,Database!$A$1:$M$1,),)</f>
        <v>87727</v>
      </c>
      <c r="C11" s="113">
        <f>(Table5351415[[#This Row],[New Orders ex Transport]]-B10)/B10</f>
        <v>-5.5770298915199671E-3</v>
      </c>
    </row>
    <row r="12" spans="1:5">
      <c r="A12" s="74">
        <v>33817</v>
      </c>
      <c r="B12" s="75">
        <f>VLOOKUP(A12,Database!A:M,MATCH($A$1,Database!$A$1:$M$1,),)</f>
        <v>87497</v>
      </c>
      <c r="C12" s="113">
        <f>(Table5351415[[#This Row],[New Orders ex Transport]]-B11)/B11</f>
        <v>-2.6217698086108041E-3</v>
      </c>
    </row>
    <row r="13" spans="1:5">
      <c r="A13" s="74">
        <v>33848</v>
      </c>
      <c r="B13" s="75">
        <f>VLOOKUP(A13,Database!A:M,MATCH($A$1,Database!$A$1:$M$1,),)</f>
        <v>88681</v>
      </c>
      <c r="C13" s="113">
        <f>(Table5351415[[#This Row],[New Orders ex Transport]]-B12)/B12</f>
        <v>1.3531892522029326E-2</v>
      </c>
    </row>
    <row r="14" spans="1:5">
      <c r="A14" s="74">
        <v>33878</v>
      </c>
      <c r="B14" s="75">
        <f>VLOOKUP(A14,Database!A:M,MATCH($A$1,Database!$A$1:$M$1,),)</f>
        <v>87064</v>
      </c>
      <c r="C14" s="113">
        <f>(Table5351415[[#This Row],[New Orders ex Transport]]-B13)/B13</f>
        <v>-1.8233894520810544E-2</v>
      </c>
    </row>
    <row r="15" spans="1:5">
      <c r="A15" s="74">
        <v>33909</v>
      </c>
      <c r="B15" s="75">
        <f>VLOOKUP(A15,Database!A:M,MATCH($A$1,Database!$A$1:$M$1,),)</f>
        <v>89497</v>
      </c>
      <c r="C15" s="113">
        <f>(Table5351415[[#This Row],[New Orders ex Transport]]-B14)/B14</f>
        <v>2.7944960029403658E-2</v>
      </c>
    </row>
    <row r="16" spans="1:5">
      <c r="A16" s="74">
        <v>33939</v>
      </c>
      <c r="B16" s="75">
        <f>VLOOKUP(A16,Database!A:M,MATCH($A$1,Database!$A$1:$M$1,),)</f>
        <v>91359</v>
      </c>
      <c r="C16" s="113">
        <f>(Table5351415[[#This Row],[New Orders ex Transport]]-B15)/B15</f>
        <v>2.0805166653630847E-2</v>
      </c>
    </row>
    <row r="17" spans="1:3">
      <c r="A17" s="74">
        <v>33970</v>
      </c>
      <c r="B17" s="75">
        <f>VLOOKUP(A17,Database!A:M,MATCH($A$1,Database!$A$1:$M$1,),)</f>
        <v>91074</v>
      </c>
      <c r="C17" s="113">
        <f>(Table5351415[[#This Row],[New Orders ex Transport]]-B16)/B16</f>
        <v>-3.1195612911699999E-3</v>
      </c>
    </row>
    <row r="18" spans="1:3">
      <c r="A18" s="74">
        <v>34001</v>
      </c>
      <c r="B18" s="75">
        <f>VLOOKUP(A18,Database!A:M,MATCH($A$1,Database!$A$1:$M$1,),)</f>
        <v>90448</v>
      </c>
      <c r="C18" s="113">
        <f>(Table5351415[[#This Row],[New Orders ex Transport]]-B17)/B17</f>
        <v>-6.8735314140149772E-3</v>
      </c>
    </row>
    <row r="19" spans="1:3">
      <c r="A19" s="74">
        <v>34029</v>
      </c>
      <c r="B19" s="75">
        <f>VLOOKUP(A19,Database!A:M,MATCH($A$1,Database!$A$1:$M$1,),)</f>
        <v>91923</v>
      </c>
      <c r="C19" s="113">
        <f>(Table5351415[[#This Row],[New Orders ex Transport]]-B18)/B18</f>
        <v>1.6307712718910312E-2</v>
      </c>
    </row>
    <row r="20" spans="1:3">
      <c r="A20" s="74">
        <v>34060</v>
      </c>
      <c r="B20" s="75">
        <f>VLOOKUP(A20,Database!A:M,MATCH($A$1,Database!$A$1:$M$1,),)</f>
        <v>91700</v>
      </c>
      <c r="C20" s="113">
        <f>(Table5351415[[#This Row],[New Orders ex Transport]]-B19)/B19</f>
        <v>-2.4259434526723452E-3</v>
      </c>
    </row>
    <row r="21" spans="1:3">
      <c r="A21" s="74">
        <v>34090</v>
      </c>
      <c r="B21" s="75">
        <f>VLOOKUP(A21,Database!A:M,MATCH($A$1,Database!$A$1:$M$1,),)</f>
        <v>91493</v>
      </c>
      <c r="C21" s="113">
        <f>(Table5351415[[#This Row],[New Orders ex Transport]]-B20)/B20</f>
        <v>-2.2573609596510361E-3</v>
      </c>
    </row>
    <row r="22" spans="1:3">
      <c r="A22" s="74">
        <v>34121</v>
      </c>
      <c r="B22" s="75">
        <f>VLOOKUP(A22,Database!A:M,MATCH($A$1,Database!$A$1:$M$1,),)</f>
        <v>91139</v>
      </c>
      <c r="C22" s="113">
        <f>(Table5351415[[#This Row],[New Orders ex Transport]]-B21)/B21</f>
        <v>-3.8691484594449849E-3</v>
      </c>
    </row>
    <row r="23" spans="1:3">
      <c r="A23" s="74">
        <v>34151</v>
      </c>
      <c r="B23" s="75">
        <f>VLOOKUP(A23,Database!A:M,MATCH($A$1,Database!$A$1:$M$1,),)</f>
        <v>92496</v>
      </c>
      <c r="C23" s="113">
        <f>(Table5351415[[#This Row],[New Orders ex Transport]]-B22)/B22</f>
        <v>1.4889344846882235E-2</v>
      </c>
    </row>
    <row r="24" spans="1:3">
      <c r="A24" s="74">
        <v>34182</v>
      </c>
      <c r="B24" s="75">
        <f>VLOOKUP(A24,Database!A:M,MATCH($A$1,Database!$A$1:$M$1,),)</f>
        <v>93424</v>
      </c>
      <c r="C24" s="113">
        <f>(Table5351415[[#This Row],[New Orders ex Transport]]-B23)/B23</f>
        <v>1.003286628610967E-2</v>
      </c>
    </row>
    <row r="25" spans="1:3">
      <c r="A25" s="74">
        <v>34213</v>
      </c>
      <c r="B25" s="75">
        <f>VLOOKUP(A25,Database!A:M,MATCH($A$1,Database!$A$1:$M$1,),)</f>
        <v>94082</v>
      </c>
      <c r="C25" s="113">
        <f>(Table5351415[[#This Row],[New Orders ex Transport]]-B24)/B24</f>
        <v>7.0431580750128448E-3</v>
      </c>
    </row>
    <row r="26" spans="1:3">
      <c r="A26" s="74">
        <v>34243</v>
      </c>
      <c r="B26" s="75">
        <f>VLOOKUP(A26,Database!A:M,MATCH($A$1,Database!$A$1:$M$1,),)</f>
        <v>96033</v>
      </c>
      <c r="C26" s="113">
        <f>(Table5351415[[#This Row],[New Orders ex Transport]]-B25)/B25</f>
        <v>2.0737229225569184E-2</v>
      </c>
    </row>
    <row r="27" spans="1:3">
      <c r="A27" s="74">
        <v>34274</v>
      </c>
      <c r="B27" s="75">
        <f>VLOOKUP(A27,Database!A:M,MATCH($A$1,Database!$A$1:$M$1,),)</f>
        <v>94450</v>
      </c>
      <c r="C27" s="113">
        <f>(Table5351415[[#This Row],[New Orders ex Transport]]-B26)/B26</f>
        <v>-1.6483916986869098E-2</v>
      </c>
    </row>
    <row r="28" spans="1:3">
      <c r="A28" s="74">
        <v>34304</v>
      </c>
      <c r="B28" s="75">
        <f>VLOOKUP(A28,Database!A:M,MATCH($A$1,Database!$A$1:$M$1,),)</f>
        <v>97857</v>
      </c>
      <c r="C28" s="113">
        <f>(Table5351415[[#This Row],[New Orders ex Transport]]-B27)/B27</f>
        <v>3.6071995764955005E-2</v>
      </c>
    </row>
    <row r="29" spans="1:3">
      <c r="A29" s="74">
        <v>34335</v>
      </c>
      <c r="B29" s="75">
        <f>VLOOKUP(A29,Database!A:M,MATCH($A$1,Database!$A$1:$M$1,),)</f>
        <v>97250</v>
      </c>
      <c r="C29" s="113">
        <f>(Table5351415[[#This Row],[New Orders ex Transport]]-B28)/B28</f>
        <v>-6.2029287633996542E-3</v>
      </c>
    </row>
    <row r="30" spans="1:3">
      <c r="A30" s="74">
        <v>34366</v>
      </c>
      <c r="B30" s="75">
        <f>VLOOKUP(A30,Database!A:M,MATCH($A$1,Database!$A$1:$M$1,),)</f>
        <v>98720</v>
      </c>
      <c r="C30" s="113">
        <f>(Table5351415[[#This Row],[New Orders ex Transport]]-B29)/B29</f>
        <v>1.5115681233933162E-2</v>
      </c>
    </row>
    <row r="31" spans="1:3">
      <c r="A31" s="74">
        <v>34394</v>
      </c>
      <c r="B31" s="75">
        <f>VLOOKUP(A31,Database!A:M,MATCH($A$1,Database!$A$1:$M$1,),)</f>
        <v>98497</v>
      </c>
      <c r="C31" s="113">
        <f>(Table5351415[[#This Row],[New Orders ex Transport]]-B30)/B30</f>
        <v>-2.2589141004862238E-3</v>
      </c>
    </row>
    <row r="32" spans="1:3">
      <c r="A32" s="74">
        <v>34425</v>
      </c>
      <c r="B32" s="75">
        <f>VLOOKUP(A32,Database!A:M,MATCH($A$1,Database!$A$1:$M$1,),)</f>
        <v>101101</v>
      </c>
      <c r="C32" s="113">
        <f>(Table5351415[[#This Row],[New Orders ex Transport]]-B31)/B31</f>
        <v>2.6437353421931632E-2</v>
      </c>
    </row>
    <row r="33" spans="1:3">
      <c r="A33" s="74">
        <v>34455</v>
      </c>
      <c r="B33" s="75">
        <f>VLOOKUP(A33,Database!A:M,MATCH($A$1,Database!$A$1:$M$1,),)</f>
        <v>102623</v>
      </c>
      <c r="C33" s="113">
        <f>(Table5351415[[#This Row],[New Orders ex Transport]]-B32)/B32</f>
        <v>1.5054252678015054E-2</v>
      </c>
    </row>
    <row r="34" spans="1:3">
      <c r="A34" s="74">
        <v>34486</v>
      </c>
      <c r="B34" s="75">
        <f>VLOOKUP(A34,Database!A:M,MATCH($A$1,Database!$A$1:$M$1,),)</f>
        <v>104475</v>
      </c>
      <c r="C34" s="113">
        <f>(Table5351415[[#This Row],[New Orders ex Transport]]-B33)/B33</f>
        <v>1.8046636718864192E-2</v>
      </c>
    </row>
    <row r="35" spans="1:3">
      <c r="A35" s="74">
        <v>34516</v>
      </c>
      <c r="B35" s="75">
        <f>VLOOKUP(A35,Database!A:M,MATCH($A$1,Database!$A$1:$M$1,),)</f>
        <v>104841</v>
      </c>
      <c r="C35" s="113">
        <f>(Table5351415[[#This Row],[New Orders ex Transport]]-B34)/B34</f>
        <v>3.5032304379038048E-3</v>
      </c>
    </row>
    <row r="36" spans="1:3">
      <c r="A36" s="74">
        <v>34547</v>
      </c>
      <c r="B36" s="75">
        <f>VLOOKUP(A36,Database!A:M,MATCH($A$1,Database!$A$1:$M$1,),)</f>
        <v>103904</v>
      </c>
      <c r="C36" s="113">
        <f>(Table5351415[[#This Row],[New Orders ex Transport]]-B35)/B35</f>
        <v>-8.9373432149636115E-3</v>
      </c>
    </row>
    <row r="37" spans="1:3">
      <c r="A37" s="74">
        <v>34578</v>
      </c>
      <c r="B37" s="75">
        <f>VLOOKUP(A37,Database!A:M,MATCH($A$1,Database!$A$1:$M$1,),)</f>
        <v>104826</v>
      </c>
      <c r="C37" s="113">
        <f>(Table5351415[[#This Row],[New Orders ex Transport]]-B36)/B36</f>
        <v>8.8735756082537719E-3</v>
      </c>
    </row>
    <row r="38" spans="1:3">
      <c r="A38" s="74">
        <v>34608</v>
      </c>
      <c r="B38" s="75">
        <f>VLOOKUP(A38,Database!A:M,MATCH($A$1,Database!$A$1:$M$1,),)</f>
        <v>107955</v>
      </c>
      <c r="C38" s="113">
        <f>(Table5351415[[#This Row],[New Orders ex Transport]]-B37)/B37</f>
        <v>2.9849464827428309E-2</v>
      </c>
    </row>
    <row r="39" spans="1:3">
      <c r="A39" s="74">
        <v>34639</v>
      </c>
      <c r="B39" s="75">
        <f>VLOOKUP(A39,Database!A:M,MATCH($A$1,Database!$A$1:$M$1,),)</f>
        <v>107142</v>
      </c>
      <c r="C39" s="113">
        <f>(Table5351415[[#This Row],[New Orders ex Transport]]-B38)/B38</f>
        <v>-7.5309156593024867E-3</v>
      </c>
    </row>
    <row r="40" spans="1:3">
      <c r="A40" s="74">
        <v>34669</v>
      </c>
      <c r="B40" s="75">
        <f>VLOOKUP(A40,Database!A:M,MATCH($A$1,Database!$A$1:$M$1,),)</f>
        <v>109357</v>
      </c>
      <c r="C40" s="113">
        <f>(Table5351415[[#This Row],[New Orders ex Transport]]-B39)/B39</f>
        <v>2.0673498721323104E-2</v>
      </c>
    </row>
    <row r="41" spans="1:3">
      <c r="A41" s="74">
        <v>34700</v>
      </c>
      <c r="B41" s="75">
        <f>VLOOKUP(A41,Database!A:M,MATCH($A$1,Database!$A$1:$M$1,),)</f>
        <v>111899</v>
      </c>
      <c r="C41" s="113">
        <f>(Table5351415[[#This Row],[New Orders ex Transport]]-B40)/B40</f>
        <v>2.3244968314785518E-2</v>
      </c>
    </row>
    <row r="42" spans="1:3">
      <c r="A42" s="74">
        <v>34731</v>
      </c>
      <c r="B42" s="75">
        <f>VLOOKUP(A42,Database!A:M,MATCH($A$1,Database!$A$1:$M$1,),)</f>
        <v>109484</v>
      </c>
      <c r="C42" s="113">
        <f>(Table5351415[[#This Row],[New Orders ex Transport]]-B41)/B41</f>
        <v>-2.1581962305293165E-2</v>
      </c>
    </row>
    <row r="43" spans="1:3">
      <c r="A43" s="74">
        <v>34759</v>
      </c>
      <c r="B43" s="75">
        <f>VLOOKUP(A43,Database!A:M,MATCH($A$1,Database!$A$1:$M$1,),)</f>
        <v>109712</v>
      </c>
      <c r="C43" s="113">
        <f>(Table5351415[[#This Row],[New Orders ex Transport]]-B42)/B42</f>
        <v>2.0824960724854773E-3</v>
      </c>
    </row>
    <row r="44" spans="1:3">
      <c r="A44" s="74">
        <v>34790</v>
      </c>
      <c r="B44" s="75">
        <f>VLOOKUP(A44,Database!A:M,MATCH($A$1,Database!$A$1:$M$1,),)</f>
        <v>110480</v>
      </c>
      <c r="C44" s="113">
        <f>(Table5351415[[#This Row],[New Orders ex Transport]]-B43)/B43</f>
        <v>7.0001458363715911E-3</v>
      </c>
    </row>
    <row r="45" spans="1:3">
      <c r="A45" s="74">
        <v>34820</v>
      </c>
      <c r="B45" s="75">
        <f>VLOOKUP(A45,Database!A:M,MATCH($A$1,Database!$A$1:$M$1,),)</f>
        <v>111794</v>
      </c>
      <c r="C45" s="113">
        <f>(Table5351415[[#This Row],[New Orders ex Transport]]-B44)/B44</f>
        <v>1.1893555394641564E-2</v>
      </c>
    </row>
    <row r="46" spans="1:3">
      <c r="A46" s="74">
        <v>34851</v>
      </c>
      <c r="B46" s="75">
        <f>VLOOKUP(A46,Database!A:M,MATCH($A$1,Database!$A$1:$M$1,),)</f>
        <v>109440</v>
      </c>
      <c r="C46" s="113">
        <f>(Table5351415[[#This Row],[New Orders ex Transport]]-B45)/B45</f>
        <v>-2.1056586221085211E-2</v>
      </c>
    </row>
    <row r="47" spans="1:3">
      <c r="A47" s="74">
        <v>34881</v>
      </c>
      <c r="B47" s="75">
        <f>VLOOKUP(A47,Database!A:M,MATCH($A$1,Database!$A$1:$M$1,),)</f>
        <v>108990</v>
      </c>
      <c r="C47" s="113">
        <f>(Table5351415[[#This Row],[New Orders ex Transport]]-B46)/B46</f>
        <v>-4.1118421052631577E-3</v>
      </c>
    </row>
    <row r="48" spans="1:3">
      <c r="A48" s="74">
        <v>34912</v>
      </c>
      <c r="B48" s="75">
        <f>VLOOKUP(A48,Database!A:M,MATCH($A$1,Database!$A$1:$M$1,),)</f>
        <v>112316</v>
      </c>
      <c r="C48" s="113">
        <f>(Table5351415[[#This Row],[New Orders ex Transport]]-B47)/B47</f>
        <v>3.0516561152399303E-2</v>
      </c>
    </row>
    <row r="49" spans="1:3">
      <c r="A49" s="74">
        <v>34943</v>
      </c>
      <c r="B49" s="75">
        <f>VLOOKUP(A49,Database!A:M,MATCH($A$1,Database!$A$1:$M$1,),)</f>
        <v>113019</v>
      </c>
      <c r="C49" s="113">
        <f>(Table5351415[[#This Row],[New Orders ex Transport]]-B48)/B48</f>
        <v>6.2591260372520385E-3</v>
      </c>
    </row>
    <row r="50" spans="1:3">
      <c r="A50" s="74">
        <v>34973</v>
      </c>
      <c r="B50" s="75">
        <f>VLOOKUP(A50,Database!A:M,MATCH($A$1,Database!$A$1:$M$1,),)</f>
        <v>115650</v>
      </c>
      <c r="C50" s="113">
        <f>(Table5351415[[#This Row],[New Orders ex Transport]]-B49)/B49</f>
        <v>2.3279271626894592E-2</v>
      </c>
    </row>
    <row r="51" spans="1:3">
      <c r="A51" s="74">
        <v>35004</v>
      </c>
      <c r="B51" s="75">
        <f>VLOOKUP(A51,Database!A:M,MATCH($A$1,Database!$A$1:$M$1,),)</f>
        <v>113473</v>
      </c>
      <c r="C51" s="113">
        <f>(Table5351415[[#This Row],[New Orders ex Transport]]-B50)/B50</f>
        <v>-1.882403804582793E-2</v>
      </c>
    </row>
    <row r="52" spans="1:3">
      <c r="A52" s="74">
        <v>35034</v>
      </c>
      <c r="B52" s="75">
        <f>VLOOKUP(A52,Database!A:M,MATCH($A$1,Database!$A$1:$M$1,),)</f>
        <v>116432</v>
      </c>
      <c r="C52" s="113">
        <f>(Table5351415[[#This Row],[New Orders ex Transport]]-B51)/B51</f>
        <v>2.6076687846448055E-2</v>
      </c>
    </row>
    <row r="53" spans="1:3">
      <c r="A53" s="74">
        <v>35065</v>
      </c>
      <c r="B53" s="75">
        <f>VLOOKUP(A53,Database!A:M,MATCH($A$1,Database!$A$1:$M$1,),)</f>
        <v>112070</v>
      </c>
      <c r="C53" s="113">
        <f>(Table5351415[[#This Row],[New Orders ex Transport]]-B52)/B52</f>
        <v>-3.7463927442627457E-2</v>
      </c>
    </row>
    <row r="54" spans="1:3">
      <c r="A54" s="74">
        <v>35096</v>
      </c>
      <c r="B54" s="75">
        <f>VLOOKUP(A54,Database!A:M,MATCH($A$1,Database!$A$1:$M$1,),)</f>
        <v>110398</v>
      </c>
      <c r="C54" s="113">
        <f>(Table5351415[[#This Row],[New Orders ex Transport]]-B53)/B53</f>
        <v>-1.4919246899259392E-2</v>
      </c>
    </row>
    <row r="55" spans="1:3">
      <c r="A55" s="74">
        <v>35125</v>
      </c>
      <c r="B55" s="75">
        <f>VLOOKUP(A55,Database!A:M,MATCH($A$1,Database!$A$1:$M$1,),)</f>
        <v>114653</v>
      </c>
      <c r="C55" s="113">
        <f>(Table5351415[[#This Row],[New Orders ex Transport]]-B54)/B54</f>
        <v>3.8542364897914815E-2</v>
      </c>
    </row>
    <row r="56" spans="1:3">
      <c r="A56" s="74">
        <v>35156</v>
      </c>
      <c r="B56" s="75">
        <f>VLOOKUP(A56,Database!A:M,MATCH($A$1,Database!$A$1:$M$1,),)</f>
        <v>113802</v>
      </c>
      <c r="C56" s="113">
        <f>(Table5351415[[#This Row],[New Orders ex Transport]]-B55)/B55</f>
        <v>-7.4223962739745145E-3</v>
      </c>
    </row>
    <row r="57" spans="1:3">
      <c r="A57" s="74">
        <v>35186</v>
      </c>
      <c r="B57" s="75">
        <f>VLOOKUP(A57,Database!A:M,MATCH($A$1,Database!$A$1:$M$1,),)</f>
        <v>117175</v>
      </c>
      <c r="C57" s="113">
        <f>(Table5351415[[#This Row],[New Orders ex Transport]]-B56)/B56</f>
        <v>2.9639197905133478E-2</v>
      </c>
    </row>
    <row r="58" spans="1:3">
      <c r="A58" s="74">
        <v>35217</v>
      </c>
      <c r="B58" s="75">
        <f>VLOOKUP(A58,Database!A:M,MATCH($A$1,Database!$A$1:$M$1,),)</f>
        <v>117889</v>
      </c>
      <c r="C58" s="113">
        <f>(Table5351415[[#This Row],[New Orders ex Transport]]-B57)/B57</f>
        <v>6.0934499679965864E-3</v>
      </c>
    </row>
    <row r="59" spans="1:3">
      <c r="A59" s="74">
        <v>35247</v>
      </c>
      <c r="B59" s="75">
        <f>VLOOKUP(A59,Database!A:M,MATCH($A$1,Database!$A$1:$M$1,),)</f>
        <v>116598</v>
      </c>
      <c r="C59" s="113">
        <f>(Table5351415[[#This Row],[New Orders ex Transport]]-B58)/B58</f>
        <v>-1.0950979311046832E-2</v>
      </c>
    </row>
    <row r="60" spans="1:3">
      <c r="A60" s="74">
        <v>35278</v>
      </c>
      <c r="B60" s="75">
        <f>VLOOKUP(A60,Database!A:M,MATCH($A$1,Database!$A$1:$M$1,),)</f>
        <v>117708</v>
      </c>
      <c r="C60" s="113">
        <f>(Table5351415[[#This Row],[New Orders ex Transport]]-B59)/B59</f>
        <v>9.5198888488653328E-3</v>
      </c>
    </row>
    <row r="61" spans="1:3">
      <c r="A61" s="74">
        <v>35309</v>
      </c>
      <c r="B61" s="75">
        <f>VLOOKUP(A61,Database!A:M,MATCH($A$1,Database!$A$1:$M$1,),)</f>
        <v>116336</v>
      </c>
      <c r="C61" s="113">
        <f>(Table5351415[[#This Row],[New Orders ex Transport]]-B60)/B60</f>
        <v>-1.1655962211574404E-2</v>
      </c>
    </row>
    <row r="62" spans="1:3">
      <c r="A62" s="74">
        <v>35339</v>
      </c>
      <c r="B62" s="75">
        <f>VLOOKUP(A62,Database!A:M,MATCH($A$1,Database!$A$1:$M$1,),)</f>
        <v>119499</v>
      </c>
      <c r="C62" s="113">
        <f>(Table5351415[[#This Row],[New Orders ex Transport]]-B61)/B61</f>
        <v>2.7188488516022555E-2</v>
      </c>
    </row>
    <row r="63" spans="1:3">
      <c r="A63" s="74">
        <v>35370</v>
      </c>
      <c r="B63" s="75">
        <f>VLOOKUP(A63,Database!A:M,MATCH($A$1,Database!$A$1:$M$1,),)</f>
        <v>119569</v>
      </c>
      <c r="C63" s="113">
        <f>(Table5351415[[#This Row],[New Orders ex Transport]]-B62)/B62</f>
        <v>5.8577896049339328E-4</v>
      </c>
    </row>
    <row r="64" spans="1:3">
      <c r="A64" s="74">
        <v>35400</v>
      </c>
      <c r="B64" s="75">
        <f>VLOOKUP(A64,Database!A:M,MATCH($A$1,Database!$A$1:$M$1,),)</f>
        <v>116695</v>
      </c>
      <c r="C64" s="113">
        <f>(Table5351415[[#This Row],[New Orders ex Transport]]-B63)/B63</f>
        <v>-2.4036330486999137E-2</v>
      </c>
    </row>
    <row r="65" spans="1:3">
      <c r="A65" s="74">
        <v>35431</v>
      </c>
      <c r="B65" s="75">
        <f>VLOOKUP(A65,Database!A:M,MATCH($A$1,Database!$A$1:$M$1,),)</f>
        <v>118690</v>
      </c>
      <c r="C65" s="113">
        <f>(Table5351415[[#This Row],[New Orders ex Transport]]-B64)/B64</f>
        <v>1.7095848151163291E-2</v>
      </c>
    </row>
    <row r="66" spans="1:3">
      <c r="A66" s="74">
        <v>35462</v>
      </c>
      <c r="B66" s="75">
        <f>VLOOKUP(A66,Database!A:M,MATCH($A$1,Database!$A$1:$M$1,),)</f>
        <v>123490</v>
      </c>
      <c r="C66" s="113">
        <f>(Table5351415[[#This Row],[New Orders ex Transport]]-B65)/B65</f>
        <v>4.0441486224618753E-2</v>
      </c>
    </row>
    <row r="67" spans="1:3">
      <c r="A67" s="74">
        <v>35490</v>
      </c>
      <c r="B67" s="75">
        <f>VLOOKUP(A67,Database!A:M,MATCH($A$1,Database!$A$1:$M$1,),)</f>
        <v>123185</v>
      </c>
      <c r="C67" s="113">
        <f>(Table5351415[[#This Row],[New Orders ex Transport]]-B66)/B66</f>
        <v>-2.469835614219775E-3</v>
      </c>
    </row>
    <row r="68" spans="1:3">
      <c r="A68" s="74">
        <v>35521</v>
      </c>
      <c r="B68" s="75">
        <f>VLOOKUP(A68,Database!A:M,MATCH($A$1,Database!$A$1:$M$1,),)</f>
        <v>125909</v>
      </c>
      <c r="C68" s="113">
        <f>(Table5351415[[#This Row],[New Orders ex Transport]]-B67)/B67</f>
        <v>2.2113081949912732E-2</v>
      </c>
    </row>
    <row r="69" spans="1:3">
      <c r="A69" s="74">
        <v>35551</v>
      </c>
      <c r="B69" s="75">
        <f>VLOOKUP(A69,Database!A:M,MATCH($A$1,Database!$A$1:$M$1,),)</f>
        <v>122860</v>
      </c>
      <c r="C69" s="113">
        <f>(Table5351415[[#This Row],[New Orders ex Transport]]-B68)/B68</f>
        <v>-2.4215901960940044E-2</v>
      </c>
    </row>
    <row r="70" spans="1:3">
      <c r="A70" s="74">
        <v>35582</v>
      </c>
      <c r="B70" s="75">
        <f>VLOOKUP(A70,Database!A:M,MATCH($A$1,Database!$A$1:$M$1,),)</f>
        <v>126457</v>
      </c>
      <c r="C70" s="113">
        <f>(Table5351415[[#This Row],[New Orders ex Transport]]-B69)/B69</f>
        <v>2.9277226111020675E-2</v>
      </c>
    </row>
    <row r="71" spans="1:3">
      <c r="A71" s="74">
        <v>35612</v>
      </c>
      <c r="B71" s="75">
        <f>VLOOKUP(A71,Database!A:M,MATCH($A$1,Database!$A$1:$M$1,),)</f>
        <v>128937</v>
      </c>
      <c r="C71" s="113">
        <f>(Table5351415[[#This Row],[New Orders ex Transport]]-B70)/B70</f>
        <v>1.9611409411894952E-2</v>
      </c>
    </row>
    <row r="72" spans="1:3">
      <c r="A72" s="74">
        <v>35643</v>
      </c>
      <c r="B72" s="75">
        <f>VLOOKUP(A72,Database!A:M,MATCH($A$1,Database!$A$1:$M$1,),)</f>
        <v>127817</v>
      </c>
      <c r="C72" s="113">
        <f>(Table5351415[[#This Row],[New Orders ex Transport]]-B71)/B71</f>
        <v>-8.6864127442084112E-3</v>
      </c>
    </row>
    <row r="73" spans="1:3">
      <c r="A73" s="74">
        <v>35674</v>
      </c>
      <c r="B73" s="75">
        <f>VLOOKUP(A73,Database!A:M,MATCH($A$1,Database!$A$1:$M$1,),)</f>
        <v>130673</v>
      </c>
      <c r="C73" s="113">
        <f>(Table5351415[[#This Row],[New Orders ex Transport]]-B72)/B72</f>
        <v>2.2344445574532339E-2</v>
      </c>
    </row>
    <row r="74" spans="1:3">
      <c r="A74" s="74">
        <v>35704</v>
      </c>
      <c r="B74" s="75">
        <f>VLOOKUP(A74,Database!A:M,MATCH($A$1,Database!$A$1:$M$1,),)</f>
        <v>127387</v>
      </c>
      <c r="C74" s="113">
        <f>(Table5351415[[#This Row],[New Orders ex Transport]]-B73)/B73</f>
        <v>-2.5146740336565318E-2</v>
      </c>
    </row>
    <row r="75" spans="1:3">
      <c r="A75" s="74">
        <v>35735</v>
      </c>
      <c r="B75" s="75">
        <f>VLOOKUP(A75,Database!A:M,MATCH($A$1,Database!$A$1:$M$1,),)</f>
        <v>128586</v>
      </c>
      <c r="C75" s="113">
        <f>(Table5351415[[#This Row],[New Orders ex Transport]]-B74)/B74</f>
        <v>9.4122634177741839E-3</v>
      </c>
    </row>
    <row r="76" spans="1:3">
      <c r="A76" s="74">
        <v>35765</v>
      </c>
      <c r="B76" s="75">
        <f>VLOOKUP(A76,Database!A:M,MATCH($A$1,Database!$A$1:$M$1,),)</f>
        <v>128191</v>
      </c>
      <c r="C76" s="113">
        <f>(Table5351415[[#This Row],[New Orders ex Transport]]-B75)/B75</f>
        <v>-3.0718740764935529E-3</v>
      </c>
    </row>
    <row r="77" spans="1:3">
      <c r="A77" s="74">
        <v>35796</v>
      </c>
      <c r="B77" s="75">
        <f>VLOOKUP(A77,Database!A:M,MATCH($A$1,Database!$A$1:$M$1,),)</f>
        <v>127262</v>
      </c>
      <c r="C77" s="113">
        <f>(Table5351415[[#This Row],[New Orders ex Transport]]-B76)/B76</f>
        <v>-7.2469986192478415E-3</v>
      </c>
    </row>
    <row r="78" spans="1:3">
      <c r="A78" s="74">
        <v>35827</v>
      </c>
      <c r="B78" s="75">
        <f>VLOOKUP(A78,Database!A:M,MATCH($A$1,Database!$A$1:$M$1,),)</f>
        <v>130630</v>
      </c>
      <c r="C78" s="113">
        <f>(Table5351415[[#This Row],[New Orders ex Transport]]-B77)/B77</f>
        <v>2.6465087771683615E-2</v>
      </c>
    </row>
    <row r="79" spans="1:3">
      <c r="A79" s="74">
        <v>35855</v>
      </c>
      <c r="B79" s="75">
        <f>VLOOKUP(A79,Database!A:M,MATCH($A$1,Database!$A$1:$M$1,),)</f>
        <v>128771</v>
      </c>
      <c r="C79" s="113">
        <f>(Table5351415[[#This Row],[New Orders ex Transport]]-B78)/B78</f>
        <v>-1.4231034218785884E-2</v>
      </c>
    </row>
    <row r="80" spans="1:3">
      <c r="A80" s="74">
        <v>35886</v>
      </c>
      <c r="B80" s="75">
        <f>VLOOKUP(A80,Database!A:M,MATCH($A$1,Database!$A$1:$M$1,),)</f>
        <v>126519</v>
      </c>
      <c r="C80" s="113">
        <f>(Table5351415[[#This Row],[New Orders ex Transport]]-B79)/B79</f>
        <v>-1.7488409657453931E-2</v>
      </c>
    </row>
    <row r="81" spans="1:3">
      <c r="A81" s="74">
        <v>35916</v>
      </c>
      <c r="B81" s="75">
        <f>VLOOKUP(A81,Database!A:M,MATCH($A$1,Database!$A$1:$M$1,),)</f>
        <v>129740</v>
      </c>
      <c r="C81" s="113">
        <f>(Table5351415[[#This Row],[New Orders ex Transport]]-B80)/B80</f>
        <v>2.5458626767521083E-2</v>
      </c>
    </row>
    <row r="82" spans="1:3">
      <c r="A82" s="74">
        <v>35947</v>
      </c>
      <c r="B82" s="75">
        <f>VLOOKUP(A82,Database!A:M,MATCH($A$1,Database!$A$1:$M$1,),)</f>
        <v>130048</v>
      </c>
      <c r="C82" s="113">
        <f>(Table5351415[[#This Row],[New Orders ex Transport]]-B81)/B81</f>
        <v>2.3739787266841375E-3</v>
      </c>
    </row>
    <row r="83" spans="1:3">
      <c r="A83" s="74">
        <v>35977</v>
      </c>
      <c r="B83" s="75">
        <f>VLOOKUP(A83,Database!A:M,MATCH($A$1,Database!$A$1:$M$1,),)</f>
        <v>126102</v>
      </c>
      <c r="C83" s="113">
        <f>(Table5351415[[#This Row],[New Orders ex Transport]]-B82)/B82</f>
        <v>-3.0342642716535435E-2</v>
      </c>
    </row>
    <row r="84" spans="1:3">
      <c r="A84" s="74">
        <v>36008</v>
      </c>
      <c r="B84" s="75">
        <f>VLOOKUP(A84,Database!A:M,MATCH($A$1,Database!$A$1:$M$1,),)</f>
        <v>126589</v>
      </c>
      <c r="C84" s="113">
        <f>(Table5351415[[#This Row],[New Orders ex Transport]]-B83)/B83</f>
        <v>3.8619530221566667E-3</v>
      </c>
    </row>
    <row r="85" spans="1:3">
      <c r="A85" s="74">
        <v>36039</v>
      </c>
      <c r="B85" s="75">
        <f>VLOOKUP(A85,Database!A:M,MATCH($A$1,Database!$A$1:$M$1,),)</f>
        <v>128820</v>
      </c>
      <c r="C85" s="113">
        <f>(Table5351415[[#This Row],[New Orders ex Transport]]-B84)/B84</f>
        <v>1.7623964167502705E-2</v>
      </c>
    </row>
    <row r="86" spans="1:3">
      <c r="A86" s="74">
        <v>36069</v>
      </c>
      <c r="B86" s="75">
        <f>VLOOKUP(A86,Database!A:M,MATCH($A$1,Database!$A$1:$M$1,),)</f>
        <v>125391</v>
      </c>
      <c r="C86" s="113">
        <f>(Table5351415[[#This Row],[New Orders ex Transport]]-B85)/B85</f>
        <v>-2.6618537494177922E-2</v>
      </c>
    </row>
    <row r="87" spans="1:3">
      <c r="A87" s="74">
        <v>36100</v>
      </c>
      <c r="B87" s="75">
        <f>VLOOKUP(A87,Database!A:M,MATCH($A$1,Database!$A$1:$M$1,),)</f>
        <v>128102</v>
      </c>
      <c r="C87" s="113">
        <f>(Table5351415[[#This Row],[New Orders ex Transport]]-B86)/B86</f>
        <v>2.1620371478016764E-2</v>
      </c>
    </row>
    <row r="88" spans="1:3">
      <c r="A88" s="74">
        <v>36130</v>
      </c>
      <c r="B88" s="75">
        <f>VLOOKUP(A88,Database!A:M,MATCH($A$1,Database!$A$1:$M$1,),)</f>
        <v>130753</v>
      </c>
      <c r="C88" s="113">
        <f>(Table5351415[[#This Row],[New Orders ex Transport]]-B87)/B87</f>
        <v>2.0694446612855379E-2</v>
      </c>
    </row>
    <row r="89" spans="1:3">
      <c r="A89" s="74">
        <v>36161</v>
      </c>
      <c r="B89" s="75">
        <f>VLOOKUP(A89,Database!A:M,MATCH($A$1,Database!$A$1:$M$1,),)</f>
        <v>127125</v>
      </c>
      <c r="C89" s="113">
        <f>(Table5351415[[#This Row],[New Orders ex Transport]]-B88)/B88</f>
        <v>-2.7746973300803807E-2</v>
      </c>
    </row>
    <row r="90" spans="1:3">
      <c r="A90" s="74">
        <v>36192</v>
      </c>
      <c r="B90" s="75">
        <f>VLOOKUP(A90,Database!A:M,MATCH($A$1,Database!$A$1:$M$1,),)</f>
        <v>130143</v>
      </c>
      <c r="C90" s="113">
        <f>(Table5351415[[#This Row],[New Orders ex Transport]]-B89)/B89</f>
        <v>2.3740412979351033E-2</v>
      </c>
    </row>
    <row r="91" spans="1:3">
      <c r="A91" s="74">
        <v>36220</v>
      </c>
      <c r="B91" s="75">
        <f>VLOOKUP(A91,Database!A:M,MATCH($A$1,Database!$A$1:$M$1,),)</f>
        <v>129497</v>
      </c>
      <c r="C91" s="113">
        <f>(Table5351415[[#This Row],[New Orders ex Transport]]-B90)/B90</f>
        <v>-4.9637706215470674E-3</v>
      </c>
    </row>
    <row r="92" spans="1:3">
      <c r="A92" s="74">
        <v>36251</v>
      </c>
      <c r="B92" s="75">
        <f>VLOOKUP(A92,Database!A:M,MATCH($A$1,Database!$A$1:$M$1,),)</f>
        <v>130468</v>
      </c>
      <c r="C92" s="113">
        <f>(Table5351415[[#This Row],[New Orders ex Transport]]-B91)/B91</f>
        <v>7.4982432025452331E-3</v>
      </c>
    </row>
    <row r="93" spans="1:3">
      <c r="A93" s="74">
        <v>36281</v>
      </c>
      <c r="B93" s="75">
        <f>VLOOKUP(A93,Database!A:M,MATCH($A$1,Database!$A$1:$M$1,),)</f>
        <v>130627</v>
      </c>
      <c r="C93" s="113">
        <f>(Table5351415[[#This Row],[New Orders ex Transport]]-B92)/B92</f>
        <v>1.2186896403715854E-3</v>
      </c>
    </row>
    <row r="94" spans="1:3">
      <c r="A94" s="74">
        <v>36312</v>
      </c>
      <c r="B94" s="75">
        <f>VLOOKUP(A94,Database!A:M,MATCH($A$1,Database!$A$1:$M$1,),)</f>
        <v>130642</v>
      </c>
      <c r="C94" s="113">
        <f>(Table5351415[[#This Row],[New Orders ex Transport]]-B93)/B93</f>
        <v>1.148307777105805E-4</v>
      </c>
    </row>
    <row r="95" spans="1:3">
      <c r="A95" s="74">
        <v>36342</v>
      </c>
      <c r="B95" s="75">
        <f>VLOOKUP(A95,Database!A:M,MATCH($A$1,Database!$A$1:$M$1,),)</f>
        <v>134206</v>
      </c>
      <c r="C95" s="113">
        <f>(Table5351415[[#This Row],[New Orders ex Transport]]-B94)/B94</f>
        <v>2.7280660124615361E-2</v>
      </c>
    </row>
    <row r="96" spans="1:3">
      <c r="A96" s="74">
        <v>36373</v>
      </c>
      <c r="B96" s="75">
        <f>VLOOKUP(A96,Database!A:M,MATCH($A$1,Database!$A$1:$M$1,),)</f>
        <v>134061</v>
      </c>
      <c r="C96" s="113">
        <f>(Table5351415[[#This Row],[New Orders ex Transport]]-B95)/B95</f>
        <v>-1.0804285948467281E-3</v>
      </c>
    </row>
    <row r="97" spans="1:3">
      <c r="A97" s="74">
        <v>36404</v>
      </c>
      <c r="B97" s="75">
        <f>VLOOKUP(A97,Database!A:M,MATCH($A$1,Database!$A$1:$M$1,),)</f>
        <v>135632</v>
      </c>
      <c r="C97" s="113">
        <f>(Table5351415[[#This Row],[New Orders ex Transport]]-B96)/B96</f>
        <v>1.1718546035013912E-2</v>
      </c>
    </row>
    <row r="98" spans="1:3">
      <c r="A98" s="74">
        <v>36434</v>
      </c>
      <c r="B98" s="75">
        <f>VLOOKUP(A98,Database!A:M,MATCH($A$1,Database!$A$1:$M$1,),)</f>
        <v>137171</v>
      </c>
      <c r="C98" s="113">
        <f>(Table5351415[[#This Row],[New Orders ex Transport]]-B97)/B97</f>
        <v>1.134687979237938E-2</v>
      </c>
    </row>
    <row r="99" spans="1:3">
      <c r="A99" s="74">
        <v>36465</v>
      </c>
      <c r="B99" s="75">
        <f>VLOOKUP(A99,Database!A:M,MATCH($A$1,Database!$A$1:$M$1,),)</f>
        <v>134658</v>
      </c>
      <c r="C99" s="113">
        <f>(Table5351415[[#This Row],[New Orders ex Transport]]-B98)/B98</f>
        <v>-1.8320198875855682E-2</v>
      </c>
    </row>
    <row r="100" spans="1:3">
      <c r="A100" s="74">
        <v>36495</v>
      </c>
      <c r="B100" s="75">
        <f>VLOOKUP(A100,Database!A:M,MATCH($A$1,Database!$A$1:$M$1,),)</f>
        <v>139078</v>
      </c>
      <c r="C100" s="113">
        <f>(Table5351415[[#This Row],[New Orders ex Transport]]-B99)/B99</f>
        <v>3.2823894607078671E-2</v>
      </c>
    </row>
    <row r="101" spans="1:3">
      <c r="A101" s="74">
        <v>36526</v>
      </c>
      <c r="B101" s="75">
        <f>VLOOKUP(A101,Database!A:M,MATCH($A$1,Database!$A$1:$M$1,),)</f>
        <v>139613</v>
      </c>
      <c r="C101" s="113">
        <f>(Table5351415[[#This Row],[New Orders ex Transport]]-B100)/B100</f>
        <v>3.8467622485224119E-3</v>
      </c>
    </row>
    <row r="102" spans="1:3">
      <c r="A102" s="74">
        <v>36557</v>
      </c>
      <c r="B102" s="75">
        <f>VLOOKUP(A102,Database!A:M,MATCH($A$1,Database!$A$1:$M$1,),)</f>
        <v>132425</v>
      </c>
      <c r="C102" s="113">
        <f>(Table5351415[[#This Row],[New Orders ex Transport]]-B101)/B101</f>
        <v>-5.1485176881809001E-2</v>
      </c>
    </row>
    <row r="103" spans="1:3">
      <c r="A103" s="74">
        <v>36586</v>
      </c>
      <c r="B103" s="75">
        <f>VLOOKUP(A103,Database!A:M,MATCH($A$1,Database!$A$1:$M$1,),)</f>
        <v>139841</v>
      </c>
      <c r="C103" s="113">
        <f>(Table5351415[[#This Row],[New Orders ex Transport]]-B102)/B102</f>
        <v>5.6001510288842739E-2</v>
      </c>
    </row>
    <row r="104" spans="1:3">
      <c r="A104" s="74">
        <v>36617</v>
      </c>
      <c r="B104" s="75">
        <f>VLOOKUP(A104,Database!A:M,MATCH($A$1,Database!$A$1:$M$1,),)</f>
        <v>141338</v>
      </c>
      <c r="C104" s="113">
        <f>(Table5351415[[#This Row],[New Orders ex Transport]]-B103)/B103</f>
        <v>1.0705014981300191E-2</v>
      </c>
    </row>
    <row r="105" spans="1:3">
      <c r="A105" s="74">
        <v>36647</v>
      </c>
      <c r="B105" s="75">
        <f>VLOOKUP(A105,Database!A:M,MATCH($A$1,Database!$A$1:$M$1,),)</f>
        <v>137890</v>
      </c>
      <c r="C105" s="113">
        <f>(Table5351415[[#This Row],[New Orders ex Transport]]-B104)/B104</f>
        <v>-2.4395420905913484E-2</v>
      </c>
    </row>
    <row r="106" spans="1:3">
      <c r="A106" s="74">
        <v>36678</v>
      </c>
      <c r="B106" s="75">
        <f>VLOOKUP(A106,Database!A:M,MATCH($A$1,Database!$A$1:$M$1,),)</f>
        <v>143496</v>
      </c>
      <c r="C106" s="113">
        <f>(Table5351415[[#This Row],[New Orders ex Transport]]-B105)/B105</f>
        <v>4.0655595039524262E-2</v>
      </c>
    </row>
    <row r="107" spans="1:3">
      <c r="A107" s="74">
        <v>36708</v>
      </c>
      <c r="B107" s="75">
        <f>VLOOKUP(A107,Database!A:M,MATCH($A$1,Database!$A$1:$M$1,),)</f>
        <v>137968</v>
      </c>
      <c r="C107" s="113">
        <f>(Table5351415[[#This Row],[New Orders ex Transport]]-B106)/B106</f>
        <v>-3.8523721915593466E-2</v>
      </c>
    </row>
    <row r="108" spans="1:3">
      <c r="A108" s="74">
        <v>36739</v>
      </c>
      <c r="B108" s="75">
        <f>VLOOKUP(A108,Database!A:M,MATCH($A$1,Database!$A$1:$M$1,),)</f>
        <v>138633</v>
      </c>
      <c r="C108" s="113">
        <f>(Table5351415[[#This Row],[New Orders ex Transport]]-B107)/B107</f>
        <v>4.819958251188681E-3</v>
      </c>
    </row>
    <row r="109" spans="1:3">
      <c r="A109" s="74">
        <v>36770</v>
      </c>
      <c r="B109" s="75">
        <f>VLOOKUP(A109,Database!A:M,MATCH($A$1,Database!$A$1:$M$1,),)</f>
        <v>141463</v>
      </c>
      <c r="C109" s="113">
        <f>(Table5351415[[#This Row],[New Orders ex Transport]]-B108)/B108</f>
        <v>2.0413610035128722E-2</v>
      </c>
    </row>
    <row r="110" spans="1:3">
      <c r="A110" s="74">
        <v>36800</v>
      </c>
      <c r="B110" s="75">
        <f>VLOOKUP(A110,Database!A:M,MATCH($A$1,Database!$A$1:$M$1,),)</f>
        <v>137264</v>
      </c>
      <c r="C110" s="113">
        <f>(Table5351415[[#This Row],[New Orders ex Transport]]-B109)/B109</f>
        <v>-2.9682673207835266E-2</v>
      </c>
    </row>
    <row r="111" spans="1:3">
      <c r="A111" s="74">
        <v>36831</v>
      </c>
      <c r="B111" s="75">
        <f>VLOOKUP(A111,Database!A:M,MATCH($A$1,Database!$A$1:$M$1,),)</f>
        <v>136045</v>
      </c>
      <c r="C111" s="113">
        <f>(Table5351415[[#This Row],[New Orders ex Transport]]-B110)/B110</f>
        <v>-8.8806970509383385E-3</v>
      </c>
    </row>
    <row r="112" spans="1:3">
      <c r="A112" s="74">
        <v>36861</v>
      </c>
      <c r="B112" s="75">
        <f>VLOOKUP(A112,Database!A:M,MATCH($A$1,Database!$A$1:$M$1,),)</f>
        <v>135323</v>
      </c>
      <c r="C112" s="113">
        <f>(Table5351415[[#This Row],[New Orders ex Transport]]-B111)/B111</f>
        <v>-5.3070675144253742E-3</v>
      </c>
    </row>
    <row r="113" spans="1:3">
      <c r="A113" s="74">
        <v>36892</v>
      </c>
      <c r="B113" s="75">
        <f>VLOOKUP(A113,Database!A:M,MATCH($A$1,Database!$A$1:$M$1,),)</f>
        <v>131646</v>
      </c>
      <c r="C113" s="113">
        <f>(Table5351415[[#This Row],[New Orders ex Transport]]-B112)/B112</f>
        <v>-2.7172025450219104E-2</v>
      </c>
    </row>
    <row r="114" spans="1:3">
      <c r="A114" s="74">
        <v>36923</v>
      </c>
      <c r="B114" s="75">
        <f>VLOOKUP(A114,Database!A:M,MATCH($A$1,Database!$A$1:$M$1,),)</f>
        <v>131335</v>
      </c>
      <c r="C114" s="113">
        <f>(Table5351415[[#This Row],[New Orders ex Transport]]-B113)/B113</f>
        <v>-2.362396122935752E-3</v>
      </c>
    </row>
    <row r="115" spans="1:3">
      <c r="A115" s="74">
        <v>36951</v>
      </c>
      <c r="B115" s="75">
        <f>VLOOKUP(A115,Database!A:M,MATCH($A$1,Database!$A$1:$M$1,),)</f>
        <v>125568</v>
      </c>
      <c r="C115" s="113">
        <f>(Table5351415[[#This Row],[New Orders ex Transport]]-B114)/B114</f>
        <v>-4.3910610271443253E-2</v>
      </c>
    </row>
    <row r="116" spans="1:3">
      <c r="A116" s="74">
        <v>36982</v>
      </c>
      <c r="B116" s="75">
        <f>VLOOKUP(A116,Database!A:M,MATCH($A$1,Database!$A$1:$M$1,),)</f>
        <v>120800</v>
      </c>
      <c r="C116" s="113">
        <f>(Table5351415[[#This Row],[New Orders ex Transport]]-B115)/B115</f>
        <v>-3.7971457696228339E-2</v>
      </c>
    </row>
    <row r="117" spans="1:3">
      <c r="A117" s="74">
        <v>37012</v>
      </c>
      <c r="B117" s="75">
        <f>VLOOKUP(A117,Database!A:M,MATCH($A$1,Database!$A$1:$M$1,),)</f>
        <v>126158</v>
      </c>
      <c r="C117" s="113">
        <f>(Table5351415[[#This Row],[New Orders ex Transport]]-B116)/B116</f>
        <v>4.4354304635761586E-2</v>
      </c>
    </row>
    <row r="118" spans="1:3">
      <c r="A118" s="74">
        <v>37043</v>
      </c>
      <c r="B118" s="75">
        <f>VLOOKUP(A118,Database!A:M,MATCH($A$1,Database!$A$1:$M$1,),)</f>
        <v>125138</v>
      </c>
      <c r="C118" s="113">
        <f>(Table5351415[[#This Row],[New Orders ex Transport]]-B117)/B117</f>
        <v>-8.0850996369631733E-3</v>
      </c>
    </row>
    <row r="119" spans="1:3">
      <c r="A119" s="74">
        <v>37073</v>
      </c>
      <c r="B119" s="75">
        <f>VLOOKUP(A119,Database!A:M,MATCH($A$1,Database!$A$1:$M$1,),)</f>
        <v>121761</v>
      </c>
      <c r="C119" s="113">
        <f>(Table5351415[[#This Row],[New Orders ex Transport]]-B118)/B118</f>
        <v>-2.6986207227221146E-2</v>
      </c>
    </row>
    <row r="120" spans="1:3">
      <c r="A120" s="74">
        <v>37104</v>
      </c>
      <c r="B120" s="75">
        <f>VLOOKUP(A120,Database!A:M,MATCH($A$1,Database!$A$1:$M$1,),)</f>
        <v>122061</v>
      </c>
      <c r="C120" s="113">
        <f>(Table5351415[[#This Row],[New Orders ex Transport]]-B119)/B119</f>
        <v>2.4638431024712345E-3</v>
      </c>
    </row>
    <row r="121" spans="1:3">
      <c r="A121" s="74">
        <v>37135</v>
      </c>
      <c r="B121" s="75">
        <f>VLOOKUP(A121,Database!A:M,MATCH($A$1,Database!$A$1:$M$1,),)</f>
        <v>118407</v>
      </c>
      <c r="C121" s="113">
        <f>(Table5351415[[#This Row],[New Orders ex Transport]]-B120)/B120</f>
        <v>-2.993585174625802E-2</v>
      </c>
    </row>
    <row r="122" spans="1:3">
      <c r="A122" s="74">
        <v>37165</v>
      </c>
      <c r="B122" s="75">
        <f>VLOOKUP(A122,Database!A:M,MATCH($A$1,Database!$A$1:$M$1,),)</f>
        <v>115125</v>
      </c>
      <c r="C122" s="113">
        <f>(Table5351415[[#This Row],[New Orders ex Transport]]-B121)/B121</f>
        <v>-2.7717955864095874E-2</v>
      </c>
    </row>
    <row r="123" spans="1:3">
      <c r="A123" s="74">
        <v>37196</v>
      </c>
      <c r="B123" s="75">
        <f>VLOOKUP(A123,Database!A:M,MATCH($A$1,Database!$A$1:$M$1,),)</f>
        <v>117164</v>
      </c>
      <c r="C123" s="113">
        <f>(Table5351415[[#This Row],[New Orders ex Transport]]-B122)/B122</f>
        <v>1.7711183496199785E-2</v>
      </c>
    </row>
    <row r="124" spans="1:3">
      <c r="A124" s="74">
        <v>37226</v>
      </c>
      <c r="B124" s="75">
        <f>VLOOKUP(A124,Database!A:M,MATCH($A$1,Database!$A$1:$M$1,),)</f>
        <v>118387</v>
      </c>
      <c r="C124" s="113">
        <f>(Table5351415[[#This Row],[New Orders ex Transport]]-B123)/B123</f>
        <v>1.0438359905773104E-2</v>
      </c>
    </row>
    <row r="125" spans="1:3">
      <c r="A125" s="74">
        <v>37257</v>
      </c>
      <c r="B125" s="75">
        <f>VLOOKUP(A125,Database!A:M,MATCH($A$1,Database!$A$1:$M$1,),)</f>
        <v>113631</v>
      </c>
      <c r="C125" s="113">
        <f>(Table5351415[[#This Row],[New Orders ex Transport]]-B124)/B124</f>
        <v>-4.0173329841958996E-2</v>
      </c>
    </row>
    <row r="126" spans="1:3">
      <c r="A126" s="74">
        <v>37288</v>
      </c>
      <c r="B126" s="75">
        <f>VLOOKUP(A126,Database!A:M,MATCH($A$1,Database!$A$1:$M$1,),)</f>
        <v>115732</v>
      </c>
      <c r="C126" s="113">
        <f>(Table5351415[[#This Row],[New Orders ex Transport]]-B125)/B125</f>
        <v>1.8489672712552033E-2</v>
      </c>
    </row>
    <row r="127" spans="1:3">
      <c r="A127" s="74">
        <v>37316</v>
      </c>
      <c r="B127" s="75">
        <f>VLOOKUP(A127,Database!A:M,MATCH($A$1,Database!$A$1:$M$1,),)</f>
        <v>114652</v>
      </c>
      <c r="C127" s="113">
        <f>(Table5351415[[#This Row],[New Orders ex Transport]]-B126)/B126</f>
        <v>-9.3319047454463767E-3</v>
      </c>
    </row>
    <row r="128" spans="1:3">
      <c r="A128" s="74">
        <v>37347</v>
      </c>
      <c r="B128" s="75">
        <f>VLOOKUP(A128,Database!A:M,MATCH($A$1,Database!$A$1:$M$1,),)</f>
        <v>118882</v>
      </c>
      <c r="C128" s="113">
        <f>(Table5351415[[#This Row],[New Orders ex Transport]]-B127)/B127</f>
        <v>3.6894253916198584E-2</v>
      </c>
    </row>
    <row r="129" spans="1:3">
      <c r="A129" s="74">
        <v>37377</v>
      </c>
      <c r="B129" s="75">
        <f>VLOOKUP(A129,Database!A:M,MATCH($A$1,Database!$A$1:$M$1,),)</f>
        <v>119944</v>
      </c>
      <c r="C129" s="113">
        <f>(Table5351415[[#This Row],[New Orders ex Transport]]-B128)/B128</f>
        <v>8.9332279066637512E-3</v>
      </c>
    </row>
    <row r="130" spans="1:3">
      <c r="A130" s="74">
        <v>37408</v>
      </c>
      <c r="B130" s="75">
        <f>VLOOKUP(A130,Database!A:M,MATCH($A$1,Database!$A$1:$M$1,),)</f>
        <v>117193</v>
      </c>
      <c r="C130" s="113">
        <f>(Table5351415[[#This Row],[New Orders ex Transport]]-B129)/B129</f>
        <v>-2.2935703328219835E-2</v>
      </c>
    </row>
    <row r="131" spans="1:3">
      <c r="A131" s="74">
        <v>37438</v>
      </c>
      <c r="B131" s="75">
        <f>VLOOKUP(A131,Database!A:M,MATCH($A$1,Database!$A$1:$M$1,),)</f>
        <v>116993</v>
      </c>
      <c r="C131" s="113">
        <f>(Table5351415[[#This Row],[New Orders ex Transport]]-B130)/B130</f>
        <v>-1.7065865708702737E-3</v>
      </c>
    </row>
    <row r="132" spans="1:3">
      <c r="A132" s="74">
        <v>37469</v>
      </c>
      <c r="B132" s="75">
        <f>VLOOKUP(A132,Database!A:M,MATCH($A$1,Database!$A$1:$M$1,),)</f>
        <v>117043</v>
      </c>
      <c r="C132" s="113">
        <f>(Table5351415[[#This Row],[New Orders ex Transport]]-B131)/B131</f>
        <v>4.2737599685451264E-4</v>
      </c>
    </row>
    <row r="133" spans="1:3">
      <c r="A133" s="74">
        <v>37500</v>
      </c>
      <c r="B133" s="75">
        <f>VLOOKUP(A133,Database!A:M,MATCH($A$1,Database!$A$1:$M$1,),)</f>
        <v>116461</v>
      </c>
      <c r="C133" s="113">
        <f>(Table5351415[[#This Row],[New Orders ex Transport]]-B132)/B132</f>
        <v>-4.972531462795725E-3</v>
      </c>
    </row>
    <row r="134" spans="1:3">
      <c r="A134" s="74">
        <v>37530</v>
      </c>
      <c r="B134" s="75">
        <f>VLOOKUP(A134,Database!A:M,MATCH($A$1,Database!$A$1:$M$1,),)</f>
        <v>116624</v>
      </c>
      <c r="C134" s="113">
        <f>(Table5351415[[#This Row],[New Orders ex Transport]]-B133)/B133</f>
        <v>1.3996101699281305E-3</v>
      </c>
    </row>
    <row r="135" spans="1:3">
      <c r="A135" s="74">
        <v>37561</v>
      </c>
      <c r="B135" s="75">
        <f>VLOOKUP(A135,Database!A:M,MATCH($A$1,Database!$A$1:$M$1,),)</f>
        <v>116947</v>
      </c>
      <c r="C135" s="113">
        <f>(Table5351415[[#This Row],[New Orders ex Transport]]-B134)/B134</f>
        <v>2.7695843051173002E-3</v>
      </c>
    </row>
    <row r="136" spans="1:3">
      <c r="A136" s="74">
        <v>37591</v>
      </c>
      <c r="B136" s="75">
        <f>VLOOKUP(A136,Database!A:M,MATCH($A$1,Database!$A$1:$M$1,),)</f>
        <v>115767</v>
      </c>
      <c r="C136" s="113">
        <f>(Table5351415[[#This Row],[New Orders ex Transport]]-B135)/B135</f>
        <v>-1.0090040787707252E-2</v>
      </c>
    </row>
    <row r="137" spans="1:3">
      <c r="A137" s="74">
        <v>37622</v>
      </c>
      <c r="B137" s="75">
        <f>VLOOKUP(A137,Database!A:M,MATCH($A$1,Database!$A$1:$M$1,),)</f>
        <v>115609</v>
      </c>
      <c r="C137" s="113">
        <f>(Table5351415[[#This Row],[New Orders ex Transport]]-B136)/B136</f>
        <v>-1.3648103518273775E-3</v>
      </c>
    </row>
    <row r="138" spans="1:3">
      <c r="A138" s="74">
        <v>37653</v>
      </c>
      <c r="B138" s="75">
        <f>VLOOKUP(A138,Database!A:M,MATCH($A$1,Database!$A$1:$M$1,),)</f>
        <v>118098</v>
      </c>
      <c r="C138" s="113">
        <f>(Table5351415[[#This Row],[New Orders ex Transport]]-B137)/B137</f>
        <v>2.1529465699037274E-2</v>
      </c>
    </row>
    <row r="139" spans="1:3">
      <c r="A139" s="74">
        <v>37681</v>
      </c>
      <c r="B139" s="75">
        <f>VLOOKUP(A139,Database!A:M,MATCH($A$1,Database!$A$1:$M$1,),)</f>
        <v>116926</v>
      </c>
      <c r="C139" s="113">
        <f>(Table5351415[[#This Row],[New Orders ex Transport]]-B138)/B138</f>
        <v>-9.9239614557401472E-3</v>
      </c>
    </row>
    <row r="140" spans="1:3">
      <c r="A140" s="74">
        <v>37712</v>
      </c>
      <c r="B140" s="75">
        <f>VLOOKUP(A140,Database!A:M,MATCH($A$1,Database!$A$1:$M$1,),)</f>
        <v>115023</v>
      </c>
      <c r="C140" s="113">
        <f>(Table5351415[[#This Row],[New Orders ex Transport]]-B139)/B139</f>
        <v>-1.6275251013461507E-2</v>
      </c>
    </row>
    <row r="141" spans="1:3">
      <c r="A141" s="74">
        <v>37742</v>
      </c>
      <c r="B141" s="75">
        <f>VLOOKUP(A141,Database!A:M,MATCH($A$1,Database!$A$1:$M$1,),)</f>
        <v>116303</v>
      </c>
      <c r="C141" s="113">
        <f>(Table5351415[[#This Row],[New Orders ex Transport]]-B140)/B140</f>
        <v>1.112820914078054E-2</v>
      </c>
    </row>
    <row r="142" spans="1:3">
      <c r="A142" s="74">
        <v>37773</v>
      </c>
      <c r="B142" s="75">
        <f>VLOOKUP(A142,Database!A:M,MATCH($A$1,Database!$A$1:$M$1,),)</f>
        <v>117719</v>
      </c>
      <c r="C142" s="113">
        <f>(Table5351415[[#This Row],[New Orders ex Transport]]-B141)/B141</f>
        <v>1.2175094365579564E-2</v>
      </c>
    </row>
    <row r="143" spans="1:3">
      <c r="A143" s="74">
        <v>37803</v>
      </c>
      <c r="B143" s="75">
        <f>VLOOKUP(A143,Database!A:M,MATCH($A$1,Database!$A$1:$M$1,),)</f>
        <v>118215</v>
      </c>
      <c r="C143" s="113">
        <f>(Table5351415[[#This Row],[New Orders ex Transport]]-B142)/B142</f>
        <v>4.2134234915349265E-3</v>
      </c>
    </row>
    <row r="144" spans="1:3">
      <c r="A144" s="74">
        <v>37834</v>
      </c>
      <c r="B144" s="75">
        <f>VLOOKUP(A144,Database!A:M,MATCH($A$1,Database!$A$1:$M$1,),)</f>
        <v>119931</v>
      </c>
      <c r="C144" s="113">
        <f>(Table5351415[[#This Row],[New Orders ex Transport]]-B143)/B143</f>
        <v>1.4515924375079304E-2</v>
      </c>
    </row>
    <row r="145" spans="1:3">
      <c r="A145" s="74">
        <v>37865</v>
      </c>
      <c r="B145" s="75">
        <f>VLOOKUP(A145,Database!A:M,MATCH($A$1,Database!$A$1:$M$1,),)</f>
        <v>121332</v>
      </c>
      <c r="C145" s="113">
        <f>(Table5351415[[#This Row],[New Orders ex Transport]]-B144)/B144</f>
        <v>1.1681716987267679E-2</v>
      </c>
    </row>
    <row r="146" spans="1:3">
      <c r="A146" s="74">
        <v>37895</v>
      </c>
      <c r="B146" s="75">
        <f>VLOOKUP(A146,Database!A:M,MATCH($A$1,Database!$A$1:$M$1,),)</f>
        <v>125195</v>
      </c>
      <c r="C146" s="113">
        <f>(Table5351415[[#This Row],[New Orders ex Transport]]-B145)/B145</f>
        <v>3.1838261958922628E-2</v>
      </c>
    </row>
    <row r="147" spans="1:3">
      <c r="A147" s="74">
        <v>37926</v>
      </c>
      <c r="B147" s="75">
        <f>VLOOKUP(A147,Database!A:M,MATCH($A$1,Database!$A$1:$M$1,),)</f>
        <v>125148</v>
      </c>
      <c r="C147" s="113">
        <f>(Table5351415[[#This Row],[New Orders ex Transport]]-B146)/B146</f>
        <v>-3.7541435360837096E-4</v>
      </c>
    </row>
    <row r="148" spans="1:3">
      <c r="A148" s="74">
        <v>37956</v>
      </c>
      <c r="B148" s="75">
        <f>VLOOKUP(A148,Database!A:M,MATCH($A$1,Database!$A$1:$M$1,),)</f>
        <v>124803</v>
      </c>
      <c r="C148" s="113">
        <f>(Table5351415[[#This Row],[New Orders ex Transport]]-B147)/B147</f>
        <v>-2.7567360245469366E-3</v>
      </c>
    </row>
    <row r="149" spans="1:3">
      <c r="A149" s="74">
        <v>37987</v>
      </c>
      <c r="B149" s="75">
        <f>VLOOKUP(A149,Database!A:M,MATCH($A$1,Database!$A$1:$M$1,),)</f>
        <v>123228</v>
      </c>
      <c r="C149" s="113">
        <f>(Table5351415[[#This Row],[New Orders ex Transport]]-B148)/B148</f>
        <v>-1.2619888944977285E-2</v>
      </c>
    </row>
    <row r="150" spans="1:3">
      <c r="A150" s="74">
        <v>38018</v>
      </c>
      <c r="B150" s="75">
        <f>VLOOKUP(A150,Database!A:M,MATCH($A$1,Database!$A$1:$M$1,),)</f>
        <v>123810</v>
      </c>
      <c r="C150" s="113">
        <f>(Table5351415[[#This Row],[New Orders ex Transport]]-B149)/B149</f>
        <v>4.722952575713312E-3</v>
      </c>
    </row>
    <row r="151" spans="1:3">
      <c r="A151" s="74">
        <v>38047</v>
      </c>
      <c r="B151" s="75">
        <f>VLOOKUP(A151,Database!A:M,MATCH($A$1,Database!$A$1:$M$1,),)</f>
        <v>131645</v>
      </c>
      <c r="C151" s="113">
        <f>(Table5351415[[#This Row],[New Orders ex Transport]]-B150)/B150</f>
        <v>6.3282448913658029E-2</v>
      </c>
    </row>
    <row r="152" spans="1:3">
      <c r="A152" s="74">
        <v>38078</v>
      </c>
      <c r="B152" s="75">
        <f>VLOOKUP(A152,Database!A:M,MATCH($A$1,Database!$A$1:$M$1,),)</f>
        <v>127956</v>
      </c>
      <c r="C152" s="113">
        <f>(Table5351415[[#This Row],[New Orders ex Transport]]-B151)/B151</f>
        <v>-2.8022332788939952E-2</v>
      </c>
    </row>
    <row r="153" spans="1:3">
      <c r="A153" s="74">
        <v>38108</v>
      </c>
      <c r="B153" s="75">
        <f>VLOOKUP(A153,Database!A:M,MATCH($A$1,Database!$A$1:$M$1,),)</f>
        <v>128782</v>
      </c>
      <c r="C153" s="113">
        <f>(Table5351415[[#This Row],[New Orders ex Transport]]-B152)/B152</f>
        <v>6.4553440245084248E-3</v>
      </c>
    </row>
    <row r="154" spans="1:3">
      <c r="A154" s="74">
        <v>38139</v>
      </c>
      <c r="B154" s="75">
        <f>VLOOKUP(A154,Database!A:M,MATCH($A$1,Database!$A$1:$M$1,),)</f>
        <v>128558</v>
      </c>
      <c r="C154" s="113">
        <f>(Table5351415[[#This Row],[New Orders ex Transport]]-B153)/B153</f>
        <v>-1.739373514932211E-3</v>
      </c>
    </row>
    <row r="155" spans="1:3">
      <c r="A155" s="74">
        <v>38169</v>
      </c>
      <c r="B155" s="75">
        <f>VLOOKUP(A155,Database!A:M,MATCH($A$1,Database!$A$1:$M$1,),)</f>
        <v>127850</v>
      </c>
      <c r="C155" s="113">
        <f>(Table5351415[[#This Row],[New Orders ex Transport]]-B154)/B154</f>
        <v>-5.5072418674839375E-3</v>
      </c>
    </row>
    <row r="156" spans="1:3">
      <c r="A156" s="74">
        <v>38200</v>
      </c>
      <c r="B156" s="75">
        <f>VLOOKUP(A156,Database!A:M,MATCH($A$1,Database!$A$1:$M$1,),)</f>
        <v>130447</v>
      </c>
      <c r="C156" s="113">
        <f>(Table5351415[[#This Row],[New Orders ex Transport]]-B155)/B155</f>
        <v>2.0312866640594448E-2</v>
      </c>
    </row>
    <row r="157" spans="1:3">
      <c r="A157" s="74">
        <v>38231</v>
      </c>
      <c r="B157" s="75">
        <f>VLOOKUP(A157,Database!A:M,MATCH($A$1,Database!$A$1:$M$1,),)</f>
        <v>132455</v>
      </c>
      <c r="C157" s="113">
        <f>(Table5351415[[#This Row],[New Orders ex Transport]]-B156)/B156</f>
        <v>1.5393224834607158E-2</v>
      </c>
    </row>
    <row r="158" spans="1:3">
      <c r="A158" s="74">
        <v>38261</v>
      </c>
      <c r="B158" s="75">
        <f>VLOOKUP(A158,Database!A:M,MATCH($A$1,Database!$A$1:$M$1,),)</f>
        <v>132178</v>
      </c>
      <c r="C158" s="113">
        <f>(Table5351415[[#This Row],[New Orders ex Transport]]-B157)/B157</f>
        <v>-2.0912762825110415E-3</v>
      </c>
    </row>
    <row r="159" spans="1:3">
      <c r="A159" s="74">
        <v>38292</v>
      </c>
      <c r="B159" s="75">
        <f>VLOOKUP(A159,Database!A:M,MATCH($A$1,Database!$A$1:$M$1,),)</f>
        <v>134122</v>
      </c>
      <c r="C159" s="113">
        <f>(Table5351415[[#This Row],[New Orders ex Transport]]-B158)/B158</f>
        <v>1.4707439967316801E-2</v>
      </c>
    </row>
    <row r="160" spans="1:3">
      <c r="A160" s="74">
        <v>38322</v>
      </c>
      <c r="B160" s="75">
        <f>VLOOKUP(A160,Database!A:M,MATCH($A$1,Database!$A$1:$M$1,),)</f>
        <v>136981</v>
      </c>
      <c r="C160" s="113">
        <f>(Table5351415[[#This Row],[New Orders ex Transport]]-B159)/B159</f>
        <v>2.1316413414652333E-2</v>
      </c>
    </row>
    <row r="161" spans="1:3">
      <c r="A161" s="74">
        <v>38353</v>
      </c>
      <c r="B161" s="75">
        <f>VLOOKUP(A161,Database!A:M,MATCH($A$1,Database!$A$1:$M$1,),)</f>
        <v>137331</v>
      </c>
      <c r="C161" s="113">
        <f>(Table5351415[[#This Row],[New Orders ex Transport]]-B160)/B160</f>
        <v>2.555098882326746E-3</v>
      </c>
    </row>
    <row r="162" spans="1:3">
      <c r="A162" s="74">
        <v>38384</v>
      </c>
      <c r="B162" s="75">
        <f>VLOOKUP(A162,Database!A:M,MATCH($A$1,Database!$A$1:$M$1,),)</f>
        <v>139138</v>
      </c>
      <c r="C162" s="113">
        <f>(Table5351415[[#This Row],[New Orders ex Transport]]-B161)/B161</f>
        <v>1.3157990548383104E-2</v>
      </c>
    </row>
    <row r="163" spans="1:3">
      <c r="A163" s="74">
        <v>38412</v>
      </c>
      <c r="B163" s="75">
        <f>VLOOKUP(A163,Database!A:M,MATCH($A$1,Database!$A$1:$M$1,),)</f>
        <v>136810</v>
      </c>
      <c r="C163" s="113">
        <f>(Table5351415[[#This Row],[New Orders ex Transport]]-B162)/B162</f>
        <v>-1.6731590219781798E-2</v>
      </c>
    </row>
    <row r="164" spans="1:3">
      <c r="A164" s="74">
        <v>38443</v>
      </c>
      <c r="B164" s="75">
        <f>VLOOKUP(A164,Database!A:M,MATCH($A$1,Database!$A$1:$M$1,),)</f>
        <v>137264</v>
      </c>
      <c r="C164" s="113">
        <f>(Table5351415[[#This Row],[New Orders ex Transport]]-B163)/B163</f>
        <v>3.3184708720122797E-3</v>
      </c>
    </row>
    <row r="165" spans="1:3">
      <c r="A165" s="74">
        <v>38473</v>
      </c>
      <c r="B165" s="75">
        <f>VLOOKUP(A165,Database!A:M,MATCH($A$1,Database!$A$1:$M$1,),)</f>
        <v>137358</v>
      </c>
      <c r="C165" s="113">
        <f>(Table5351415[[#This Row],[New Orders ex Transport]]-B164)/B164</f>
        <v>6.84811749621168E-4</v>
      </c>
    </row>
    <row r="166" spans="1:3">
      <c r="A166" s="74">
        <v>38504</v>
      </c>
      <c r="B166" s="75">
        <f>VLOOKUP(A166,Database!A:M,MATCH($A$1,Database!$A$1:$M$1,),)</f>
        <v>141241</v>
      </c>
      <c r="C166" s="113">
        <f>(Table5351415[[#This Row],[New Orders ex Transport]]-B165)/B165</f>
        <v>2.8269194368001863E-2</v>
      </c>
    </row>
    <row r="167" spans="1:3">
      <c r="A167" s="74">
        <v>38534</v>
      </c>
      <c r="B167" s="75">
        <f>VLOOKUP(A167,Database!A:M,MATCH($A$1,Database!$A$1:$M$1,),)</f>
        <v>135974</v>
      </c>
      <c r="C167" s="113">
        <f>(Table5351415[[#This Row],[New Orders ex Transport]]-B166)/B166</f>
        <v>-3.7290871630758775E-2</v>
      </c>
    </row>
    <row r="168" spans="1:3">
      <c r="A168" s="74">
        <v>38565</v>
      </c>
      <c r="B168" s="75">
        <f>VLOOKUP(A168,Database!A:M,MATCH($A$1,Database!$A$1:$M$1,),)</f>
        <v>143073</v>
      </c>
      <c r="C168" s="113">
        <f>(Table5351415[[#This Row],[New Orders ex Transport]]-B167)/B167</f>
        <v>5.220851045052731E-2</v>
      </c>
    </row>
    <row r="169" spans="1:3">
      <c r="A169" s="74">
        <v>38596</v>
      </c>
      <c r="B169" s="75">
        <f>VLOOKUP(A169,Database!A:M,MATCH($A$1,Database!$A$1:$M$1,),)</f>
        <v>143841</v>
      </c>
      <c r="C169" s="113">
        <f>(Table5351415[[#This Row],[New Orders ex Transport]]-B168)/B168</f>
        <v>5.3678891195403748E-3</v>
      </c>
    </row>
    <row r="170" spans="1:3">
      <c r="A170" s="74">
        <v>38626</v>
      </c>
      <c r="B170" s="75">
        <f>VLOOKUP(A170,Database!A:M,MATCH($A$1,Database!$A$1:$M$1,),)</f>
        <v>145723</v>
      </c>
      <c r="C170" s="113">
        <f>(Table5351415[[#This Row],[New Orders ex Transport]]-B169)/B169</f>
        <v>1.3083891241023073E-2</v>
      </c>
    </row>
    <row r="171" spans="1:3">
      <c r="A171" s="74">
        <v>38657</v>
      </c>
      <c r="B171" s="75">
        <f>VLOOKUP(A171,Database!A:M,MATCH($A$1,Database!$A$1:$M$1,),)</f>
        <v>148043</v>
      </c>
      <c r="C171" s="113">
        <f>(Table5351415[[#This Row],[New Orders ex Transport]]-B170)/B170</f>
        <v>1.5920616512149762E-2</v>
      </c>
    </row>
    <row r="172" spans="1:3">
      <c r="A172" s="74">
        <v>38687</v>
      </c>
      <c r="B172" s="75">
        <f>VLOOKUP(A172,Database!A:M,MATCH($A$1,Database!$A$1:$M$1,),)</f>
        <v>147852</v>
      </c>
      <c r="C172" s="113">
        <f>(Table5351415[[#This Row],[New Orders ex Transport]]-B171)/B171</f>
        <v>-1.2901656951020987E-3</v>
      </c>
    </row>
    <row r="173" spans="1:3">
      <c r="A173" s="74">
        <v>38718</v>
      </c>
      <c r="B173" s="75">
        <f>VLOOKUP(A173,Database!A:M,MATCH($A$1,Database!$A$1:$M$1,),)</f>
        <v>150953</v>
      </c>
      <c r="C173" s="113">
        <f>(Table5351415[[#This Row],[New Orders ex Transport]]-B172)/B172</f>
        <v>2.0973676379081783E-2</v>
      </c>
    </row>
    <row r="174" spans="1:3">
      <c r="A174" s="74">
        <v>38749</v>
      </c>
      <c r="B174" s="75">
        <f>VLOOKUP(A174,Database!A:M,MATCH($A$1,Database!$A$1:$M$1,),)</f>
        <v>150818</v>
      </c>
      <c r="C174" s="113">
        <f>(Table5351415[[#This Row],[New Orders ex Transport]]-B173)/B173</f>
        <v>-8.9431809901095044E-4</v>
      </c>
    </row>
    <row r="175" spans="1:3">
      <c r="A175" s="74">
        <v>38777</v>
      </c>
      <c r="B175" s="75">
        <f>VLOOKUP(A175,Database!A:M,MATCH($A$1,Database!$A$1:$M$1,),)</f>
        <v>153217</v>
      </c>
      <c r="C175" s="113">
        <f>(Table5351415[[#This Row],[New Orders ex Transport]]-B174)/B174</f>
        <v>1.5906589399143339E-2</v>
      </c>
    </row>
    <row r="176" spans="1:3">
      <c r="A176" s="74">
        <v>38808</v>
      </c>
      <c r="B176" s="75">
        <f>VLOOKUP(A176,Database!A:M,MATCH($A$1,Database!$A$1:$M$1,),)</f>
        <v>151952</v>
      </c>
      <c r="C176" s="113">
        <f>(Table5351415[[#This Row],[New Orders ex Transport]]-B175)/B175</f>
        <v>-8.256263991593623E-3</v>
      </c>
    </row>
    <row r="177" spans="1:3">
      <c r="A177" s="74">
        <v>38838</v>
      </c>
      <c r="B177" s="75">
        <f>VLOOKUP(A177,Database!A:M,MATCH($A$1,Database!$A$1:$M$1,),)</f>
        <v>153734</v>
      </c>
      <c r="C177" s="113">
        <f>(Table5351415[[#This Row],[New Orders ex Transport]]-B176)/B176</f>
        <v>1.1727387596082973E-2</v>
      </c>
    </row>
    <row r="178" spans="1:3">
      <c r="A178" s="74">
        <v>38869</v>
      </c>
      <c r="B178" s="75">
        <f>VLOOKUP(A178,Database!A:M,MATCH($A$1,Database!$A$1:$M$1,),)</f>
        <v>154888</v>
      </c>
      <c r="C178" s="113">
        <f>(Table5351415[[#This Row],[New Orders ex Transport]]-B177)/B177</f>
        <v>7.506472218247102E-3</v>
      </c>
    </row>
    <row r="179" spans="1:3">
      <c r="A179" s="74">
        <v>38899</v>
      </c>
      <c r="B179" s="75">
        <f>VLOOKUP(A179,Database!A:M,MATCH($A$1,Database!$A$1:$M$1,),)</f>
        <v>153064</v>
      </c>
      <c r="C179" s="113">
        <f>(Table5351415[[#This Row],[New Orders ex Transport]]-B178)/B178</f>
        <v>-1.1776251226692836E-2</v>
      </c>
    </row>
    <row r="180" spans="1:3">
      <c r="A180" s="74">
        <v>38930</v>
      </c>
      <c r="B180" s="75">
        <f>VLOOKUP(A180,Database!A:M,MATCH($A$1,Database!$A$1:$M$1,),)</f>
        <v>150575</v>
      </c>
      <c r="C180" s="113">
        <f>(Table5351415[[#This Row],[New Orders ex Transport]]-B179)/B179</f>
        <v>-1.6261171797418074E-2</v>
      </c>
    </row>
    <row r="181" spans="1:3">
      <c r="A181" s="74">
        <v>38961</v>
      </c>
      <c r="B181" s="75">
        <f>VLOOKUP(A181,Database!A:M,MATCH($A$1,Database!$A$1:$M$1,),)</f>
        <v>153923</v>
      </c>
      <c r="C181" s="113">
        <f>(Table5351415[[#This Row],[New Orders ex Transport]]-B180)/B180</f>
        <v>2.2234766727544413E-2</v>
      </c>
    </row>
    <row r="182" spans="1:3">
      <c r="A182" s="74">
        <v>38991</v>
      </c>
      <c r="B182" s="75">
        <f>VLOOKUP(A182,Database!A:M,MATCH($A$1,Database!$A$1:$M$1,),)</f>
        <v>153537</v>
      </c>
      <c r="C182" s="113">
        <f>(Table5351415[[#This Row],[New Orders ex Transport]]-B181)/B181</f>
        <v>-2.5077473801835984E-3</v>
      </c>
    </row>
    <row r="183" spans="1:3">
      <c r="A183" s="74">
        <v>39022</v>
      </c>
      <c r="B183" s="75">
        <f>VLOOKUP(A183,Database!A:M,MATCH($A$1,Database!$A$1:$M$1,),)</f>
        <v>153502</v>
      </c>
      <c r="C183" s="113">
        <f>(Table5351415[[#This Row],[New Orders ex Transport]]-B182)/B182</f>
        <v>-2.2795808176530739E-4</v>
      </c>
    </row>
    <row r="184" spans="1:3">
      <c r="A184" s="74">
        <v>39052</v>
      </c>
      <c r="B184" s="75">
        <f>VLOOKUP(A184,Database!A:M,MATCH($A$1,Database!$A$1:$M$1,),)</f>
        <v>158499</v>
      </c>
      <c r="C184" s="113">
        <f>(Table5351415[[#This Row],[New Orders ex Transport]]-B183)/B183</f>
        <v>3.25533217808237E-2</v>
      </c>
    </row>
    <row r="185" spans="1:3">
      <c r="A185" s="74">
        <v>39083</v>
      </c>
      <c r="B185" s="75">
        <f>VLOOKUP(A185,Database!A:M,MATCH($A$1,Database!$A$1:$M$1,),)</f>
        <v>153402</v>
      </c>
      <c r="C185" s="113">
        <f>(Table5351415[[#This Row],[New Orders ex Transport]]-B184)/B184</f>
        <v>-3.2157931595782938E-2</v>
      </c>
    </row>
    <row r="186" spans="1:3">
      <c r="A186" s="74">
        <v>39114</v>
      </c>
      <c r="B186" s="75">
        <f>VLOOKUP(A186,Database!A:M,MATCH($A$1,Database!$A$1:$M$1,),)</f>
        <v>155151</v>
      </c>
      <c r="C186" s="113">
        <f>(Table5351415[[#This Row],[New Orders ex Transport]]-B185)/B185</f>
        <v>1.1401415887667696E-2</v>
      </c>
    </row>
    <row r="187" spans="1:3">
      <c r="A187" s="74">
        <v>39142</v>
      </c>
      <c r="B187" s="75">
        <f>VLOOKUP(A187,Database!A:M,MATCH($A$1,Database!$A$1:$M$1,),)</f>
        <v>156356</v>
      </c>
      <c r="C187" s="113">
        <f>(Table5351415[[#This Row],[New Orders ex Transport]]-B186)/B186</f>
        <v>7.7666273501298738E-3</v>
      </c>
    </row>
    <row r="188" spans="1:3">
      <c r="A188" s="74">
        <v>39173</v>
      </c>
      <c r="B188" s="75">
        <f>VLOOKUP(A188,Database!A:M,MATCH($A$1,Database!$A$1:$M$1,),)</f>
        <v>159160</v>
      </c>
      <c r="C188" s="113">
        <f>(Table5351415[[#This Row],[New Orders ex Transport]]-B187)/B187</f>
        <v>1.793343395840262E-2</v>
      </c>
    </row>
    <row r="189" spans="1:3">
      <c r="A189" s="74">
        <v>39203</v>
      </c>
      <c r="B189" s="75">
        <f>VLOOKUP(A189,Database!A:M,MATCH($A$1,Database!$A$1:$M$1,),)</f>
        <v>158536</v>
      </c>
      <c r="C189" s="113">
        <f>(Table5351415[[#This Row],[New Orders ex Transport]]-B188)/B188</f>
        <v>-3.9205830610706208E-3</v>
      </c>
    </row>
    <row r="190" spans="1:3">
      <c r="A190" s="74">
        <v>39234</v>
      </c>
      <c r="B190" s="75">
        <f>VLOOKUP(A190,Database!A:M,MATCH($A$1,Database!$A$1:$M$1,),)</f>
        <v>154569</v>
      </c>
      <c r="C190" s="113">
        <f>(Table5351415[[#This Row],[New Orders ex Transport]]-B189)/B189</f>
        <v>-2.502270777615179E-2</v>
      </c>
    </row>
    <row r="191" spans="1:3">
      <c r="A191" s="74">
        <v>39264</v>
      </c>
      <c r="B191" s="75">
        <f>VLOOKUP(A191,Database!A:M,MATCH($A$1,Database!$A$1:$M$1,),)</f>
        <v>156767</v>
      </c>
      <c r="C191" s="113">
        <f>(Table5351415[[#This Row],[New Orders ex Transport]]-B190)/B190</f>
        <v>1.4220186453946133E-2</v>
      </c>
    </row>
    <row r="192" spans="1:3">
      <c r="A192" s="74">
        <v>39295</v>
      </c>
      <c r="B192" s="75">
        <f>VLOOKUP(A192,Database!A:M,MATCH($A$1,Database!$A$1:$M$1,),)</f>
        <v>158130</v>
      </c>
      <c r="C192" s="113">
        <f>(Table5351415[[#This Row],[New Orders ex Transport]]-B191)/B191</f>
        <v>8.6944318638488959E-3</v>
      </c>
    </row>
    <row r="193" spans="1:3">
      <c r="A193" s="74">
        <v>39326</v>
      </c>
      <c r="B193" s="75">
        <f>VLOOKUP(A193,Database!A:M,MATCH($A$1,Database!$A$1:$M$1,),)</f>
        <v>157646</v>
      </c>
      <c r="C193" s="113">
        <f>(Table5351415[[#This Row],[New Orders ex Transport]]-B192)/B192</f>
        <v>-3.0607727818883199E-3</v>
      </c>
    </row>
    <row r="194" spans="1:3">
      <c r="A194" s="74">
        <v>39356</v>
      </c>
      <c r="B194" s="75">
        <f>VLOOKUP(A194,Database!A:M,MATCH($A$1,Database!$A$1:$M$1,),)</f>
        <v>159832</v>
      </c>
      <c r="C194" s="113">
        <f>(Table5351415[[#This Row],[New Orders ex Transport]]-B193)/B193</f>
        <v>1.386651104373089E-2</v>
      </c>
    </row>
    <row r="195" spans="1:3">
      <c r="A195" s="74">
        <v>39387</v>
      </c>
      <c r="B195" s="75">
        <f>VLOOKUP(A195,Database!A:M,MATCH($A$1,Database!$A$1:$M$1,),)</f>
        <v>160074</v>
      </c>
      <c r="C195" s="113">
        <f>(Table5351415[[#This Row],[New Orders ex Transport]]-B194)/B194</f>
        <v>1.5140897942839981E-3</v>
      </c>
    </row>
    <row r="196" spans="1:3">
      <c r="A196" s="74">
        <v>39417</v>
      </c>
      <c r="B196" s="75">
        <f>VLOOKUP(A196,Database!A:M,MATCH($A$1,Database!$A$1:$M$1,),)</f>
        <v>163300</v>
      </c>
      <c r="C196" s="113">
        <f>(Table5351415[[#This Row],[New Orders ex Transport]]-B195)/B195</f>
        <v>2.0153179154640977E-2</v>
      </c>
    </row>
    <row r="197" spans="1:3">
      <c r="A197" s="74">
        <v>39448</v>
      </c>
      <c r="B197" s="75">
        <f>VLOOKUP(A197,Database!A:M,MATCH($A$1,Database!$A$1:$M$1,),)</f>
        <v>164615</v>
      </c>
      <c r="C197" s="113">
        <f>(Table5351415[[#This Row],[New Orders ex Transport]]-B196)/B196</f>
        <v>8.0526638089406001E-3</v>
      </c>
    </row>
    <row r="198" spans="1:3">
      <c r="A198" s="74">
        <v>39479</v>
      </c>
      <c r="B198" s="75">
        <f>VLOOKUP(A198,Database!A:M,MATCH($A$1,Database!$A$1:$M$1,),)</f>
        <v>160985</v>
      </c>
      <c r="C198" s="113">
        <f>(Table5351415[[#This Row],[New Orders ex Transport]]-B197)/B197</f>
        <v>-2.2051453391246242E-2</v>
      </c>
    </row>
    <row r="199" spans="1:3">
      <c r="A199" s="74">
        <v>39508</v>
      </c>
      <c r="B199" s="75">
        <f>VLOOKUP(A199,Database!A:M,MATCH($A$1,Database!$A$1:$M$1,),)</f>
        <v>163953</v>
      </c>
      <c r="C199" s="113">
        <f>(Table5351415[[#This Row],[New Orders ex Transport]]-B198)/B198</f>
        <v>1.8436500295058545E-2</v>
      </c>
    </row>
    <row r="200" spans="1:3">
      <c r="A200" s="74">
        <v>39539</v>
      </c>
      <c r="B200" s="75">
        <f>VLOOKUP(A200,Database!A:M,MATCH($A$1,Database!$A$1:$M$1,),)</f>
        <v>167301</v>
      </c>
      <c r="C200" s="113">
        <f>(Table5351415[[#This Row],[New Orders ex Transport]]-B199)/B199</f>
        <v>2.0420486358895536E-2</v>
      </c>
    </row>
    <row r="201" spans="1:3">
      <c r="A201" s="74">
        <v>39569</v>
      </c>
      <c r="B201" s="75">
        <f>VLOOKUP(A201,Database!A:M,MATCH($A$1,Database!$A$1:$M$1,),)</f>
        <v>164561</v>
      </c>
      <c r="C201" s="113">
        <f>(Table5351415[[#This Row],[New Orders ex Transport]]-B200)/B200</f>
        <v>-1.6377666600916909E-2</v>
      </c>
    </row>
    <row r="202" spans="1:3">
      <c r="A202" s="74">
        <v>39600</v>
      </c>
      <c r="B202" s="75">
        <f>VLOOKUP(A202,Database!A:M,MATCH($A$1,Database!$A$1:$M$1,),)</f>
        <v>166622</v>
      </c>
      <c r="C202" s="113">
        <f>(Table5351415[[#This Row],[New Orders ex Transport]]-B201)/B201</f>
        <v>1.2524231136174428E-2</v>
      </c>
    </row>
    <row r="203" spans="1:3">
      <c r="A203" s="74">
        <v>39630</v>
      </c>
      <c r="B203" s="75">
        <f>VLOOKUP(A203,Database!A:M,MATCH($A$1,Database!$A$1:$M$1,),)</f>
        <v>162295</v>
      </c>
      <c r="C203" s="113">
        <f>(Table5351415[[#This Row],[New Orders ex Transport]]-B202)/B202</f>
        <v>-2.5968959681194559E-2</v>
      </c>
    </row>
    <row r="204" spans="1:3">
      <c r="A204" s="74">
        <v>39661</v>
      </c>
      <c r="B204" s="75">
        <f>VLOOKUP(A204,Database!A:M,MATCH($A$1,Database!$A$1:$M$1,),)</f>
        <v>156865</v>
      </c>
      <c r="C204" s="113">
        <f>(Table5351415[[#This Row],[New Orders ex Transport]]-B203)/B203</f>
        <v>-3.3457592655349824E-2</v>
      </c>
    </row>
    <row r="205" spans="1:3">
      <c r="A205" s="74">
        <v>39692</v>
      </c>
      <c r="B205" s="75">
        <f>VLOOKUP(A205,Database!A:M,MATCH($A$1,Database!$A$1:$M$1,),)</f>
        <v>153392</v>
      </c>
      <c r="C205" s="113">
        <f>(Table5351415[[#This Row],[New Orders ex Transport]]-B204)/B204</f>
        <v>-2.214005673668441E-2</v>
      </c>
    </row>
    <row r="206" spans="1:3">
      <c r="A206" s="74">
        <v>39722</v>
      </c>
      <c r="B206" s="75">
        <f>VLOOKUP(A206,Database!A:M,MATCH($A$1,Database!$A$1:$M$1,),)</f>
        <v>141024</v>
      </c>
      <c r="C206" s="113">
        <f>(Table5351415[[#This Row],[New Orders ex Transport]]-B205)/B205</f>
        <v>-8.063001981850422E-2</v>
      </c>
    </row>
    <row r="207" spans="1:3">
      <c r="A207" s="74">
        <v>39753</v>
      </c>
      <c r="B207" s="75">
        <f>VLOOKUP(A207,Database!A:M,MATCH($A$1,Database!$A$1:$M$1,),)</f>
        <v>138472</v>
      </c>
      <c r="C207" s="113">
        <f>(Table5351415[[#This Row],[New Orders ex Transport]]-B206)/B206</f>
        <v>-1.8096210574086679E-2</v>
      </c>
    </row>
    <row r="208" spans="1:3">
      <c r="A208" s="74">
        <v>39783</v>
      </c>
      <c r="B208" s="75">
        <f>VLOOKUP(A208,Database!A:M,MATCH($A$1,Database!$A$1:$M$1,),)</f>
        <v>127962</v>
      </c>
      <c r="C208" s="113">
        <f>(Table5351415[[#This Row],[New Orders ex Transport]]-B207)/B207</f>
        <v>-7.58998209024207E-2</v>
      </c>
    </row>
    <row r="209" spans="1:3">
      <c r="A209" s="74">
        <v>39814</v>
      </c>
      <c r="B209" s="75">
        <f>VLOOKUP(A209,Database!A:M,MATCH($A$1,Database!$A$1:$M$1,),)</f>
        <v>114948</v>
      </c>
      <c r="C209" s="113">
        <f>(Table5351415[[#This Row],[New Orders ex Transport]]-B208)/B208</f>
        <v>-0.10170206780137854</v>
      </c>
    </row>
    <row r="210" spans="1:3">
      <c r="A210" s="74">
        <v>39845</v>
      </c>
      <c r="B210" s="75">
        <f>VLOOKUP(A210,Database!A:M,MATCH($A$1,Database!$A$1:$M$1,),)</f>
        <v>116595</v>
      </c>
      <c r="C210" s="113">
        <f>(Table5351415[[#This Row],[New Orders ex Transport]]-B209)/B209</f>
        <v>1.4328217976824303E-2</v>
      </c>
    </row>
    <row r="211" spans="1:3">
      <c r="A211" s="74">
        <v>39873</v>
      </c>
      <c r="B211" s="75">
        <f>VLOOKUP(A211,Database!A:M,MATCH($A$1,Database!$A$1:$M$1,),)</f>
        <v>113312</v>
      </c>
      <c r="C211" s="113">
        <f>(Table5351415[[#This Row],[New Orders ex Transport]]-B210)/B210</f>
        <v>-2.8157296625069685E-2</v>
      </c>
    </row>
    <row r="212" spans="1:3">
      <c r="A212" s="74">
        <v>39904</v>
      </c>
      <c r="B212" s="75">
        <f>VLOOKUP(A212,Database!A:M,MATCH($A$1,Database!$A$1:$M$1,),)</f>
        <v>110601</v>
      </c>
      <c r="C212" s="113">
        <f>(Table5351415[[#This Row],[New Orders ex Transport]]-B211)/B211</f>
        <v>-2.3925091781982492E-2</v>
      </c>
    </row>
    <row r="213" spans="1:3">
      <c r="A213" s="74">
        <v>39934</v>
      </c>
      <c r="B213" s="75">
        <f>VLOOKUP(A213,Database!A:M,MATCH($A$1,Database!$A$1:$M$1,),)</f>
        <v>113080</v>
      </c>
      <c r="C213" s="113">
        <f>(Table5351415[[#This Row],[New Orders ex Transport]]-B212)/B212</f>
        <v>2.2413902225115506E-2</v>
      </c>
    </row>
    <row r="214" spans="1:3">
      <c r="A214" s="74">
        <v>39965</v>
      </c>
      <c r="B214" s="75">
        <f>VLOOKUP(A214,Database!A:M,MATCH($A$1,Database!$A$1:$M$1,),)</f>
        <v>115485</v>
      </c>
      <c r="C214" s="113">
        <f>(Table5351415[[#This Row],[New Orders ex Transport]]-B213)/B213</f>
        <v>2.1268128758401131E-2</v>
      </c>
    </row>
    <row r="215" spans="1:3">
      <c r="A215" s="74">
        <v>39995</v>
      </c>
      <c r="B215" s="75">
        <f>VLOOKUP(A215,Database!A:M,MATCH($A$1,Database!$A$1:$M$1,),)</f>
        <v>117705</v>
      </c>
      <c r="C215" s="113">
        <f>(Table5351415[[#This Row],[New Orders ex Transport]]-B214)/B214</f>
        <v>1.9223275750097416E-2</v>
      </c>
    </row>
    <row r="216" spans="1:3">
      <c r="A216" s="74">
        <v>40026</v>
      </c>
      <c r="B216" s="75">
        <f>VLOOKUP(A216,Database!A:M,MATCH($A$1,Database!$A$1:$M$1,),)</f>
        <v>117142</v>
      </c>
      <c r="C216" s="113">
        <f>(Table5351415[[#This Row],[New Orders ex Transport]]-B215)/B215</f>
        <v>-4.7831443014315451E-3</v>
      </c>
    </row>
    <row r="217" spans="1:3">
      <c r="A217" s="74">
        <v>40057</v>
      </c>
      <c r="B217" s="75">
        <f>VLOOKUP(A217,Database!A:M,MATCH($A$1,Database!$A$1:$M$1,),)</f>
        <v>122042</v>
      </c>
      <c r="C217" s="113">
        <f>(Table5351415[[#This Row],[New Orders ex Transport]]-B216)/B216</f>
        <v>4.1829574362739243E-2</v>
      </c>
    </row>
    <row r="218" spans="1:3">
      <c r="A218" s="74">
        <v>40087</v>
      </c>
      <c r="B218" s="75">
        <f>VLOOKUP(A218,Database!A:M,MATCH($A$1,Database!$A$1:$M$1,),)</f>
        <v>122244</v>
      </c>
      <c r="C218" s="113">
        <f>(Table5351415[[#This Row],[New Orders ex Transport]]-B217)/B217</f>
        <v>1.6551678930204355E-3</v>
      </c>
    </row>
    <row r="219" spans="1:3">
      <c r="A219" s="74">
        <v>40118</v>
      </c>
      <c r="B219" s="75">
        <f>VLOOKUP(A219,Database!A:M,MATCH($A$1,Database!$A$1:$M$1,),)</f>
        <v>122532</v>
      </c>
      <c r="C219" s="113">
        <f>(Table5351415[[#This Row],[New Orders ex Transport]]-B218)/B218</f>
        <v>2.3559438500049081E-3</v>
      </c>
    </row>
    <row r="220" spans="1:3">
      <c r="A220" s="74">
        <v>40148</v>
      </c>
      <c r="B220" s="75">
        <f>VLOOKUP(A220,Database!A:M,MATCH($A$1,Database!$A$1:$M$1,),)</f>
        <v>124425</v>
      </c>
      <c r="C220" s="113">
        <f>(Table5351415[[#This Row],[New Orders ex Transport]]-B219)/B219</f>
        <v>1.5449025560669866E-2</v>
      </c>
    </row>
    <row r="221" spans="1:3">
      <c r="A221" s="74">
        <v>40179</v>
      </c>
      <c r="B221" s="75">
        <f>VLOOKUP(A221,Database!A:M,MATCH($A$1,Database!$A$1:$M$1,),)</f>
        <v>127057</v>
      </c>
      <c r="C221" s="113">
        <f>(Table5351415[[#This Row],[New Orders ex Transport]]-B220)/B220</f>
        <v>2.1153305203938114E-2</v>
      </c>
    </row>
    <row r="222" spans="1:3">
      <c r="A222" s="74">
        <v>40210</v>
      </c>
      <c r="B222" s="75">
        <f>VLOOKUP(A222,Database!A:M,MATCH($A$1,Database!$A$1:$M$1,),)</f>
        <v>128810</v>
      </c>
      <c r="C222" s="113">
        <f>(Table5351415[[#This Row],[New Orders ex Transport]]-B221)/B221</f>
        <v>1.3796957271146021E-2</v>
      </c>
    </row>
    <row r="223" spans="1:3">
      <c r="A223" s="74">
        <v>40238</v>
      </c>
      <c r="B223" s="75">
        <f>VLOOKUP(A223,Database!A:M,MATCH($A$1,Database!$A$1:$M$1,),)</f>
        <v>134835</v>
      </c>
      <c r="C223" s="113">
        <f>(Table5351415[[#This Row],[New Orders ex Transport]]-B222)/B222</f>
        <v>4.6774318764071114E-2</v>
      </c>
    </row>
    <row r="224" spans="1:3">
      <c r="A224" s="74">
        <v>40269</v>
      </c>
      <c r="B224" s="75">
        <f>VLOOKUP(A224,Database!A:M,MATCH($A$1,Database!$A$1:$M$1,),)</f>
        <v>131196</v>
      </c>
      <c r="C224" s="113">
        <f>(Table5351415[[#This Row],[New Orders ex Transport]]-B223)/B223</f>
        <v>-2.6988541550784291E-2</v>
      </c>
    </row>
    <row r="225" spans="1:3">
      <c r="A225" s="74">
        <v>40299</v>
      </c>
      <c r="B225" s="75">
        <f>VLOOKUP(A225,Database!A:M,MATCH($A$1,Database!$A$1:$M$1,),)</f>
        <v>136881</v>
      </c>
      <c r="C225" s="113">
        <f>(Table5351415[[#This Row],[New Orders ex Transport]]-B224)/B224</f>
        <v>4.3332113783956829E-2</v>
      </c>
    </row>
    <row r="226" spans="1:3">
      <c r="A226" s="74">
        <v>40330</v>
      </c>
      <c r="B226" s="75">
        <f>VLOOKUP(A226,Database!A:M,MATCH($A$1,Database!$A$1:$M$1,),)</f>
        <v>137226</v>
      </c>
      <c r="C226" s="113">
        <f>(Table5351415[[#This Row],[New Orders ex Transport]]-B225)/B225</f>
        <v>2.5204374602757137E-3</v>
      </c>
    </row>
    <row r="227" spans="1:3">
      <c r="A227" s="74">
        <v>40360</v>
      </c>
      <c r="B227" s="75">
        <f>VLOOKUP(A227,Database!A:M,MATCH($A$1,Database!$A$1:$M$1,),)</f>
        <v>134656</v>
      </c>
      <c r="C227" s="113">
        <f>(Table5351415[[#This Row],[New Orders ex Transport]]-B226)/B226</f>
        <v>-1.8728229344293357E-2</v>
      </c>
    </row>
    <row r="228" spans="1:3">
      <c r="A228" s="74">
        <v>40391</v>
      </c>
      <c r="B228" s="75">
        <f>VLOOKUP(A228,Database!A:M,MATCH($A$1,Database!$A$1:$M$1,),)</f>
        <v>137093</v>
      </c>
      <c r="C228" s="113">
        <f>(Table5351415[[#This Row],[New Orders ex Transport]]-B227)/B227</f>
        <v>1.8097968155893537E-2</v>
      </c>
    </row>
    <row r="229" spans="1:3">
      <c r="A229" s="74">
        <v>40422</v>
      </c>
      <c r="B229" s="75">
        <f>VLOOKUP(A229,Database!A:M,MATCH($A$1,Database!$A$1:$M$1,),)</f>
        <v>139248</v>
      </c>
      <c r="C229" s="113">
        <f>(Table5351415[[#This Row],[New Orders ex Transport]]-B228)/B228</f>
        <v>1.5719256271290293E-2</v>
      </c>
    </row>
    <row r="230" spans="1:3">
      <c r="A230" s="74">
        <v>40452</v>
      </c>
      <c r="B230" s="75">
        <f>VLOOKUP(A230,Database!A:M,MATCH($A$1,Database!$A$1:$M$1,),)</f>
        <v>134518</v>
      </c>
      <c r="C230" s="113">
        <f>(Table5351415[[#This Row],[New Orders ex Transport]]-B229)/B229</f>
        <v>-3.396817189474894E-2</v>
      </c>
    </row>
    <row r="231" spans="1:3">
      <c r="A231" s="74">
        <v>40483</v>
      </c>
      <c r="B231" s="75">
        <f>VLOOKUP(A231,Database!A:M,MATCH($A$1,Database!$A$1:$M$1,),)</f>
        <v>142450</v>
      </c>
      <c r="C231" s="113">
        <f>(Table5351415[[#This Row],[New Orders ex Transport]]-B230)/B230</f>
        <v>5.8966086323019966E-2</v>
      </c>
    </row>
    <row r="232" spans="1:3">
      <c r="A232" s="74">
        <v>40513</v>
      </c>
      <c r="B232" s="75">
        <f>VLOOKUP(A232,Database!A:M,MATCH($A$1,Database!$A$1:$M$1,),)</f>
        <v>144216</v>
      </c>
      <c r="C232" s="113">
        <f>(Table5351415[[#This Row],[New Orders ex Transport]]-B231)/B231</f>
        <v>1.2397332397332397E-2</v>
      </c>
    </row>
    <row r="233" spans="1:3">
      <c r="A233" s="74">
        <v>40544</v>
      </c>
      <c r="B233" s="75">
        <f>VLOOKUP(A233,Database!A:M,MATCH($A$1,Database!$A$1:$M$1,),)</f>
        <v>143113</v>
      </c>
      <c r="C233" s="113">
        <f>(Table5351415[[#This Row],[New Orders ex Transport]]-B232)/B232</f>
        <v>-7.6482498474510453E-3</v>
      </c>
    </row>
    <row r="234" spans="1:3">
      <c r="A234" s="74">
        <v>40575</v>
      </c>
      <c r="B234" s="75">
        <f>VLOOKUP(A234,Database!A:M,MATCH($A$1,Database!$A$1:$M$1,),)</f>
        <v>141061</v>
      </c>
      <c r="C234" s="113">
        <f>(Table5351415[[#This Row],[New Orders ex Transport]]-B233)/B233</f>
        <v>-1.4338320068756856E-2</v>
      </c>
    </row>
    <row r="235" spans="1:3">
      <c r="A235" s="74">
        <v>40603</v>
      </c>
      <c r="B235" s="75">
        <f>VLOOKUP(A235,Database!A:M,MATCH($A$1,Database!$A$1:$M$1,),)</f>
        <v>145907</v>
      </c>
      <c r="C235" s="113">
        <f>(Table5351415[[#This Row],[New Orders ex Transport]]-B234)/B234</f>
        <v>3.4353931986870929E-2</v>
      </c>
    </row>
    <row r="236" spans="1:3">
      <c r="A236" s="74">
        <v>40634</v>
      </c>
      <c r="B236" s="75">
        <f>VLOOKUP(A236,Database!A:M,MATCH($A$1,Database!$A$1:$M$1,),)</f>
        <v>143390</v>
      </c>
      <c r="C236" s="113">
        <f>(Table5351415[[#This Row],[New Orders ex Transport]]-B235)/B235</f>
        <v>-1.7250714496220194E-2</v>
      </c>
    </row>
    <row r="237" spans="1:3">
      <c r="A237" s="74">
        <v>40664</v>
      </c>
      <c r="B237" s="75">
        <f>VLOOKUP(A237,Database!A:M,MATCH($A$1,Database!$A$1:$M$1,),)</f>
        <v>146454</v>
      </c>
      <c r="C237" s="113">
        <f>(Table5351415[[#This Row],[New Orders ex Transport]]-B236)/B236</f>
        <v>2.1368296254968965E-2</v>
      </c>
    </row>
    <row r="238" spans="1:3">
      <c r="A238" s="74">
        <v>40695</v>
      </c>
      <c r="B238" s="75">
        <f>VLOOKUP(A238,Database!A:M,MATCH($A$1,Database!$A$1:$M$1,),)</f>
        <v>146197</v>
      </c>
      <c r="C238" s="113">
        <f>(Table5351415[[#This Row],[New Orders ex Transport]]-B237)/B237</f>
        <v>-1.7548172122304614E-3</v>
      </c>
    </row>
    <row r="239" spans="1:3">
      <c r="A239" s="74">
        <v>40725</v>
      </c>
      <c r="B239" s="75">
        <f>VLOOKUP(A239,Database!A:M,MATCH($A$1,Database!$A$1:$M$1,),)</f>
        <v>147897</v>
      </c>
      <c r="C239" s="113">
        <f>(Table5351415[[#This Row],[New Orders ex Transport]]-B238)/B238</f>
        <v>1.1628145584382717E-2</v>
      </c>
    </row>
    <row r="240" spans="1:3">
      <c r="A240" s="74">
        <v>40756</v>
      </c>
      <c r="B240" s="75">
        <f>VLOOKUP(A240,Database!A:M,MATCH($A$1,Database!$A$1:$M$1,),)</f>
        <v>147496</v>
      </c>
      <c r="C240" s="113">
        <f>(Table5351415[[#This Row],[New Orders ex Transport]]-B239)/B239</f>
        <v>-2.7113464100015552E-3</v>
      </c>
    </row>
    <row r="241" spans="1:3">
      <c r="A241" s="74">
        <v>40787</v>
      </c>
      <c r="B241" s="75">
        <f>VLOOKUP(A241,Database!A:M,MATCH($A$1,Database!$A$1:$M$1,),)</f>
        <v>148657</v>
      </c>
      <c r="C241" s="113">
        <f>(Table5351415[[#This Row],[New Orders ex Transport]]-B240)/B240</f>
        <v>7.8713999023702335E-3</v>
      </c>
    </row>
    <row r="242" spans="1:3">
      <c r="A242" s="74">
        <v>40817</v>
      </c>
      <c r="B242" s="75">
        <f>VLOOKUP(A242,Database!A:M,MATCH($A$1,Database!$A$1:$M$1,),)</f>
        <v>151629</v>
      </c>
      <c r="C242" s="113">
        <f>(Table5351415[[#This Row],[New Orders ex Transport]]-B241)/B241</f>
        <v>1.9992331339930176E-2</v>
      </c>
    </row>
    <row r="243" spans="1:3">
      <c r="A243" s="74">
        <v>40848</v>
      </c>
      <c r="B243" s="75">
        <f>VLOOKUP(A243,Database!A:M,MATCH($A$1,Database!$A$1:$M$1,),)</f>
        <v>150443</v>
      </c>
      <c r="C243" s="113">
        <f>(Table5351415[[#This Row],[New Orders ex Transport]]-B242)/B242</f>
        <v>-7.8217227575199996E-3</v>
      </c>
    </row>
    <row r="244" spans="1:3">
      <c r="A244" s="74">
        <v>40878</v>
      </c>
      <c r="B244" s="75">
        <f>VLOOKUP(A244,Database!A:M,MATCH($A$1,Database!$A$1:$M$1,),)</f>
        <v>154801</v>
      </c>
      <c r="C244" s="113">
        <f>(Table5351415[[#This Row],[New Orders ex Transport]]-B243)/B243</f>
        <v>2.8967781817698397E-2</v>
      </c>
    </row>
    <row r="245" spans="1:3">
      <c r="A245" s="74">
        <v>40909</v>
      </c>
      <c r="B245" s="75">
        <f>VLOOKUP(A245,Database!A:M,MATCH($A$1,Database!$A$1:$M$1,),)</f>
        <v>151995</v>
      </c>
      <c r="C245" s="113">
        <f>(Table5351415[[#This Row],[New Orders ex Transport]]-B244)/B244</f>
        <v>-1.8126497890840497E-2</v>
      </c>
    </row>
    <row r="246" spans="1:3">
      <c r="A246" s="74">
        <v>40940</v>
      </c>
      <c r="B246" s="75">
        <f>VLOOKUP(A246,Database!A:M,MATCH($A$1,Database!$A$1:$M$1,),)</f>
        <v>153841</v>
      </c>
      <c r="C246" s="113">
        <f>(Table5351415[[#This Row],[New Orders ex Transport]]-B245)/B245</f>
        <v>1.2145136353169512E-2</v>
      </c>
    </row>
    <row r="247" spans="1:3">
      <c r="A247" s="74">
        <v>40969</v>
      </c>
      <c r="B247" s="75">
        <f>VLOOKUP(A247,Database!A:M,MATCH($A$1,Database!$A$1:$M$1,),)</f>
        <v>153408</v>
      </c>
      <c r="C247" s="113">
        <f>(Table5351415[[#This Row],[New Orders ex Transport]]-B246)/B246</f>
        <v>-2.8145942889086784E-3</v>
      </c>
    </row>
    <row r="248" spans="1:3">
      <c r="A248" s="74">
        <v>41000</v>
      </c>
      <c r="B248" s="75">
        <f>VLOOKUP(A248,Database!A:M,MATCH($A$1,Database!$A$1:$M$1,),)</f>
        <v>151383</v>
      </c>
      <c r="C248" s="113">
        <f>(Table5351415[[#This Row],[New Orders ex Transport]]-B247)/B247</f>
        <v>-1.3200093867334168E-2</v>
      </c>
    </row>
    <row r="249" spans="1:3">
      <c r="A249" s="74">
        <v>41030</v>
      </c>
      <c r="B249" s="75">
        <f>VLOOKUP(A249,Database!A:M,MATCH($A$1,Database!$A$1:$M$1,),)</f>
        <v>150820</v>
      </c>
      <c r="C249" s="113">
        <f>(Table5351415[[#This Row],[New Orders ex Transport]]-B248)/B248</f>
        <v>-3.7190437499587141E-3</v>
      </c>
    </row>
    <row r="250" spans="1:3">
      <c r="A250" s="74">
        <v>41061</v>
      </c>
      <c r="B250" s="75">
        <f>VLOOKUP(A250,Database!A:M,MATCH($A$1,Database!$A$1:$M$1,),)</f>
        <v>147012</v>
      </c>
      <c r="C250" s="113">
        <f>(Table5351415[[#This Row],[New Orders ex Transport]]-B249)/B249</f>
        <v>-2.5248640763824427E-2</v>
      </c>
    </row>
    <row r="251" spans="1:3">
      <c r="A251" s="74">
        <v>41091</v>
      </c>
      <c r="B251" s="75">
        <f>VLOOKUP(A251,Database!A:M,MATCH($A$1,Database!$A$1:$M$1,),)</f>
        <v>146370</v>
      </c>
      <c r="C251" s="113">
        <f>(Table5351415[[#This Row],[New Orders ex Transport]]-B250)/B250</f>
        <v>-4.3669904497592033E-3</v>
      </c>
    </row>
    <row r="252" spans="1:3">
      <c r="A252" s="74">
        <v>41122</v>
      </c>
      <c r="B252" s="75">
        <f>VLOOKUP(A252,Database!A:M,MATCH($A$1,Database!$A$1:$M$1,),)</f>
        <v>142809</v>
      </c>
      <c r="C252" s="113">
        <f>(Table5351415[[#This Row],[New Orders ex Transport]]-B251)/B251</f>
        <v>-2.4328755892600942E-2</v>
      </c>
    </row>
    <row r="253" spans="1:3">
      <c r="A253" s="74">
        <v>41153</v>
      </c>
      <c r="B253" s="75">
        <f>VLOOKUP(A253,Database!A:M,MATCH($A$1,Database!$A$1:$M$1,),)</f>
        <v>144398</v>
      </c>
      <c r="C253" s="113">
        <f>(Table5351415[[#This Row],[New Orders ex Transport]]-B252)/B252</f>
        <v>1.1126749714653838E-2</v>
      </c>
    </row>
    <row r="254" spans="1:3">
      <c r="A254" s="74">
        <v>41183</v>
      </c>
      <c r="B254" s="75">
        <f>VLOOKUP(A254,Database!A:M,MATCH($A$1,Database!$A$1:$M$1,),)</f>
        <v>147556</v>
      </c>
      <c r="C254" s="113">
        <f>(Table5351415[[#This Row],[New Orders ex Transport]]-B253)/B253</f>
        <v>2.1870109004279839E-2</v>
      </c>
    </row>
    <row r="255" spans="1:3">
      <c r="A255" s="74">
        <v>41214</v>
      </c>
      <c r="B255" s="75">
        <f>VLOOKUP(A255,Database!A:M,MATCH($A$1,Database!$A$1:$M$1,),)</f>
        <v>147575</v>
      </c>
      <c r="C255" s="113">
        <f>(Table5351415[[#This Row],[New Orders ex Transport]]-B254)/B254</f>
        <v>1.2876467239556508E-4</v>
      </c>
    </row>
    <row r="256" spans="1:3">
      <c r="A256" s="74">
        <v>41244</v>
      </c>
      <c r="B256" s="75">
        <f>VLOOKUP(A256,Database!A:M,MATCH($A$1,Database!$A$1:$M$1,),)</f>
        <v>146089</v>
      </c>
      <c r="C256" s="113">
        <f>(Table5351415[[#This Row],[New Orders ex Transport]]-B255)/B255</f>
        <v>-1.0069456208707438E-2</v>
      </c>
    </row>
    <row r="257" spans="1:3">
      <c r="A257" s="74">
        <v>41275</v>
      </c>
      <c r="B257" s="75">
        <f>VLOOKUP(A257,Database!A:M,MATCH($A$1,Database!$A$1:$M$1,),)</f>
        <v>151759</v>
      </c>
      <c r="C257" s="113">
        <f>(Table5351415[[#This Row],[New Orders ex Transport]]-B256)/B256</f>
        <v>3.8811957094647784E-2</v>
      </c>
    </row>
    <row r="258" spans="1:3">
      <c r="A258" s="74">
        <v>41306</v>
      </c>
      <c r="B258" s="75">
        <f>VLOOKUP(A258,Database!A:M,MATCH($A$1,Database!$A$1:$M$1,),)</f>
        <v>149375</v>
      </c>
      <c r="C258" s="113">
        <f>(Table5351415[[#This Row],[New Orders ex Transport]]-B257)/B257</f>
        <v>-1.570911774589975E-2</v>
      </c>
    </row>
    <row r="259" spans="1:3">
      <c r="A259" s="74">
        <v>41334</v>
      </c>
      <c r="B259" s="75">
        <f>VLOOKUP(A259,Database!A:M,MATCH($A$1,Database!$A$1:$M$1,),)</f>
        <v>145948</v>
      </c>
      <c r="C259" s="113">
        <f>(Table5351415[[#This Row],[New Orders ex Transport]]-B258)/B258</f>
        <v>-2.2942259414225941E-2</v>
      </c>
    </row>
    <row r="260" spans="1:3">
      <c r="A260" s="74">
        <v>41365</v>
      </c>
      <c r="B260" s="75">
        <f>VLOOKUP(A260,Database!A:M,MATCH($A$1,Database!$A$1:$M$1,),)</f>
        <v>149549</v>
      </c>
      <c r="C260" s="113">
        <f>(Table5351415[[#This Row],[New Orders ex Transport]]-B259)/B259</f>
        <v>2.4673171266478472E-2</v>
      </c>
    </row>
    <row r="261" spans="1:3">
      <c r="A261" s="74">
        <v>41395</v>
      </c>
      <c r="B261" s="75">
        <f>VLOOKUP(A261,Database!A:M,MATCH($A$1,Database!$A$1:$M$1,),)</f>
        <v>150337</v>
      </c>
      <c r="C261" s="113">
        <f>(Table5351415[[#This Row],[New Orders ex Transport]]-B260)/B260</f>
        <v>5.2691759891406826E-3</v>
      </c>
    </row>
    <row r="262" spans="1:3">
      <c r="A262" s="74">
        <v>41426</v>
      </c>
      <c r="B262" s="75">
        <f>VLOOKUP(A262,Database!A:M,MATCH($A$1,Database!$A$1:$M$1,),)</f>
        <v>150635</v>
      </c>
      <c r="C262" s="113">
        <f>(Table5351415[[#This Row],[New Orders ex Transport]]-B261)/B261</f>
        <v>1.9822132941325157E-3</v>
      </c>
    </row>
    <row r="263" spans="1:3">
      <c r="A263" s="74">
        <v>41456</v>
      </c>
      <c r="B263" s="75">
        <f>VLOOKUP(A263,Database!A:M,MATCH($A$1,Database!$A$1:$M$1,),)</f>
        <v>148765</v>
      </c>
      <c r="C263" s="113">
        <f>(Table5351415[[#This Row],[New Orders ex Transport]]-B262)/B262</f>
        <v>-1.2414113585820029E-2</v>
      </c>
    </row>
    <row r="264" spans="1:3">
      <c r="A264" s="74">
        <v>41487</v>
      </c>
      <c r="B264" s="75">
        <f>VLOOKUP(A264,Database!A:M,MATCH($A$1,Database!$A$1:$M$1,),)</f>
        <v>147563</v>
      </c>
      <c r="C264" s="113">
        <f>(Table5351415[[#This Row],[New Orders ex Transport]]-B263)/B263</f>
        <v>-8.0798574933620138E-3</v>
      </c>
    </row>
    <row r="265" spans="1:3">
      <c r="A265" s="74">
        <v>41518</v>
      </c>
      <c r="B265" s="75">
        <f>VLOOKUP(A265,Database!A:M,MATCH($A$1,Database!$A$1:$M$1,),)</f>
        <v>148413</v>
      </c>
      <c r="C265" s="113">
        <f>(Table5351415[[#This Row],[New Orders ex Transport]]-B264)/B264</f>
        <v>5.7602515535737277E-3</v>
      </c>
    </row>
    <row r="266" spans="1:3">
      <c r="A266" s="74">
        <v>41548</v>
      </c>
      <c r="B266" s="75">
        <f>VLOOKUP(A266,Database!A:M,MATCH($A$1,Database!$A$1:$M$1,),)</f>
        <v>148997</v>
      </c>
      <c r="C266" s="113">
        <f>(Table5351415[[#This Row],[New Orders ex Transport]]-B265)/B265</f>
        <v>3.9349652658459836E-3</v>
      </c>
    </row>
    <row r="267" spans="1:3">
      <c r="A267" s="74">
        <v>41579</v>
      </c>
      <c r="B267" s="75">
        <f>VLOOKUP(A267,Database!A:M,MATCH($A$1,Database!$A$1:$M$1,),)</f>
        <v>151251</v>
      </c>
      <c r="C267" s="113">
        <f>(Table5351415[[#This Row],[New Orders ex Transport]]-B266)/B266</f>
        <v>1.512782136553085E-2</v>
      </c>
    </row>
    <row r="268" spans="1:3">
      <c r="A268" s="74">
        <v>41609</v>
      </c>
      <c r="B268" s="75">
        <f>VLOOKUP(A268,Database!A:M,MATCH($A$1,Database!$A$1:$M$1,),)</f>
        <v>147895</v>
      </c>
      <c r="C268" s="113">
        <f>(Table5351415[[#This Row],[New Orders ex Transport]]-B267)/B267</f>
        <v>-2.2188283052674031E-2</v>
      </c>
    </row>
    <row r="269" spans="1:3">
      <c r="A269" s="74">
        <v>41640</v>
      </c>
      <c r="B269" s="75">
        <f>VLOOKUP(A269,Database!A:M,MATCH($A$1,Database!$A$1:$M$1,),)</f>
        <v>150968</v>
      </c>
      <c r="C269" s="113">
        <f>(Table5351415[[#This Row],[New Orders ex Transport]]-B268)/B268</f>
        <v>2.0778254842962914E-2</v>
      </c>
    </row>
    <row r="270" spans="1:3">
      <c r="A270" s="74">
        <v>41671</v>
      </c>
      <c r="B270" s="75">
        <f>VLOOKUP(A270,Database!A:M,MATCH($A$1,Database!$A$1:$M$1,),)</f>
        <v>151089</v>
      </c>
      <c r="C270" s="113">
        <f>(Table5351415[[#This Row],[New Orders ex Transport]]-B269)/B269</f>
        <v>8.0149435641990361E-4</v>
      </c>
    </row>
    <row r="271" spans="1:3">
      <c r="A271" s="74">
        <v>41699</v>
      </c>
      <c r="B271" s="75">
        <f>VLOOKUP(A271,Database!A:M,MATCH($A$1,Database!$A$1:$M$1,),)</f>
        <v>153332</v>
      </c>
      <c r="C271" s="113">
        <f>(Table5351415[[#This Row],[New Orders ex Transport]]-B270)/B270</f>
        <v>1.4845554606887331E-2</v>
      </c>
    </row>
    <row r="272" spans="1:3">
      <c r="A272" s="74">
        <v>41730</v>
      </c>
      <c r="B272" s="75">
        <f>VLOOKUP(A272,Database!A:M,MATCH($A$1,Database!$A$1:$M$1,),)</f>
        <v>151959</v>
      </c>
      <c r="C272" s="113">
        <f>(Table5351415[[#This Row],[New Orders ex Transport]]-B271)/B271</f>
        <v>-8.9544256906581802E-3</v>
      </c>
    </row>
    <row r="273" spans="1:3">
      <c r="A273" s="74">
        <v>41760</v>
      </c>
      <c r="B273" s="75">
        <f>VLOOKUP(A273,Database!A:M,MATCH($A$1,Database!$A$1:$M$1,),)</f>
        <v>152127</v>
      </c>
      <c r="C273" s="113">
        <f>(Table5351415[[#This Row],[New Orders ex Transport]]-B272)/B272</f>
        <v>1.1055613685270369E-3</v>
      </c>
    </row>
    <row r="274" spans="1:3">
      <c r="A274" s="74">
        <v>41791</v>
      </c>
      <c r="B274" s="75">
        <f>VLOOKUP(A274,Database!A:M,MATCH($A$1,Database!$A$1:$M$1,),)</f>
        <v>156585</v>
      </c>
      <c r="C274" s="113">
        <f>(Table5351415[[#This Row],[New Orders ex Transport]]-B273)/B273</f>
        <v>2.9304462718649549E-2</v>
      </c>
    </row>
    <row r="275" spans="1:3">
      <c r="A275" s="74">
        <v>41821</v>
      </c>
      <c r="B275" s="75">
        <f>VLOOKUP(A275,Database!A:M,MATCH($A$1,Database!$A$1:$M$1,),)</f>
        <v>153702</v>
      </c>
      <c r="C275" s="113">
        <f>(Table5351415[[#This Row],[New Orders ex Transport]]-B274)/B274</f>
        <v>-1.8411725261040329E-2</v>
      </c>
    </row>
    <row r="276" spans="1:3">
      <c r="A276" s="74">
        <v>41852</v>
      </c>
      <c r="B276" s="75">
        <f>VLOOKUP(A276,Database!A:M,MATCH($A$1,Database!$A$1:$M$1,),)</f>
        <v>155211</v>
      </c>
      <c r="C276" s="113">
        <f>(Table5351415[[#This Row],[New Orders ex Transport]]-B275)/B275</f>
        <v>9.8176991841355359E-3</v>
      </c>
    </row>
    <row r="277" spans="1:3">
      <c r="A277" s="74">
        <v>41883</v>
      </c>
      <c r="B277" s="75">
        <f>VLOOKUP(A277,Database!A:M,MATCH($A$1,Database!$A$1:$M$1,),)</f>
        <v>156982</v>
      </c>
      <c r="C277" s="113">
        <f>(Table5351415[[#This Row],[New Orders ex Transport]]-B276)/B276</f>
        <v>1.1410273756370361E-2</v>
      </c>
    </row>
    <row r="278" spans="1:3">
      <c r="A278" s="74">
        <v>41913</v>
      </c>
      <c r="B278" s="75">
        <f>VLOOKUP(A278,Database!A:M,MATCH($A$1,Database!$A$1:$M$1,),)</f>
        <v>152761</v>
      </c>
      <c r="C278" s="113">
        <f>(Table5351415[[#This Row],[New Orders ex Transport]]-B277)/B277</f>
        <v>-2.6888433068759477E-2</v>
      </c>
    </row>
    <row r="279" spans="1:3">
      <c r="A279" s="74">
        <v>41944</v>
      </c>
      <c r="B279" s="75">
        <f>VLOOKUP(A279,Database!A:M,MATCH($A$1,Database!$A$1:$M$1,),)</f>
        <v>149271</v>
      </c>
      <c r="C279" s="113">
        <f>(Table5351415[[#This Row],[New Orders ex Transport]]-B278)/B278</f>
        <v>-2.2846145285773202E-2</v>
      </c>
    </row>
    <row r="280" spans="1:3">
      <c r="A280" s="74">
        <v>41974</v>
      </c>
      <c r="B280" s="75">
        <f>VLOOKUP(A280,Database!A:M,MATCH($A$1,Database!$A$1:$M$1,),)</f>
        <v>150221</v>
      </c>
      <c r="C280" s="113">
        <f>(Table5351415[[#This Row],[New Orders ex Transport]]-B279)/B279</f>
        <v>6.3642636546951516E-3</v>
      </c>
    </row>
    <row r="281" spans="1:3">
      <c r="A281" s="74">
        <v>42005</v>
      </c>
      <c r="B281" s="75">
        <f>VLOOKUP(A281,Database!A:M,MATCH($A$1,Database!$A$1:$M$1,),)</f>
        <v>147536</v>
      </c>
      <c r="C281" s="113">
        <f>(Table5351415[[#This Row],[New Orders ex Transport]]-B280)/B280</f>
        <v>-1.7873666131899002E-2</v>
      </c>
    </row>
    <row r="282" spans="1:3">
      <c r="A282" s="74">
        <v>42036</v>
      </c>
      <c r="B282" s="75">
        <f>VLOOKUP(A282,Database!A:M,MATCH($A$1,Database!$A$1:$M$1,),)</f>
        <v>146440</v>
      </c>
      <c r="C282" s="113">
        <f>(Table5351415[[#This Row],[New Orders ex Transport]]-B281)/B281</f>
        <v>-7.4286953692658062E-3</v>
      </c>
    </row>
    <row r="283" spans="1:3">
      <c r="A283" s="74">
        <v>42064</v>
      </c>
      <c r="B283" s="75">
        <f>VLOOKUP(A283,Database!A:M,MATCH($A$1,Database!$A$1:$M$1,),)</f>
        <v>147112</v>
      </c>
      <c r="C283" s="113">
        <f>(Table5351415[[#This Row],[New Orders ex Transport]]-B282)/B282</f>
        <v>4.5889101338432124E-3</v>
      </c>
    </row>
    <row r="284" spans="1:3">
      <c r="A284" s="74">
        <v>42095</v>
      </c>
      <c r="B284" s="75">
        <f>VLOOKUP(A284,Database!A:M,MATCH($A$1,Database!$A$1:$M$1,),)</f>
        <v>146593</v>
      </c>
      <c r="C284" s="113">
        <f>(Table5351415[[#This Row],[New Orders ex Transport]]-B283)/B283</f>
        <v>-3.5279243025721899E-3</v>
      </c>
    </row>
    <row r="285" spans="1:3">
      <c r="A285" s="74">
        <v>42125</v>
      </c>
      <c r="B285" s="75">
        <f>VLOOKUP(A285,Database!A:M,MATCH($A$1,Database!$A$1:$M$1,),)</f>
        <v>144774</v>
      </c>
      <c r="C285" s="113">
        <f>(Table5351415[[#This Row],[New Orders ex Transport]]-B284)/B284</f>
        <v>-1.2408505181011371E-2</v>
      </c>
    </row>
    <row r="286" spans="1:3">
      <c r="A286" s="74">
        <v>42156</v>
      </c>
      <c r="B286" s="75">
        <f>VLOOKUP(A286,Database!A:M,MATCH($A$1,Database!$A$1:$M$1,),)</f>
        <v>147815</v>
      </c>
      <c r="C286" s="113">
        <f>(Table5351415[[#This Row],[New Orders ex Transport]]-B285)/B285</f>
        <v>2.100515285893876E-2</v>
      </c>
    </row>
    <row r="287" spans="1:3">
      <c r="A287" s="74">
        <v>42186</v>
      </c>
      <c r="B287" s="75">
        <f>VLOOKUP(A287,Database!A:M,MATCH($A$1,Database!$A$1:$M$1,),)</f>
        <v>146096</v>
      </c>
      <c r="C287" s="113">
        <f>(Table5351415[[#This Row],[New Orders ex Transport]]-B286)/B286</f>
        <v>-1.1629401616885972E-2</v>
      </c>
    </row>
    <row r="288" spans="1:3">
      <c r="A288" s="74">
        <v>42217</v>
      </c>
      <c r="B288" s="75">
        <f>VLOOKUP(A288,Database!A:M,MATCH($A$1,Database!$A$1:$M$1,),)</f>
        <v>146193</v>
      </c>
      <c r="C288" s="113">
        <f>(Table5351415[[#This Row],[New Orders ex Transport]]-B287)/B287</f>
        <v>6.6394699375752929E-4</v>
      </c>
    </row>
    <row r="289" spans="1:3">
      <c r="A289" s="74">
        <v>42248</v>
      </c>
      <c r="B289" s="75">
        <f>VLOOKUP(A289,Database!A:M,MATCH($A$1,Database!$A$1:$M$1,),)</f>
        <v>145929</v>
      </c>
      <c r="C289" s="113">
        <f>(Table5351415[[#This Row],[New Orders ex Transport]]-B288)/B288</f>
        <v>-1.8058320165808212E-3</v>
      </c>
    </row>
    <row r="290" spans="1:3">
      <c r="A290" s="74">
        <v>42278</v>
      </c>
      <c r="B290" s="75">
        <f>VLOOKUP(A290,Database!A:M,MATCH($A$1,Database!$A$1:$M$1,),)</f>
        <v>144418</v>
      </c>
      <c r="C290" s="113">
        <f>(Table5351415[[#This Row],[New Orders ex Transport]]-B289)/B289</f>
        <v>-1.0354350403278307E-2</v>
      </c>
    </row>
    <row r="291" spans="1:3">
      <c r="A291" s="74">
        <v>42309</v>
      </c>
      <c r="B291" s="75">
        <f>VLOOKUP(A291,Database!A:M,MATCH($A$1,Database!$A$1:$M$1,),)</f>
        <v>143766</v>
      </c>
      <c r="C291" s="113">
        <f>(Table5351415[[#This Row],[New Orders ex Transport]]-B290)/B290</f>
        <v>-4.5146726862302479E-3</v>
      </c>
    </row>
    <row r="292" spans="1:3">
      <c r="A292" s="74">
        <v>42339</v>
      </c>
      <c r="B292" s="75">
        <f>VLOOKUP(A292,Database!A:M,MATCH($A$1,Database!$A$1:$M$1,),)</f>
        <v>141875</v>
      </c>
      <c r="C292" s="113">
        <f>(Table5351415[[#This Row],[New Orders ex Transport]]-B291)/B291</f>
        <v>-1.3153318587148561E-2</v>
      </c>
    </row>
    <row r="293" spans="1:3">
      <c r="A293" s="74">
        <v>42370</v>
      </c>
      <c r="B293" s="75">
        <f>VLOOKUP(A293,Database!A:M,MATCH($A$1,Database!$A$1:$M$1,),)</f>
        <v>144186</v>
      </c>
      <c r="C293" s="113">
        <f>(Table5351415[[#This Row],[New Orders ex Transport]]-B292)/B292</f>
        <v>1.6288986784140969E-2</v>
      </c>
    </row>
    <row r="294" spans="1:3">
      <c r="A294" s="74">
        <v>42401</v>
      </c>
      <c r="B294" s="75">
        <f>VLOOKUP(A294,Database!A:M,MATCH($A$1,Database!$A$1:$M$1,),)</f>
        <v>142597</v>
      </c>
      <c r="C294" s="113">
        <f>(Table5351415[[#This Row],[New Orders ex Transport]]-B293)/B293</f>
        <v>-1.1020487425963685E-2</v>
      </c>
    </row>
    <row r="295" spans="1:3">
      <c r="A295" s="74">
        <v>42430</v>
      </c>
      <c r="B295" s="75">
        <f>VLOOKUP(A295,Database!A:M,MATCH($A$1,Database!$A$1:$M$1,),)</f>
        <v>141252</v>
      </c>
      <c r="C295" s="113">
        <f>(Table5351415[[#This Row],[New Orders ex Transport]]-B294)/B294</f>
        <v>-9.4321759924823109E-3</v>
      </c>
    </row>
    <row r="296" spans="1:3">
      <c r="A296" s="74">
        <v>42461</v>
      </c>
      <c r="B296" s="75">
        <f>VLOOKUP(A296,Database!A:M,MATCH($A$1,Database!$A$1:$M$1,),)</f>
        <v>142498</v>
      </c>
      <c r="C296" s="113">
        <f>(Table5351415[[#This Row],[New Orders ex Transport]]-B295)/B295</f>
        <v>8.8211140373233646E-3</v>
      </c>
    </row>
    <row r="297" spans="1:3">
      <c r="A297" s="74">
        <v>42491</v>
      </c>
      <c r="B297" s="75">
        <f>VLOOKUP(A297,Database!A:M,MATCH($A$1,Database!$A$1:$M$1,),)</f>
        <v>141585</v>
      </c>
      <c r="C297" s="113">
        <f>(Table5351415[[#This Row],[New Orders ex Transport]]-B296)/B296</f>
        <v>-6.4071074681749923E-3</v>
      </c>
    </row>
    <row r="298" spans="1:3">
      <c r="A298" s="74">
        <v>42522</v>
      </c>
      <c r="B298" s="75">
        <f>VLOOKUP(A298,Database!A:M,MATCH($A$1,Database!$A$1:$M$1,),)</f>
        <v>140522</v>
      </c>
      <c r="C298" s="113">
        <f>(Table5351415[[#This Row],[New Orders ex Transport]]-B297)/B297</f>
        <v>-7.5078574707772719E-3</v>
      </c>
    </row>
    <row r="299" spans="1:3">
      <c r="A299" s="74">
        <v>42552</v>
      </c>
      <c r="B299" s="75">
        <f>VLOOKUP(A299,Database!A:M,MATCH($A$1,Database!$A$1:$M$1,),)</f>
        <v>141800</v>
      </c>
      <c r="C299" s="113">
        <f>(Table5351415[[#This Row],[New Orders ex Transport]]-B298)/B298</f>
        <v>9.094661334168315E-3</v>
      </c>
    </row>
    <row r="300" spans="1:3">
      <c r="A300" s="74">
        <v>42583</v>
      </c>
      <c r="B300" s="75">
        <f>VLOOKUP(A300,Database!A:M,MATCH($A$1,Database!$A$1:$M$1,),)</f>
        <v>142038</v>
      </c>
      <c r="C300" s="113">
        <f>(Table5351415[[#This Row],[New Orders ex Transport]]-B299)/B299</f>
        <v>1.6784203102961919E-3</v>
      </c>
    </row>
    <row r="301" spans="1:3">
      <c r="A301" s="74">
        <v>42614</v>
      </c>
      <c r="B301" s="75">
        <f>VLOOKUP(A301,Database!A:M,MATCH($A$1,Database!$A$1:$M$1,),)</f>
        <v>140922</v>
      </c>
      <c r="C301" s="113">
        <f>(Table5351415[[#This Row],[New Orders ex Transport]]-B300)/B300</f>
        <v>-7.8570523381067039E-3</v>
      </c>
    </row>
    <row r="302" spans="1:3">
      <c r="A302" s="74">
        <v>42644</v>
      </c>
      <c r="B302" s="75">
        <f>VLOOKUP(A302,Database!A:M,MATCH($A$1,Database!$A$1:$M$1,),)</f>
        <v>142058</v>
      </c>
      <c r="C302" s="113">
        <f>(Table5351415[[#This Row],[New Orders ex Transport]]-B301)/B301</f>
        <v>8.0611969742126859E-3</v>
      </c>
    </row>
    <row r="303" spans="1:3">
      <c r="A303" s="74">
        <v>42675</v>
      </c>
      <c r="B303" s="75">
        <f>VLOOKUP(A303,Database!A:M,MATCH($A$1,Database!$A$1:$M$1,),)</f>
        <v>142414</v>
      </c>
      <c r="C303" s="113">
        <f>(Table5351415[[#This Row],[New Orders ex Transport]]-B302)/B302</f>
        <v>2.5060186684312041E-3</v>
      </c>
    </row>
    <row r="304" spans="1:3">
      <c r="A304" s="74">
        <v>42705</v>
      </c>
      <c r="B304" s="75">
        <f>VLOOKUP(A304,Database!A:M,MATCH($A$1,Database!$A$1:$M$1,),)</f>
        <v>142533</v>
      </c>
      <c r="C304" s="113">
        <f>(Table5351415[[#This Row],[New Orders ex Transport]]-B303)/B303</f>
        <v>8.3559200640386476E-4</v>
      </c>
    </row>
    <row r="305" spans="1:3">
      <c r="A305" s="74">
        <v>42736</v>
      </c>
      <c r="B305" s="75">
        <f>VLOOKUP(A305,Database!A:M,MATCH($A$1,Database!$A$1:$M$1,),)</f>
        <v>145178</v>
      </c>
      <c r="C305" s="113">
        <f>(Table5351415[[#This Row],[New Orders ex Transport]]-B304)/B304</f>
        <v>1.8557106073681183E-2</v>
      </c>
    </row>
    <row r="306" spans="1:3">
      <c r="A306" s="74">
        <v>42767</v>
      </c>
      <c r="B306" s="75">
        <f>VLOOKUP(A306,Database!A:M,MATCH($A$1,Database!$A$1:$M$1,),)</f>
        <v>145214</v>
      </c>
      <c r="C306" s="113">
        <f>(Table5351415[[#This Row],[New Orders ex Transport]]-B305)/B305</f>
        <v>2.4797145573020703E-4</v>
      </c>
    </row>
    <row r="307" spans="1:3">
      <c r="A307" s="74">
        <v>42795</v>
      </c>
      <c r="B307" s="75">
        <f>VLOOKUP(A307,Database!A:M,MATCH($A$1,Database!$A$1:$M$1,),)</f>
        <v>146824</v>
      </c>
      <c r="C307" s="113">
        <f>(Table5351415[[#This Row],[New Orders ex Transport]]-B306)/B306</f>
        <v>1.1087085267260733E-2</v>
      </c>
    </row>
    <row r="308" spans="1:3">
      <c r="A308" s="74">
        <v>42826</v>
      </c>
      <c r="B308" s="75">
        <f>VLOOKUP(A308,Database!A:M,MATCH($A$1,Database!$A$1:$M$1,),)</f>
        <v>146180</v>
      </c>
      <c r="C308" s="113">
        <f>(Table5351415[[#This Row],[New Orders ex Transport]]-B307)/B307</f>
        <v>-4.3862038903721466E-3</v>
      </c>
    </row>
    <row r="309" spans="1:3">
      <c r="A309" s="74">
        <v>42856</v>
      </c>
      <c r="B309" s="75">
        <f>VLOOKUP(A309,Database!A:M,MATCH($A$1,Database!$A$1:$M$1,),)</f>
        <v>147376</v>
      </c>
      <c r="C309" s="113">
        <f>(Table5351415[[#This Row],[New Orders ex Transport]]-B308)/B308</f>
        <v>8.1816938021617193E-3</v>
      </c>
    </row>
    <row r="310" spans="1:3">
      <c r="A310" s="74">
        <v>42887</v>
      </c>
      <c r="B310" s="75">
        <f>VLOOKUP(A310,Database!A:M,MATCH($A$1,Database!$A$1:$M$1,),)</f>
        <v>145833</v>
      </c>
      <c r="C310" s="113">
        <f>(Table5351415[[#This Row],[New Orders ex Transport]]-B309)/B309</f>
        <v>-1.0469818695038541E-2</v>
      </c>
    </row>
    <row r="311" spans="1:3">
      <c r="A311" s="74">
        <v>42917</v>
      </c>
      <c r="B311" s="75">
        <f>VLOOKUP(A311,Database!A:M,MATCH($A$1,Database!$A$1:$M$1,),)</f>
        <v>147843</v>
      </c>
      <c r="C311" s="113">
        <f>(Table5351415[[#This Row],[New Orders ex Transport]]-B310)/B310</f>
        <v>1.378288864660262E-2</v>
      </c>
    </row>
    <row r="312" spans="1:3">
      <c r="A312" s="74">
        <v>42948</v>
      </c>
      <c r="B312" s="75">
        <f>VLOOKUP(A312,Database!A:M,MATCH($A$1,Database!$A$1:$M$1,),)</f>
        <v>148854</v>
      </c>
      <c r="C312" s="113">
        <f>(Table5351415[[#This Row],[New Orders ex Transport]]-B311)/B311</f>
        <v>6.8383352610539563E-3</v>
      </c>
    </row>
    <row r="313" spans="1:3">
      <c r="A313" s="74">
        <v>42979</v>
      </c>
      <c r="B313" s="75">
        <f>VLOOKUP(A313,Database!A:M,MATCH($A$1,Database!$A$1:$M$1,),)</f>
        <v>150371</v>
      </c>
      <c r="C313" s="113">
        <f>(Table5351415[[#This Row],[New Orders ex Transport]]-B312)/B312</f>
        <v>1.0191194055920566E-2</v>
      </c>
    </row>
    <row r="314" spans="1:3">
      <c r="A314" s="74">
        <v>43009</v>
      </c>
      <c r="B314" s="75">
        <f>VLOOKUP(A314,Database!A:M,MATCH($A$1,Database!$A$1:$M$1,),)</f>
        <v>153146</v>
      </c>
      <c r="C314" s="113">
        <f>(Table5351415[[#This Row],[New Orders ex Transport]]-B313)/B313</f>
        <v>1.8454356225602011E-2</v>
      </c>
    </row>
    <row r="315" spans="1:3">
      <c r="A315" s="74">
        <v>43040</v>
      </c>
      <c r="B315" s="75">
        <f>VLOOKUP(A315,Database!A:M,MATCH($A$1,Database!$A$1:$M$1,),)</f>
        <v>153298</v>
      </c>
      <c r="C315" s="113">
        <f>(Table5351415[[#This Row],[New Orders ex Transport]]-B314)/B314</f>
        <v>9.9251694461494262E-4</v>
      </c>
    </row>
    <row r="316" spans="1:3">
      <c r="A316" s="74">
        <v>43070</v>
      </c>
      <c r="B316" s="75">
        <f>VLOOKUP(A316,Database!A:M,MATCH($A$1,Database!$A$1:$M$1,),)</f>
        <v>154340</v>
      </c>
      <c r="C316" s="113">
        <f>(Table5351415[[#This Row],[New Orders ex Transport]]-B315)/B315</f>
        <v>6.79721848947801E-3</v>
      </c>
    </row>
    <row r="317" spans="1:3">
      <c r="A317" s="74">
        <v>43101</v>
      </c>
      <c r="B317" s="75">
        <f>VLOOKUP(A317,Database!A:M,MATCH($A$1,Database!$A$1:$M$1,),)</f>
        <v>154535</v>
      </c>
      <c r="C317" s="113">
        <f>(Table5351415[[#This Row],[New Orders ex Transport]]-B316)/B316</f>
        <v>1.2634443436568615E-3</v>
      </c>
    </row>
    <row r="318" spans="1:3">
      <c r="A318" s="74">
        <v>43132</v>
      </c>
      <c r="B318" s="75">
        <f>VLOOKUP(A318,Database!A:M,MATCH($A$1,Database!$A$1:$M$1,),)</f>
        <v>157084</v>
      </c>
      <c r="C318" s="113">
        <f>(Table5351415[[#This Row],[New Orders ex Transport]]-B317)/B317</f>
        <v>1.6494645226000582E-2</v>
      </c>
    </row>
    <row r="319" spans="1:3">
      <c r="A319" s="74">
        <v>43160</v>
      </c>
      <c r="B319" s="75">
        <f>VLOOKUP(A319,Database!A:M,MATCH($A$1,Database!$A$1:$M$1,),)</f>
        <v>157483</v>
      </c>
      <c r="C319" s="113">
        <f>(Table5351415[[#This Row],[New Orders ex Transport]]-B318)/B318</f>
        <v>2.5400422703776323E-3</v>
      </c>
    </row>
    <row r="320" spans="1:3">
      <c r="A320" s="74">
        <v>43191</v>
      </c>
      <c r="B320" s="75">
        <f>VLOOKUP(A320,Database!A:M,MATCH($A$1,Database!$A$1:$M$1,),)</f>
        <v>159991</v>
      </c>
      <c r="C320" s="113">
        <f>(Table5351415[[#This Row],[New Orders ex Transport]]-B319)/B319</f>
        <v>1.5925528469739592E-2</v>
      </c>
    </row>
    <row r="321" spans="1:3">
      <c r="A321" s="74">
        <v>43221</v>
      </c>
      <c r="B321" s="75">
        <f>VLOOKUP(A321,Database!A:M,MATCH($A$1,Database!$A$1:$M$1,),)</f>
        <v>161607</v>
      </c>
      <c r="C321" s="113">
        <f>(Table5351415[[#This Row],[New Orders ex Transport]]-B320)/B320</f>
        <v>1.0100568156958829E-2</v>
      </c>
    </row>
    <row r="322" spans="1:3">
      <c r="A322" s="74">
        <v>43252</v>
      </c>
      <c r="B322" s="75">
        <f>VLOOKUP(A322,Database!A:M,MATCH($A$1,Database!$A$1:$M$1,),)</f>
        <v>161931</v>
      </c>
      <c r="C322" s="113">
        <f>(Table5351415[[#This Row],[New Orders ex Transport]]-B321)/B321</f>
        <v>2.0048636507081995E-3</v>
      </c>
    </row>
    <row r="323" spans="1:3">
      <c r="A323" s="74">
        <v>43282</v>
      </c>
      <c r="B323" s="75">
        <f>VLOOKUP(A323,Database!A:M,MATCH($A$1,Database!$A$1:$M$1,),)</f>
        <v>162893</v>
      </c>
      <c r="C323" s="113">
        <f>(Table5351415[[#This Row],[New Orders ex Transport]]-B322)/B322</f>
        <v>5.940801946508081E-3</v>
      </c>
    </row>
    <row r="324" spans="1:3">
      <c r="A324" s="74">
        <v>43313</v>
      </c>
      <c r="B324" s="75">
        <f>VLOOKUP(A324,Database!A:M,MATCH($A$1,Database!$A$1:$M$1,),)</f>
        <v>160822</v>
      </c>
      <c r="C324" s="113">
        <f>(Table5351415[[#This Row],[New Orders ex Transport]]-B323)/B323</f>
        <v>-1.2713867385338843E-2</v>
      </c>
    </row>
    <row r="325" spans="1:3">
      <c r="A325" s="74">
        <v>43344</v>
      </c>
      <c r="B325" s="75">
        <f>VLOOKUP(A325,Database!A:M,MATCH($A$1,Database!$A$1:$M$1,),)</f>
        <v>160120</v>
      </c>
      <c r="C325" s="113">
        <f>(Table5351415[[#This Row],[New Orders ex Transport]]-B324)/B324</f>
        <v>-4.3650744301152828E-3</v>
      </c>
    </row>
    <row r="326" spans="1:3">
      <c r="A326" s="74">
        <v>43374</v>
      </c>
      <c r="B326" s="75">
        <f>VLOOKUP(A326,Database!A:M,MATCH($A$1,Database!$A$1:$M$1,),)</f>
        <v>161994</v>
      </c>
      <c r="C326" s="113">
        <f>(Table5351415[[#This Row],[New Orders ex Transport]]-B325)/B325</f>
        <v>1.1703722208343743E-2</v>
      </c>
    </row>
    <row r="327" spans="1:3">
      <c r="A327" s="74">
        <v>43405</v>
      </c>
      <c r="B327" s="75">
        <f>VLOOKUP(A327,Database!A:M,MATCH($A$1,Database!$A$1:$M$1,),)</f>
        <v>158377</v>
      </c>
      <c r="C327" s="113">
        <f>(Table5351415[[#This Row],[New Orders ex Transport]]-B326)/B326</f>
        <v>-2.2327987456325544E-2</v>
      </c>
    </row>
    <row r="328" spans="1:3">
      <c r="A328" s="74">
        <v>43435</v>
      </c>
      <c r="B328" s="75">
        <f>VLOOKUP(A328,Database!A:M,MATCH($A$1,Database!$A$1:$M$1,),)</f>
        <v>159589</v>
      </c>
      <c r="C328" s="113">
        <f>(Table5351415[[#This Row],[New Orders ex Transport]]-B327)/B327</f>
        <v>7.6526263283178747E-3</v>
      </c>
    </row>
    <row r="329" spans="1:3">
      <c r="A329" s="74">
        <v>43466</v>
      </c>
      <c r="B329" s="75">
        <f>VLOOKUP(A329,Database!A:M,MATCH($A$1,Database!$A$1:$M$1,),)</f>
        <v>159378</v>
      </c>
      <c r="C329" s="113">
        <f>(Table5351415[[#This Row],[New Orders ex Transport]]-B328)/B328</f>
        <v>-1.3221462632136301E-3</v>
      </c>
    </row>
    <row r="330" spans="1:3">
      <c r="A330" s="74">
        <v>43497</v>
      </c>
      <c r="B330" s="75">
        <f>VLOOKUP(A330,Database!A:M,MATCH($A$1,Database!$A$1:$M$1,),)</f>
        <v>159319</v>
      </c>
      <c r="C330" s="113">
        <f>(Table5351415[[#This Row],[New Orders ex Transport]]-B329)/B329</f>
        <v>-3.7018911016576945E-4</v>
      </c>
    </row>
    <row r="331" spans="1:3">
      <c r="A331" s="74">
        <v>43525</v>
      </c>
      <c r="B331" s="75">
        <f>VLOOKUP(A331,Database!A:M,MATCH($A$1,Database!$A$1:$M$1,),)</f>
        <v>158787</v>
      </c>
      <c r="C331" s="113">
        <f>(Table5351415[[#This Row],[New Orders ex Transport]]-B330)/B330</f>
        <v>-3.3392125233023054E-3</v>
      </c>
    </row>
    <row r="332" spans="1:3">
      <c r="A332" s="74">
        <v>43556</v>
      </c>
      <c r="B332" s="75">
        <f>VLOOKUP(A332,Database!A:M,MATCH($A$1,Database!$A$1:$M$1,),)</f>
        <v>159686</v>
      </c>
      <c r="C332" s="113">
        <f>(Table5351415[[#This Row],[New Orders ex Transport]]-B331)/B331</f>
        <v>5.6616725550580338E-3</v>
      </c>
    </row>
    <row r="333" spans="1:3">
      <c r="A333" s="74">
        <v>43586</v>
      </c>
      <c r="B333" s="75">
        <f>VLOOKUP(A333,Database!A:M,MATCH($A$1,Database!$A$1:$M$1,),)</f>
        <v>158746</v>
      </c>
      <c r="C333" s="113">
        <f>(Table5351415[[#This Row],[New Orders ex Transport]]-B332)/B332</f>
        <v>-5.8865523590045463E-3</v>
      </c>
    </row>
    <row r="334" spans="1:3">
      <c r="A334" s="74">
        <v>43617</v>
      </c>
      <c r="B334" s="75">
        <f>VLOOKUP(A334,Database!A:M,MATCH($A$1,Database!$A$1:$M$1,),)</f>
        <v>159812</v>
      </c>
      <c r="C334" s="113">
        <f>(Table5351415[[#This Row],[New Orders ex Transport]]-B333)/B333</f>
        <v>6.7151298300429617E-3</v>
      </c>
    </row>
    <row r="335" spans="1:3">
      <c r="A335" s="74">
        <v>43647</v>
      </c>
      <c r="B335" s="75">
        <f>VLOOKUP(A335,Database!A:M,MATCH($A$1,Database!$A$1:$M$1,),)</f>
        <v>157829</v>
      </c>
      <c r="C335" s="113">
        <f>(Table5351415[[#This Row],[New Orders ex Transport]]-B334)/B334</f>
        <v>-1.2408329787500312E-2</v>
      </c>
    </row>
    <row r="336" spans="1:3">
      <c r="A336" s="74">
        <v>43678</v>
      </c>
      <c r="B336" s="75">
        <f>VLOOKUP(A336,Database!A:M,MATCH($A$1,Database!$A$1:$M$1,),)</f>
        <v>157610</v>
      </c>
      <c r="C336" s="113">
        <f>(Table5351415[[#This Row],[New Orders ex Transport]]-B335)/B335</f>
        <v>-1.3875776948469546E-3</v>
      </c>
    </row>
    <row r="337" spans="1:3">
      <c r="A337" s="74">
        <v>43709</v>
      </c>
      <c r="B337" s="75">
        <f>VLOOKUP(A337,Database!A:M,MATCH($A$1,Database!$A$1:$M$1,),)</f>
        <v>156184</v>
      </c>
      <c r="C337" s="113">
        <f>(Table5351415[[#This Row],[New Orders ex Transport]]-B336)/B336</f>
        <v>-9.0476492608337032E-3</v>
      </c>
    </row>
    <row r="338" spans="1:3">
      <c r="A338" s="74">
        <v>43739</v>
      </c>
      <c r="B338" s="75">
        <f>VLOOKUP(A338,Database!A:M,MATCH($A$1,Database!$A$1:$M$1,),)</f>
        <v>155758</v>
      </c>
      <c r="C338" s="113">
        <f>(Table5351415[[#This Row],[New Orders ex Transport]]-B337)/B337</f>
        <v>-2.7275521180146495E-3</v>
      </c>
    </row>
    <row r="339" spans="1:3">
      <c r="A339" s="74">
        <v>43770</v>
      </c>
      <c r="B339" s="75">
        <f>VLOOKUP(A339,Database!A:M,MATCH($A$1,Database!$A$1:$M$1,),)</f>
        <v>154752</v>
      </c>
      <c r="C339" s="113">
        <f>(Table5351415[[#This Row],[New Orders ex Transport]]-B338)/B338</f>
        <v>-6.4587372719218271E-3</v>
      </c>
    </row>
    <row r="340" spans="1:3">
      <c r="A340" s="74">
        <v>43800</v>
      </c>
      <c r="B340" s="75">
        <f>VLOOKUP(A340,Database!A:M,MATCH($A$1,Database!$A$1:$M$1,),)</f>
        <v>152508</v>
      </c>
      <c r="C340" s="113">
        <f>(Table5351415[[#This Row],[New Orders ex Transport]]-B339)/B339</f>
        <v>-1.4500620347394541E-2</v>
      </c>
    </row>
    <row r="341" spans="1:3">
      <c r="A341" s="74">
        <v>43831</v>
      </c>
      <c r="B341" s="75">
        <f>VLOOKUP(A341,Database!A:M,MATCH($A$1,Database!$A$1:$M$1,),)</f>
        <v>150988</v>
      </c>
      <c r="C341" s="113">
        <f>(Table5351415[[#This Row],[New Orders ex Transport]]-B340)/B340</f>
        <v>-9.9666902719857311E-3</v>
      </c>
    </row>
    <row r="342" spans="1:3">
      <c r="A342" s="74">
        <v>43862</v>
      </c>
      <c r="B342" s="75">
        <f>VLOOKUP(A342,Database!A:M,MATCH($A$1,Database!$A$1:$M$1,),)</f>
        <v>150101</v>
      </c>
      <c r="C342" s="113">
        <f>(Table5351415[[#This Row],[New Orders ex Transport]]-B341)/B341</f>
        <v>-5.8746390441624498E-3</v>
      </c>
    </row>
    <row r="343" spans="1:3">
      <c r="A343" s="74">
        <v>43891</v>
      </c>
      <c r="B343" s="75">
        <f>VLOOKUP(A343,Database!A:M,MATCH($A$1,Database!$A$1:$M$1,),)</f>
        <v>145999</v>
      </c>
      <c r="C343" s="113">
        <f>(Table5351415[[#This Row],[New Orders ex Transport]]-B342)/B342</f>
        <v>-2.7328265634472788E-2</v>
      </c>
    </row>
    <row r="344" spans="1:3">
      <c r="A344" s="74">
        <v>43922</v>
      </c>
      <c r="B344" s="75">
        <f>VLOOKUP(A344,Database!A:M,MATCH($A$1,Database!$A$1:$M$1,),)</f>
        <v>131804</v>
      </c>
      <c r="C344" s="113">
        <f>(Table5351415[[#This Row],[New Orders ex Transport]]-B343)/B343</f>
        <v>-9.7226693333515982E-2</v>
      </c>
    </row>
    <row r="345" spans="1:3">
      <c r="A345" s="74">
        <v>43952</v>
      </c>
      <c r="B345" s="75">
        <f>VLOOKUP(A345,Database!A:M,MATCH($A$1,Database!$A$1:$M$1,),)</f>
        <v>136456</v>
      </c>
      <c r="C345" s="113">
        <f>(Table5351415[[#This Row],[New Orders ex Transport]]-B344)/B344</f>
        <v>3.5294831719826406E-2</v>
      </c>
    </row>
    <row r="346" spans="1:3">
      <c r="A346" s="74">
        <v>43983</v>
      </c>
      <c r="B346" s="75">
        <f>VLOOKUP(A346,Database!A:M,MATCH($A$1,Database!$A$1:$M$1,),)</f>
        <v>143507</v>
      </c>
      <c r="C346" s="113">
        <f>(Table5351415[[#This Row],[New Orders ex Transport]]-B345)/B345</f>
        <v>5.1672333939145221E-2</v>
      </c>
    </row>
    <row r="347" spans="1:3">
      <c r="A347" s="74">
        <v>44013</v>
      </c>
      <c r="B347" s="75">
        <f>VLOOKUP(A347,Database!A:M,MATCH($A$1,Database!$A$1:$M$1,),)</f>
        <v>147581</v>
      </c>
      <c r="C347" s="113">
        <f>(Table5351415[[#This Row],[New Orders ex Transport]]-B346)/B346</f>
        <v>2.8388859080044876E-2</v>
      </c>
    </row>
    <row r="348" spans="1:3">
      <c r="A348" s="74">
        <v>44044</v>
      </c>
      <c r="B348" s="75">
        <f>VLOOKUP(A348,Database!A:M,MATCH($A$1,Database!$A$1:$M$1,),)</f>
        <v>149170</v>
      </c>
      <c r="C348" s="113">
        <f>(Table5351415[[#This Row],[New Orders ex Transport]]-B347)/B347</f>
        <v>1.0766968647725656E-2</v>
      </c>
    </row>
    <row r="349" spans="1:3">
      <c r="A349" s="74">
        <v>44075</v>
      </c>
      <c r="B349" s="75">
        <f>VLOOKUP(A349,Database!A:M,MATCH($A$1,Database!$A$1:$M$1,),)</f>
        <v>152724</v>
      </c>
      <c r="C349" s="113">
        <f>(Table5351415[[#This Row],[New Orders ex Transport]]-B348)/B348</f>
        <v>2.3825165918080041E-2</v>
      </c>
    </row>
    <row r="350" spans="1:3">
      <c r="A350" s="74">
        <v>44105</v>
      </c>
      <c r="B350" s="75">
        <f>VLOOKUP(A350,Database!A:M,MATCH($A$1,Database!$A$1:$M$1,),)</f>
        <v>154200</v>
      </c>
      <c r="C350" s="113">
        <f>(Table5351415[[#This Row],[New Orders ex Transport]]-B349)/B349</f>
        <v>9.6644928105602268E-3</v>
      </c>
    </row>
    <row r="351" spans="1:3">
      <c r="A351" s="74">
        <v>44136</v>
      </c>
      <c r="B351" s="75">
        <f>VLOOKUP(A351,Database!A:M,MATCH($A$1,Database!$A$1:$M$1,),)</f>
        <v>155167</v>
      </c>
      <c r="C351" s="113">
        <f>(Table5351415[[#This Row],[New Orders ex Transport]]-B350)/B350</f>
        <v>6.2710765239948115E-3</v>
      </c>
    </row>
    <row r="352" spans="1:3">
      <c r="A352" s="74">
        <v>44166</v>
      </c>
      <c r="B352" s="75">
        <f>VLOOKUP(A352,Database!A:M,MATCH($A$1,Database!$A$1:$M$1,),)</f>
        <v>159092</v>
      </c>
      <c r="C352" s="113">
        <f>(Table5351415[[#This Row],[New Orders ex Transport]]-B351)/B351</f>
        <v>2.529532697029652E-2</v>
      </c>
    </row>
    <row r="353" spans="1:3">
      <c r="A353" s="74">
        <v>44197</v>
      </c>
      <c r="B353" s="75">
        <f>VLOOKUP(A353,Database!A:M,MATCH($A$1,Database!$A$1:$M$1,),)</f>
        <v>160923</v>
      </c>
      <c r="C353" s="113">
        <f>(Table5351415[[#This Row],[New Orders ex Transport]]-B352)/B352</f>
        <v>1.1509063937847284E-2</v>
      </c>
    </row>
    <row r="354" spans="1:3">
      <c r="A354" s="74">
        <v>44228</v>
      </c>
      <c r="B354" s="75">
        <f>VLOOKUP(A354,Database!A:M,MATCH($A$1,Database!$A$1:$M$1,),)</f>
        <v>161039</v>
      </c>
      <c r="C354" s="113">
        <f>(Table5351415[[#This Row],[New Orders ex Transport]]-B353)/B353</f>
        <v>7.2084164476178048E-4</v>
      </c>
    </row>
    <row r="355" spans="1:3">
      <c r="A355" s="74">
        <v>44256</v>
      </c>
      <c r="B355" s="75">
        <f>VLOOKUP(A355,Database!A:M,MATCH($A$1,Database!$A$1:$M$1,),)</f>
        <v>163381</v>
      </c>
      <c r="C355" s="113">
        <f>(Table5351415[[#This Row],[New Orders ex Transport]]-B354)/B354</f>
        <v>1.4543060997646533E-2</v>
      </c>
    </row>
    <row r="356" spans="1:3">
      <c r="A356" s="74">
        <v>44287</v>
      </c>
      <c r="B356" s="75">
        <f>VLOOKUP(A356,Database!A:M,MATCH($A$1,Database!$A$1:$M$1,),)</f>
        <v>166043</v>
      </c>
      <c r="C356" s="113">
        <f>(Table5351415[[#This Row],[New Orders ex Transport]]-B355)/B355</f>
        <v>1.6293204228153824E-2</v>
      </c>
    </row>
    <row r="357" spans="1:3">
      <c r="A357" s="74">
        <v>44317</v>
      </c>
      <c r="B357" s="75">
        <f>VLOOKUP(A357,Database!A:M,MATCH($A$1,Database!$A$1:$M$1,),)</f>
        <v>166210</v>
      </c>
      <c r="C357" s="113">
        <f>(Table5351415[[#This Row],[New Orders ex Transport]]-B356)/B356</f>
        <v>1.0057635672687196E-3</v>
      </c>
    </row>
    <row r="358" spans="1:3">
      <c r="A358" s="74">
        <v>44348</v>
      </c>
      <c r="B358" s="75">
        <f>VLOOKUP(A358,Database!A:M,MATCH($A$1,Database!$A$1:$M$1,),)</f>
        <v>167836</v>
      </c>
      <c r="C358" s="113">
        <f>(Table5351415[[#This Row],[New Orders ex Transport]]-B357)/B357</f>
        <v>9.7828048853859581E-3</v>
      </c>
    </row>
    <row r="359" spans="1:3">
      <c r="A359" s="74">
        <v>44378</v>
      </c>
      <c r="B359" s="75">
        <f>VLOOKUP(A359,Database!A:M,MATCH($A$1,Database!$A$1:$M$1,),)</f>
        <v>168528</v>
      </c>
      <c r="C359" s="113">
        <f>(Table5351415[[#This Row],[New Orders ex Transport]]-B358)/B358</f>
        <v>4.123072523177387E-3</v>
      </c>
    </row>
    <row r="360" spans="1:3">
      <c r="A360" s="74">
        <v>44409</v>
      </c>
      <c r="B360" s="75">
        <f>VLOOKUP(A360,Database!A:M,MATCH($A$1,Database!$A$1:$M$1,),)</f>
        <v>170357</v>
      </c>
      <c r="C360" s="113">
        <f>(Table5351415[[#This Row],[New Orders ex Transport]]-B359)/B359</f>
        <v>1.0852795974556156E-2</v>
      </c>
    </row>
    <row r="361" spans="1:3">
      <c r="A361" s="74">
        <v>44440</v>
      </c>
      <c r="B361" s="75">
        <f>VLOOKUP(A361,Database!A:M,MATCH($A$1,Database!$A$1:$M$1,),)</f>
        <v>170626</v>
      </c>
      <c r="C361" s="113">
        <f>(Table5351415[[#This Row],[New Orders ex Transport]]-B360)/B360</f>
        <v>1.5790369635530093E-3</v>
      </c>
    </row>
    <row r="362" spans="1:3">
      <c r="A362" s="74">
        <v>44470</v>
      </c>
      <c r="B362" s="75">
        <f>VLOOKUP(A362,Database!A:M,MATCH($A$1,Database!$A$1:$M$1,),)</f>
        <v>171142</v>
      </c>
      <c r="C362" s="113">
        <f>(Table5351415[[#This Row],[New Orders ex Transport]]-B361)/B361</f>
        <v>3.0241581001723065E-3</v>
      </c>
    </row>
    <row r="363" spans="1:3">
      <c r="A363" s="74">
        <v>44501</v>
      </c>
      <c r="B363" s="75">
        <f>VLOOKUP(A363,Database!A:M,MATCH($A$1,Database!$A$1:$M$1,),)</f>
        <v>173429</v>
      </c>
      <c r="C363" s="113">
        <f>(Table5351415[[#This Row],[New Orders ex Transport]]-B362)/B362</f>
        <v>1.3363172102698344E-2</v>
      </c>
    </row>
    <row r="364" spans="1:3">
      <c r="A364" s="74">
        <v>44531</v>
      </c>
      <c r="B364" s="75">
        <f>VLOOKUP(A364,Database!A:M,MATCH($A$1,Database!$A$1:$M$1,),)</f>
        <v>175086</v>
      </c>
      <c r="C364" s="113">
        <f>(Table5351415[[#This Row],[New Orders ex Transport]]-B363)/B363</f>
        <v>9.5543421227130415E-3</v>
      </c>
    </row>
    <row r="365" spans="1:3">
      <c r="A365" s="74">
        <v>44562</v>
      </c>
      <c r="B365" s="75">
        <f>VLOOKUP(A365,Database!A:M,MATCH($A$1,Database!$A$1:$M$1,),)</f>
        <v>176592</v>
      </c>
      <c r="C365" s="113">
        <f>(Table5351415[[#This Row],[New Orders ex Transport]]-B364)/B364</f>
        <v>8.6014872691134638E-3</v>
      </c>
    </row>
    <row r="366" spans="1:3">
      <c r="A366" s="74">
        <v>44593</v>
      </c>
      <c r="B366" s="75">
        <f>VLOOKUP(A366,Database!A:M,MATCH($A$1,Database!$A$1:$M$1,),)</f>
        <v>176015</v>
      </c>
      <c r="C366" s="113">
        <f>(Table5351415[[#This Row],[New Orders ex Transport]]-B365)/B365</f>
        <v>-3.2674186826130288E-3</v>
      </c>
    </row>
    <row r="367" spans="1:3">
      <c r="A367" s="74">
        <v>44621</v>
      </c>
      <c r="B367" s="75">
        <f>VLOOKUP(A367,Database!A:M,MATCH($A$1,Database!$A$1:$M$1,),)</f>
        <v>178038</v>
      </c>
      <c r="C367" s="113">
        <f>(Table5351415[[#This Row],[New Orders ex Transport]]-B366)/B366</f>
        <v>1.1493338635911713E-2</v>
      </c>
    </row>
    <row r="368" spans="1:3">
      <c r="A368" s="74">
        <v>44652</v>
      </c>
      <c r="B368" s="75">
        <f>VLOOKUP(A368,Database!A:M,MATCH($A$1,Database!$A$1:$M$1,),)</f>
        <v>178467</v>
      </c>
      <c r="C368" s="113">
        <f>(Table5351415[[#This Row],[New Orders ex Transport]]-B367)/B367</f>
        <v>2.409597950999225E-3</v>
      </c>
    </row>
    <row r="369" spans="1:3">
      <c r="A369" s="74">
        <v>44682</v>
      </c>
      <c r="B369" s="75">
        <f>VLOOKUP(A369,Database!A:M,MATCH($A$1,Database!$A$1:$M$1,),)</f>
        <v>179258</v>
      </c>
      <c r="C369" s="113">
        <f>(Table5351415[[#This Row],[New Orders ex Transport]]-B368)/B368</f>
        <v>4.4321919458499334E-3</v>
      </c>
    </row>
    <row r="370" spans="1:3">
      <c r="A370" s="74">
        <v>44713</v>
      </c>
      <c r="B370" s="75">
        <f>VLOOKUP(A370,Database!A:M,MATCH($A$1,Database!$A$1:$M$1,),)</f>
        <v>179945</v>
      </c>
      <c r="C370" s="113">
        <f>(Table5351415[[#This Row],[New Orders ex Transport]]-B369)/B369</f>
        <v>3.8324649388032893E-3</v>
      </c>
    </row>
    <row r="371" spans="1:3">
      <c r="A371" s="74">
        <v>44743</v>
      </c>
      <c r="B371" s="75">
        <f>VLOOKUP(A371,Database!A:M,MATCH($A$1,Database!$A$1:$M$1,),)</f>
        <v>180262</v>
      </c>
      <c r="C371" s="113">
        <f>(Table5351415[[#This Row],[New Orders ex Transport]]-B370)/B370</f>
        <v>1.7616493928700437E-3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1"/>
  <sheetViews>
    <sheetView zoomScale="150" zoomScaleNormal="150" workbookViewId="0">
      <pane ySplit="5" topLeftCell="A366" activePane="bottomLeft" state="frozen"/>
      <selection activeCell="Q21" sqref="Q21"/>
      <selection pane="bottomLeft" activeCell="AA338" sqref="AA338"/>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7">
      <c r="A1" s="85" t="s">
        <v>24</v>
      </c>
      <c r="B1" s="124" t="str">
        <f>VLOOKUP(A1,Note!U16:V25,2,)</f>
        <v>New Orders - Manufacturing</v>
      </c>
      <c r="C1" s="147"/>
      <c r="D1" s="123"/>
      <c r="E1" s="123"/>
      <c r="G1" s="84" t="s">
        <v>114</v>
      </c>
    </row>
    <row r="2" spans="1:7" ht="15" customHeight="1">
      <c r="A2" s="71"/>
      <c r="B2" s="68"/>
      <c r="C2" s="69"/>
      <c r="G2" s="84" t="s">
        <v>115</v>
      </c>
    </row>
    <row r="3" spans="1:7">
      <c r="B3" s="68"/>
      <c r="C3" s="69"/>
    </row>
    <row r="4" spans="1:7" ht="16" customHeight="1" thickBot="1"/>
    <row r="5" spans="1:7" ht="68.25" customHeight="1" thickBot="1">
      <c r="A5" s="88" t="s">
        <v>109</v>
      </c>
      <c r="B5" s="89" t="s">
        <v>116</v>
      </c>
      <c r="C5" s="114" t="s">
        <v>110</v>
      </c>
    </row>
    <row r="6" spans="1:7">
      <c r="A6" s="86">
        <v>33635</v>
      </c>
      <c r="B6" s="87">
        <f>VLOOKUP(A6,Database!A:M,MATCH($A$1,Database!$A$1:$M$1,),)</f>
        <v>82864</v>
      </c>
      <c r="C6" s="115"/>
    </row>
    <row r="7" spans="1:7">
      <c r="A7" s="74">
        <v>33664</v>
      </c>
      <c r="B7" s="75">
        <f>VLOOKUP(A7,Database!A:M,MATCH($A$1,Database!$A$1:$M$1,),)</f>
        <v>86424</v>
      </c>
      <c r="C7" s="113">
        <f>(Table535141516[[#This Row],[Durable Goods]]-B6)/B6</f>
        <v>4.2961961768681216E-2</v>
      </c>
    </row>
    <row r="8" spans="1:7">
      <c r="A8" s="74">
        <v>33695</v>
      </c>
      <c r="B8" s="75">
        <f>VLOOKUP(A8,Database!A:M,MATCH($A$1,Database!$A$1:$M$1,),)</f>
        <v>90805</v>
      </c>
      <c r="C8" s="113">
        <f>(Table535141516[[#This Row],[Durable Goods]]-B7)/B7</f>
        <v>5.0691937424789411E-2</v>
      </c>
    </row>
    <row r="9" spans="1:7">
      <c r="A9" s="74">
        <v>33725</v>
      </c>
      <c r="B9" s="75">
        <f>VLOOKUP(A9,Database!A:M,MATCH($A$1,Database!$A$1:$M$1,),)</f>
        <v>91120</v>
      </c>
      <c r="C9" s="113">
        <f>(Table535141516[[#This Row],[Durable Goods]]-B8)/B8</f>
        <v>3.4689719729089808E-3</v>
      </c>
    </row>
    <row r="10" spans="1:7">
      <c r="A10" s="74">
        <v>33756</v>
      </c>
      <c r="B10" s="75">
        <f>VLOOKUP(A10,Database!A:M,MATCH($A$1,Database!$A$1:$M$1,),)</f>
        <v>88649</v>
      </c>
      <c r="C10" s="113">
        <f>(Table535141516[[#This Row],[Durable Goods]]-B9)/B9</f>
        <v>-2.7118086040386305E-2</v>
      </c>
    </row>
    <row r="11" spans="1:7">
      <c r="A11" s="74">
        <v>33786</v>
      </c>
      <c r="B11" s="75">
        <f>VLOOKUP(A11,Database!A:M,MATCH($A$1,Database!$A$1:$M$1,),)</f>
        <v>87342</v>
      </c>
      <c r="C11" s="113">
        <f>(Table535141516[[#This Row],[Durable Goods]]-B10)/B10</f>
        <v>-1.4743539126216877E-2</v>
      </c>
    </row>
    <row r="12" spans="1:7">
      <c r="A12" s="74">
        <v>33817</v>
      </c>
      <c r="B12" s="75">
        <f>VLOOKUP(A12,Database!A:M,MATCH($A$1,Database!$A$1:$M$1,),)</f>
        <v>85995</v>
      </c>
      <c r="C12" s="113">
        <f>(Table535141516[[#This Row],[Durable Goods]]-B11)/B11</f>
        <v>-1.5422133681390397E-2</v>
      </c>
    </row>
    <row r="13" spans="1:7">
      <c r="A13" s="74">
        <v>33848</v>
      </c>
      <c r="B13" s="75">
        <f>VLOOKUP(A13,Database!A:M,MATCH($A$1,Database!$A$1:$M$1,),)</f>
        <v>86668</v>
      </c>
      <c r="C13" s="113">
        <f>(Table535141516[[#This Row],[Durable Goods]]-B12)/B12</f>
        <v>7.8260363974649687E-3</v>
      </c>
    </row>
    <row r="14" spans="1:7">
      <c r="A14" s="74">
        <v>33878</v>
      </c>
      <c r="B14" s="75">
        <f>VLOOKUP(A14,Database!A:M,MATCH($A$1,Database!$A$1:$M$1,),)</f>
        <v>93051</v>
      </c>
      <c r="C14" s="113">
        <f>(Table535141516[[#This Row],[Durable Goods]]-B13)/B13</f>
        <v>7.3648866940508609E-2</v>
      </c>
    </row>
    <row r="15" spans="1:7">
      <c r="A15" s="74">
        <v>33909</v>
      </c>
      <c r="B15" s="75">
        <f>VLOOKUP(A15,Database!A:M,MATCH($A$1,Database!$A$1:$M$1,),)</f>
        <v>87613</v>
      </c>
      <c r="C15" s="113">
        <f>(Table535141516[[#This Row],[Durable Goods]]-B14)/B14</f>
        <v>-5.8441069950887145E-2</v>
      </c>
    </row>
    <row r="16" spans="1:7">
      <c r="A16" s="74">
        <v>33939</v>
      </c>
      <c r="B16" s="75">
        <f>VLOOKUP(A16,Database!A:M,MATCH($A$1,Database!$A$1:$M$1,),)</f>
        <v>91480</v>
      </c>
      <c r="C16" s="113">
        <f>(Table535141516[[#This Row],[Durable Goods]]-B15)/B15</f>
        <v>4.4137285562644811E-2</v>
      </c>
    </row>
    <row r="17" spans="1:3">
      <c r="A17" s="74">
        <v>33970</v>
      </c>
      <c r="B17" s="75">
        <f>VLOOKUP(A17,Database!A:M,MATCH($A$1,Database!$A$1:$M$1,),)</f>
        <v>85937</v>
      </c>
      <c r="C17" s="113">
        <f>(Table535141516[[#This Row],[Durable Goods]]-B16)/B16</f>
        <v>-6.0592479230432879E-2</v>
      </c>
    </row>
    <row r="18" spans="1:3">
      <c r="A18" s="74">
        <v>34001</v>
      </c>
      <c r="B18" s="75">
        <f>VLOOKUP(A18,Database!A:M,MATCH($A$1,Database!$A$1:$M$1,),)</f>
        <v>92361</v>
      </c>
      <c r="C18" s="113">
        <f>(Table535141516[[#This Row],[Durable Goods]]-B17)/B17</f>
        <v>7.4752434923257741E-2</v>
      </c>
    </row>
    <row r="19" spans="1:3">
      <c r="A19" s="74">
        <v>34029</v>
      </c>
      <c r="B19" s="75">
        <f>VLOOKUP(A19,Database!A:M,MATCH($A$1,Database!$A$1:$M$1,),)</f>
        <v>90529</v>
      </c>
      <c r="C19" s="113">
        <f>(Table535141516[[#This Row],[Durable Goods]]-B18)/B18</f>
        <v>-1.9835211831833784E-2</v>
      </c>
    </row>
    <row r="20" spans="1:3">
      <c r="A20" s="74">
        <v>34060</v>
      </c>
      <c r="B20" s="75">
        <f>VLOOKUP(A20,Database!A:M,MATCH($A$1,Database!$A$1:$M$1,),)</f>
        <v>91131</v>
      </c>
      <c r="C20" s="113">
        <f>(Table535141516[[#This Row],[Durable Goods]]-B19)/B19</f>
        <v>6.6498028256138913E-3</v>
      </c>
    </row>
    <row r="21" spans="1:3">
      <c r="A21" s="74">
        <v>34090</v>
      </c>
      <c r="B21" s="75">
        <f>VLOOKUP(A21,Database!A:M,MATCH($A$1,Database!$A$1:$M$1,),)</f>
        <v>89831</v>
      </c>
      <c r="C21" s="113">
        <f>(Table535141516[[#This Row],[Durable Goods]]-B20)/B20</f>
        <v>-1.4265178698796238E-2</v>
      </c>
    </row>
    <row r="22" spans="1:3">
      <c r="A22" s="74">
        <v>34121</v>
      </c>
      <c r="B22" s="75">
        <f>VLOOKUP(A22,Database!A:M,MATCH($A$1,Database!$A$1:$M$1,),)</f>
        <v>93493</v>
      </c>
      <c r="C22" s="113">
        <f>(Table535141516[[#This Row],[Durable Goods]]-B21)/B21</f>
        <v>4.0765437321192019E-2</v>
      </c>
    </row>
    <row r="23" spans="1:3">
      <c r="A23" s="74">
        <v>34151</v>
      </c>
      <c r="B23" s="75">
        <f>VLOOKUP(A23,Database!A:M,MATCH($A$1,Database!$A$1:$M$1,),)</f>
        <v>92023</v>
      </c>
      <c r="C23" s="113">
        <f>(Table535141516[[#This Row],[Durable Goods]]-B22)/B22</f>
        <v>-1.5723102264340646E-2</v>
      </c>
    </row>
    <row r="24" spans="1:3">
      <c r="A24" s="74">
        <v>34182</v>
      </c>
      <c r="B24" s="75">
        <f>VLOOKUP(A24,Database!A:M,MATCH($A$1,Database!$A$1:$M$1,),)</f>
        <v>94226</v>
      </c>
      <c r="C24" s="113">
        <f>(Table535141516[[#This Row],[Durable Goods]]-B23)/B23</f>
        <v>2.3939667257098767E-2</v>
      </c>
    </row>
    <row r="25" spans="1:3">
      <c r="A25" s="74">
        <v>34213</v>
      </c>
      <c r="B25" s="75">
        <f>VLOOKUP(A25,Database!A:M,MATCH($A$1,Database!$A$1:$M$1,),)</f>
        <v>90477</v>
      </c>
      <c r="C25" s="113">
        <f>(Table535141516[[#This Row],[Durable Goods]]-B24)/B24</f>
        <v>-3.9787319848024964E-2</v>
      </c>
    </row>
    <row r="26" spans="1:3">
      <c r="A26" s="74">
        <v>34243</v>
      </c>
      <c r="B26" s="75">
        <f>VLOOKUP(A26,Database!A:M,MATCH($A$1,Database!$A$1:$M$1,),)</f>
        <v>94772</v>
      </c>
      <c r="C26" s="113">
        <f>(Table535141516[[#This Row],[Durable Goods]]-B25)/B25</f>
        <v>4.7470627894382E-2</v>
      </c>
    </row>
    <row r="27" spans="1:3">
      <c r="A27" s="74">
        <v>34274</v>
      </c>
      <c r="B27" s="75">
        <f>VLOOKUP(A27,Database!A:M,MATCH($A$1,Database!$A$1:$M$1,),)</f>
        <v>92009</v>
      </c>
      <c r="C27" s="113">
        <f>(Table535141516[[#This Row],[Durable Goods]]-B26)/B26</f>
        <v>-2.915418055965897E-2</v>
      </c>
    </row>
    <row r="28" spans="1:3">
      <c r="A28" s="74">
        <v>34304</v>
      </c>
      <c r="B28" s="75">
        <f>VLOOKUP(A28,Database!A:M,MATCH($A$1,Database!$A$1:$M$1,),)</f>
        <v>94944</v>
      </c>
      <c r="C28" s="113">
        <f>(Table535141516[[#This Row],[Durable Goods]]-B27)/B27</f>
        <v>3.1899053353476294E-2</v>
      </c>
    </row>
    <row r="29" spans="1:3">
      <c r="A29" s="74">
        <v>34335</v>
      </c>
      <c r="B29" s="75">
        <f>VLOOKUP(A29,Database!A:M,MATCH($A$1,Database!$A$1:$M$1,),)</f>
        <v>98647</v>
      </c>
      <c r="C29" s="113">
        <f>(Table535141516[[#This Row],[Durable Goods]]-B28)/B28</f>
        <v>3.9001937984496124E-2</v>
      </c>
    </row>
    <row r="30" spans="1:3">
      <c r="A30" s="74">
        <v>34366</v>
      </c>
      <c r="B30" s="75">
        <f>VLOOKUP(A30,Database!A:M,MATCH($A$1,Database!$A$1:$M$1,),)</f>
        <v>97358</v>
      </c>
      <c r="C30" s="113">
        <f>(Table535141516[[#This Row],[Durable Goods]]-B29)/B29</f>
        <v>-1.3066793719018317E-2</v>
      </c>
    </row>
    <row r="31" spans="1:3">
      <c r="A31" s="74">
        <v>34394</v>
      </c>
      <c r="B31" s="75">
        <f>VLOOKUP(A31,Database!A:M,MATCH($A$1,Database!$A$1:$M$1,),)</f>
        <v>96706</v>
      </c>
      <c r="C31" s="113">
        <f>(Table535141516[[#This Row],[Durable Goods]]-B30)/B30</f>
        <v>-6.6969329690420923E-3</v>
      </c>
    </row>
    <row r="32" spans="1:3">
      <c r="A32" s="74">
        <v>34425</v>
      </c>
      <c r="B32" s="75">
        <f>VLOOKUP(A32,Database!A:M,MATCH($A$1,Database!$A$1:$M$1,),)</f>
        <v>99591</v>
      </c>
      <c r="C32" s="113">
        <f>(Table535141516[[#This Row],[Durable Goods]]-B31)/B31</f>
        <v>2.983268876801853E-2</v>
      </c>
    </row>
    <row r="33" spans="1:3">
      <c r="A33" s="74">
        <v>34455</v>
      </c>
      <c r="B33" s="75">
        <f>VLOOKUP(A33,Database!A:M,MATCH($A$1,Database!$A$1:$M$1,),)</f>
        <v>101522</v>
      </c>
      <c r="C33" s="113">
        <f>(Table535141516[[#This Row],[Durable Goods]]-B32)/B32</f>
        <v>1.9389302246186905E-2</v>
      </c>
    </row>
    <row r="34" spans="1:3">
      <c r="A34" s="74">
        <v>34486</v>
      </c>
      <c r="B34" s="75">
        <f>VLOOKUP(A34,Database!A:M,MATCH($A$1,Database!$A$1:$M$1,),)</f>
        <v>103928</v>
      </c>
      <c r="C34" s="113">
        <f>(Table535141516[[#This Row],[Durable Goods]]-B33)/B33</f>
        <v>2.3699296704162643E-2</v>
      </c>
    </row>
    <row r="35" spans="1:3">
      <c r="A35" s="74">
        <v>34516</v>
      </c>
      <c r="B35" s="75">
        <f>VLOOKUP(A35,Database!A:M,MATCH($A$1,Database!$A$1:$M$1,),)</f>
        <v>103538</v>
      </c>
      <c r="C35" s="113">
        <f>(Table535141516[[#This Row],[Durable Goods]]-B34)/B34</f>
        <v>-3.7525979524286046E-3</v>
      </c>
    </row>
    <row r="36" spans="1:3">
      <c r="A36" s="74">
        <v>34547</v>
      </c>
      <c r="B36" s="75">
        <f>VLOOKUP(A36,Database!A:M,MATCH($A$1,Database!$A$1:$M$1,),)</f>
        <v>103907</v>
      </c>
      <c r="C36" s="113">
        <f>(Table535141516[[#This Row],[Durable Goods]]-B35)/B35</f>
        <v>3.5639089030114549E-3</v>
      </c>
    </row>
    <row r="37" spans="1:3">
      <c r="A37" s="74">
        <v>34578</v>
      </c>
      <c r="B37" s="75">
        <f>VLOOKUP(A37,Database!A:M,MATCH($A$1,Database!$A$1:$M$1,),)</f>
        <v>104150</v>
      </c>
      <c r="C37" s="113">
        <f>(Table535141516[[#This Row],[Durable Goods]]-B36)/B36</f>
        <v>2.3386297362064153E-3</v>
      </c>
    </row>
    <row r="38" spans="1:3">
      <c r="A38" s="74">
        <v>34608</v>
      </c>
      <c r="B38" s="75">
        <f>VLOOKUP(A38,Database!A:M,MATCH($A$1,Database!$A$1:$M$1,),)</f>
        <v>107573</v>
      </c>
      <c r="C38" s="113">
        <f>(Table535141516[[#This Row],[Durable Goods]]-B37)/B37</f>
        <v>3.2866058569371102E-2</v>
      </c>
    </row>
    <row r="39" spans="1:3">
      <c r="A39" s="74">
        <v>34639</v>
      </c>
      <c r="B39" s="75">
        <f>VLOOKUP(A39,Database!A:M,MATCH($A$1,Database!$A$1:$M$1,),)</f>
        <v>107130</v>
      </c>
      <c r="C39" s="113">
        <f>(Table535141516[[#This Row],[Durable Goods]]-B38)/B38</f>
        <v>-4.1181337324421559E-3</v>
      </c>
    </row>
    <row r="40" spans="1:3">
      <c r="A40" s="74">
        <v>34669</v>
      </c>
      <c r="B40" s="75">
        <f>VLOOKUP(A40,Database!A:M,MATCH($A$1,Database!$A$1:$M$1,),)</f>
        <v>108697</v>
      </c>
      <c r="C40" s="113">
        <f>(Table535141516[[#This Row],[Durable Goods]]-B39)/B39</f>
        <v>1.4627088583963409E-2</v>
      </c>
    </row>
    <row r="41" spans="1:3">
      <c r="A41" s="74">
        <v>34700</v>
      </c>
      <c r="B41" s="75">
        <f>VLOOKUP(A41,Database!A:M,MATCH($A$1,Database!$A$1:$M$1,),)</f>
        <v>107635</v>
      </c>
      <c r="C41" s="113">
        <f>(Table535141516[[#This Row],[Durable Goods]]-B40)/B40</f>
        <v>-9.7702788485422784E-3</v>
      </c>
    </row>
    <row r="42" spans="1:3">
      <c r="A42" s="74">
        <v>34731</v>
      </c>
      <c r="B42" s="75">
        <f>VLOOKUP(A42,Database!A:M,MATCH($A$1,Database!$A$1:$M$1,),)</f>
        <v>110588</v>
      </c>
      <c r="C42" s="113">
        <f>(Table535141516[[#This Row],[Durable Goods]]-B41)/B41</f>
        <v>2.7435313791982163E-2</v>
      </c>
    </row>
    <row r="43" spans="1:3">
      <c r="A43" s="74">
        <v>34759</v>
      </c>
      <c r="B43" s="75">
        <f>VLOOKUP(A43,Database!A:M,MATCH($A$1,Database!$A$1:$M$1,),)</f>
        <v>110175</v>
      </c>
      <c r="C43" s="113">
        <f>(Table535141516[[#This Row],[Durable Goods]]-B42)/B42</f>
        <v>-3.7345824140051363E-3</v>
      </c>
    </row>
    <row r="44" spans="1:3">
      <c r="A44" s="74">
        <v>34790</v>
      </c>
      <c r="B44" s="75">
        <f>VLOOKUP(A44,Database!A:M,MATCH($A$1,Database!$A$1:$M$1,),)</f>
        <v>108608</v>
      </c>
      <c r="C44" s="113">
        <f>(Table535141516[[#This Row],[Durable Goods]]-B43)/B43</f>
        <v>-1.4222827320172453E-2</v>
      </c>
    </row>
    <row r="45" spans="1:3">
      <c r="A45" s="74">
        <v>34820</v>
      </c>
      <c r="B45" s="75">
        <f>VLOOKUP(A45,Database!A:M,MATCH($A$1,Database!$A$1:$M$1,),)</f>
        <v>111257</v>
      </c>
      <c r="C45" s="113">
        <f>(Table535141516[[#This Row],[Durable Goods]]-B44)/B44</f>
        <v>2.4390468473777255E-2</v>
      </c>
    </row>
    <row r="46" spans="1:3">
      <c r="A46" s="74">
        <v>34851</v>
      </c>
      <c r="B46" s="75">
        <f>VLOOKUP(A46,Database!A:M,MATCH($A$1,Database!$A$1:$M$1,),)</f>
        <v>108462</v>
      </c>
      <c r="C46" s="113">
        <f>(Table535141516[[#This Row],[Durable Goods]]-B45)/B45</f>
        <v>-2.5122014794574724E-2</v>
      </c>
    </row>
    <row r="47" spans="1:3">
      <c r="A47" s="74">
        <v>34881</v>
      </c>
      <c r="B47" s="75">
        <f>VLOOKUP(A47,Database!A:M,MATCH($A$1,Database!$A$1:$M$1,),)</f>
        <v>107267</v>
      </c>
      <c r="C47" s="113">
        <f>(Table535141516[[#This Row],[Durable Goods]]-B46)/B46</f>
        <v>-1.1017683612693847E-2</v>
      </c>
    </row>
    <row r="48" spans="1:3">
      <c r="A48" s="74">
        <v>34912</v>
      </c>
      <c r="B48" s="75">
        <f>VLOOKUP(A48,Database!A:M,MATCH($A$1,Database!$A$1:$M$1,),)</f>
        <v>112114</v>
      </c>
      <c r="C48" s="113">
        <f>(Table535141516[[#This Row],[Durable Goods]]-B47)/B47</f>
        <v>4.518631079455937E-2</v>
      </c>
    </row>
    <row r="49" spans="1:3">
      <c r="A49" s="74">
        <v>34943</v>
      </c>
      <c r="B49" s="75">
        <f>VLOOKUP(A49,Database!A:M,MATCH($A$1,Database!$A$1:$M$1,),)</f>
        <v>116838</v>
      </c>
      <c r="C49" s="113">
        <f>(Table535141516[[#This Row],[Durable Goods]]-B48)/B48</f>
        <v>4.2135683322332626E-2</v>
      </c>
    </row>
    <row r="50" spans="1:3">
      <c r="A50" s="74">
        <v>34973</v>
      </c>
      <c r="B50" s="75">
        <f>VLOOKUP(A50,Database!A:M,MATCH($A$1,Database!$A$1:$M$1,),)</f>
        <v>112366</v>
      </c>
      <c r="C50" s="113">
        <f>(Table535141516[[#This Row],[Durable Goods]]-B49)/B49</f>
        <v>-3.8275218678854479E-2</v>
      </c>
    </row>
    <row r="51" spans="1:3">
      <c r="A51" s="74">
        <v>35004</v>
      </c>
      <c r="B51" s="75">
        <f>VLOOKUP(A51,Database!A:M,MATCH($A$1,Database!$A$1:$M$1,),)</f>
        <v>113784</v>
      </c>
      <c r="C51" s="113">
        <f>(Table535141516[[#This Row],[Durable Goods]]-B50)/B50</f>
        <v>1.2619475642098144E-2</v>
      </c>
    </row>
    <row r="52" spans="1:3">
      <c r="A52" s="74">
        <v>35034</v>
      </c>
      <c r="B52" s="75">
        <f>VLOOKUP(A52,Database!A:M,MATCH($A$1,Database!$A$1:$M$1,),)</f>
        <v>119874</v>
      </c>
      <c r="C52" s="113">
        <f>(Table535141516[[#This Row],[Durable Goods]]-B51)/B51</f>
        <v>5.3522463615271042E-2</v>
      </c>
    </row>
    <row r="53" spans="1:3">
      <c r="A53" s="74">
        <v>35065</v>
      </c>
      <c r="B53" s="75">
        <f>VLOOKUP(A53,Database!A:M,MATCH($A$1,Database!$A$1:$M$1,),)</f>
        <v>114288</v>
      </c>
      <c r="C53" s="113">
        <f>(Table535141516[[#This Row],[Durable Goods]]-B52)/B52</f>
        <v>-4.6598928875319086E-2</v>
      </c>
    </row>
    <row r="54" spans="1:3">
      <c r="A54" s="74">
        <v>35096</v>
      </c>
      <c r="B54" s="75">
        <f>VLOOKUP(A54,Database!A:M,MATCH($A$1,Database!$A$1:$M$1,),)</f>
        <v>109375</v>
      </c>
      <c r="C54" s="113">
        <f>(Table535141516[[#This Row],[Durable Goods]]-B53)/B53</f>
        <v>-4.2987890242195154E-2</v>
      </c>
    </row>
    <row r="55" spans="1:3">
      <c r="A55" s="74">
        <v>35125</v>
      </c>
      <c r="B55" s="75">
        <f>VLOOKUP(A55,Database!A:M,MATCH($A$1,Database!$A$1:$M$1,),)</f>
        <v>122567</v>
      </c>
      <c r="C55" s="113">
        <f>(Table535141516[[#This Row],[Durable Goods]]-B54)/B54</f>
        <v>0.12061257142857143</v>
      </c>
    </row>
    <row r="56" spans="1:3">
      <c r="A56" s="74">
        <v>35156</v>
      </c>
      <c r="B56" s="75">
        <f>VLOOKUP(A56,Database!A:M,MATCH($A$1,Database!$A$1:$M$1,),)</f>
        <v>112882</v>
      </c>
      <c r="C56" s="113">
        <f>(Table535141516[[#This Row],[Durable Goods]]-B55)/B55</f>
        <v>-7.9018006478089528E-2</v>
      </c>
    </row>
    <row r="57" spans="1:3">
      <c r="A57" s="74">
        <v>35186</v>
      </c>
      <c r="B57" s="75">
        <f>VLOOKUP(A57,Database!A:M,MATCH($A$1,Database!$A$1:$M$1,),)</f>
        <v>119613</v>
      </c>
      <c r="C57" s="113">
        <f>(Table535141516[[#This Row],[Durable Goods]]-B56)/B56</f>
        <v>5.9628638755514607E-2</v>
      </c>
    </row>
    <row r="58" spans="1:3">
      <c r="A58" s="74">
        <v>35217</v>
      </c>
      <c r="B58" s="75">
        <f>VLOOKUP(A58,Database!A:M,MATCH($A$1,Database!$A$1:$M$1,),)</f>
        <v>118924</v>
      </c>
      <c r="C58" s="113">
        <f>(Table535141516[[#This Row],[Durable Goods]]-B57)/B57</f>
        <v>-5.7602434517987173E-3</v>
      </c>
    </row>
    <row r="59" spans="1:3">
      <c r="A59" s="74">
        <v>35247</v>
      </c>
      <c r="B59" s="75">
        <f>VLOOKUP(A59,Database!A:M,MATCH($A$1,Database!$A$1:$M$1,),)</f>
        <v>117941</v>
      </c>
      <c r="C59" s="113">
        <f>(Table535141516[[#This Row],[Durable Goods]]-B58)/B58</f>
        <v>-8.2657831892637319E-3</v>
      </c>
    </row>
    <row r="60" spans="1:3">
      <c r="A60" s="74">
        <v>35278</v>
      </c>
      <c r="B60" s="75">
        <f>VLOOKUP(A60,Database!A:M,MATCH($A$1,Database!$A$1:$M$1,),)</f>
        <v>112297</v>
      </c>
      <c r="C60" s="113">
        <f>(Table535141516[[#This Row],[Durable Goods]]-B59)/B59</f>
        <v>-4.7854435692422481E-2</v>
      </c>
    </row>
    <row r="61" spans="1:3">
      <c r="A61" s="74">
        <v>35309</v>
      </c>
      <c r="B61" s="75">
        <f>VLOOKUP(A61,Database!A:M,MATCH($A$1,Database!$A$1:$M$1,),)</f>
        <v>118848</v>
      </c>
      <c r="C61" s="113">
        <f>(Table535141516[[#This Row],[Durable Goods]]-B60)/B60</f>
        <v>5.8336375860441506E-2</v>
      </c>
    </row>
    <row r="62" spans="1:3">
      <c r="A62" s="74">
        <v>35339</v>
      </c>
      <c r="B62" s="75">
        <f>VLOOKUP(A62,Database!A:M,MATCH($A$1,Database!$A$1:$M$1,),)</f>
        <v>119956</v>
      </c>
      <c r="C62" s="113">
        <f>(Table535141516[[#This Row],[Durable Goods]]-B61)/B61</f>
        <v>9.3228325255788908E-3</v>
      </c>
    </row>
    <row r="63" spans="1:3">
      <c r="A63" s="74">
        <v>35370</v>
      </c>
      <c r="B63" s="75">
        <f>VLOOKUP(A63,Database!A:M,MATCH($A$1,Database!$A$1:$M$1,),)</f>
        <v>124724</v>
      </c>
      <c r="C63" s="113">
        <f>(Table535141516[[#This Row],[Durable Goods]]-B62)/B62</f>
        <v>3.974790756610757E-2</v>
      </c>
    </row>
    <row r="64" spans="1:3">
      <c r="A64" s="74">
        <v>35400</v>
      </c>
      <c r="B64" s="75">
        <f>VLOOKUP(A64,Database!A:M,MATCH($A$1,Database!$A$1:$M$1,),)</f>
        <v>117137</v>
      </c>
      <c r="C64" s="113">
        <f>(Table535141516[[#This Row],[Durable Goods]]-B63)/B63</f>
        <v>-6.0830313331836694E-2</v>
      </c>
    </row>
    <row r="65" spans="1:3">
      <c r="A65" s="74">
        <v>35431</v>
      </c>
      <c r="B65" s="75">
        <f>VLOOKUP(A65,Database!A:M,MATCH($A$1,Database!$A$1:$M$1,),)</f>
        <v>114626</v>
      </c>
      <c r="C65" s="113">
        <f>(Table535141516[[#This Row],[Durable Goods]]-B64)/B64</f>
        <v>-2.1436437675542312E-2</v>
      </c>
    </row>
    <row r="66" spans="1:3">
      <c r="A66" s="74">
        <v>35462</v>
      </c>
      <c r="B66" s="75">
        <f>VLOOKUP(A66,Database!A:M,MATCH($A$1,Database!$A$1:$M$1,),)</f>
        <v>122876</v>
      </c>
      <c r="C66" s="113">
        <f>(Table535141516[[#This Row],[Durable Goods]]-B65)/B65</f>
        <v>7.1973199797602638E-2</v>
      </c>
    </row>
    <row r="67" spans="1:3">
      <c r="A67" s="74">
        <v>35490</v>
      </c>
      <c r="B67" s="75">
        <f>VLOOKUP(A67,Database!A:M,MATCH($A$1,Database!$A$1:$M$1,),)</f>
        <v>119668</v>
      </c>
      <c r="C67" s="113">
        <f>(Table535141516[[#This Row],[Durable Goods]]-B66)/B66</f>
        <v>-2.6107620690777694E-2</v>
      </c>
    </row>
    <row r="68" spans="1:3">
      <c r="A68" s="74">
        <v>35521</v>
      </c>
      <c r="B68" s="75">
        <f>VLOOKUP(A68,Database!A:M,MATCH($A$1,Database!$A$1:$M$1,),)</f>
        <v>125615</v>
      </c>
      <c r="C68" s="113">
        <f>(Table535141516[[#This Row],[Durable Goods]]-B67)/B67</f>
        <v>4.9695825116154696E-2</v>
      </c>
    </row>
    <row r="69" spans="1:3">
      <c r="A69" s="74">
        <v>35551</v>
      </c>
      <c r="B69" s="75">
        <f>VLOOKUP(A69,Database!A:M,MATCH($A$1,Database!$A$1:$M$1,),)</f>
        <v>120972</v>
      </c>
      <c r="C69" s="113">
        <f>(Table535141516[[#This Row],[Durable Goods]]-B68)/B68</f>
        <v>-3.6962146240496756E-2</v>
      </c>
    </row>
    <row r="70" spans="1:3">
      <c r="A70" s="74">
        <v>35582</v>
      </c>
      <c r="B70" s="75">
        <f>VLOOKUP(A70,Database!A:M,MATCH($A$1,Database!$A$1:$M$1,),)</f>
        <v>126186</v>
      </c>
      <c r="C70" s="113">
        <f>(Table535141516[[#This Row],[Durable Goods]]-B69)/B69</f>
        <v>4.3100882848923716E-2</v>
      </c>
    </row>
    <row r="71" spans="1:3">
      <c r="A71" s="74">
        <v>35612</v>
      </c>
      <c r="B71" s="75">
        <f>VLOOKUP(A71,Database!A:M,MATCH($A$1,Database!$A$1:$M$1,),)</f>
        <v>127337</v>
      </c>
      <c r="C71" s="113">
        <f>(Table535141516[[#This Row],[Durable Goods]]-B70)/B70</f>
        <v>9.1214556289921228E-3</v>
      </c>
    </row>
    <row r="72" spans="1:3">
      <c r="A72" s="74">
        <v>35643</v>
      </c>
      <c r="B72" s="75">
        <f>VLOOKUP(A72,Database!A:M,MATCH($A$1,Database!$A$1:$M$1,),)</f>
        <v>127334</v>
      </c>
      <c r="C72" s="113">
        <f>(Table535141516[[#This Row],[Durable Goods]]-B71)/B71</f>
        <v>-2.3559531008269395E-5</v>
      </c>
    </row>
    <row r="73" spans="1:3">
      <c r="A73" s="74">
        <v>35674</v>
      </c>
      <c r="B73" s="75">
        <f>VLOOKUP(A73,Database!A:M,MATCH($A$1,Database!$A$1:$M$1,),)</f>
        <v>128051</v>
      </c>
      <c r="C73" s="113">
        <f>(Table535141516[[#This Row],[Durable Goods]]-B72)/B72</f>
        <v>5.6308605714106208E-3</v>
      </c>
    </row>
    <row r="74" spans="1:3">
      <c r="A74" s="74">
        <v>35704</v>
      </c>
      <c r="B74" s="75">
        <f>VLOOKUP(A74,Database!A:M,MATCH($A$1,Database!$A$1:$M$1,),)</f>
        <v>128062</v>
      </c>
      <c r="C74" s="113">
        <f>(Table535141516[[#This Row],[Durable Goods]]-B73)/B73</f>
        <v>8.590327291469805E-5</v>
      </c>
    </row>
    <row r="75" spans="1:3">
      <c r="A75" s="74">
        <v>35735</v>
      </c>
      <c r="B75" s="75">
        <f>VLOOKUP(A75,Database!A:M,MATCH($A$1,Database!$A$1:$M$1,),)</f>
        <v>139761</v>
      </c>
      <c r="C75" s="113">
        <f>(Table535141516[[#This Row],[Durable Goods]]-B74)/B74</f>
        <v>9.1354187815276974E-2</v>
      </c>
    </row>
    <row r="76" spans="1:3">
      <c r="A76" s="74">
        <v>35765</v>
      </c>
      <c r="B76" s="75">
        <f>VLOOKUP(A76,Database!A:M,MATCH($A$1,Database!$A$1:$M$1,),)</f>
        <v>122759</v>
      </c>
      <c r="C76" s="113">
        <f>(Table535141516[[#This Row],[Durable Goods]]-B75)/B75</f>
        <v>-0.12165053197959373</v>
      </c>
    </row>
    <row r="77" spans="1:3">
      <c r="A77" s="74">
        <v>35796</v>
      </c>
      <c r="B77" s="75">
        <f>VLOOKUP(A77,Database!A:M,MATCH($A$1,Database!$A$1:$M$1,),)</f>
        <v>125004</v>
      </c>
      <c r="C77" s="113">
        <f>(Table535141516[[#This Row],[Durable Goods]]-B76)/B76</f>
        <v>1.8287864840867064E-2</v>
      </c>
    </row>
    <row r="78" spans="1:3">
      <c r="A78" s="74">
        <v>35827</v>
      </c>
      <c r="B78" s="75">
        <f>VLOOKUP(A78,Database!A:M,MATCH($A$1,Database!$A$1:$M$1,),)</f>
        <v>129378</v>
      </c>
      <c r="C78" s="113">
        <f>(Table535141516[[#This Row],[Durable Goods]]-B77)/B77</f>
        <v>3.4990880291830659E-2</v>
      </c>
    </row>
    <row r="79" spans="1:3">
      <c r="A79" s="74">
        <v>35855</v>
      </c>
      <c r="B79" s="75">
        <f>VLOOKUP(A79,Database!A:M,MATCH($A$1,Database!$A$1:$M$1,),)</f>
        <v>124823</v>
      </c>
      <c r="C79" s="113">
        <f>(Table535141516[[#This Row],[Durable Goods]]-B78)/B78</f>
        <v>-3.5206913076411751E-2</v>
      </c>
    </row>
    <row r="80" spans="1:3">
      <c r="A80" s="74">
        <v>35886</v>
      </c>
      <c r="B80" s="75">
        <f>VLOOKUP(A80,Database!A:M,MATCH($A$1,Database!$A$1:$M$1,),)</f>
        <v>129329</v>
      </c>
      <c r="C80" s="113">
        <f>(Table535141516[[#This Row],[Durable Goods]]-B79)/B79</f>
        <v>3.6099116348749828E-2</v>
      </c>
    </row>
    <row r="81" spans="1:3">
      <c r="A81" s="74">
        <v>35916</v>
      </c>
      <c r="B81" s="75">
        <f>VLOOKUP(A81,Database!A:M,MATCH($A$1,Database!$A$1:$M$1,),)</f>
        <v>128089</v>
      </c>
      <c r="C81" s="113">
        <f>(Table535141516[[#This Row],[Durable Goods]]-B80)/B80</f>
        <v>-9.587950111730548E-3</v>
      </c>
    </row>
    <row r="82" spans="1:3">
      <c r="A82" s="74">
        <v>35947</v>
      </c>
      <c r="B82" s="75">
        <f>VLOOKUP(A82,Database!A:M,MATCH($A$1,Database!$A$1:$M$1,),)</f>
        <v>123912</v>
      </c>
      <c r="C82" s="113">
        <f>(Table535141516[[#This Row],[Durable Goods]]-B81)/B81</f>
        <v>-3.2610138263238844E-2</v>
      </c>
    </row>
    <row r="83" spans="1:3">
      <c r="A83" s="74">
        <v>35977</v>
      </c>
      <c r="B83" s="75">
        <f>VLOOKUP(A83,Database!A:M,MATCH($A$1,Database!$A$1:$M$1,),)</f>
        <v>122090</v>
      </c>
      <c r="C83" s="113">
        <f>(Table535141516[[#This Row],[Durable Goods]]-B82)/B82</f>
        <v>-1.4703983472141521E-2</v>
      </c>
    </row>
    <row r="84" spans="1:3">
      <c r="A84" s="74">
        <v>36008</v>
      </c>
      <c r="B84" s="75">
        <f>VLOOKUP(A84,Database!A:M,MATCH($A$1,Database!$A$1:$M$1,),)</f>
        <v>127658</v>
      </c>
      <c r="C84" s="113">
        <f>(Table535141516[[#This Row],[Durable Goods]]-B83)/B83</f>
        <v>4.5605700712589077E-2</v>
      </c>
    </row>
    <row r="85" spans="1:3">
      <c r="A85" s="74">
        <v>36039</v>
      </c>
      <c r="B85" s="75">
        <f>VLOOKUP(A85,Database!A:M,MATCH($A$1,Database!$A$1:$M$1,),)</f>
        <v>129434</v>
      </c>
      <c r="C85" s="113">
        <f>(Table535141516[[#This Row],[Durable Goods]]-B84)/B84</f>
        <v>1.3912171583449529E-2</v>
      </c>
    </row>
    <row r="86" spans="1:3">
      <c r="A86" s="74">
        <v>36069</v>
      </c>
      <c r="B86" s="75">
        <f>VLOOKUP(A86,Database!A:M,MATCH($A$1,Database!$A$1:$M$1,),)</f>
        <v>125301</v>
      </c>
      <c r="C86" s="113">
        <f>(Table535141516[[#This Row],[Durable Goods]]-B85)/B85</f>
        <v>-3.1931331798445539E-2</v>
      </c>
    </row>
    <row r="87" spans="1:3">
      <c r="A87" s="74">
        <v>36100</v>
      </c>
      <c r="B87" s="75">
        <f>VLOOKUP(A87,Database!A:M,MATCH($A$1,Database!$A$1:$M$1,),)</f>
        <v>128665</v>
      </c>
      <c r="C87" s="113">
        <f>(Table535141516[[#This Row],[Durable Goods]]-B86)/B86</f>
        <v>2.6847351577401618E-2</v>
      </c>
    </row>
    <row r="88" spans="1:3">
      <c r="A88" s="74">
        <v>36130</v>
      </c>
      <c r="B88" s="75">
        <f>VLOOKUP(A88,Database!A:M,MATCH($A$1,Database!$A$1:$M$1,),)</f>
        <v>124510</v>
      </c>
      <c r="C88" s="113">
        <f>(Table535141516[[#This Row],[Durable Goods]]-B87)/B87</f>
        <v>-3.2293164419228228E-2</v>
      </c>
    </row>
    <row r="89" spans="1:3">
      <c r="A89" s="74">
        <v>36161</v>
      </c>
      <c r="B89" s="75">
        <f>VLOOKUP(A89,Database!A:M,MATCH($A$1,Database!$A$1:$M$1,),)</f>
        <v>132005</v>
      </c>
      <c r="C89" s="113">
        <f>(Table535141516[[#This Row],[Durable Goods]]-B88)/B88</f>
        <v>6.0195968195325675E-2</v>
      </c>
    </row>
    <row r="90" spans="1:3">
      <c r="A90" s="74">
        <v>36192</v>
      </c>
      <c r="B90" s="75">
        <f>VLOOKUP(A90,Database!A:M,MATCH($A$1,Database!$A$1:$M$1,),)</f>
        <v>129227</v>
      </c>
      <c r="C90" s="113">
        <f>(Table535141516[[#This Row],[Durable Goods]]-B89)/B89</f>
        <v>-2.1044657399340933E-2</v>
      </c>
    </row>
    <row r="91" spans="1:3">
      <c r="A91" s="74">
        <v>36220</v>
      </c>
      <c r="B91" s="75">
        <f>VLOOKUP(A91,Database!A:M,MATCH($A$1,Database!$A$1:$M$1,),)</f>
        <v>129753</v>
      </c>
      <c r="C91" s="113">
        <f>(Table535141516[[#This Row],[Durable Goods]]-B90)/B90</f>
        <v>4.0703568139785033E-3</v>
      </c>
    </row>
    <row r="92" spans="1:3">
      <c r="A92" s="74">
        <v>36251</v>
      </c>
      <c r="B92" s="75">
        <f>VLOOKUP(A92,Database!A:M,MATCH($A$1,Database!$A$1:$M$1,),)</f>
        <v>128317</v>
      </c>
      <c r="C92" s="113">
        <f>(Table535141516[[#This Row],[Durable Goods]]-B91)/B91</f>
        <v>-1.1067181490986721E-2</v>
      </c>
    </row>
    <row r="93" spans="1:3">
      <c r="A93" s="74">
        <v>36281</v>
      </c>
      <c r="B93" s="75">
        <f>VLOOKUP(A93,Database!A:M,MATCH($A$1,Database!$A$1:$M$1,),)</f>
        <v>130315</v>
      </c>
      <c r="C93" s="113">
        <f>(Table535141516[[#This Row],[Durable Goods]]-B92)/B92</f>
        <v>1.5570812908655907E-2</v>
      </c>
    </row>
    <row r="94" spans="1:3">
      <c r="A94" s="74">
        <v>36312</v>
      </c>
      <c r="B94" s="75">
        <f>VLOOKUP(A94,Database!A:M,MATCH($A$1,Database!$A$1:$M$1,),)</f>
        <v>127679</v>
      </c>
      <c r="C94" s="113">
        <f>(Table535141516[[#This Row],[Durable Goods]]-B93)/B93</f>
        <v>-2.0227909296704139E-2</v>
      </c>
    </row>
    <row r="95" spans="1:3">
      <c r="A95" s="74">
        <v>36342</v>
      </c>
      <c r="B95" s="75">
        <f>VLOOKUP(A95,Database!A:M,MATCH($A$1,Database!$A$1:$M$1,),)</f>
        <v>134617</v>
      </c>
      <c r="C95" s="113">
        <f>(Table535141516[[#This Row],[Durable Goods]]-B94)/B94</f>
        <v>5.4339398021601044E-2</v>
      </c>
    </row>
    <row r="96" spans="1:3">
      <c r="A96" s="74">
        <v>36373</v>
      </c>
      <c r="B96" s="75">
        <f>VLOOKUP(A96,Database!A:M,MATCH($A$1,Database!$A$1:$M$1,),)</f>
        <v>133941</v>
      </c>
      <c r="C96" s="113">
        <f>(Table535141516[[#This Row],[Durable Goods]]-B95)/B95</f>
        <v>-5.0216540258659756E-3</v>
      </c>
    </row>
    <row r="97" spans="1:3">
      <c r="A97" s="74">
        <v>36404</v>
      </c>
      <c r="B97" s="75">
        <f>VLOOKUP(A97,Database!A:M,MATCH($A$1,Database!$A$1:$M$1,),)</f>
        <v>133870</v>
      </c>
      <c r="C97" s="113">
        <f>(Table535141516[[#This Row],[Durable Goods]]-B96)/B96</f>
        <v>-5.3008414152499984E-4</v>
      </c>
    </row>
    <row r="98" spans="1:3">
      <c r="A98" s="74">
        <v>36434</v>
      </c>
      <c r="B98" s="75">
        <f>VLOOKUP(A98,Database!A:M,MATCH($A$1,Database!$A$1:$M$1,),)</f>
        <v>139509</v>
      </c>
      <c r="C98" s="113">
        <f>(Table535141516[[#This Row],[Durable Goods]]-B97)/B97</f>
        <v>4.2122955105699557E-2</v>
      </c>
    </row>
    <row r="99" spans="1:3">
      <c r="A99" s="74">
        <v>36465</v>
      </c>
      <c r="B99" s="75">
        <f>VLOOKUP(A99,Database!A:M,MATCH($A$1,Database!$A$1:$M$1,),)</f>
        <v>131897</v>
      </c>
      <c r="C99" s="113">
        <f>(Table535141516[[#This Row],[Durable Goods]]-B98)/B98</f>
        <v>-5.4562788063852515E-2</v>
      </c>
    </row>
    <row r="100" spans="1:3">
      <c r="A100" s="74">
        <v>36495</v>
      </c>
      <c r="B100" s="75">
        <f>VLOOKUP(A100,Database!A:M,MATCH($A$1,Database!$A$1:$M$1,),)</f>
        <v>141778</v>
      </c>
      <c r="C100" s="113">
        <f>(Table535141516[[#This Row],[Durable Goods]]-B99)/B99</f>
        <v>7.4914516630400996E-2</v>
      </c>
    </row>
    <row r="101" spans="1:3">
      <c r="A101" s="74">
        <v>36526</v>
      </c>
      <c r="B101" s="75">
        <f>VLOOKUP(A101,Database!A:M,MATCH($A$1,Database!$A$1:$M$1,),)</f>
        <v>144856</v>
      </c>
      <c r="C101" s="113">
        <f>(Table535141516[[#This Row],[Durable Goods]]-B100)/B100</f>
        <v>2.1709997319753416E-2</v>
      </c>
    </row>
    <row r="102" spans="1:3">
      <c r="A102" s="74">
        <v>36557</v>
      </c>
      <c r="B102" s="75">
        <f>VLOOKUP(A102,Database!A:M,MATCH($A$1,Database!$A$1:$M$1,),)</f>
        <v>130377</v>
      </c>
      <c r="C102" s="113">
        <f>(Table535141516[[#This Row],[Durable Goods]]-B101)/B101</f>
        <v>-9.9954437510355112E-2</v>
      </c>
    </row>
    <row r="103" spans="1:3">
      <c r="A103" s="74">
        <v>36586</v>
      </c>
      <c r="B103" s="75">
        <f>VLOOKUP(A103,Database!A:M,MATCH($A$1,Database!$A$1:$M$1,),)</f>
        <v>137161</v>
      </c>
      <c r="C103" s="113">
        <f>(Table535141516[[#This Row],[Durable Goods]]-B102)/B102</f>
        <v>5.2033717603565045E-2</v>
      </c>
    </row>
    <row r="104" spans="1:3">
      <c r="A104" s="74">
        <v>36617</v>
      </c>
      <c r="B104" s="75">
        <f>VLOOKUP(A104,Database!A:M,MATCH($A$1,Database!$A$1:$M$1,),)</f>
        <v>139928</v>
      </c>
      <c r="C104" s="113">
        <f>(Table535141516[[#This Row],[Durable Goods]]-B103)/B103</f>
        <v>2.0173372897543763E-2</v>
      </c>
    </row>
    <row r="105" spans="1:3">
      <c r="A105" s="74">
        <v>36647</v>
      </c>
      <c r="B105" s="75">
        <f>VLOOKUP(A105,Database!A:M,MATCH($A$1,Database!$A$1:$M$1,),)</f>
        <v>135833</v>
      </c>
      <c r="C105" s="113">
        <f>(Table535141516[[#This Row],[Durable Goods]]-B104)/B104</f>
        <v>-2.9265050597450118E-2</v>
      </c>
    </row>
    <row r="106" spans="1:3">
      <c r="A106" s="74">
        <v>36678</v>
      </c>
      <c r="B106" s="75">
        <f>VLOOKUP(A106,Database!A:M,MATCH($A$1,Database!$A$1:$M$1,),)</f>
        <v>165607</v>
      </c>
      <c r="C106" s="113">
        <f>(Table535141516[[#This Row],[Durable Goods]]-B105)/B105</f>
        <v>0.21919562992792621</v>
      </c>
    </row>
    <row r="107" spans="1:3">
      <c r="A107" s="74">
        <v>36708</v>
      </c>
      <c r="B107" s="75">
        <f>VLOOKUP(A107,Database!A:M,MATCH($A$1,Database!$A$1:$M$1,),)</f>
        <v>137103</v>
      </c>
      <c r="C107" s="113">
        <f>(Table535141516[[#This Row],[Durable Goods]]-B106)/B106</f>
        <v>-0.17211832833153187</v>
      </c>
    </row>
    <row r="108" spans="1:3">
      <c r="A108" s="74">
        <v>36739</v>
      </c>
      <c r="B108" s="75">
        <f>VLOOKUP(A108,Database!A:M,MATCH($A$1,Database!$A$1:$M$1,),)</f>
        <v>138771</v>
      </c>
      <c r="C108" s="113">
        <f>(Table535141516[[#This Row],[Durable Goods]]-B107)/B107</f>
        <v>1.2166035754141047E-2</v>
      </c>
    </row>
    <row r="109" spans="1:3">
      <c r="A109" s="74">
        <v>36770</v>
      </c>
      <c r="B109" s="75">
        <f>VLOOKUP(A109,Database!A:M,MATCH($A$1,Database!$A$1:$M$1,),)</f>
        <v>145618</v>
      </c>
      <c r="C109" s="113">
        <f>(Table535141516[[#This Row],[Durable Goods]]-B108)/B108</f>
        <v>4.9340280029689203E-2</v>
      </c>
    </row>
    <row r="110" spans="1:3">
      <c r="A110" s="74">
        <v>36800</v>
      </c>
      <c r="B110" s="75">
        <f>VLOOKUP(A110,Database!A:M,MATCH($A$1,Database!$A$1:$M$1,),)</f>
        <v>134557</v>
      </c>
      <c r="C110" s="113">
        <f>(Table535141516[[#This Row],[Durable Goods]]-B109)/B109</f>
        <v>-7.5959016055707401E-2</v>
      </c>
    </row>
    <row r="111" spans="1:3">
      <c r="A111" s="74">
        <v>36831</v>
      </c>
      <c r="B111" s="75">
        <f>VLOOKUP(A111,Database!A:M,MATCH($A$1,Database!$A$1:$M$1,),)</f>
        <v>139206</v>
      </c>
      <c r="C111" s="113">
        <f>(Table535141516[[#This Row],[Durable Goods]]-B110)/B110</f>
        <v>3.4550413579375286E-2</v>
      </c>
    </row>
    <row r="112" spans="1:3">
      <c r="A112" s="74">
        <v>36861</v>
      </c>
      <c r="B112" s="75">
        <f>VLOOKUP(A112,Database!A:M,MATCH($A$1,Database!$A$1:$M$1,),)</f>
        <v>137810</v>
      </c>
      <c r="C112" s="113">
        <f>(Table535141516[[#This Row],[Durable Goods]]-B111)/B111</f>
        <v>-1.0028303377727971E-2</v>
      </c>
    </row>
    <row r="113" spans="1:3">
      <c r="A113" s="74">
        <v>36892</v>
      </c>
      <c r="B113" s="75">
        <f>VLOOKUP(A113,Database!A:M,MATCH($A$1,Database!$A$1:$M$1,),)</f>
        <v>129101</v>
      </c>
      <c r="C113" s="113">
        <f>(Table535141516[[#This Row],[Durable Goods]]-B112)/B112</f>
        <v>-6.3195704230462224E-2</v>
      </c>
    </row>
    <row r="114" spans="1:3">
      <c r="A114" s="74">
        <v>36923</v>
      </c>
      <c r="B114" s="75">
        <f>VLOOKUP(A114,Database!A:M,MATCH($A$1,Database!$A$1:$M$1,),)</f>
        <v>130032</v>
      </c>
      <c r="C114" s="113">
        <f>(Table535141516[[#This Row],[Durable Goods]]-B113)/B113</f>
        <v>7.2114081223228323E-3</v>
      </c>
    </row>
    <row r="115" spans="1:3">
      <c r="A115" s="74">
        <v>36951</v>
      </c>
      <c r="B115" s="75">
        <f>VLOOKUP(A115,Database!A:M,MATCH($A$1,Database!$A$1:$M$1,),)</f>
        <v>131606</v>
      </c>
      <c r="C115" s="113">
        <f>(Table535141516[[#This Row],[Durable Goods]]-B114)/B114</f>
        <v>1.2104712686108035E-2</v>
      </c>
    </row>
    <row r="116" spans="1:3">
      <c r="A116" s="74">
        <v>36982</v>
      </c>
      <c r="B116" s="75">
        <f>VLOOKUP(A116,Database!A:M,MATCH($A$1,Database!$A$1:$M$1,),)</f>
        <v>123025</v>
      </c>
      <c r="C116" s="113">
        <f>(Table535141516[[#This Row],[Durable Goods]]-B115)/B115</f>
        <v>-6.5202194428825438E-2</v>
      </c>
    </row>
    <row r="117" spans="1:3">
      <c r="A117" s="74">
        <v>37012</v>
      </c>
      <c r="B117" s="75">
        <f>VLOOKUP(A117,Database!A:M,MATCH($A$1,Database!$A$1:$M$1,),)</f>
        <v>126796</v>
      </c>
      <c r="C117" s="113">
        <f>(Table535141516[[#This Row],[Durable Goods]]-B116)/B116</f>
        <v>3.0652306441780127E-2</v>
      </c>
    </row>
    <row r="118" spans="1:3">
      <c r="A118" s="74">
        <v>37043</v>
      </c>
      <c r="B118" s="75">
        <f>VLOOKUP(A118,Database!A:M,MATCH($A$1,Database!$A$1:$M$1,),)</f>
        <v>126051</v>
      </c>
      <c r="C118" s="113">
        <f>(Table535141516[[#This Row],[Durable Goods]]-B117)/B117</f>
        <v>-5.8755796712830054E-3</v>
      </c>
    </row>
    <row r="119" spans="1:3">
      <c r="A119" s="74">
        <v>37073</v>
      </c>
      <c r="B119" s="75">
        <f>VLOOKUP(A119,Database!A:M,MATCH($A$1,Database!$A$1:$M$1,),)</f>
        <v>120027</v>
      </c>
      <c r="C119" s="113">
        <f>(Table535141516[[#This Row],[Durable Goods]]-B118)/B118</f>
        <v>-4.7790180165171239E-2</v>
      </c>
    </row>
    <row r="120" spans="1:3">
      <c r="A120" s="74">
        <v>37104</v>
      </c>
      <c r="B120" s="75">
        <f>VLOOKUP(A120,Database!A:M,MATCH($A$1,Database!$A$1:$M$1,),)</f>
        <v>120481</v>
      </c>
      <c r="C120" s="113">
        <f>(Table535141516[[#This Row],[Durable Goods]]-B119)/B119</f>
        <v>3.7824822748214987E-3</v>
      </c>
    </row>
    <row r="121" spans="1:3">
      <c r="A121" s="74">
        <v>37135</v>
      </c>
      <c r="B121" s="75">
        <f>VLOOKUP(A121,Database!A:M,MATCH($A$1,Database!$A$1:$M$1,),)</f>
        <v>115746</v>
      </c>
      <c r="C121" s="113">
        <f>(Table535141516[[#This Row],[Durable Goods]]-B120)/B120</f>
        <v>-3.9300802616180144E-2</v>
      </c>
    </row>
    <row r="122" spans="1:3">
      <c r="A122" s="74">
        <v>37165</v>
      </c>
      <c r="B122" s="75">
        <f>VLOOKUP(A122,Database!A:M,MATCH($A$1,Database!$A$1:$M$1,),)</f>
        <v>122937</v>
      </c>
      <c r="C122" s="113">
        <f>(Table535141516[[#This Row],[Durable Goods]]-B121)/B121</f>
        <v>6.2127416930174692E-2</v>
      </c>
    </row>
    <row r="123" spans="1:3">
      <c r="A123" s="74">
        <v>37196</v>
      </c>
      <c r="B123" s="75">
        <f>VLOOKUP(A123,Database!A:M,MATCH($A$1,Database!$A$1:$M$1,),)</f>
        <v>114240</v>
      </c>
      <c r="C123" s="113">
        <f>(Table535141516[[#This Row],[Durable Goods]]-B122)/B122</f>
        <v>-7.0743551575197058E-2</v>
      </c>
    </row>
    <row r="124" spans="1:3">
      <c r="A124" s="74">
        <v>37226</v>
      </c>
      <c r="B124" s="75">
        <f>VLOOKUP(A124,Database!A:M,MATCH($A$1,Database!$A$1:$M$1,),)</f>
        <v>114782</v>
      </c>
      <c r="C124" s="113">
        <f>(Table535141516[[#This Row],[Durable Goods]]-B123)/B123</f>
        <v>4.7443977591036411E-3</v>
      </c>
    </row>
    <row r="125" spans="1:3">
      <c r="A125" s="74">
        <v>37257</v>
      </c>
      <c r="B125" s="75">
        <f>VLOOKUP(A125,Database!A:M,MATCH($A$1,Database!$A$1:$M$1,),)</f>
        <v>112406</v>
      </c>
      <c r="C125" s="113">
        <f>(Table535141516[[#This Row],[Durable Goods]]-B124)/B124</f>
        <v>-2.0700109773309404E-2</v>
      </c>
    </row>
    <row r="126" spans="1:3">
      <c r="A126" s="74">
        <v>37288</v>
      </c>
      <c r="B126" s="75">
        <f>VLOOKUP(A126,Database!A:M,MATCH($A$1,Database!$A$1:$M$1,),)</f>
        <v>122233</v>
      </c>
      <c r="C126" s="113">
        <f>(Table535141516[[#This Row],[Durable Goods]]-B125)/B125</f>
        <v>8.7424158852730277E-2</v>
      </c>
    </row>
    <row r="127" spans="1:3">
      <c r="A127" s="74">
        <v>37316</v>
      </c>
      <c r="B127" s="75">
        <f>VLOOKUP(A127,Database!A:M,MATCH($A$1,Database!$A$1:$M$1,),)</f>
        <v>118940</v>
      </c>
      <c r="C127" s="113">
        <f>(Table535141516[[#This Row],[Durable Goods]]-B126)/B126</f>
        <v>-2.6940351623538653E-2</v>
      </c>
    </row>
    <row r="128" spans="1:3">
      <c r="A128" s="74">
        <v>37347</v>
      </c>
      <c r="B128" s="75">
        <f>VLOOKUP(A128,Database!A:M,MATCH($A$1,Database!$A$1:$M$1,),)</f>
        <v>118664</v>
      </c>
      <c r="C128" s="113">
        <f>(Table535141516[[#This Row],[Durable Goods]]-B127)/B127</f>
        <v>-2.3204977299478729E-3</v>
      </c>
    </row>
    <row r="129" spans="1:3">
      <c r="A129" s="74">
        <v>37377</v>
      </c>
      <c r="B129" s="75">
        <f>VLOOKUP(A129,Database!A:M,MATCH($A$1,Database!$A$1:$M$1,),)</f>
        <v>119235</v>
      </c>
      <c r="C129" s="113">
        <f>(Table535141516[[#This Row],[Durable Goods]]-B128)/B128</f>
        <v>4.8119058855255175E-3</v>
      </c>
    </row>
    <row r="130" spans="1:3">
      <c r="A130" s="74">
        <v>37408</v>
      </c>
      <c r="B130" s="75">
        <f>VLOOKUP(A130,Database!A:M,MATCH($A$1,Database!$A$1:$M$1,),)</f>
        <v>113950</v>
      </c>
      <c r="C130" s="113">
        <f>(Table535141516[[#This Row],[Durable Goods]]-B129)/B129</f>
        <v>-4.43242336562251E-2</v>
      </c>
    </row>
    <row r="131" spans="1:3">
      <c r="A131" s="74">
        <v>37438</v>
      </c>
      <c r="B131" s="75">
        <f>VLOOKUP(A131,Database!A:M,MATCH($A$1,Database!$A$1:$M$1,),)</f>
        <v>120438</v>
      </c>
      <c r="C131" s="113">
        <f>(Table535141516[[#This Row],[Durable Goods]]-B130)/B130</f>
        <v>5.6937253181219831E-2</v>
      </c>
    </row>
    <row r="132" spans="1:3">
      <c r="A132" s="74">
        <v>37469</v>
      </c>
      <c r="B132" s="75">
        <f>VLOOKUP(A132,Database!A:M,MATCH($A$1,Database!$A$1:$M$1,),)</f>
        <v>122932</v>
      </c>
      <c r="C132" s="113">
        <f>(Table535141516[[#This Row],[Durable Goods]]-B131)/B131</f>
        <v>2.0707750045666651E-2</v>
      </c>
    </row>
    <row r="133" spans="1:3">
      <c r="A133" s="74">
        <v>37500</v>
      </c>
      <c r="B133" s="75">
        <f>VLOOKUP(A133,Database!A:M,MATCH($A$1,Database!$A$1:$M$1,),)</f>
        <v>115066</v>
      </c>
      <c r="C133" s="113">
        <f>(Table535141516[[#This Row],[Durable Goods]]-B132)/B132</f>
        <v>-6.3986594214687789E-2</v>
      </c>
    </row>
    <row r="134" spans="1:3">
      <c r="A134" s="74">
        <v>37530</v>
      </c>
      <c r="B134" s="75">
        <f>VLOOKUP(A134,Database!A:M,MATCH($A$1,Database!$A$1:$M$1,),)</f>
        <v>115754</v>
      </c>
      <c r="C134" s="113">
        <f>(Table535141516[[#This Row],[Durable Goods]]-B133)/B133</f>
        <v>5.9791771678862566E-3</v>
      </c>
    </row>
    <row r="135" spans="1:3">
      <c r="A135" s="74">
        <v>37561</v>
      </c>
      <c r="B135" s="75">
        <f>VLOOKUP(A135,Database!A:M,MATCH($A$1,Database!$A$1:$M$1,),)</f>
        <v>117084</v>
      </c>
      <c r="C135" s="113">
        <f>(Table535141516[[#This Row],[Durable Goods]]-B134)/B134</f>
        <v>1.148988371892116E-2</v>
      </c>
    </row>
    <row r="136" spans="1:3">
      <c r="A136" s="74">
        <v>37591</v>
      </c>
      <c r="B136" s="75">
        <f>VLOOKUP(A136,Database!A:M,MATCH($A$1,Database!$A$1:$M$1,),)</f>
        <v>112831</v>
      </c>
      <c r="C136" s="113">
        <f>(Table535141516[[#This Row],[Durable Goods]]-B135)/B135</f>
        <v>-3.6324348331112706E-2</v>
      </c>
    </row>
    <row r="137" spans="1:3">
      <c r="A137" s="74">
        <v>37622</v>
      </c>
      <c r="B137" s="75">
        <f>VLOOKUP(A137,Database!A:M,MATCH($A$1,Database!$A$1:$M$1,),)</f>
        <v>116048</v>
      </c>
      <c r="C137" s="113">
        <f>(Table535141516[[#This Row],[Durable Goods]]-B136)/B136</f>
        <v>2.8511667892689066E-2</v>
      </c>
    </row>
    <row r="138" spans="1:3">
      <c r="A138" s="74">
        <v>37653</v>
      </c>
      <c r="B138" s="75">
        <f>VLOOKUP(A138,Database!A:M,MATCH($A$1,Database!$A$1:$M$1,),)</f>
        <v>121274</v>
      </c>
      <c r="C138" s="113">
        <f>(Table535141516[[#This Row],[Durable Goods]]-B137)/B137</f>
        <v>4.5033089755963047E-2</v>
      </c>
    </row>
    <row r="139" spans="1:3">
      <c r="A139" s="74">
        <v>37681</v>
      </c>
      <c r="B139" s="75">
        <f>VLOOKUP(A139,Database!A:M,MATCH($A$1,Database!$A$1:$M$1,),)</f>
        <v>119034</v>
      </c>
      <c r="C139" s="113">
        <f>(Table535141516[[#This Row],[Durable Goods]]-B138)/B138</f>
        <v>-1.8470570773620066E-2</v>
      </c>
    </row>
    <row r="140" spans="1:3">
      <c r="A140" s="74">
        <v>37712</v>
      </c>
      <c r="B140" s="75">
        <f>VLOOKUP(A140,Database!A:M,MATCH($A$1,Database!$A$1:$M$1,),)</f>
        <v>117051</v>
      </c>
      <c r="C140" s="113">
        <f>(Table535141516[[#This Row],[Durable Goods]]-B139)/B139</f>
        <v>-1.6659105801703714E-2</v>
      </c>
    </row>
    <row r="141" spans="1:3">
      <c r="A141" s="74">
        <v>37742</v>
      </c>
      <c r="B141" s="75">
        <f>VLOOKUP(A141,Database!A:M,MATCH($A$1,Database!$A$1:$M$1,),)</f>
        <v>118306</v>
      </c>
      <c r="C141" s="113">
        <f>(Table535141516[[#This Row],[Durable Goods]]-B140)/B140</f>
        <v>1.0721822111729075E-2</v>
      </c>
    </row>
    <row r="142" spans="1:3">
      <c r="A142" s="74">
        <v>37773</v>
      </c>
      <c r="B142" s="75">
        <f>VLOOKUP(A142,Database!A:M,MATCH($A$1,Database!$A$1:$M$1,),)</f>
        <v>119931</v>
      </c>
      <c r="C142" s="113">
        <f>(Table535141516[[#This Row],[Durable Goods]]-B141)/B141</f>
        <v>1.373556708873599E-2</v>
      </c>
    </row>
    <row r="143" spans="1:3">
      <c r="A143" s="74">
        <v>37803</v>
      </c>
      <c r="B143" s="75">
        <f>VLOOKUP(A143,Database!A:M,MATCH($A$1,Database!$A$1:$M$1,),)</f>
        <v>117404</v>
      </c>
      <c r="C143" s="113">
        <f>(Table535141516[[#This Row],[Durable Goods]]-B142)/B142</f>
        <v>-2.107044884141715E-2</v>
      </c>
    </row>
    <row r="144" spans="1:3">
      <c r="A144" s="74">
        <v>37834</v>
      </c>
      <c r="B144" s="75">
        <f>VLOOKUP(A144,Database!A:M,MATCH($A$1,Database!$A$1:$M$1,),)</f>
        <v>119296</v>
      </c>
      <c r="C144" s="113">
        <f>(Table535141516[[#This Row],[Durable Goods]]-B143)/B143</f>
        <v>1.6115294197812682E-2</v>
      </c>
    </row>
    <row r="145" spans="1:3">
      <c r="A145" s="74">
        <v>37865</v>
      </c>
      <c r="B145" s="75">
        <f>VLOOKUP(A145,Database!A:M,MATCH($A$1,Database!$A$1:$M$1,),)</f>
        <v>121830</v>
      </c>
      <c r="C145" s="113">
        <f>(Table535141516[[#This Row],[Durable Goods]]-B144)/B144</f>
        <v>2.1241282188841203E-2</v>
      </c>
    </row>
    <row r="146" spans="1:3">
      <c r="A146" s="74">
        <v>37895</v>
      </c>
      <c r="B146" s="75">
        <f>VLOOKUP(A146,Database!A:M,MATCH($A$1,Database!$A$1:$M$1,),)</f>
        <v>127269</v>
      </c>
      <c r="C146" s="113">
        <f>(Table535141516[[#This Row],[Durable Goods]]-B145)/B145</f>
        <v>4.4644176311253385E-2</v>
      </c>
    </row>
    <row r="147" spans="1:3">
      <c r="A147" s="74">
        <v>37926</v>
      </c>
      <c r="B147" s="75">
        <f>VLOOKUP(A147,Database!A:M,MATCH($A$1,Database!$A$1:$M$1,),)</f>
        <v>125879</v>
      </c>
      <c r="C147" s="113">
        <f>(Table535141516[[#This Row],[Durable Goods]]-B146)/B146</f>
        <v>-1.0921748422632377E-2</v>
      </c>
    </row>
    <row r="148" spans="1:3">
      <c r="A148" s="74">
        <v>37956</v>
      </c>
      <c r="B148" s="75">
        <f>VLOOKUP(A148,Database!A:M,MATCH($A$1,Database!$A$1:$M$1,),)</f>
        <v>126251</v>
      </c>
      <c r="C148" s="113">
        <f>(Table535141516[[#This Row],[Durable Goods]]-B147)/B147</f>
        <v>2.9552189006903456E-3</v>
      </c>
    </row>
    <row r="149" spans="1:3">
      <c r="A149" s="74">
        <v>37987</v>
      </c>
      <c r="B149" s="75">
        <f>VLOOKUP(A149,Database!A:M,MATCH($A$1,Database!$A$1:$M$1,),)</f>
        <v>124471</v>
      </c>
      <c r="C149" s="113">
        <f>(Table535141516[[#This Row],[Durable Goods]]-B148)/B148</f>
        <v>-1.40988982265487E-2</v>
      </c>
    </row>
    <row r="150" spans="1:3">
      <c r="A150" s="74">
        <v>38018</v>
      </c>
      <c r="B150" s="75">
        <f>VLOOKUP(A150,Database!A:M,MATCH($A$1,Database!$A$1:$M$1,),)</f>
        <v>126174</v>
      </c>
      <c r="C150" s="113">
        <f>(Table535141516[[#This Row],[Durable Goods]]-B149)/B149</f>
        <v>1.3681901808453375E-2</v>
      </c>
    </row>
    <row r="151" spans="1:3">
      <c r="A151" s="74">
        <v>38047</v>
      </c>
      <c r="B151" s="75">
        <f>VLOOKUP(A151,Database!A:M,MATCH($A$1,Database!$A$1:$M$1,),)</f>
        <v>132836</v>
      </c>
      <c r="C151" s="113">
        <f>(Table535141516[[#This Row],[Durable Goods]]-B150)/B150</f>
        <v>5.2800101447207821E-2</v>
      </c>
    </row>
    <row r="152" spans="1:3">
      <c r="A152" s="74">
        <v>38078</v>
      </c>
      <c r="B152" s="75">
        <f>VLOOKUP(A152,Database!A:M,MATCH($A$1,Database!$A$1:$M$1,),)</f>
        <v>127885</v>
      </c>
      <c r="C152" s="113">
        <f>(Table535141516[[#This Row],[Durable Goods]]-B151)/B151</f>
        <v>-3.7271522779969285E-2</v>
      </c>
    </row>
    <row r="153" spans="1:3">
      <c r="A153" s="74">
        <v>38108</v>
      </c>
      <c r="B153" s="75">
        <f>VLOOKUP(A153,Database!A:M,MATCH($A$1,Database!$A$1:$M$1,),)</f>
        <v>128297</v>
      </c>
      <c r="C153" s="113">
        <f>(Table535141516[[#This Row],[Durable Goods]]-B152)/B152</f>
        <v>3.2216444461821169E-3</v>
      </c>
    </row>
    <row r="154" spans="1:3">
      <c r="A154" s="74">
        <v>38139</v>
      </c>
      <c r="B154" s="75">
        <f>VLOOKUP(A154,Database!A:M,MATCH($A$1,Database!$A$1:$M$1,),)</f>
        <v>129908</v>
      </c>
      <c r="C154" s="113">
        <f>(Table535141516[[#This Row],[Durable Goods]]-B153)/B153</f>
        <v>1.2556801795833105E-2</v>
      </c>
    </row>
    <row r="155" spans="1:3">
      <c r="A155" s="74">
        <v>38169</v>
      </c>
      <c r="B155" s="75">
        <f>VLOOKUP(A155,Database!A:M,MATCH($A$1,Database!$A$1:$M$1,),)</f>
        <v>134104</v>
      </c>
      <c r="C155" s="113">
        <f>(Table535141516[[#This Row],[Durable Goods]]-B154)/B154</f>
        <v>3.2299781383748498E-2</v>
      </c>
    </row>
    <row r="156" spans="1:3">
      <c r="A156" s="74">
        <v>38200</v>
      </c>
      <c r="B156" s="75">
        <f>VLOOKUP(A156,Database!A:M,MATCH($A$1,Database!$A$1:$M$1,),)</f>
        <v>127182</v>
      </c>
      <c r="C156" s="113">
        <f>(Table535141516[[#This Row],[Durable Goods]]-B155)/B155</f>
        <v>-5.1616655729881285E-2</v>
      </c>
    </row>
    <row r="157" spans="1:3">
      <c r="A157" s="74">
        <v>38231</v>
      </c>
      <c r="B157" s="75">
        <f>VLOOKUP(A157,Database!A:M,MATCH($A$1,Database!$A$1:$M$1,),)</f>
        <v>132132</v>
      </c>
      <c r="C157" s="113">
        <f>(Table535141516[[#This Row],[Durable Goods]]-B156)/B156</f>
        <v>3.8920601971977165E-2</v>
      </c>
    </row>
    <row r="158" spans="1:3">
      <c r="A158" s="74">
        <v>38261</v>
      </c>
      <c r="B158" s="75">
        <f>VLOOKUP(A158,Database!A:M,MATCH($A$1,Database!$A$1:$M$1,),)</f>
        <v>129177</v>
      </c>
      <c r="C158" s="113">
        <f>(Table535141516[[#This Row],[Durable Goods]]-B157)/B157</f>
        <v>-2.236399963672691E-2</v>
      </c>
    </row>
    <row r="159" spans="1:3">
      <c r="A159" s="74">
        <v>38292</v>
      </c>
      <c r="B159" s="75">
        <f>VLOOKUP(A159,Database!A:M,MATCH($A$1,Database!$A$1:$M$1,),)</f>
        <v>135582</v>
      </c>
      <c r="C159" s="113">
        <f>(Table535141516[[#This Row],[Durable Goods]]-B158)/B158</f>
        <v>4.9583130123783646E-2</v>
      </c>
    </row>
    <row r="160" spans="1:3">
      <c r="A160" s="74">
        <v>38322</v>
      </c>
      <c r="B160" s="75">
        <f>VLOOKUP(A160,Database!A:M,MATCH($A$1,Database!$A$1:$M$1,),)</f>
        <v>135216</v>
      </c>
      <c r="C160" s="113">
        <f>(Table535141516[[#This Row],[Durable Goods]]-B159)/B159</f>
        <v>-2.6994733814223125E-3</v>
      </c>
    </row>
    <row r="161" spans="1:3">
      <c r="A161" s="74">
        <v>38353</v>
      </c>
      <c r="B161" s="75">
        <f>VLOOKUP(A161,Database!A:M,MATCH($A$1,Database!$A$1:$M$1,),)</f>
        <v>137025</v>
      </c>
      <c r="C161" s="113">
        <f>(Table535141516[[#This Row],[Durable Goods]]-B160)/B160</f>
        <v>1.3378594249201278E-2</v>
      </c>
    </row>
    <row r="162" spans="1:3">
      <c r="A162" s="74">
        <v>38384</v>
      </c>
      <c r="B162" s="75">
        <f>VLOOKUP(A162,Database!A:M,MATCH($A$1,Database!$A$1:$M$1,),)</f>
        <v>138279</v>
      </c>
      <c r="C162" s="113">
        <f>(Table535141516[[#This Row],[Durable Goods]]-B161)/B161</f>
        <v>9.1516146688560476E-3</v>
      </c>
    </row>
    <row r="163" spans="1:3">
      <c r="A163" s="74">
        <v>38412</v>
      </c>
      <c r="B163" s="75">
        <f>VLOOKUP(A163,Database!A:M,MATCH($A$1,Database!$A$1:$M$1,),)</f>
        <v>130044</v>
      </c>
      <c r="C163" s="113">
        <f>(Table535141516[[#This Row],[Durable Goods]]-B162)/B162</f>
        <v>-5.95535113791682E-2</v>
      </c>
    </row>
    <row r="164" spans="1:3">
      <c r="A164" s="74">
        <v>38443</v>
      </c>
      <c r="B164" s="75">
        <f>VLOOKUP(A164,Database!A:M,MATCH($A$1,Database!$A$1:$M$1,),)</f>
        <v>135587</v>
      </c>
      <c r="C164" s="113">
        <f>(Table535141516[[#This Row],[Durable Goods]]-B163)/B163</f>
        <v>4.2624034942019627E-2</v>
      </c>
    </row>
    <row r="165" spans="1:3">
      <c r="A165" s="74">
        <v>38473</v>
      </c>
      <c r="B165" s="75">
        <f>VLOOKUP(A165,Database!A:M,MATCH($A$1,Database!$A$1:$M$1,),)</f>
        <v>148200</v>
      </c>
      <c r="C165" s="113">
        <f>(Table535141516[[#This Row],[Durable Goods]]-B164)/B164</f>
        <v>9.3025142528413485E-2</v>
      </c>
    </row>
    <row r="166" spans="1:3">
      <c r="A166" s="74">
        <v>38504</v>
      </c>
      <c r="B166" s="75">
        <f>VLOOKUP(A166,Database!A:M,MATCH($A$1,Database!$A$1:$M$1,),)</f>
        <v>151407</v>
      </c>
      <c r="C166" s="113">
        <f>(Table535141516[[#This Row],[Durable Goods]]-B165)/B165</f>
        <v>2.1639676113360325E-2</v>
      </c>
    </row>
    <row r="167" spans="1:3">
      <c r="A167" s="74">
        <v>38534</v>
      </c>
      <c r="B167" s="75">
        <f>VLOOKUP(A167,Database!A:M,MATCH($A$1,Database!$A$1:$M$1,),)</f>
        <v>136292</v>
      </c>
      <c r="C167" s="113">
        <f>(Table535141516[[#This Row],[Durable Goods]]-B166)/B166</f>
        <v>-9.9830258838759109E-2</v>
      </c>
    </row>
    <row r="168" spans="1:3">
      <c r="A168" s="74">
        <v>38565</v>
      </c>
      <c r="B168" s="75">
        <f>VLOOKUP(A168,Database!A:M,MATCH($A$1,Database!$A$1:$M$1,),)</f>
        <v>145606</v>
      </c>
      <c r="C168" s="113">
        <f>(Table535141516[[#This Row],[Durable Goods]]-B167)/B167</f>
        <v>6.8338567193965902E-2</v>
      </c>
    </row>
    <row r="169" spans="1:3">
      <c r="A169" s="74">
        <v>38596</v>
      </c>
      <c r="B169" s="75">
        <f>VLOOKUP(A169,Database!A:M,MATCH($A$1,Database!$A$1:$M$1,),)</f>
        <v>142335</v>
      </c>
      <c r="C169" s="113">
        <f>(Table535141516[[#This Row],[Durable Goods]]-B168)/B168</f>
        <v>-2.2464733596143018E-2</v>
      </c>
    </row>
    <row r="170" spans="1:3">
      <c r="A170" s="74">
        <v>38626</v>
      </c>
      <c r="B170" s="75">
        <f>VLOOKUP(A170,Database!A:M,MATCH($A$1,Database!$A$1:$M$1,),)</f>
        <v>148450</v>
      </c>
      <c r="C170" s="113">
        <f>(Table535141516[[#This Row],[Durable Goods]]-B169)/B169</f>
        <v>4.2962026205782135E-2</v>
      </c>
    </row>
    <row r="171" spans="1:3">
      <c r="A171" s="74">
        <v>38657</v>
      </c>
      <c r="B171" s="75">
        <f>VLOOKUP(A171,Database!A:M,MATCH($A$1,Database!$A$1:$M$1,),)</f>
        <v>160126</v>
      </c>
      <c r="C171" s="113">
        <f>(Table535141516[[#This Row],[Durable Goods]]-B170)/B170</f>
        <v>7.8652745031997304E-2</v>
      </c>
    </row>
    <row r="172" spans="1:3">
      <c r="A172" s="74">
        <v>38687</v>
      </c>
      <c r="B172" s="75">
        <f>VLOOKUP(A172,Database!A:M,MATCH($A$1,Database!$A$1:$M$1,),)</f>
        <v>159419</v>
      </c>
      <c r="C172" s="113">
        <f>(Table535141516[[#This Row],[Durable Goods]]-B171)/B171</f>
        <v>-4.4152729725341292E-3</v>
      </c>
    </row>
    <row r="173" spans="1:3">
      <c r="A173" s="74">
        <v>38718</v>
      </c>
      <c r="B173" s="75">
        <f>VLOOKUP(A173,Database!A:M,MATCH($A$1,Database!$A$1:$M$1,),)</f>
        <v>146814</v>
      </c>
      <c r="C173" s="113">
        <f>(Table535141516[[#This Row],[Durable Goods]]-B172)/B172</f>
        <v>-7.9068367007696705E-2</v>
      </c>
    </row>
    <row r="174" spans="1:3">
      <c r="A174" s="74">
        <v>38749</v>
      </c>
      <c r="B174" s="75">
        <f>VLOOKUP(A174,Database!A:M,MATCH($A$1,Database!$A$1:$M$1,),)</f>
        <v>156798</v>
      </c>
      <c r="C174" s="113">
        <f>(Table535141516[[#This Row],[Durable Goods]]-B173)/B173</f>
        <v>6.8004413748007683E-2</v>
      </c>
    </row>
    <row r="175" spans="1:3">
      <c r="A175" s="74">
        <v>38777</v>
      </c>
      <c r="B175" s="75">
        <f>VLOOKUP(A175,Database!A:M,MATCH($A$1,Database!$A$1:$M$1,),)</f>
        <v>163893</v>
      </c>
      <c r="C175" s="113">
        <f>(Table535141516[[#This Row],[Durable Goods]]-B174)/B174</f>
        <v>4.5249301649255731E-2</v>
      </c>
    </row>
    <row r="176" spans="1:3">
      <c r="A176" s="74">
        <v>38808</v>
      </c>
      <c r="B176" s="75">
        <f>VLOOKUP(A176,Database!A:M,MATCH($A$1,Database!$A$1:$M$1,),)</f>
        <v>154052</v>
      </c>
      <c r="C176" s="113">
        <f>(Table535141516[[#This Row],[Durable Goods]]-B175)/B175</f>
        <v>-6.0045273440598436E-2</v>
      </c>
    </row>
    <row r="177" spans="1:3">
      <c r="A177" s="74">
        <v>38838</v>
      </c>
      <c r="B177" s="75">
        <f>VLOOKUP(A177,Database!A:M,MATCH($A$1,Database!$A$1:$M$1,),)</f>
        <v>153173</v>
      </c>
      <c r="C177" s="113">
        <f>(Table535141516[[#This Row],[Durable Goods]]-B176)/B176</f>
        <v>-5.705865551891569E-3</v>
      </c>
    </row>
    <row r="178" spans="1:3">
      <c r="A178" s="74">
        <v>38869</v>
      </c>
      <c r="B178" s="75">
        <f>VLOOKUP(A178,Database!A:M,MATCH($A$1,Database!$A$1:$M$1,),)</f>
        <v>158892</v>
      </c>
      <c r="C178" s="113">
        <f>(Table535141516[[#This Row],[Durable Goods]]-B177)/B177</f>
        <v>3.7336867463586922E-2</v>
      </c>
    </row>
    <row r="179" spans="1:3">
      <c r="A179" s="74">
        <v>38899</v>
      </c>
      <c r="B179" s="75">
        <f>VLOOKUP(A179,Database!A:M,MATCH($A$1,Database!$A$1:$M$1,),)</f>
        <v>152012</v>
      </c>
      <c r="C179" s="113">
        <f>(Table535141516[[#This Row],[Durable Goods]]-B178)/B178</f>
        <v>-4.3299851471439721E-2</v>
      </c>
    </row>
    <row r="180" spans="1:3">
      <c r="A180" s="74">
        <v>38930</v>
      </c>
      <c r="B180" s="75">
        <f>VLOOKUP(A180,Database!A:M,MATCH($A$1,Database!$A$1:$M$1,),)</f>
        <v>150763</v>
      </c>
      <c r="C180" s="113">
        <f>(Table535141516[[#This Row],[Durable Goods]]-B179)/B179</f>
        <v>-8.2164565955319315E-3</v>
      </c>
    </row>
    <row r="181" spans="1:3">
      <c r="A181" s="74">
        <v>38961</v>
      </c>
      <c r="B181" s="75">
        <f>VLOOKUP(A181,Database!A:M,MATCH($A$1,Database!$A$1:$M$1,),)</f>
        <v>176642</v>
      </c>
      <c r="C181" s="113">
        <f>(Table535141516[[#This Row],[Durable Goods]]-B180)/B180</f>
        <v>0.17165352241597739</v>
      </c>
    </row>
    <row r="182" spans="1:3">
      <c r="A182" s="74">
        <v>38991</v>
      </c>
      <c r="B182" s="75">
        <f>VLOOKUP(A182,Database!A:M,MATCH($A$1,Database!$A$1:$M$1,),)</f>
        <v>158286</v>
      </c>
      <c r="C182" s="113">
        <f>(Table535141516[[#This Row],[Durable Goods]]-B181)/B181</f>
        <v>-0.10391639587414092</v>
      </c>
    </row>
    <row r="183" spans="1:3">
      <c r="A183" s="74">
        <v>39022</v>
      </c>
      <c r="B183" s="75">
        <f>VLOOKUP(A183,Database!A:M,MATCH($A$1,Database!$A$1:$M$1,),)</f>
        <v>165969</v>
      </c>
      <c r="C183" s="113">
        <f>(Table535141516[[#This Row],[Durable Goods]]-B182)/B182</f>
        <v>4.853872104923998E-2</v>
      </c>
    </row>
    <row r="184" spans="1:3">
      <c r="A184" s="74">
        <v>39052</v>
      </c>
      <c r="B184" s="75">
        <f>VLOOKUP(A184,Database!A:M,MATCH($A$1,Database!$A$1:$M$1,),)</f>
        <v>166342</v>
      </c>
      <c r="C184" s="113">
        <f>(Table535141516[[#This Row],[Durable Goods]]-B183)/B183</f>
        <v>2.2474076484162706E-3</v>
      </c>
    </row>
    <row r="185" spans="1:3">
      <c r="A185" s="74">
        <v>39083</v>
      </c>
      <c r="B185" s="75">
        <f>VLOOKUP(A185,Database!A:M,MATCH($A$1,Database!$A$1:$M$1,),)</f>
        <v>163751</v>
      </c>
      <c r="C185" s="113">
        <f>(Table535141516[[#This Row],[Durable Goods]]-B184)/B184</f>
        <v>-1.5576342715610009E-2</v>
      </c>
    </row>
    <row r="186" spans="1:3">
      <c r="A186" s="74">
        <v>39114</v>
      </c>
      <c r="B186" s="75">
        <f>VLOOKUP(A186,Database!A:M,MATCH($A$1,Database!$A$1:$M$1,),)</f>
        <v>161671</v>
      </c>
      <c r="C186" s="113">
        <f>(Table535141516[[#This Row],[Durable Goods]]-B185)/B185</f>
        <v>-1.2702212505572486E-2</v>
      </c>
    </row>
    <row r="187" spans="1:3">
      <c r="A187" s="74">
        <v>39142</v>
      </c>
      <c r="B187" s="75">
        <f>VLOOKUP(A187,Database!A:M,MATCH($A$1,Database!$A$1:$M$1,),)</f>
        <v>169322</v>
      </c>
      <c r="C187" s="113">
        <f>(Table535141516[[#This Row],[Durable Goods]]-B186)/B186</f>
        <v>4.7324504703997627E-2</v>
      </c>
    </row>
    <row r="188" spans="1:3">
      <c r="A188" s="74">
        <v>39173</v>
      </c>
      <c r="B188" s="75">
        <f>VLOOKUP(A188,Database!A:M,MATCH($A$1,Database!$A$1:$M$1,),)</f>
        <v>173518</v>
      </c>
      <c r="C188" s="113">
        <f>(Table535141516[[#This Row],[Durable Goods]]-B187)/B187</f>
        <v>2.4781186142379608E-2</v>
      </c>
    </row>
    <row r="189" spans="1:3">
      <c r="A189" s="74">
        <v>39203</v>
      </c>
      <c r="B189" s="75">
        <f>VLOOKUP(A189,Database!A:M,MATCH($A$1,Database!$A$1:$M$1,),)</f>
        <v>168025</v>
      </c>
      <c r="C189" s="113">
        <f>(Table535141516[[#This Row],[Durable Goods]]-B188)/B188</f>
        <v>-3.1656658098871589E-2</v>
      </c>
    </row>
    <row r="190" spans="1:3">
      <c r="A190" s="74">
        <v>39234</v>
      </c>
      <c r="B190" s="75">
        <f>VLOOKUP(A190,Database!A:M,MATCH($A$1,Database!$A$1:$M$1,),)</f>
        <v>168611</v>
      </c>
      <c r="C190" s="113">
        <f>(Table535141516[[#This Row],[Durable Goods]]-B189)/B189</f>
        <v>3.4875762535337002E-3</v>
      </c>
    </row>
    <row r="191" spans="1:3">
      <c r="A191" s="74">
        <v>39264</v>
      </c>
      <c r="B191" s="75">
        <f>VLOOKUP(A191,Database!A:M,MATCH($A$1,Database!$A$1:$M$1,),)</f>
        <v>172388</v>
      </c>
      <c r="C191" s="113">
        <f>(Table535141516[[#This Row],[Durable Goods]]-B190)/B190</f>
        <v>2.2400673740147439E-2</v>
      </c>
    </row>
    <row r="192" spans="1:3">
      <c r="A192" s="74">
        <v>39295</v>
      </c>
      <c r="B192" s="75">
        <f>VLOOKUP(A192,Database!A:M,MATCH($A$1,Database!$A$1:$M$1,),)</f>
        <v>174874</v>
      </c>
      <c r="C192" s="113">
        <f>(Table535141516[[#This Row],[Durable Goods]]-B191)/B191</f>
        <v>1.4420957375223333E-2</v>
      </c>
    </row>
    <row r="193" spans="1:3">
      <c r="A193" s="74">
        <v>39326</v>
      </c>
      <c r="B193" s="75">
        <f>VLOOKUP(A193,Database!A:M,MATCH($A$1,Database!$A$1:$M$1,),)</f>
        <v>167739</v>
      </c>
      <c r="C193" s="113">
        <f>(Table535141516[[#This Row],[Durable Goods]]-B192)/B192</f>
        <v>-4.080080515113739E-2</v>
      </c>
    </row>
    <row r="194" spans="1:3">
      <c r="A194" s="74">
        <v>39356</v>
      </c>
      <c r="B194" s="75">
        <f>VLOOKUP(A194,Database!A:M,MATCH($A$1,Database!$A$1:$M$1,),)</f>
        <v>171492</v>
      </c>
      <c r="C194" s="113">
        <f>(Table535141516[[#This Row],[Durable Goods]]-B193)/B193</f>
        <v>2.2374045391948205E-2</v>
      </c>
    </row>
    <row r="195" spans="1:3">
      <c r="A195" s="74">
        <v>39387</v>
      </c>
      <c r="B195" s="75">
        <f>VLOOKUP(A195,Database!A:M,MATCH($A$1,Database!$A$1:$M$1,),)</f>
        <v>168015</v>
      </c>
      <c r="C195" s="113">
        <f>(Table535141516[[#This Row],[Durable Goods]]-B194)/B194</f>
        <v>-2.0274998250647259E-2</v>
      </c>
    </row>
    <row r="196" spans="1:3">
      <c r="A196" s="74">
        <v>39417</v>
      </c>
      <c r="B196" s="75">
        <f>VLOOKUP(A196,Database!A:M,MATCH($A$1,Database!$A$1:$M$1,),)</f>
        <v>186161</v>
      </c>
      <c r="C196" s="113">
        <f>(Table535141516[[#This Row],[Durable Goods]]-B195)/B195</f>
        <v>0.10800226170282415</v>
      </c>
    </row>
    <row r="197" spans="1:3">
      <c r="A197" s="74">
        <v>39448</v>
      </c>
      <c r="B197" s="75">
        <f>VLOOKUP(A197,Database!A:M,MATCH($A$1,Database!$A$1:$M$1,),)</f>
        <v>180937</v>
      </c>
      <c r="C197" s="113">
        <f>(Table535141516[[#This Row],[Durable Goods]]-B196)/B196</f>
        <v>-2.8061731511970819E-2</v>
      </c>
    </row>
    <row r="198" spans="1:3">
      <c r="A198" s="74">
        <v>39479</v>
      </c>
      <c r="B198" s="75">
        <f>VLOOKUP(A198,Database!A:M,MATCH($A$1,Database!$A$1:$M$1,),)</f>
        <v>177311</v>
      </c>
      <c r="C198" s="113">
        <f>(Table535141516[[#This Row],[Durable Goods]]-B197)/B197</f>
        <v>-2.0040124463210952E-2</v>
      </c>
    </row>
    <row r="199" spans="1:3">
      <c r="A199" s="74">
        <v>39508</v>
      </c>
      <c r="B199" s="75">
        <f>VLOOKUP(A199,Database!A:M,MATCH($A$1,Database!$A$1:$M$1,),)</f>
        <v>179954</v>
      </c>
      <c r="C199" s="113">
        <f>(Table535141516[[#This Row],[Durable Goods]]-B198)/B198</f>
        <v>1.4906012599331119E-2</v>
      </c>
    </row>
    <row r="200" spans="1:3">
      <c r="A200" s="74">
        <v>39539</v>
      </c>
      <c r="B200" s="75">
        <f>VLOOKUP(A200,Database!A:M,MATCH($A$1,Database!$A$1:$M$1,),)</f>
        <v>175116</v>
      </c>
      <c r="C200" s="113">
        <f>(Table535141516[[#This Row],[Durable Goods]]-B199)/B199</f>
        <v>-2.6884648299009748E-2</v>
      </c>
    </row>
    <row r="201" spans="1:3">
      <c r="A201" s="74">
        <v>39569</v>
      </c>
      <c r="B201" s="75">
        <f>VLOOKUP(A201,Database!A:M,MATCH($A$1,Database!$A$1:$M$1,),)</f>
        <v>172674</v>
      </c>
      <c r="C201" s="113">
        <f>(Table535141516[[#This Row],[Durable Goods]]-B200)/B200</f>
        <v>-1.3945042143493456E-2</v>
      </c>
    </row>
    <row r="202" spans="1:3">
      <c r="A202" s="74">
        <v>39600</v>
      </c>
      <c r="B202" s="75">
        <f>VLOOKUP(A202,Database!A:M,MATCH($A$1,Database!$A$1:$M$1,),)</f>
        <v>174406</v>
      </c>
      <c r="C202" s="113">
        <f>(Table535141516[[#This Row],[Durable Goods]]-B201)/B201</f>
        <v>1.003046202670929E-2</v>
      </c>
    </row>
    <row r="203" spans="1:3">
      <c r="A203" s="74">
        <v>39630</v>
      </c>
      <c r="B203" s="75">
        <f>VLOOKUP(A203,Database!A:M,MATCH($A$1,Database!$A$1:$M$1,),)</f>
        <v>167115</v>
      </c>
      <c r="C203" s="113">
        <f>(Table535141516[[#This Row],[Durable Goods]]-B202)/B202</f>
        <v>-4.1804754423586346E-2</v>
      </c>
    </row>
    <row r="204" spans="1:3">
      <c r="A204" s="74">
        <v>39661</v>
      </c>
      <c r="B204" s="75">
        <f>VLOOKUP(A204,Database!A:M,MATCH($A$1,Database!$A$1:$M$1,),)</f>
        <v>161832</v>
      </c>
      <c r="C204" s="113">
        <f>(Table535141516[[#This Row],[Durable Goods]]-B203)/B203</f>
        <v>-3.1612961134548069E-2</v>
      </c>
    </row>
    <row r="205" spans="1:3">
      <c r="A205" s="74">
        <v>39692</v>
      </c>
      <c r="B205" s="75">
        <f>VLOOKUP(A205,Database!A:M,MATCH($A$1,Database!$A$1:$M$1,),)</f>
        <v>162265</v>
      </c>
      <c r="C205" s="113">
        <f>(Table535141516[[#This Row],[Durable Goods]]-B204)/B204</f>
        <v>2.6756142172129124E-3</v>
      </c>
    </row>
    <row r="206" spans="1:3">
      <c r="A206" s="74">
        <v>39722</v>
      </c>
      <c r="B206" s="75">
        <f>VLOOKUP(A206,Database!A:M,MATCH($A$1,Database!$A$1:$M$1,),)</f>
        <v>141208</v>
      </c>
      <c r="C206" s="113">
        <f>(Table535141516[[#This Row],[Durable Goods]]-B205)/B205</f>
        <v>-0.12976920469602193</v>
      </c>
    </row>
    <row r="207" spans="1:3">
      <c r="A207" s="74">
        <v>39753</v>
      </c>
      <c r="B207" s="75">
        <f>VLOOKUP(A207,Database!A:M,MATCH($A$1,Database!$A$1:$M$1,),)</f>
        <v>132791</v>
      </c>
      <c r="C207" s="113">
        <f>(Table535141516[[#This Row],[Durable Goods]]-B206)/B206</f>
        <v>-5.9607104413347684E-2</v>
      </c>
    </row>
    <row r="208" spans="1:3">
      <c r="A208" s="74">
        <v>39783</v>
      </c>
      <c r="B208" s="75">
        <f>VLOOKUP(A208,Database!A:M,MATCH($A$1,Database!$A$1:$M$1,),)</f>
        <v>127770</v>
      </c>
      <c r="C208" s="113">
        <f>(Table535141516[[#This Row],[Durable Goods]]-B207)/B207</f>
        <v>-3.7811297452387586E-2</v>
      </c>
    </row>
    <row r="209" spans="1:3">
      <c r="A209" s="74">
        <v>39814</v>
      </c>
      <c r="B209" s="75">
        <f>VLOOKUP(A209,Database!A:M,MATCH($A$1,Database!$A$1:$M$1,),)</f>
        <v>108060</v>
      </c>
      <c r="C209" s="113">
        <f>(Table535141516[[#This Row],[Durable Goods]]-B208)/B208</f>
        <v>-0.15426156374735853</v>
      </c>
    </row>
    <row r="210" spans="1:3">
      <c r="A210" s="74">
        <v>39845</v>
      </c>
      <c r="B210" s="75">
        <f>VLOOKUP(A210,Database!A:M,MATCH($A$1,Database!$A$1:$M$1,),)</f>
        <v>105786</v>
      </c>
      <c r="C210" s="113">
        <f>(Table535141516[[#This Row],[Durable Goods]]-B209)/B209</f>
        <v>-2.1043864519711273E-2</v>
      </c>
    </row>
    <row r="211" spans="1:3">
      <c r="A211" s="74">
        <v>39873</v>
      </c>
      <c r="B211" s="75">
        <f>VLOOKUP(A211,Database!A:M,MATCH($A$1,Database!$A$1:$M$1,),)</f>
        <v>103874</v>
      </c>
      <c r="C211" s="113">
        <f>(Table535141516[[#This Row],[Durable Goods]]-B210)/B210</f>
        <v>-1.8074225322821547E-2</v>
      </c>
    </row>
    <row r="212" spans="1:3">
      <c r="A212" s="74">
        <v>39904</v>
      </c>
      <c r="B212" s="75">
        <f>VLOOKUP(A212,Database!A:M,MATCH($A$1,Database!$A$1:$M$1,),)</f>
        <v>105714</v>
      </c>
      <c r="C212" s="113">
        <f>(Table535141516[[#This Row],[Durable Goods]]-B211)/B211</f>
        <v>1.7713768604270558E-2</v>
      </c>
    </row>
    <row r="213" spans="1:3">
      <c r="A213" s="74">
        <v>39934</v>
      </c>
      <c r="B213" s="75">
        <f>VLOOKUP(A213,Database!A:M,MATCH($A$1,Database!$A$1:$M$1,),)</f>
        <v>108460</v>
      </c>
      <c r="C213" s="113">
        <f>(Table535141516[[#This Row],[Durable Goods]]-B212)/B212</f>
        <v>2.5975745880394273E-2</v>
      </c>
    </row>
    <row r="214" spans="1:3">
      <c r="A214" s="74">
        <v>39965</v>
      </c>
      <c r="B214" s="75">
        <f>VLOOKUP(A214,Database!A:M,MATCH($A$1,Database!$A$1:$M$1,),)</f>
        <v>107285</v>
      </c>
      <c r="C214" s="113">
        <f>(Table535141516[[#This Row],[Durable Goods]]-B213)/B213</f>
        <v>-1.08334869998156E-2</v>
      </c>
    </row>
    <row r="215" spans="1:3">
      <c r="A215" s="74">
        <v>39995</v>
      </c>
      <c r="B215" s="75">
        <f>VLOOKUP(A215,Database!A:M,MATCH($A$1,Database!$A$1:$M$1,),)</f>
        <v>111891</v>
      </c>
      <c r="C215" s="113">
        <f>(Table535141516[[#This Row],[Durable Goods]]-B214)/B214</f>
        <v>4.2932376380668311E-2</v>
      </c>
    </row>
    <row r="216" spans="1:3">
      <c r="A216" s="74">
        <v>40026</v>
      </c>
      <c r="B216" s="75">
        <f>VLOOKUP(A216,Database!A:M,MATCH($A$1,Database!$A$1:$M$1,),)</f>
        <v>114790</v>
      </c>
      <c r="C216" s="113">
        <f>(Table535141516[[#This Row],[Durable Goods]]-B215)/B215</f>
        <v>2.590914372022772E-2</v>
      </c>
    </row>
    <row r="217" spans="1:3">
      <c r="A217" s="74">
        <v>40057</v>
      </c>
      <c r="B217" s="75">
        <f>VLOOKUP(A217,Database!A:M,MATCH($A$1,Database!$A$1:$M$1,),)</f>
        <v>114607</v>
      </c>
      <c r="C217" s="113">
        <f>(Table535141516[[#This Row],[Durable Goods]]-B216)/B216</f>
        <v>-1.5942155240003485E-3</v>
      </c>
    </row>
    <row r="218" spans="1:3">
      <c r="A218" s="74">
        <v>40087</v>
      </c>
      <c r="B218" s="75">
        <f>VLOOKUP(A218,Database!A:M,MATCH($A$1,Database!$A$1:$M$1,),)</f>
        <v>117510</v>
      </c>
      <c r="C218" s="113">
        <f>(Table535141516[[#This Row],[Durable Goods]]-B217)/B217</f>
        <v>2.5330040922456745E-2</v>
      </c>
    </row>
    <row r="219" spans="1:3">
      <c r="A219" s="74">
        <v>40118</v>
      </c>
      <c r="B219" s="75">
        <f>VLOOKUP(A219,Database!A:M,MATCH($A$1,Database!$A$1:$M$1,),)</f>
        <v>115535</v>
      </c>
      <c r="C219" s="113">
        <f>(Table535141516[[#This Row],[Durable Goods]]-B218)/B218</f>
        <v>-1.6807080248489491E-2</v>
      </c>
    </row>
    <row r="220" spans="1:3">
      <c r="A220" s="74">
        <v>40148</v>
      </c>
      <c r="B220" s="75">
        <f>VLOOKUP(A220,Database!A:M,MATCH($A$1,Database!$A$1:$M$1,),)</f>
        <v>115220</v>
      </c>
      <c r="C220" s="113">
        <f>(Table535141516[[#This Row],[Durable Goods]]-B219)/B219</f>
        <v>-2.7264465313541352E-3</v>
      </c>
    </row>
    <row r="221" spans="1:3">
      <c r="A221" s="74">
        <v>40179</v>
      </c>
      <c r="B221" s="75">
        <f>VLOOKUP(A221,Database!A:M,MATCH($A$1,Database!$A$1:$M$1,),)</f>
        <v>134068</v>
      </c>
      <c r="C221" s="113">
        <f>(Table535141516[[#This Row],[Durable Goods]]-B220)/B220</f>
        <v>0.1635827113348377</v>
      </c>
    </row>
    <row r="222" spans="1:3">
      <c r="A222" s="74">
        <v>40210</v>
      </c>
      <c r="B222" s="75">
        <f>VLOOKUP(A222,Database!A:M,MATCH($A$1,Database!$A$1:$M$1,),)</f>
        <v>135156</v>
      </c>
      <c r="C222" s="113">
        <f>(Table535141516[[#This Row],[Durable Goods]]-B221)/B221</f>
        <v>8.1152847808574746E-3</v>
      </c>
    </row>
    <row r="223" spans="1:3">
      <c r="A223" s="74">
        <v>40238</v>
      </c>
      <c r="B223" s="75">
        <f>VLOOKUP(A223,Database!A:M,MATCH($A$1,Database!$A$1:$M$1,),)</f>
        <v>135916</v>
      </c>
      <c r="C223" s="113">
        <f>(Table535141516[[#This Row],[Durable Goods]]-B222)/B222</f>
        <v>5.6231317884518628E-3</v>
      </c>
    </row>
    <row r="224" spans="1:3">
      <c r="A224" s="74">
        <v>40269</v>
      </c>
      <c r="B224" s="75">
        <f>VLOOKUP(A224,Database!A:M,MATCH($A$1,Database!$A$1:$M$1,),)</f>
        <v>135504</v>
      </c>
      <c r="C224" s="113">
        <f>(Table535141516[[#This Row],[Durable Goods]]-B223)/B223</f>
        <v>-3.0312840283704639E-3</v>
      </c>
    </row>
    <row r="225" spans="1:3">
      <c r="A225" s="74">
        <v>40299</v>
      </c>
      <c r="B225" s="75">
        <f>VLOOKUP(A225,Database!A:M,MATCH($A$1,Database!$A$1:$M$1,),)</f>
        <v>141747</v>
      </c>
      <c r="C225" s="113">
        <f>(Table535141516[[#This Row],[Durable Goods]]-B224)/B224</f>
        <v>4.6072440665958198E-2</v>
      </c>
    </row>
    <row r="226" spans="1:3">
      <c r="A226" s="74">
        <v>40330</v>
      </c>
      <c r="B226" s="75">
        <f>VLOOKUP(A226,Database!A:M,MATCH($A$1,Database!$A$1:$M$1,),)</f>
        <v>137251</v>
      </c>
      <c r="C226" s="113">
        <f>(Table535141516[[#This Row],[Durable Goods]]-B225)/B225</f>
        <v>-3.1718484341820286E-2</v>
      </c>
    </row>
    <row r="227" spans="1:3">
      <c r="A227" s="74">
        <v>40360</v>
      </c>
      <c r="B227" s="75">
        <f>VLOOKUP(A227,Database!A:M,MATCH($A$1,Database!$A$1:$M$1,),)</f>
        <v>137391</v>
      </c>
      <c r="C227" s="113">
        <f>(Table535141516[[#This Row],[Durable Goods]]-B226)/B226</f>
        <v>1.020028997967228E-3</v>
      </c>
    </row>
    <row r="228" spans="1:3">
      <c r="A228" s="74">
        <v>40391</v>
      </c>
      <c r="B228" s="75">
        <f>VLOOKUP(A228,Database!A:M,MATCH($A$1,Database!$A$1:$M$1,),)</f>
        <v>141407</v>
      </c>
      <c r="C228" s="113">
        <f>(Table535141516[[#This Row],[Durable Goods]]-B227)/B227</f>
        <v>2.9230444497820088E-2</v>
      </c>
    </row>
    <row r="229" spans="1:3">
      <c r="A229" s="74">
        <v>40422</v>
      </c>
      <c r="B229" s="75">
        <f>VLOOKUP(A229,Database!A:M,MATCH($A$1,Database!$A$1:$M$1,),)</f>
        <v>151095</v>
      </c>
      <c r="C229" s="113">
        <f>(Table535141516[[#This Row],[Durable Goods]]-B228)/B228</f>
        <v>6.8511459828721352E-2</v>
      </c>
    </row>
    <row r="230" spans="1:3">
      <c r="A230" s="74">
        <v>40452</v>
      </c>
      <c r="B230" s="75">
        <f>VLOOKUP(A230,Database!A:M,MATCH($A$1,Database!$A$1:$M$1,),)</f>
        <v>142783</v>
      </c>
      <c r="C230" s="113">
        <f>(Table535141516[[#This Row],[Durable Goods]]-B229)/B229</f>
        <v>-5.5011747576028329E-2</v>
      </c>
    </row>
    <row r="231" spans="1:3">
      <c r="A231" s="74">
        <v>40483</v>
      </c>
      <c r="B231" s="75">
        <f>VLOOKUP(A231,Database!A:M,MATCH($A$1,Database!$A$1:$M$1,),)</f>
        <v>147906</v>
      </c>
      <c r="C231" s="113">
        <f>(Table535141516[[#This Row],[Durable Goods]]-B230)/B230</f>
        <v>3.5879621523570736E-2</v>
      </c>
    </row>
    <row r="232" spans="1:3">
      <c r="A232" s="74">
        <v>40513</v>
      </c>
      <c r="B232" s="75">
        <f>VLOOKUP(A232,Database!A:M,MATCH($A$1,Database!$A$1:$M$1,),)</f>
        <v>143125</v>
      </c>
      <c r="C232" s="113">
        <f>(Table535141516[[#This Row],[Durable Goods]]-B231)/B231</f>
        <v>-3.2324584533419874E-2</v>
      </c>
    </row>
    <row r="233" spans="1:3">
      <c r="A233" s="74">
        <v>40544</v>
      </c>
      <c r="B233" s="75">
        <f>VLOOKUP(A233,Database!A:M,MATCH($A$1,Database!$A$1:$M$1,),)</f>
        <v>152922</v>
      </c>
      <c r="C233" s="113">
        <f>(Table535141516[[#This Row],[Durable Goods]]-B232)/B232</f>
        <v>6.8450655021834061E-2</v>
      </c>
    </row>
    <row r="234" spans="1:3">
      <c r="A234" s="74">
        <v>40575</v>
      </c>
      <c r="B234" s="75">
        <f>VLOOKUP(A234,Database!A:M,MATCH($A$1,Database!$A$1:$M$1,),)</f>
        <v>146046</v>
      </c>
      <c r="C234" s="113">
        <f>(Table535141516[[#This Row],[Durable Goods]]-B233)/B233</f>
        <v>-4.4964099344763996E-2</v>
      </c>
    </row>
    <row r="235" spans="1:3">
      <c r="A235" s="74">
        <v>40603</v>
      </c>
      <c r="B235" s="75">
        <f>VLOOKUP(A235,Database!A:M,MATCH($A$1,Database!$A$1:$M$1,),)</f>
        <v>160009</v>
      </c>
      <c r="C235" s="113">
        <f>(Table535141516[[#This Row],[Durable Goods]]-B234)/B234</f>
        <v>9.5606863590923408E-2</v>
      </c>
    </row>
    <row r="236" spans="1:3">
      <c r="A236" s="74">
        <v>40634</v>
      </c>
      <c r="B236" s="75">
        <f>VLOOKUP(A236,Database!A:M,MATCH($A$1,Database!$A$1:$M$1,),)</f>
        <v>150734</v>
      </c>
      <c r="C236" s="113">
        <f>(Table535141516[[#This Row],[Durable Goods]]-B235)/B235</f>
        <v>-5.7965489441218931E-2</v>
      </c>
    </row>
    <row r="237" spans="1:3">
      <c r="A237" s="74">
        <v>40664</v>
      </c>
      <c r="B237" s="75">
        <f>VLOOKUP(A237,Database!A:M,MATCH($A$1,Database!$A$1:$M$1,),)</f>
        <v>157155</v>
      </c>
      <c r="C237" s="113">
        <f>(Table535141516[[#This Row],[Durable Goods]]-B236)/B236</f>
        <v>4.2598219379834677E-2</v>
      </c>
    </row>
    <row r="238" spans="1:3">
      <c r="A238" s="74">
        <v>40695</v>
      </c>
      <c r="B238" s="75">
        <f>VLOOKUP(A238,Database!A:M,MATCH($A$1,Database!$A$1:$M$1,),)</f>
        <v>150694</v>
      </c>
      <c r="C238" s="113">
        <f>(Table535141516[[#This Row],[Durable Goods]]-B237)/B237</f>
        <v>-4.1112277687633231E-2</v>
      </c>
    </row>
    <row r="239" spans="1:3">
      <c r="A239" s="74">
        <v>40725</v>
      </c>
      <c r="B239" s="75">
        <f>VLOOKUP(A239,Database!A:M,MATCH($A$1,Database!$A$1:$M$1,),)</f>
        <v>153291</v>
      </c>
      <c r="C239" s="113">
        <f>(Table535141516[[#This Row],[Durable Goods]]-B238)/B238</f>
        <v>1.7233599214301829E-2</v>
      </c>
    </row>
    <row r="240" spans="1:3">
      <c r="A240" s="74">
        <v>40756</v>
      </c>
      <c r="B240" s="75">
        <f>VLOOKUP(A240,Database!A:M,MATCH($A$1,Database!$A$1:$M$1,),)</f>
        <v>164357</v>
      </c>
      <c r="C240" s="113">
        <f>(Table535141516[[#This Row],[Durable Goods]]-B239)/B239</f>
        <v>7.2189495795578346E-2</v>
      </c>
    </row>
    <row r="241" spans="1:3">
      <c r="A241" s="74">
        <v>40787</v>
      </c>
      <c r="B241" s="75">
        <f>VLOOKUP(A241,Database!A:M,MATCH($A$1,Database!$A$1:$M$1,),)</f>
        <v>153647</v>
      </c>
      <c r="C241" s="113">
        <f>(Table535141516[[#This Row],[Durable Goods]]-B240)/B240</f>
        <v>-6.5163029259477839E-2</v>
      </c>
    </row>
    <row r="242" spans="1:3">
      <c r="A242" s="74">
        <v>40817</v>
      </c>
      <c r="B242" s="75">
        <f>VLOOKUP(A242,Database!A:M,MATCH($A$1,Database!$A$1:$M$1,),)</f>
        <v>157127</v>
      </c>
      <c r="C242" s="113">
        <f>(Table535141516[[#This Row],[Durable Goods]]-B241)/B241</f>
        <v>2.2649319544149903E-2</v>
      </c>
    </row>
    <row r="243" spans="1:3">
      <c r="A243" s="74">
        <v>40848</v>
      </c>
      <c r="B243" s="75">
        <f>VLOOKUP(A243,Database!A:M,MATCH($A$1,Database!$A$1:$M$1,),)</f>
        <v>162380</v>
      </c>
      <c r="C243" s="113">
        <f>(Table535141516[[#This Row],[Durable Goods]]-B242)/B242</f>
        <v>3.3431555366041484E-2</v>
      </c>
    </row>
    <row r="244" spans="1:3">
      <c r="A244" s="74">
        <v>40878</v>
      </c>
      <c r="B244" s="75">
        <f>VLOOKUP(A244,Database!A:M,MATCH($A$1,Database!$A$1:$M$1,),)</f>
        <v>170486</v>
      </c>
      <c r="C244" s="113">
        <f>(Table535141516[[#This Row],[Durable Goods]]-B243)/B243</f>
        <v>4.9919940879418645E-2</v>
      </c>
    </row>
    <row r="245" spans="1:3">
      <c r="A245" s="74">
        <v>40909</v>
      </c>
      <c r="B245" s="75">
        <f>VLOOKUP(A245,Database!A:M,MATCH($A$1,Database!$A$1:$M$1,),)</f>
        <v>170545</v>
      </c>
      <c r="C245" s="113">
        <f>(Table535141516[[#This Row],[Durable Goods]]-B244)/B244</f>
        <v>3.4606947198010394E-4</v>
      </c>
    </row>
    <row r="246" spans="1:3">
      <c r="A246" s="74">
        <v>40940</v>
      </c>
      <c r="B246" s="75">
        <f>VLOOKUP(A246,Database!A:M,MATCH($A$1,Database!$A$1:$M$1,),)</f>
        <v>172690</v>
      </c>
      <c r="C246" s="113">
        <f>(Table535141516[[#This Row],[Durable Goods]]-B245)/B245</f>
        <v>1.2577325632531004E-2</v>
      </c>
    </row>
    <row r="247" spans="1:3">
      <c r="A247" s="74">
        <v>40969</v>
      </c>
      <c r="B247" s="75">
        <f>VLOOKUP(A247,Database!A:M,MATCH($A$1,Database!$A$1:$M$1,),)</f>
        <v>164744</v>
      </c>
      <c r="C247" s="113">
        <f>(Table535141516[[#This Row],[Durable Goods]]-B246)/B246</f>
        <v>-4.6013087034570618E-2</v>
      </c>
    </row>
    <row r="248" spans="1:3">
      <c r="A248" s="74">
        <v>41000</v>
      </c>
      <c r="B248" s="75">
        <f>VLOOKUP(A248,Database!A:M,MATCH($A$1,Database!$A$1:$M$1,),)</f>
        <v>161383</v>
      </c>
      <c r="C248" s="113">
        <f>(Table535141516[[#This Row],[Durable Goods]]-B247)/B247</f>
        <v>-2.0401349973291894E-2</v>
      </c>
    </row>
    <row r="249" spans="1:3">
      <c r="A249" s="74">
        <v>41030</v>
      </c>
      <c r="B249" s="75">
        <f>VLOOKUP(A249,Database!A:M,MATCH($A$1,Database!$A$1:$M$1,),)</f>
        <v>162004</v>
      </c>
      <c r="C249" s="113">
        <f>(Table535141516[[#This Row],[Durable Goods]]-B248)/B248</f>
        <v>3.847988945551886E-3</v>
      </c>
    </row>
    <row r="250" spans="1:3">
      <c r="A250" s="74">
        <v>41061</v>
      </c>
      <c r="B250" s="75">
        <f>VLOOKUP(A250,Database!A:M,MATCH($A$1,Database!$A$1:$M$1,),)</f>
        <v>162286</v>
      </c>
      <c r="C250" s="113">
        <f>(Table535141516[[#This Row],[Durable Goods]]-B249)/B249</f>
        <v>1.7406977605491222E-3</v>
      </c>
    </row>
    <row r="251" spans="1:3">
      <c r="A251" s="74">
        <v>41091</v>
      </c>
      <c r="B251" s="75">
        <f>VLOOKUP(A251,Database!A:M,MATCH($A$1,Database!$A$1:$M$1,),)</f>
        <v>168204</v>
      </c>
      <c r="C251" s="113">
        <f>(Table535141516[[#This Row],[Durable Goods]]-B250)/B250</f>
        <v>3.6466485094216385E-2</v>
      </c>
    </row>
    <row r="252" spans="1:3">
      <c r="A252" s="74">
        <v>41122</v>
      </c>
      <c r="B252" s="75">
        <f>VLOOKUP(A252,Database!A:M,MATCH($A$1,Database!$A$1:$M$1,),)</f>
        <v>144973</v>
      </c>
      <c r="C252" s="113">
        <f>(Table535141516[[#This Row],[Durable Goods]]-B251)/B251</f>
        <v>-0.13811205441012103</v>
      </c>
    </row>
    <row r="253" spans="1:3">
      <c r="A253" s="74">
        <v>41153</v>
      </c>
      <c r="B253" s="75">
        <f>VLOOKUP(A253,Database!A:M,MATCH($A$1,Database!$A$1:$M$1,),)</f>
        <v>161598</v>
      </c>
      <c r="C253" s="113">
        <f>(Table535141516[[#This Row],[Durable Goods]]-B252)/B252</f>
        <v>0.11467652597380201</v>
      </c>
    </row>
    <row r="254" spans="1:3">
      <c r="A254" s="74">
        <v>41183</v>
      </c>
      <c r="B254" s="75">
        <f>VLOOKUP(A254,Database!A:M,MATCH($A$1,Database!$A$1:$M$1,),)</f>
        <v>163841</v>
      </c>
      <c r="C254" s="113">
        <f>(Table535141516[[#This Row],[Durable Goods]]-B253)/B253</f>
        <v>1.3880122278741074E-2</v>
      </c>
    </row>
    <row r="255" spans="1:3">
      <c r="A255" s="74">
        <v>41214</v>
      </c>
      <c r="B255" s="75">
        <f>VLOOKUP(A255,Database!A:M,MATCH($A$1,Database!$A$1:$M$1,),)</f>
        <v>157882</v>
      </c>
      <c r="C255" s="113">
        <f>(Table535141516[[#This Row],[Durable Goods]]-B254)/B254</f>
        <v>-3.6370627620681023E-2</v>
      </c>
    </row>
    <row r="256" spans="1:3">
      <c r="A256" s="74">
        <v>41244</v>
      </c>
      <c r="B256" s="75">
        <f>VLOOKUP(A256,Database!A:M,MATCH($A$1,Database!$A$1:$M$1,),)</f>
        <v>173564</v>
      </c>
      <c r="C256" s="113">
        <f>(Table535141516[[#This Row],[Durable Goods]]-B255)/B255</f>
        <v>9.9327345739222958E-2</v>
      </c>
    </row>
    <row r="257" spans="1:3">
      <c r="A257" s="74">
        <v>41275</v>
      </c>
      <c r="B257" s="75">
        <f>VLOOKUP(A257,Database!A:M,MATCH($A$1,Database!$A$1:$M$1,),)</f>
        <v>164003</v>
      </c>
      <c r="C257" s="113">
        <f>(Table535141516[[#This Row],[Durable Goods]]-B256)/B256</f>
        <v>-5.5086308220598741E-2</v>
      </c>
    </row>
    <row r="258" spans="1:3">
      <c r="A258" s="74">
        <v>41306</v>
      </c>
      <c r="B258" s="75">
        <f>VLOOKUP(A258,Database!A:M,MATCH($A$1,Database!$A$1:$M$1,),)</f>
        <v>175371</v>
      </c>
      <c r="C258" s="113">
        <f>(Table535141516[[#This Row],[Durable Goods]]-B257)/B257</f>
        <v>6.9315805198685396E-2</v>
      </c>
    </row>
    <row r="259" spans="1:3">
      <c r="A259" s="74">
        <v>41334</v>
      </c>
      <c r="B259" s="75">
        <f>VLOOKUP(A259,Database!A:M,MATCH($A$1,Database!$A$1:$M$1,),)</f>
        <v>155905</v>
      </c>
      <c r="C259" s="113">
        <f>(Table535141516[[#This Row],[Durable Goods]]-B258)/B258</f>
        <v>-0.11099896790233277</v>
      </c>
    </row>
    <row r="260" spans="1:3">
      <c r="A260" s="74">
        <v>41365</v>
      </c>
      <c r="B260" s="75">
        <f>VLOOKUP(A260,Database!A:M,MATCH($A$1,Database!$A$1:$M$1,),)</f>
        <v>166628</v>
      </c>
      <c r="C260" s="113">
        <f>(Table535141516[[#This Row],[Durable Goods]]-B259)/B259</f>
        <v>6.8779064173695517E-2</v>
      </c>
    </row>
    <row r="261" spans="1:3">
      <c r="A261" s="74">
        <v>41395</v>
      </c>
      <c r="B261" s="75">
        <f>VLOOKUP(A261,Database!A:M,MATCH($A$1,Database!$A$1:$M$1,),)</f>
        <v>175118</v>
      </c>
      <c r="C261" s="113">
        <f>(Table535141516[[#This Row],[Durable Goods]]-B260)/B260</f>
        <v>5.0951820822430806E-2</v>
      </c>
    </row>
    <row r="262" spans="1:3">
      <c r="A262" s="74">
        <v>41426</v>
      </c>
      <c r="B262" s="75">
        <f>VLOOKUP(A262,Database!A:M,MATCH($A$1,Database!$A$1:$M$1,),)</f>
        <v>187849</v>
      </c>
      <c r="C262" s="113">
        <f>(Table535141516[[#This Row],[Durable Goods]]-B261)/B261</f>
        <v>7.2699551159789405E-2</v>
      </c>
    </row>
    <row r="263" spans="1:3">
      <c r="A263" s="74">
        <v>41456</v>
      </c>
      <c r="B263" s="75">
        <f>VLOOKUP(A263,Database!A:M,MATCH($A$1,Database!$A$1:$M$1,),)</f>
        <v>164784</v>
      </c>
      <c r="C263" s="113">
        <f>(Table535141516[[#This Row],[Durable Goods]]-B262)/B262</f>
        <v>-0.12278478991104558</v>
      </c>
    </row>
    <row r="264" spans="1:3">
      <c r="A264" s="74">
        <v>41487</v>
      </c>
      <c r="B264" s="75">
        <f>VLOOKUP(A264,Database!A:M,MATCH($A$1,Database!$A$1:$M$1,),)</f>
        <v>164894</v>
      </c>
      <c r="C264" s="113">
        <f>(Table535141516[[#This Row],[Durable Goods]]-B263)/B263</f>
        <v>6.6754053791630253E-4</v>
      </c>
    </row>
    <row r="265" spans="1:3">
      <c r="A265" s="74">
        <v>41518</v>
      </c>
      <c r="B265" s="75">
        <f>VLOOKUP(A265,Database!A:M,MATCH($A$1,Database!$A$1:$M$1,),)</f>
        <v>178351</v>
      </c>
      <c r="C265" s="113">
        <f>(Table535141516[[#This Row],[Durable Goods]]-B264)/B264</f>
        <v>8.1610004002571346E-2</v>
      </c>
    </row>
    <row r="266" spans="1:3">
      <c r="A266" s="74">
        <v>41548</v>
      </c>
      <c r="B266" s="75">
        <f>VLOOKUP(A266,Database!A:M,MATCH($A$1,Database!$A$1:$M$1,),)</f>
        <v>171007</v>
      </c>
      <c r="C266" s="113">
        <f>(Table535141516[[#This Row],[Durable Goods]]-B265)/B265</f>
        <v>-4.1177229171689533E-2</v>
      </c>
    </row>
    <row r="267" spans="1:3">
      <c r="A267" s="74">
        <v>41579</v>
      </c>
      <c r="B267" s="75">
        <f>VLOOKUP(A267,Database!A:M,MATCH($A$1,Database!$A$1:$M$1,),)</f>
        <v>176395</v>
      </c>
      <c r="C267" s="113">
        <f>(Table535141516[[#This Row],[Durable Goods]]-B266)/B266</f>
        <v>3.1507482149853515E-2</v>
      </c>
    </row>
    <row r="268" spans="1:3">
      <c r="A268" s="74">
        <v>41609</v>
      </c>
      <c r="B268" s="75">
        <f>VLOOKUP(A268,Database!A:M,MATCH($A$1,Database!$A$1:$M$1,),)</f>
        <v>176574</v>
      </c>
      <c r="C268" s="113">
        <f>(Table535141516[[#This Row],[Durable Goods]]-B267)/B267</f>
        <v>1.0147679922900309E-3</v>
      </c>
    </row>
    <row r="269" spans="1:3">
      <c r="A269" s="74">
        <v>41640</v>
      </c>
      <c r="B269" s="75">
        <f>VLOOKUP(A269,Database!A:M,MATCH($A$1,Database!$A$1:$M$1,),)</f>
        <v>163285</v>
      </c>
      <c r="C269" s="113">
        <f>(Table535141516[[#This Row],[Durable Goods]]-B268)/B268</f>
        <v>-7.5260230838062228E-2</v>
      </c>
    </row>
    <row r="270" spans="1:3">
      <c r="A270" s="74">
        <v>41671</v>
      </c>
      <c r="B270" s="75">
        <f>VLOOKUP(A270,Database!A:M,MATCH($A$1,Database!$A$1:$M$1,),)</f>
        <v>171097</v>
      </c>
      <c r="C270" s="113">
        <f>(Table535141516[[#This Row],[Durable Goods]]-B269)/B269</f>
        <v>4.7842728970817892E-2</v>
      </c>
    </row>
    <row r="271" spans="1:3">
      <c r="A271" s="74">
        <v>41699</v>
      </c>
      <c r="B271" s="75">
        <f>VLOOKUP(A271,Database!A:M,MATCH($A$1,Database!$A$1:$M$1,),)</f>
        <v>170947</v>
      </c>
      <c r="C271" s="113">
        <f>(Table535141516[[#This Row],[Durable Goods]]-B270)/B270</f>
        <v>-8.7669567555246437E-4</v>
      </c>
    </row>
    <row r="272" spans="1:3">
      <c r="A272" s="74">
        <v>41730</v>
      </c>
      <c r="B272" s="75">
        <f>VLOOKUP(A272,Database!A:M,MATCH($A$1,Database!$A$1:$M$1,),)</f>
        <v>175956</v>
      </c>
      <c r="C272" s="113">
        <f>(Table535141516[[#This Row],[Durable Goods]]-B271)/B271</f>
        <v>2.9301479405897734E-2</v>
      </c>
    </row>
    <row r="273" spans="1:3">
      <c r="A273" s="74">
        <v>41760</v>
      </c>
      <c r="B273" s="75">
        <f>VLOOKUP(A273,Database!A:M,MATCH($A$1,Database!$A$1:$M$1,),)</f>
        <v>169649</v>
      </c>
      <c r="C273" s="113">
        <f>(Table535141516[[#This Row],[Durable Goods]]-B272)/B272</f>
        <v>-3.5844188319807221E-2</v>
      </c>
    </row>
    <row r="274" spans="1:3">
      <c r="A274" s="74">
        <v>41791</v>
      </c>
      <c r="B274" s="75">
        <f>VLOOKUP(A274,Database!A:M,MATCH($A$1,Database!$A$1:$M$1,),)</f>
        <v>177769</v>
      </c>
      <c r="C274" s="113">
        <f>(Table535141516[[#This Row],[Durable Goods]]-B273)/B273</f>
        <v>4.7863529994282311E-2</v>
      </c>
    </row>
    <row r="275" spans="1:3">
      <c r="A275" s="74">
        <v>41821</v>
      </c>
      <c r="B275" s="75">
        <f>VLOOKUP(A275,Database!A:M,MATCH($A$1,Database!$A$1:$M$1,),)</f>
        <v>238245</v>
      </c>
      <c r="C275" s="113">
        <f>(Table535141516[[#This Row],[Durable Goods]]-B274)/B274</f>
        <v>0.34019429709341897</v>
      </c>
    </row>
    <row r="276" spans="1:3">
      <c r="A276" s="74">
        <v>41852</v>
      </c>
      <c r="B276" s="75">
        <f>VLOOKUP(A276,Database!A:M,MATCH($A$1,Database!$A$1:$M$1,),)</f>
        <v>172226</v>
      </c>
      <c r="C276" s="113">
        <f>(Table535141516[[#This Row],[Durable Goods]]-B275)/B275</f>
        <v>-0.27710550064009737</v>
      </c>
    </row>
    <row r="277" spans="1:3">
      <c r="A277" s="74">
        <v>41883</v>
      </c>
      <c r="B277" s="75">
        <f>VLOOKUP(A277,Database!A:M,MATCH($A$1,Database!$A$1:$M$1,),)</f>
        <v>172718</v>
      </c>
      <c r="C277" s="113">
        <f>(Table535141516[[#This Row],[Durable Goods]]-B276)/B276</f>
        <v>2.8567115301986923E-3</v>
      </c>
    </row>
    <row r="278" spans="1:3">
      <c r="A278" s="74">
        <v>41913</v>
      </c>
      <c r="B278" s="75">
        <f>VLOOKUP(A278,Database!A:M,MATCH($A$1,Database!$A$1:$M$1,),)</f>
        <v>167104</v>
      </c>
      <c r="C278" s="113">
        <f>(Table535141516[[#This Row],[Durable Goods]]-B277)/B277</f>
        <v>-3.2503850206695308E-2</v>
      </c>
    </row>
    <row r="279" spans="1:3">
      <c r="A279" s="74">
        <v>41944</v>
      </c>
      <c r="B279" s="75">
        <f>VLOOKUP(A279,Database!A:M,MATCH($A$1,Database!$A$1:$M$1,),)</f>
        <v>162866</v>
      </c>
      <c r="C279" s="113">
        <f>(Table535141516[[#This Row],[Durable Goods]]-B278)/B278</f>
        <v>-2.5361451551129836E-2</v>
      </c>
    </row>
    <row r="280" spans="1:3">
      <c r="A280" s="74">
        <v>41974</v>
      </c>
      <c r="B280" s="75">
        <f>VLOOKUP(A280,Database!A:M,MATCH($A$1,Database!$A$1:$M$1,),)</f>
        <v>160616</v>
      </c>
      <c r="C280" s="113">
        <f>(Table535141516[[#This Row],[Durable Goods]]-B279)/B279</f>
        <v>-1.3815038129505238E-2</v>
      </c>
    </row>
    <row r="281" spans="1:3">
      <c r="A281" s="74">
        <v>42005</v>
      </c>
      <c r="B281" s="75">
        <f>VLOOKUP(A281,Database!A:M,MATCH($A$1,Database!$A$1:$M$1,),)</f>
        <v>161061</v>
      </c>
      <c r="C281" s="113">
        <f>(Table535141516[[#This Row],[Durable Goods]]-B280)/B280</f>
        <v>2.7705832544702895E-3</v>
      </c>
    </row>
    <row r="282" spans="1:3">
      <c r="A282" s="74">
        <v>42036</v>
      </c>
      <c r="B282" s="75">
        <f>VLOOKUP(A282,Database!A:M,MATCH($A$1,Database!$A$1:$M$1,),)</f>
        <v>155869</v>
      </c>
      <c r="C282" s="113">
        <f>(Table535141516[[#This Row],[Durable Goods]]-B281)/B281</f>
        <v>-3.2236233476757255E-2</v>
      </c>
    </row>
    <row r="283" spans="1:3">
      <c r="A283" s="74">
        <v>42064</v>
      </c>
      <c r="B283" s="75">
        <f>VLOOKUP(A283,Database!A:M,MATCH($A$1,Database!$A$1:$M$1,),)</f>
        <v>161664</v>
      </c>
      <c r="C283" s="113">
        <f>(Table535141516[[#This Row],[Durable Goods]]-B282)/B282</f>
        <v>3.7178656435853184E-2</v>
      </c>
    </row>
    <row r="284" spans="1:3">
      <c r="A284" s="74">
        <v>42095</v>
      </c>
      <c r="B284" s="75">
        <f>VLOOKUP(A284,Database!A:M,MATCH($A$1,Database!$A$1:$M$1,),)</f>
        <v>159682</v>
      </c>
      <c r="C284" s="113">
        <f>(Table535141516[[#This Row],[Durable Goods]]-B283)/B283</f>
        <v>-1.2259996041171813E-2</v>
      </c>
    </row>
    <row r="285" spans="1:3">
      <c r="A285" s="74">
        <v>42125</v>
      </c>
      <c r="B285" s="75">
        <f>VLOOKUP(A285,Database!A:M,MATCH($A$1,Database!$A$1:$M$1,),)</f>
        <v>152625</v>
      </c>
      <c r="C285" s="113">
        <f>(Table535141516[[#This Row],[Durable Goods]]-B284)/B284</f>
        <v>-4.4194085745419019E-2</v>
      </c>
    </row>
    <row r="286" spans="1:3">
      <c r="A286" s="74">
        <v>42156</v>
      </c>
      <c r="B286" s="75">
        <f>VLOOKUP(A286,Database!A:M,MATCH($A$1,Database!$A$1:$M$1,),)</f>
        <v>166657</v>
      </c>
      <c r="C286" s="113">
        <f>(Table535141516[[#This Row],[Durable Goods]]-B285)/B285</f>
        <v>9.1937755937755938E-2</v>
      </c>
    </row>
    <row r="287" spans="1:3">
      <c r="A287" s="74">
        <v>42186</v>
      </c>
      <c r="B287" s="75">
        <f>VLOOKUP(A287,Database!A:M,MATCH($A$1,Database!$A$1:$M$1,),)</f>
        <v>163038</v>
      </c>
      <c r="C287" s="113">
        <f>(Table535141516[[#This Row],[Durable Goods]]-B286)/B286</f>
        <v>-2.1715259485050133E-2</v>
      </c>
    </row>
    <row r="288" spans="1:3">
      <c r="A288" s="74">
        <v>42217</v>
      </c>
      <c r="B288" s="75">
        <f>VLOOKUP(A288,Database!A:M,MATCH($A$1,Database!$A$1:$M$1,),)</f>
        <v>156470</v>
      </c>
      <c r="C288" s="113">
        <f>(Table535141516[[#This Row],[Durable Goods]]-B287)/B287</f>
        <v>-4.0285086912253583E-2</v>
      </c>
    </row>
    <row r="289" spans="1:3">
      <c r="A289" s="74">
        <v>42248</v>
      </c>
      <c r="B289" s="75">
        <f>VLOOKUP(A289,Database!A:M,MATCH($A$1,Database!$A$1:$M$1,),)</f>
        <v>151752</v>
      </c>
      <c r="C289" s="113">
        <f>(Table535141516[[#This Row],[Durable Goods]]-B288)/B288</f>
        <v>-3.0152744935131336E-2</v>
      </c>
    </row>
    <row r="290" spans="1:3">
      <c r="A290" s="74">
        <v>42278</v>
      </c>
      <c r="B290" s="75">
        <f>VLOOKUP(A290,Database!A:M,MATCH($A$1,Database!$A$1:$M$1,),)</f>
        <v>160554</v>
      </c>
      <c r="C290" s="113">
        <f>(Table535141516[[#This Row],[Durable Goods]]-B289)/B289</f>
        <v>5.8002530444409298E-2</v>
      </c>
    </row>
    <row r="291" spans="1:3">
      <c r="A291" s="74">
        <v>42309</v>
      </c>
      <c r="B291" s="75">
        <f>VLOOKUP(A291,Database!A:M,MATCH($A$1,Database!$A$1:$M$1,),)</f>
        <v>156779</v>
      </c>
      <c r="C291" s="113">
        <f>(Table535141516[[#This Row],[Durable Goods]]-B290)/B290</f>
        <v>-2.3512338527847329E-2</v>
      </c>
    </row>
    <row r="292" spans="1:3">
      <c r="A292" s="74">
        <v>42339</v>
      </c>
      <c r="B292" s="75">
        <f>VLOOKUP(A292,Database!A:M,MATCH($A$1,Database!$A$1:$M$1,),)</f>
        <v>151640</v>
      </c>
      <c r="C292" s="113">
        <f>(Table535141516[[#This Row],[Durable Goods]]-B291)/B291</f>
        <v>-3.2778624688255445E-2</v>
      </c>
    </row>
    <row r="293" spans="1:3">
      <c r="A293" s="74">
        <v>42370</v>
      </c>
      <c r="B293" s="75">
        <f>VLOOKUP(A293,Database!A:M,MATCH($A$1,Database!$A$1:$M$1,),)</f>
        <v>160531</v>
      </c>
      <c r="C293" s="113">
        <f>(Table535141516[[#This Row],[Durable Goods]]-B292)/B292</f>
        <v>5.8632286995515696E-2</v>
      </c>
    </row>
    <row r="294" spans="1:3">
      <c r="A294" s="74">
        <v>42401</v>
      </c>
      <c r="B294" s="75">
        <f>VLOOKUP(A294,Database!A:M,MATCH($A$1,Database!$A$1:$M$1,),)</f>
        <v>150402</v>
      </c>
      <c r="C294" s="113">
        <f>(Table535141516[[#This Row],[Durable Goods]]-B293)/B293</f>
        <v>-6.3096847337897347E-2</v>
      </c>
    </row>
    <row r="295" spans="1:3">
      <c r="A295" s="74">
        <v>42430</v>
      </c>
      <c r="B295" s="75">
        <f>VLOOKUP(A295,Database!A:M,MATCH($A$1,Database!$A$1:$M$1,),)</f>
        <v>151329</v>
      </c>
      <c r="C295" s="113">
        <f>(Table535141516[[#This Row],[Durable Goods]]-B294)/B294</f>
        <v>6.1634818685921732E-3</v>
      </c>
    </row>
    <row r="296" spans="1:3">
      <c r="A296" s="74">
        <v>42461</v>
      </c>
      <c r="B296" s="75">
        <f>VLOOKUP(A296,Database!A:M,MATCH($A$1,Database!$A$1:$M$1,),)</f>
        <v>162910</v>
      </c>
      <c r="C296" s="113">
        <f>(Table535141516[[#This Row],[Durable Goods]]-B295)/B295</f>
        <v>7.6528623066299262E-2</v>
      </c>
    </row>
    <row r="297" spans="1:3">
      <c r="A297" s="74">
        <v>42491</v>
      </c>
      <c r="B297" s="75">
        <f>VLOOKUP(A297,Database!A:M,MATCH($A$1,Database!$A$1:$M$1,),)</f>
        <v>157751</v>
      </c>
      <c r="C297" s="113">
        <f>(Table535141516[[#This Row],[Durable Goods]]-B296)/B296</f>
        <v>-3.1667792032410533E-2</v>
      </c>
    </row>
    <row r="298" spans="1:3">
      <c r="A298" s="74">
        <v>42522</v>
      </c>
      <c r="B298" s="75">
        <f>VLOOKUP(A298,Database!A:M,MATCH($A$1,Database!$A$1:$M$1,),)</f>
        <v>144277</v>
      </c>
      <c r="C298" s="113">
        <f>(Table535141516[[#This Row],[Durable Goods]]-B297)/B297</f>
        <v>-8.5413087714182476E-2</v>
      </c>
    </row>
    <row r="299" spans="1:3">
      <c r="A299" s="74">
        <v>42552</v>
      </c>
      <c r="B299" s="75">
        <f>VLOOKUP(A299,Database!A:M,MATCH($A$1,Database!$A$1:$M$1,),)</f>
        <v>153759</v>
      </c>
      <c r="C299" s="113">
        <f>(Table535141516[[#This Row],[Durable Goods]]-B298)/B298</f>
        <v>6.5720800959265857E-2</v>
      </c>
    </row>
    <row r="300" spans="1:3">
      <c r="A300" s="74">
        <v>42583</v>
      </c>
      <c r="B300" s="75">
        <f>VLOOKUP(A300,Database!A:M,MATCH($A$1,Database!$A$1:$M$1,),)</f>
        <v>154680</v>
      </c>
      <c r="C300" s="113">
        <f>(Table535141516[[#This Row],[Durable Goods]]-B299)/B299</f>
        <v>5.9898932745400266E-3</v>
      </c>
    </row>
    <row r="301" spans="1:3">
      <c r="A301" s="74">
        <v>42614</v>
      </c>
      <c r="B301" s="75">
        <f>VLOOKUP(A301,Database!A:M,MATCH($A$1,Database!$A$1:$M$1,),)</f>
        <v>151551</v>
      </c>
      <c r="C301" s="113">
        <f>(Table535141516[[#This Row],[Durable Goods]]-B300)/B300</f>
        <v>-2.0228859581070596E-2</v>
      </c>
    </row>
    <row r="302" spans="1:3">
      <c r="A302" s="74">
        <v>42644</v>
      </c>
      <c r="B302" s="75">
        <f>VLOOKUP(A302,Database!A:M,MATCH($A$1,Database!$A$1:$M$1,),)</f>
        <v>170179</v>
      </c>
      <c r="C302" s="113">
        <f>(Table535141516[[#This Row],[Durable Goods]]-B301)/B301</f>
        <v>0.12291571814108782</v>
      </c>
    </row>
    <row r="303" spans="1:3">
      <c r="A303" s="74">
        <v>42675</v>
      </c>
      <c r="B303" s="75">
        <f>VLOOKUP(A303,Database!A:M,MATCH($A$1,Database!$A$1:$M$1,),)</f>
        <v>153082</v>
      </c>
      <c r="C303" s="113">
        <f>(Table535141516[[#This Row],[Durable Goods]]-B302)/B302</f>
        <v>-0.10046480470563349</v>
      </c>
    </row>
    <row r="304" spans="1:3">
      <c r="A304" s="74">
        <v>42705</v>
      </c>
      <c r="B304" s="75">
        <f>VLOOKUP(A304,Database!A:M,MATCH($A$1,Database!$A$1:$M$1,),)</f>
        <v>153879</v>
      </c>
      <c r="C304" s="113">
        <f>(Table535141516[[#This Row],[Durable Goods]]-B303)/B303</f>
        <v>5.2063599900706815E-3</v>
      </c>
    </row>
    <row r="305" spans="1:3">
      <c r="A305" s="74">
        <v>42736</v>
      </c>
      <c r="B305" s="75">
        <f>VLOOKUP(A305,Database!A:M,MATCH($A$1,Database!$A$1:$M$1,),)</f>
        <v>153356</v>
      </c>
      <c r="C305" s="113">
        <f>(Table535141516[[#This Row],[Durable Goods]]-B304)/B304</f>
        <v>-3.3987743616737827E-3</v>
      </c>
    </row>
    <row r="306" spans="1:3">
      <c r="A306" s="74">
        <v>42767</v>
      </c>
      <c r="B306" s="75">
        <f>VLOOKUP(A306,Database!A:M,MATCH($A$1,Database!$A$1:$M$1,),)</f>
        <v>157903</v>
      </c>
      <c r="C306" s="113">
        <f>(Table535141516[[#This Row],[Durable Goods]]-B305)/B305</f>
        <v>2.9649964787813975E-2</v>
      </c>
    </row>
    <row r="307" spans="1:3">
      <c r="A307" s="74">
        <v>42795</v>
      </c>
      <c r="B307" s="75">
        <f>VLOOKUP(A307,Database!A:M,MATCH($A$1,Database!$A$1:$M$1,),)</f>
        <v>158150</v>
      </c>
      <c r="C307" s="113">
        <f>(Table535141516[[#This Row],[Durable Goods]]-B306)/B306</f>
        <v>1.5642514708396928E-3</v>
      </c>
    </row>
    <row r="308" spans="1:3">
      <c r="A308" s="74">
        <v>42826</v>
      </c>
      <c r="B308" s="75">
        <f>VLOOKUP(A308,Database!A:M,MATCH($A$1,Database!$A$1:$M$1,),)</f>
        <v>159159</v>
      </c>
      <c r="C308" s="113">
        <f>(Table535141516[[#This Row],[Durable Goods]]-B307)/B307</f>
        <v>6.380018969332912E-3</v>
      </c>
    </row>
    <row r="309" spans="1:3">
      <c r="A309" s="74">
        <v>42856</v>
      </c>
      <c r="B309" s="75">
        <f>VLOOKUP(A309,Database!A:M,MATCH($A$1,Database!$A$1:$M$1,),)</f>
        <v>157793</v>
      </c>
      <c r="C309" s="113">
        <f>(Table535141516[[#This Row],[Durable Goods]]-B308)/B308</f>
        <v>-8.5826123561972625E-3</v>
      </c>
    </row>
    <row r="310" spans="1:3">
      <c r="A310" s="74">
        <v>42887</v>
      </c>
      <c r="B310" s="75">
        <f>VLOOKUP(A310,Database!A:M,MATCH($A$1,Database!$A$1:$M$1,),)</f>
        <v>174423</v>
      </c>
      <c r="C310" s="113">
        <f>(Table535141516[[#This Row],[Durable Goods]]-B309)/B309</f>
        <v>0.10539124042257896</v>
      </c>
    </row>
    <row r="311" spans="1:3">
      <c r="A311" s="74">
        <v>42917</v>
      </c>
      <c r="B311" s="75">
        <f>VLOOKUP(A311,Database!A:M,MATCH($A$1,Database!$A$1:$M$1,),)</f>
        <v>156286</v>
      </c>
      <c r="C311" s="113">
        <f>(Table535141516[[#This Row],[Durable Goods]]-B310)/B310</f>
        <v>-0.10398284629893993</v>
      </c>
    </row>
    <row r="312" spans="1:3">
      <c r="A312" s="74">
        <v>42948</v>
      </c>
      <c r="B312" s="75">
        <f>VLOOKUP(A312,Database!A:M,MATCH($A$1,Database!$A$1:$M$1,),)</f>
        <v>159269</v>
      </c>
      <c r="C312" s="113">
        <f>(Table535141516[[#This Row],[Durable Goods]]-B311)/B311</f>
        <v>1.9086802400726872E-2</v>
      </c>
    </row>
    <row r="313" spans="1:3">
      <c r="A313" s="74">
        <v>42979</v>
      </c>
      <c r="B313" s="75">
        <f>VLOOKUP(A313,Database!A:M,MATCH($A$1,Database!$A$1:$M$1,),)</f>
        <v>164280</v>
      </c>
      <c r="C313" s="113">
        <f>(Table535141516[[#This Row],[Durable Goods]]-B312)/B312</f>
        <v>3.1462494270699255E-2</v>
      </c>
    </row>
    <row r="314" spans="1:3">
      <c r="A314" s="74">
        <v>43009</v>
      </c>
      <c r="B314" s="75">
        <f>VLOOKUP(A314,Database!A:M,MATCH($A$1,Database!$A$1:$M$1,),)</f>
        <v>164181</v>
      </c>
      <c r="C314" s="113">
        <f>(Table535141516[[#This Row],[Durable Goods]]-B313)/B313</f>
        <v>-6.026296566837107E-4</v>
      </c>
    </row>
    <row r="315" spans="1:3">
      <c r="A315" s="74">
        <v>43040</v>
      </c>
      <c r="B315" s="75">
        <f>VLOOKUP(A315,Database!A:M,MATCH($A$1,Database!$A$1:$M$1,),)</f>
        <v>163221</v>
      </c>
      <c r="C315" s="113">
        <f>(Table535141516[[#This Row],[Durable Goods]]-B314)/B314</f>
        <v>-5.8472052186306573E-3</v>
      </c>
    </row>
    <row r="316" spans="1:3">
      <c r="A316" s="74">
        <v>43070</v>
      </c>
      <c r="B316" s="75">
        <f>VLOOKUP(A316,Database!A:M,MATCH($A$1,Database!$A$1:$M$1,),)</f>
        <v>174213</v>
      </c>
      <c r="C316" s="113">
        <f>(Table535141516[[#This Row],[Durable Goods]]-B315)/B315</f>
        <v>6.7344275552778138E-2</v>
      </c>
    </row>
    <row r="317" spans="1:3">
      <c r="A317" s="74">
        <v>43101</v>
      </c>
      <c r="B317" s="75">
        <f>VLOOKUP(A317,Database!A:M,MATCH($A$1,Database!$A$1:$M$1,),)</f>
        <v>159357</v>
      </c>
      <c r="C317" s="113">
        <f>(Table535141516[[#This Row],[Durable Goods]]-B316)/B316</f>
        <v>-8.5274922078145715E-2</v>
      </c>
    </row>
    <row r="318" spans="1:3">
      <c r="A318" s="74">
        <v>43132</v>
      </c>
      <c r="B318" s="75">
        <f>VLOOKUP(A318,Database!A:M,MATCH($A$1,Database!$A$1:$M$1,),)</f>
        <v>166790</v>
      </c>
      <c r="C318" s="113">
        <f>(Table535141516[[#This Row],[Durable Goods]]-B317)/B317</f>
        <v>4.6643699366830452E-2</v>
      </c>
    </row>
    <row r="319" spans="1:3">
      <c r="A319" s="74">
        <v>43160</v>
      </c>
      <c r="B319" s="75">
        <f>VLOOKUP(A319,Database!A:M,MATCH($A$1,Database!$A$1:$M$1,),)</f>
        <v>175504</v>
      </c>
      <c r="C319" s="113">
        <f>(Table535141516[[#This Row],[Durable Goods]]-B318)/B318</f>
        <v>5.2245338449547332E-2</v>
      </c>
    </row>
    <row r="320" spans="1:3">
      <c r="A320" s="74">
        <v>43191</v>
      </c>
      <c r="B320" s="75">
        <f>VLOOKUP(A320,Database!A:M,MATCH($A$1,Database!$A$1:$M$1,),)</f>
        <v>170410</v>
      </c>
      <c r="C320" s="113">
        <f>(Table535141516[[#This Row],[Durable Goods]]-B319)/B319</f>
        <v>-2.9024979487647005E-2</v>
      </c>
    </row>
    <row r="321" spans="1:3">
      <c r="A321" s="74">
        <v>43221</v>
      </c>
      <c r="B321" s="75">
        <f>VLOOKUP(A321,Database!A:M,MATCH($A$1,Database!$A$1:$M$1,),)</f>
        <v>174641</v>
      </c>
      <c r="C321" s="113">
        <f>(Table535141516[[#This Row],[Durable Goods]]-B320)/B320</f>
        <v>2.4828355143477497E-2</v>
      </c>
    </row>
    <row r="322" spans="1:3">
      <c r="A322" s="74">
        <v>43252</v>
      </c>
      <c r="B322" s="75">
        <f>VLOOKUP(A322,Database!A:M,MATCH($A$1,Database!$A$1:$M$1,),)</f>
        <v>175588</v>
      </c>
      <c r="C322" s="113">
        <f>(Table535141516[[#This Row],[Durable Goods]]-B321)/B321</f>
        <v>5.4225525506610703E-3</v>
      </c>
    </row>
    <row r="323" spans="1:3">
      <c r="A323" s="74">
        <v>43282</v>
      </c>
      <c r="B323" s="75">
        <f>VLOOKUP(A323,Database!A:M,MATCH($A$1,Database!$A$1:$M$1,),)</f>
        <v>165654</v>
      </c>
      <c r="C323" s="113">
        <f>(Table535141516[[#This Row],[Durable Goods]]-B322)/B322</f>
        <v>-5.6575620201836117E-2</v>
      </c>
    </row>
    <row r="324" spans="1:3">
      <c r="A324" s="74">
        <v>43313</v>
      </c>
      <c r="B324" s="75">
        <f>VLOOKUP(A324,Database!A:M,MATCH($A$1,Database!$A$1:$M$1,),)</f>
        <v>175671</v>
      </c>
      <c r="C324" s="113">
        <f>(Table535141516[[#This Row],[Durable Goods]]-B323)/B323</f>
        <v>6.046941214821254E-2</v>
      </c>
    </row>
    <row r="325" spans="1:3">
      <c r="A325" s="74">
        <v>43344</v>
      </c>
      <c r="B325" s="75">
        <f>VLOOKUP(A325,Database!A:M,MATCH($A$1,Database!$A$1:$M$1,),)</f>
        <v>176060</v>
      </c>
      <c r="C325" s="113">
        <f>(Table535141516[[#This Row],[Durable Goods]]-B324)/B324</f>
        <v>2.2143666285271901E-3</v>
      </c>
    </row>
    <row r="326" spans="1:3">
      <c r="A326" s="74">
        <v>43374</v>
      </c>
      <c r="B326" s="75">
        <f>VLOOKUP(A326,Database!A:M,MATCH($A$1,Database!$A$1:$M$1,),)</f>
        <v>170432</v>
      </c>
      <c r="C326" s="113">
        <f>(Table535141516[[#This Row],[Durable Goods]]-B325)/B325</f>
        <v>-3.1966375099397933E-2</v>
      </c>
    </row>
    <row r="327" spans="1:3">
      <c r="A327" s="74">
        <v>43405</v>
      </c>
      <c r="B327" s="75">
        <f>VLOOKUP(A327,Database!A:M,MATCH($A$1,Database!$A$1:$M$1,),)</f>
        <v>163293</v>
      </c>
      <c r="C327" s="113">
        <f>(Table535141516[[#This Row],[Durable Goods]]-B326)/B326</f>
        <v>-4.1887673676304922E-2</v>
      </c>
    </row>
    <row r="328" spans="1:3">
      <c r="A328" s="74">
        <v>43435</v>
      </c>
      <c r="B328" s="75">
        <f>VLOOKUP(A328,Database!A:M,MATCH($A$1,Database!$A$1:$M$1,),)</f>
        <v>169731</v>
      </c>
      <c r="C328" s="113">
        <f>(Table535141516[[#This Row],[Durable Goods]]-B327)/B327</f>
        <v>3.9426062354173175E-2</v>
      </c>
    </row>
    <row r="329" spans="1:3">
      <c r="A329" s="74">
        <v>43466</v>
      </c>
      <c r="B329" s="75">
        <f>VLOOKUP(A329,Database!A:M,MATCH($A$1,Database!$A$1:$M$1,),)</f>
        <v>160516</v>
      </c>
      <c r="C329" s="113">
        <f>(Table535141516[[#This Row],[Durable Goods]]-B328)/B328</f>
        <v>-5.4291791128314802E-2</v>
      </c>
    </row>
    <row r="330" spans="1:3">
      <c r="A330" s="74">
        <v>43497</v>
      </c>
      <c r="B330" s="75">
        <f>VLOOKUP(A330,Database!A:M,MATCH($A$1,Database!$A$1:$M$1,),)</f>
        <v>154698</v>
      </c>
      <c r="C330" s="113">
        <f>(Table535141516[[#This Row],[Durable Goods]]-B329)/B329</f>
        <v>-3.6245607914475814E-2</v>
      </c>
    </row>
    <row r="331" spans="1:3">
      <c r="A331" s="74">
        <v>43525</v>
      </c>
      <c r="B331" s="75">
        <f>VLOOKUP(A331,Database!A:M,MATCH($A$1,Database!$A$1:$M$1,),)</f>
        <v>164517</v>
      </c>
      <c r="C331" s="113">
        <f>(Table535141516[[#This Row],[Durable Goods]]-B330)/B330</f>
        <v>6.3472055230190436E-2</v>
      </c>
    </row>
    <row r="332" spans="1:3">
      <c r="A332" s="74">
        <v>43556</v>
      </c>
      <c r="B332" s="75">
        <f>VLOOKUP(A332,Database!A:M,MATCH($A$1,Database!$A$1:$M$1,),)</f>
        <v>157216</v>
      </c>
      <c r="C332" s="113">
        <f>(Table535141516[[#This Row],[Durable Goods]]-B331)/B331</f>
        <v>-4.4378392506549479E-2</v>
      </c>
    </row>
    <row r="333" spans="1:3">
      <c r="A333" s="74">
        <v>43586</v>
      </c>
      <c r="B333" s="75">
        <f>VLOOKUP(A333,Database!A:M,MATCH($A$1,Database!$A$1:$M$1,),)</f>
        <v>149783</v>
      </c>
      <c r="C333" s="113">
        <f>(Table535141516[[#This Row],[Durable Goods]]-B332)/B332</f>
        <v>-4.7278902910645224E-2</v>
      </c>
    </row>
    <row r="334" spans="1:3">
      <c r="A334" s="74">
        <v>43617</v>
      </c>
      <c r="B334" s="75">
        <f>VLOOKUP(A334,Database!A:M,MATCH($A$1,Database!$A$1:$M$1,),)</f>
        <v>150374</v>
      </c>
      <c r="C334" s="113">
        <f>(Table535141516[[#This Row],[Durable Goods]]-B333)/B333</f>
        <v>3.9457081244199943E-3</v>
      </c>
    </row>
    <row r="335" spans="1:3">
      <c r="A335" s="74">
        <v>43647</v>
      </c>
      <c r="B335" s="75">
        <f>VLOOKUP(A335,Database!A:M,MATCH($A$1,Database!$A$1:$M$1,),)</f>
        <v>157455</v>
      </c>
      <c r="C335" s="113">
        <f>(Table535141516[[#This Row],[Durable Goods]]-B334)/B334</f>
        <v>4.7089257451421125E-2</v>
      </c>
    </row>
    <row r="336" spans="1:3">
      <c r="A336" s="74">
        <v>43678</v>
      </c>
      <c r="B336" s="75">
        <f>VLOOKUP(A336,Database!A:M,MATCH($A$1,Database!$A$1:$M$1,),)</f>
        <v>156670</v>
      </c>
      <c r="C336" s="113">
        <f>(Table535141516[[#This Row],[Durable Goods]]-B335)/B335</f>
        <v>-4.9855514273919529E-3</v>
      </c>
    </row>
    <row r="337" spans="1:3">
      <c r="A337" s="74">
        <v>43709</v>
      </c>
      <c r="B337" s="75">
        <f>VLOOKUP(A337,Database!A:M,MATCH($A$1,Database!$A$1:$M$1,),)</f>
        <v>154428</v>
      </c>
      <c r="C337" s="113">
        <f>(Table535141516[[#This Row],[Durable Goods]]-B336)/B336</f>
        <v>-1.4310333822684623E-2</v>
      </c>
    </row>
    <row r="338" spans="1:3">
      <c r="A338" s="74">
        <v>43739</v>
      </c>
      <c r="B338" s="75">
        <f>VLOOKUP(A338,Database!A:M,MATCH($A$1,Database!$A$1:$M$1,),)</f>
        <v>156626</v>
      </c>
      <c r="C338" s="113">
        <f>(Table535141516[[#This Row],[Durable Goods]]-B337)/B337</f>
        <v>1.4233170150490844E-2</v>
      </c>
    </row>
    <row r="339" spans="1:3">
      <c r="A339" s="74">
        <v>43770</v>
      </c>
      <c r="B339" s="75">
        <f>VLOOKUP(A339,Database!A:M,MATCH($A$1,Database!$A$1:$M$1,),)</f>
        <v>147226</v>
      </c>
      <c r="C339" s="113">
        <f>(Table535141516[[#This Row],[Durable Goods]]-B338)/B338</f>
        <v>-6.001557851186904E-2</v>
      </c>
    </row>
    <row r="340" spans="1:3">
      <c r="A340" s="74">
        <v>43800</v>
      </c>
      <c r="B340" s="75">
        <f>VLOOKUP(A340,Database!A:M,MATCH($A$1,Database!$A$1:$M$1,),)</f>
        <v>150665</v>
      </c>
      <c r="C340" s="113">
        <f>(Table535141516[[#This Row],[Durable Goods]]-B339)/B339</f>
        <v>2.3358645891350713E-2</v>
      </c>
    </row>
    <row r="341" spans="1:3">
      <c r="A341" s="74">
        <v>43831</v>
      </c>
      <c r="B341" s="75">
        <f>VLOOKUP(A341,Database!A:M,MATCH($A$1,Database!$A$1:$M$1,),)</f>
        <v>161215</v>
      </c>
      <c r="C341" s="113">
        <f>(Table535141516[[#This Row],[Durable Goods]]-B340)/B340</f>
        <v>7.00228984833903E-2</v>
      </c>
    </row>
    <row r="342" spans="1:3">
      <c r="A342" s="74">
        <v>43862</v>
      </c>
      <c r="B342" s="75">
        <f>VLOOKUP(A342,Database!A:M,MATCH($A$1,Database!$A$1:$M$1,),)</f>
        <v>165264</v>
      </c>
      <c r="C342" s="113">
        <f>(Table535141516[[#This Row],[Durable Goods]]-B341)/B341</f>
        <v>2.5115528952020592E-2</v>
      </c>
    </row>
    <row r="343" spans="1:3">
      <c r="A343" s="74">
        <v>43891</v>
      </c>
      <c r="B343" s="75">
        <f>VLOOKUP(A343,Database!A:M,MATCH($A$1,Database!$A$1:$M$1,),)</f>
        <v>143089</v>
      </c>
      <c r="C343" s="113">
        <f>(Table535141516[[#This Row],[Durable Goods]]-B342)/B342</f>
        <v>-0.13417925258979571</v>
      </c>
    </row>
    <row r="344" spans="1:3">
      <c r="A344" s="74">
        <v>43922</v>
      </c>
      <c r="B344" s="75">
        <f>VLOOKUP(A344,Database!A:M,MATCH($A$1,Database!$A$1:$M$1,),)</f>
        <v>120811</v>
      </c>
      <c r="C344" s="113">
        <f>(Table535141516[[#This Row],[Durable Goods]]-B343)/B343</f>
        <v>-0.15569330975826234</v>
      </c>
    </row>
    <row r="345" spans="1:3">
      <c r="A345" s="74">
        <v>43952</v>
      </c>
      <c r="B345" s="75">
        <f>VLOOKUP(A345,Database!A:M,MATCH($A$1,Database!$A$1:$M$1,),)</f>
        <v>136257</v>
      </c>
      <c r="C345" s="113">
        <f>(Table535141516[[#This Row],[Durable Goods]]-B344)/B344</f>
        <v>0.12785259620398803</v>
      </c>
    </row>
    <row r="346" spans="1:3">
      <c r="A346" s="74">
        <v>43983</v>
      </c>
      <c r="B346" s="75">
        <f>VLOOKUP(A346,Database!A:M,MATCH($A$1,Database!$A$1:$M$1,),)</f>
        <v>135460</v>
      </c>
      <c r="C346" s="113">
        <f>(Table535141516[[#This Row],[Durable Goods]]-B345)/B345</f>
        <v>-5.849240772951114E-3</v>
      </c>
    </row>
    <row r="347" spans="1:3">
      <c r="A347" s="74">
        <v>44013</v>
      </c>
      <c r="B347" s="75">
        <f>VLOOKUP(A347,Database!A:M,MATCH($A$1,Database!$A$1:$M$1,),)</f>
        <v>145739</v>
      </c>
      <c r="C347" s="113">
        <f>(Table535141516[[#This Row],[Durable Goods]]-B346)/B346</f>
        <v>7.5882179241104381E-2</v>
      </c>
    </row>
    <row r="348" spans="1:3">
      <c r="A348" s="74">
        <v>44044</v>
      </c>
      <c r="B348" s="75">
        <f>VLOOKUP(A348,Database!A:M,MATCH($A$1,Database!$A$1:$M$1,),)</f>
        <v>149382</v>
      </c>
      <c r="C348" s="113">
        <f>(Table535141516[[#This Row],[Durable Goods]]-B347)/B347</f>
        <v>2.4996740748872984E-2</v>
      </c>
    </row>
    <row r="349" spans="1:3">
      <c r="A349" s="74">
        <v>44075</v>
      </c>
      <c r="B349" s="75">
        <f>VLOOKUP(A349,Database!A:M,MATCH($A$1,Database!$A$1:$M$1,),)</f>
        <v>152915</v>
      </c>
      <c r="C349" s="113">
        <f>(Table535141516[[#This Row],[Durable Goods]]-B348)/B348</f>
        <v>2.3650774524373752E-2</v>
      </c>
    </row>
    <row r="350" spans="1:3">
      <c r="A350" s="74">
        <v>44105</v>
      </c>
      <c r="B350" s="75">
        <f>VLOOKUP(A350,Database!A:M,MATCH($A$1,Database!$A$1:$M$1,),)</f>
        <v>157980</v>
      </c>
      <c r="C350" s="113">
        <f>(Table535141516[[#This Row],[Durable Goods]]-B349)/B349</f>
        <v>3.3122976817186019E-2</v>
      </c>
    </row>
    <row r="351" spans="1:3">
      <c r="A351" s="74">
        <v>44136</v>
      </c>
      <c r="B351" s="75">
        <f>VLOOKUP(A351,Database!A:M,MATCH($A$1,Database!$A$1:$M$1,),)</f>
        <v>155771</v>
      </c>
      <c r="C351" s="113">
        <f>(Table535141516[[#This Row],[Durable Goods]]-B350)/B350</f>
        <v>-1.3982782630712749E-2</v>
      </c>
    </row>
    <row r="352" spans="1:3">
      <c r="A352" s="74">
        <v>44166</v>
      </c>
      <c r="B352" s="75">
        <f>VLOOKUP(A352,Database!A:M,MATCH($A$1,Database!$A$1:$M$1,),)</f>
        <v>158387</v>
      </c>
      <c r="C352" s="113">
        <f>(Table535141516[[#This Row],[Durable Goods]]-B351)/B351</f>
        <v>1.6793883328732561E-2</v>
      </c>
    </row>
    <row r="353" spans="1:3">
      <c r="A353" s="74">
        <v>44197</v>
      </c>
      <c r="B353" s="75">
        <f>VLOOKUP(A353,Database!A:M,MATCH($A$1,Database!$A$1:$M$1,),)</f>
        <v>163476</v>
      </c>
      <c r="C353" s="113">
        <f>(Table535141516[[#This Row],[Durable Goods]]-B352)/B352</f>
        <v>3.2130162197655111E-2</v>
      </c>
    </row>
    <row r="354" spans="1:3">
      <c r="A354" s="74">
        <v>44228</v>
      </c>
      <c r="B354" s="75">
        <f>VLOOKUP(A354,Database!A:M,MATCH($A$1,Database!$A$1:$M$1,),)</f>
        <v>167920</v>
      </c>
      <c r="C354" s="113">
        <f>(Table535141516[[#This Row],[Durable Goods]]-B353)/B353</f>
        <v>2.7184418507915534E-2</v>
      </c>
    </row>
    <row r="355" spans="1:3">
      <c r="A355" s="74">
        <v>44256</v>
      </c>
      <c r="B355" s="75">
        <f>VLOOKUP(A355,Database!A:M,MATCH($A$1,Database!$A$1:$M$1,),)</f>
        <v>170436</v>
      </c>
      <c r="C355" s="113">
        <f>(Table535141516[[#This Row],[Durable Goods]]-B354)/B354</f>
        <v>1.4983325393044308E-2</v>
      </c>
    </row>
    <row r="356" spans="1:3">
      <c r="A356" s="74">
        <v>44287</v>
      </c>
      <c r="B356" s="75">
        <f>VLOOKUP(A356,Database!A:M,MATCH($A$1,Database!$A$1:$M$1,),)</f>
        <v>169097</v>
      </c>
      <c r="C356" s="113">
        <f>(Table535141516[[#This Row],[Durable Goods]]-B355)/B355</f>
        <v>-7.8563214344387344E-3</v>
      </c>
    </row>
    <row r="357" spans="1:3">
      <c r="A357" s="74">
        <v>44317</v>
      </c>
      <c r="B357" s="75">
        <f>VLOOKUP(A357,Database!A:M,MATCH($A$1,Database!$A$1:$M$1,),)</f>
        <v>171996</v>
      </c>
      <c r="C357" s="113">
        <f>(Table535141516[[#This Row],[Durable Goods]]-B356)/B356</f>
        <v>1.7144006103005968E-2</v>
      </c>
    </row>
    <row r="358" spans="1:3">
      <c r="A358" s="74">
        <v>44348</v>
      </c>
      <c r="B358" s="75">
        <f>VLOOKUP(A358,Database!A:M,MATCH($A$1,Database!$A$1:$M$1,),)</f>
        <v>176392</v>
      </c>
      <c r="C358" s="113">
        <f>(Table535141516[[#This Row],[Durable Goods]]-B357)/B357</f>
        <v>2.5558733924044744E-2</v>
      </c>
    </row>
    <row r="359" spans="1:3">
      <c r="A359" s="74">
        <v>44378</v>
      </c>
      <c r="B359" s="75">
        <f>VLOOKUP(A359,Database!A:M,MATCH($A$1,Database!$A$1:$M$1,),)</f>
        <v>174579</v>
      </c>
      <c r="C359" s="113">
        <f>(Table535141516[[#This Row],[Durable Goods]]-B358)/B358</f>
        <v>-1.0278243911288494E-2</v>
      </c>
    </row>
    <row r="360" spans="1:3">
      <c r="A360" s="74">
        <v>44409</v>
      </c>
      <c r="B360" s="75">
        <f>VLOOKUP(A360,Database!A:M,MATCH($A$1,Database!$A$1:$M$1,),)</f>
        <v>179913</v>
      </c>
      <c r="C360" s="113">
        <f>(Table535141516[[#This Row],[Durable Goods]]-B359)/B359</f>
        <v>3.055350299864245E-2</v>
      </c>
    </row>
    <row r="361" spans="1:3">
      <c r="A361" s="74">
        <v>44440</v>
      </c>
      <c r="B361" s="75">
        <f>VLOOKUP(A361,Database!A:M,MATCH($A$1,Database!$A$1:$M$1,),)</f>
        <v>177267</v>
      </c>
      <c r="C361" s="113">
        <f>(Table535141516[[#This Row],[Durable Goods]]-B360)/B360</f>
        <v>-1.4707108435743943E-2</v>
      </c>
    </row>
    <row r="362" spans="1:3">
      <c r="A362" s="74">
        <v>44470</v>
      </c>
      <c r="B362" s="75">
        <f>VLOOKUP(A362,Database!A:M,MATCH($A$1,Database!$A$1:$M$1,),)</f>
        <v>178531</v>
      </c>
      <c r="C362" s="113">
        <f>(Table535141516[[#This Row],[Durable Goods]]-B361)/B361</f>
        <v>7.1304867798292967E-3</v>
      </c>
    </row>
    <row r="363" spans="1:3">
      <c r="A363" s="74">
        <v>44501</v>
      </c>
      <c r="B363" s="75">
        <f>VLOOKUP(A363,Database!A:M,MATCH($A$1,Database!$A$1:$M$1,),)</f>
        <v>180712</v>
      </c>
      <c r="C363" s="113">
        <f>(Table535141516[[#This Row],[Durable Goods]]-B362)/B362</f>
        <v>1.2216365785213772E-2</v>
      </c>
    </row>
    <row r="364" spans="1:3">
      <c r="A364" s="74">
        <v>44531</v>
      </c>
      <c r="B364" s="75">
        <f>VLOOKUP(A364,Database!A:M,MATCH($A$1,Database!$A$1:$M$1,),)</f>
        <v>181268</v>
      </c>
      <c r="C364" s="113">
        <f>(Table535141516[[#This Row],[Durable Goods]]-B363)/B363</f>
        <v>3.0767187569170837E-3</v>
      </c>
    </row>
    <row r="365" spans="1:3">
      <c r="A365" s="74">
        <v>44562</v>
      </c>
      <c r="B365" s="75">
        <f>VLOOKUP(A365,Database!A:M,MATCH($A$1,Database!$A$1:$M$1,),)</f>
        <v>189468</v>
      </c>
      <c r="C365" s="113">
        <f>(Table535141516[[#This Row],[Durable Goods]]-B364)/B364</f>
        <v>4.5236886819515855E-2</v>
      </c>
    </row>
    <row r="366" spans="1:3">
      <c r="A366" s="74">
        <v>44593</v>
      </c>
      <c r="B366" s="75">
        <f>VLOOKUP(A366,Database!A:M,MATCH($A$1,Database!$A$1:$M$1,),)</f>
        <v>187611</v>
      </c>
      <c r="C366" s="113">
        <f>(Table535141516[[#This Row],[Durable Goods]]-B365)/B365</f>
        <v>-9.8011273671543483E-3</v>
      </c>
    </row>
    <row r="367" spans="1:3">
      <c r="A367" s="74">
        <v>44621</v>
      </c>
      <c r="B367" s="75">
        <f>VLOOKUP(A367,Database!A:M,MATCH($A$1,Database!$A$1:$M$1,),)</f>
        <v>186907</v>
      </c>
      <c r="C367" s="113">
        <f>(Table535141516[[#This Row],[Durable Goods]]-B366)/B366</f>
        <v>-3.7524452190969611E-3</v>
      </c>
    </row>
    <row r="368" spans="1:3">
      <c r="A368" s="74">
        <v>44652</v>
      </c>
      <c r="B368" s="75">
        <f>VLOOKUP(A368,Database!A:M,MATCH($A$1,Database!$A$1:$M$1,),)</f>
        <v>188269</v>
      </c>
      <c r="C368" s="113">
        <f>(Table535141516[[#This Row],[Durable Goods]]-B367)/B367</f>
        <v>7.2870464990610305E-3</v>
      </c>
    </row>
    <row r="369" spans="1:3">
      <c r="A369" s="74">
        <v>44682</v>
      </c>
      <c r="B369" s="75">
        <f>VLOOKUP(A369,Database!A:M,MATCH($A$1,Database!$A$1:$M$1,),)</f>
        <v>189296</v>
      </c>
      <c r="C369" s="113">
        <f>(Table535141516[[#This Row],[Durable Goods]]-B368)/B368</f>
        <v>5.4549607210958783E-3</v>
      </c>
    </row>
    <row r="370" spans="1:3">
      <c r="A370" s="74">
        <v>44713</v>
      </c>
      <c r="B370" s="75">
        <f>VLOOKUP(A370,Database!A:M,MATCH($A$1,Database!$A$1:$M$1,),)</f>
        <v>194488</v>
      </c>
      <c r="C370" s="113">
        <f>(Table535141516[[#This Row],[Durable Goods]]-B369)/B369</f>
        <v>2.7427943538162455E-2</v>
      </c>
    </row>
    <row r="371" spans="1:3">
      <c r="A371" s="74">
        <v>44743</v>
      </c>
      <c r="B371" s="75">
        <f>VLOOKUP(A371,Database!A:M,MATCH($A$1,Database!$A$1:$M$1,),)</f>
        <v>194497</v>
      </c>
      <c r="C371" s="113">
        <f>(Table535141516[[#This Row],[Durable Goods]]-B370)/B370</f>
        <v>4.6275348607626178E-5</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2022-09-03T05:05:58Z</dcterms:modified>
</cp:coreProperties>
</file>