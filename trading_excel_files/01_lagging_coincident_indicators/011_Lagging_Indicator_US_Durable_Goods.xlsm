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22695" yWindow="-21720" windowWidth="51840" windowHeight="21120" tabRatio="715"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sheetId="5" state="visible" r:id="rId5"/>
    <sheet xmlns:r="http://schemas.openxmlformats.org/officeDocument/2006/relationships" name="New Orders ex Aircraft"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dd-mm-YYYY"/>
    <numFmt numFmtId="169" formatCode="yyyy-mm-dd h:mm:ss"/>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49">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1" fillId="3" borderId="30" applyAlignment="1" pivotButton="0" quotePrefix="0" xfId="0">
      <alignment wrapText="1"/>
    </xf>
    <xf numFmtId="0" fontId="0" fillId="0" borderId="27" pivotButton="0" quotePrefix="0" xfId="0"/>
    <xf numFmtId="0" fontId="1" fillId="3" borderId="29" applyAlignment="1" pivotButton="0" quotePrefix="0" xfId="0">
      <alignment wrapText="1"/>
    </xf>
    <xf numFmtId="0" fontId="0" fillId="0" borderId="16" pivotButton="0" quotePrefix="0" xfId="0"/>
    <xf numFmtId="0" fontId="1" fillId="3" borderId="31" applyAlignment="1" pivotButton="0" quotePrefix="0" xfId="0">
      <alignment wrapText="1"/>
    </xf>
    <xf numFmtId="0" fontId="0" fillId="0" borderId="26" pivotButton="0" quotePrefix="0" xfId="0"/>
    <xf numFmtId="0" fontId="20" fillId="3" borderId="0" pivotButton="0" quotePrefix="0" xfId="5"/>
    <xf numFmtId="0" fontId="0" fillId="3" borderId="0" pivotButton="0" quotePrefix="0" xfId="0"/>
    <xf numFmtId="0" fontId="23" fillId="3" borderId="0" applyAlignment="1" pivotButton="0" quotePrefix="0" xfId="0">
      <alignment wrapText="1"/>
    </xf>
    <xf numFmtId="0" fontId="25" fillId="3" borderId="29" applyAlignment="1" pivotButton="0" quotePrefix="0" xfId="0">
      <alignment wrapText="1"/>
    </xf>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1" fillId="6" borderId="1" applyAlignment="1" pivotButton="0" quotePrefix="0" xfId="0">
      <alignment horizontal="center"/>
    </xf>
    <xf numFmtId="0" fontId="0" fillId="0" borderId="15" pivotButton="0" quotePrefix="0" xfId="0"/>
    <xf numFmtId="0" fontId="0" fillId="3" borderId="0" applyAlignment="1" pivotButton="0" quotePrefix="0" xfId="0">
      <alignment vertical="center" wrapText="1"/>
    </xf>
    <xf numFmtId="0" fontId="0" fillId="3" borderId="0" applyAlignment="1" pivotButton="0" quotePrefix="0" xfId="0">
      <alignment wrapText="1"/>
    </xf>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8" fontId="0" fillId="0" borderId="0" pivotButton="0" quotePrefix="0" xfId="0"/>
    <xf numFmtId="168" fontId="0" fillId="0" borderId="0" pivotButton="0" quotePrefix="0" xfId="0"/>
  </cellXfs>
  <cellStyles count="7">
    <cellStyle name="Normal" xfId="0" builtinId="0"/>
    <cellStyle name="Normal 2" xfId="1"/>
    <cellStyle name="Normal 3" xfId="2"/>
    <cellStyle name="Normal 4" xfId="3"/>
    <cellStyle name="Per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Orders'!$A$6:$A$375</f>
              <numCache>
                <formatCode>m/d/yyyy</formatCode>
                <ptCount val="37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'New Orders'!$B$6:$B$375</f>
              <numCache>
                <formatCode>#,##0</formatCode>
                <ptCount val="370"/>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273841</v>
                </pt>
                <pt idx="367">
                  <v>274399</v>
                </pt>
                <pt idx="368">
                  <v>276419</v>
                </pt>
                <pt idx="369">
                  <v>270644</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2.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Orders'!$A$6:$A$375</f>
              <numCache>
                <formatCode>m/d/yyyy</formatCode>
                <ptCount val="37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'New Orders'!$C$6:$C$375</f>
              <numCache>
                <formatCode>0.0%</formatCode>
                <ptCount val="370"/>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0.006017825630486743</v>
                </pt>
                <pt idx="240">
                  <v>0.01072465827641641</v>
                </pt>
                <pt idx="241">
                  <v>-0.03355492383467269</v>
                </pt>
                <pt idx="242">
                  <v>-0.007028550645571922</v>
                </pt>
                <pt idx="243">
                  <v>0.003030941240030401</v>
                </pt>
                <pt idx="244">
                  <v>-0.001465244937829794</v>
                </pt>
                <pt idx="245">
                  <v>0.02956732417544742</v>
                </pt>
                <pt idx="246">
                  <v>-0.1101130879173086</v>
                </pt>
                <pt idx="247">
                  <v>0.08391252500960468</v>
                </pt>
                <pt idx="248">
                  <v>0.008175252369488264</v>
                </pt>
                <pt idx="249">
                  <v>-0.01976102311692699</v>
                </pt>
                <pt idx="250">
                  <v>0.07593775181774567</v>
                </pt>
                <pt idx="251">
                  <v>-0.03547741913139849</v>
                </pt>
                <pt idx="252">
                  <v>0.05904478067478467</v>
                </pt>
                <pt idx="253">
                  <v>-0.08800094934562962</v>
                </pt>
                <pt idx="254">
                  <v>0.05275851813298139</v>
                </pt>
                <pt idx="255">
                  <v>0.03847868597737275</v>
                </pt>
                <pt idx="256">
                  <v>0.05420432036317575</v>
                </pt>
                <pt idx="257">
                  <v>-0.09769767348090803</v>
                </pt>
                <pt idx="258">
                  <v>0.005496469747073018</v>
                </pt>
                <pt idx="259">
                  <v>0.06053953157637439</v>
                </pt>
                <pt idx="260">
                  <v>-0.02795098729424386</v>
                </pt>
                <pt idx="261">
                  <v>0.04064027728679698</v>
                </pt>
                <pt idx="262">
                  <v>-0.01247778482035221</v>
                </pt>
                <pt idx="263">
                  <v>-0.06390297721676168</v>
                </pt>
                <pt idx="264">
                  <v>0.04287366005807909</v>
                </pt>
                <pt idx="265">
                  <v>0.001899351556222095</v>
                </pt>
                <pt idx="266">
                  <v>0.01809541374119141</v>
                </pt>
                <pt idx="267">
                  <v>-0.01859107224103938</v>
                </pt>
                <pt idx="268">
                  <v>0.0310011632948287</v>
                </pt>
                <pt idx="269">
                  <v>0.2622230734321199</v>
                </pt>
                <pt idx="270">
                  <v>-0.2193414741953147</v>
                </pt>
                <pt idx="271">
                  <v>0.003667615965115395</v>
                </pt>
                <pt idx="272">
                  <v>-0.02292303417616004</v>
                </pt>
                <pt idx="273">
                  <v>-0.02556777787831392</v>
                </pt>
                <pt idx="274">
                  <v>-0.001414958767217174</v>
                </pt>
                <pt idx="275">
                  <v>-0.007855292580866561</v>
                </pt>
                <pt idx="276">
                  <v>-0.02273934330383244</v>
                </pt>
                <pt idx="277">
                  <v>0.03930747239297425</v>
                </pt>
                <pt idx="278">
                  <v>-0.01421082465846124</v>
                </pt>
                <pt idx="279">
                  <v>-0.03123398071668324</v>
                </pt>
                <pt idx="280">
                  <v>0.07101577310290247</v>
                </pt>
                <pt idx="281">
                  <v>-0.01107120455736663</v>
                </pt>
                <pt idx="282">
                  <v>-0.03276438057422379</v>
                </pt>
                <pt idx="283">
                  <v>-0.01755693990936325</v>
                </pt>
                <pt idx="284">
                  <v>0.03334582925691924</v>
                </pt>
                <pt idx="285">
                  <v>-0.01242744390174843</v>
                </pt>
                <pt idx="286">
                  <v>-0.02575451454375221</v>
                </pt>
                <pt idx="287">
                  <v>0.04336610353421558</v>
                </pt>
                <pt idx="288">
                  <v>-0.04201758445164275</v>
                </pt>
                <pt idx="289">
                  <v>-0.002171402809022363</v>
                </pt>
                <pt idx="290">
                  <v>0.05387761123841051</v>
                </pt>
                <pt idx="291">
                  <v>-0.02884703720716583</v>
                </pt>
                <pt idx="292">
                  <v>-0.05691672184908397</v>
                </pt>
                <pt idx="293">
                  <v>0.0412741932402224</v>
                </pt>
                <pt idx="294">
                  <v>0.005243191420065413</v>
                </pt>
                <pt idx="295">
                  <v>-0.0140640686319248</v>
                </pt>
                <pt idx="296">
                  <v>0.0840468763017338</v>
                </pt>
                <pt idx="297">
                  <v>-0.07477680953987115</v>
                </pt>
                <pt idx="298">
                  <v>0.008061725033802024</v>
                </pt>
                <pt idx="299">
                  <v>-0.002009613183794919</v>
                </pt>
                <pt idx="300">
                  <v>0.01744866084738843</v>
                </pt>
                <pt idx="301">
                  <v>0.0006762392083493001</v>
                </pt>
                <pt idx="302">
                  <v>0.0002703128871668957</v>
                </pt>
                <pt idx="303">
                  <v>0.001679990992005405</v>
                </pt>
                <pt idx="304">
                  <v>0.07171377440444608</v>
                </pt>
                <pt idx="305">
                  <v>-0.08126387158218899</v>
                </pt>
                <pt idx="306">
                  <v>0.02111627652092904</v>
                </pt>
                <pt idx="307">
                  <v>0.02055437786781871</v>
                </pt>
                <pt idx="308">
                  <v>0.00683178643108178</v>
                </pt>
                <pt idx="309">
                  <v>-0.0004831191215066353</v>
                </pt>
                <pt idx="310">
                  <v>0.04466439650592651</v>
                </pt>
                <pt idx="311">
                  <v>-0.05834441420073946</v>
                </pt>
                <pt idx="312">
                  <v>0.03644878843412747</v>
                </pt>
                <pt idx="313">
                  <v>0.03637994362347314</v>
                </pt>
                <pt idx="314">
                  <v>-0.01304716926703426</v>
                </pt>
                <pt idx="315">
                  <v>0.004659863377482337</v>
                </pt>
                <pt idx="316">
                  <v>0.01108026333289001</v>
                </pt>
                <pt idx="317">
                  <v>-0.03571692823729622</v>
                </pt>
                <pt idx="318">
                  <v>0.04059509346292389</v>
                </pt>
                <pt idx="319">
                  <v>0.00297409343405378</v>
                </pt>
                <pt idx="320">
                  <v>-0.02087536861710384</v>
                </pt>
                <pt idx="321">
                  <v>-0.03366385369780955</v>
                </pt>
                <pt idx="322">
                  <v>0.0293326656680466</v>
                </pt>
                <pt idx="323">
                  <v>-0.03950546869757767</v>
                </pt>
                <pt idx="324">
                  <v>-0.02433326929458407</v>
                </pt>
                <pt idx="325">
                  <v>0.04291244322123022</v>
                </pt>
                <pt idx="326">
                  <v>-0.03911278556839052</v>
                </pt>
                <pt idx="327">
                  <v>-0.02880377262435862</v>
                </pt>
                <pt idx="328">
                  <v>0.00953655295453814</v>
                </pt>
                <pt idx="329">
                  <v>0.02589807472455398</v>
                </pt>
                <pt idx="330">
                  <v>-0.003076731827081455</v>
                </pt>
                <pt idx="331">
                  <v>-0.01156555895005923</v>
                </pt>
                <pt idx="332">
                  <v>0.004622683589473257</v>
                </pt>
                <pt idx="333">
                  <v>-0.04572709945061106</v>
                </pt>
                <pt idx="334">
                  <v>0.01196076680499485</v>
                </pt>
                <pt idx="335">
                  <v>0.04749586669391243</v>
                </pt>
                <pt idx="336">
                  <v>0.02632220650761912</v>
                </pt>
                <pt idx="337">
                  <v>-0.1355102640309649</v>
                </pt>
                <pt idx="338">
                  <v>-0.2048231302375087</v>
                </pt>
                <pt idx="339">
                  <v>0.1272795827311003</v>
                </pt>
                <pt idx="340">
                  <v>0.10809213753735</v>
                </pt>
                <pt idx="341">
                  <v>0.09692917584794793</v>
                </pt>
                <pt idx="342">
                  <v>0.01396526341376163</v>
                </pt>
                <pt idx="343">
                  <v>0.02038573224898908</v>
                </pt>
                <pt idx="344">
                  <v>0.0183604987743414</v>
                </pt>
                <pt idx="345">
                  <v>-0.005506344266219775</v>
                </pt>
                <pt idx="346">
                  <v>0.01308705738171314</v>
                </pt>
                <pt idx="347">
                  <v>0.02516201503499525</v>
                </pt>
                <pt idx="348">
                  <v>0.0008218000370863607</v>
                </pt>
                <pt idx="349">
                  <v>0.01647724640915618</v>
                </pt>
                <pt idx="350">
                  <v>-0.01999237754358056</v>
                </pt>
                <pt idx="351">
                  <v>0.02104698054665505</v>
                </pt>
                <pt idx="352">
                  <v>0.01772340557660063</v>
                </pt>
                <pt idx="353">
                  <v>0.003722144931781016</v>
                </pt>
                <pt idx="354">
                  <v>0.01554666634244005</v>
                </pt>
                <pt idx="355">
                  <v>-0.01487766235528401</v>
                </pt>
                <pt idx="356">
                  <v>0.01480257161260528</v>
                </pt>
                <pt idx="357">
                  <v>0.01425531829958124</v>
                </pt>
                <pt idx="358">
                  <v>0.009406708281839149</v>
                </pt>
                <pt idx="359">
                  <v>0.03077235011541581</v>
                </pt>
                <pt idx="360">
                  <v>-0.007043532206569929</v>
                </pt>
                <pt idx="361">
                  <v>0.006720153603510938</v>
                </pt>
                <pt idx="362">
                  <v>0.004230713923514142</v>
                </pt>
                <pt idx="363">
                  <v>0.008128089955384058</v>
                </pt>
                <pt idx="364">
                  <v>0.02256917838173235</v>
                </pt>
                <pt idx="365">
                  <v>-0.001345171820112512</v>
                </pt>
                <pt idx="366">
                  <v>0.002335259861714549</v>
                </pt>
                <pt idx="367">
                  <v>0.002037678799011105</v>
                </pt>
                <pt idx="368">
                  <v>0.007361542862765535</v>
                </pt>
                <pt idx="369">
                  <v>-0.02089219626726093</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Orders'!$A$251:$A$376</f>
              <numCache>
                <formatCode>m/d/yyyy</formatCode>
                <ptCount val="126"/>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numCache>
            </numRef>
          </cat>
          <val>
            <numRef>
              <f>'New Orders'!$C$251:$C$376</f>
              <numCache>
                <formatCode>0.0%</formatCode>
                <ptCount val="126"/>
                <pt idx="0">
                  <v>0.02956732417544742</v>
                </pt>
                <pt idx="1">
                  <v>-0.1101130879173086</v>
                </pt>
                <pt idx="2">
                  <v>0.08391252500960468</v>
                </pt>
                <pt idx="3">
                  <v>0.008175252369488264</v>
                </pt>
                <pt idx="4">
                  <v>-0.01976102311692699</v>
                </pt>
                <pt idx="5">
                  <v>0.07593775181774567</v>
                </pt>
                <pt idx="6">
                  <v>-0.03547741913139849</v>
                </pt>
                <pt idx="7">
                  <v>0.05904478067478467</v>
                </pt>
                <pt idx="8">
                  <v>-0.08800094934562962</v>
                </pt>
                <pt idx="9">
                  <v>0.05275851813298139</v>
                </pt>
                <pt idx="10">
                  <v>0.03847868597737275</v>
                </pt>
                <pt idx="11">
                  <v>0.05420432036317575</v>
                </pt>
                <pt idx="12">
                  <v>-0.09769767348090803</v>
                </pt>
                <pt idx="13">
                  <v>0.005496469747073018</v>
                </pt>
                <pt idx="14">
                  <v>0.06053953157637439</v>
                </pt>
                <pt idx="15">
                  <v>-0.02795098729424386</v>
                </pt>
                <pt idx="16">
                  <v>0.04064027728679698</v>
                </pt>
                <pt idx="17">
                  <v>-0.01247778482035221</v>
                </pt>
                <pt idx="18">
                  <v>-0.06390297721676168</v>
                </pt>
                <pt idx="19">
                  <v>0.04287366005807909</v>
                </pt>
                <pt idx="20">
                  <v>0.001899351556222095</v>
                </pt>
                <pt idx="21">
                  <v>0.01809541374119141</v>
                </pt>
                <pt idx="22">
                  <v>-0.01859107224103938</v>
                </pt>
                <pt idx="23">
                  <v>0.0310011632948287</v>
                </pt>
                <pt idx="24">
                  <v>0.2622230734321199</v>
                </pt>
                <pt idx="25">
                  <v>-0.2193414741953147</v>
                </pt>
                <pt idx="26">
                  <v>0.003667615965115395</v>
                </pt>
                <pt idx="27">
                  <v>-0.02292303417616004</v>
                </pt>
                <pt idx="28">
                  <v>-0.02556777787831392</v>
                </pt>
                <pt idx="29">
                  <v>-0.001414958767217174</v>
                </pt>
                <pt idx="30">
                  <v>-0.007855292580866561</v>
                </pt>
                <pt idx="31">
                  <v>-0.02273934330383244</v>
                </pt>
                <pt idx="32">
                  <v>0.03930747239297425</v>
                </pt>
                <pt idx="33">
                  <v>-0.01421082465846124</v>
                </pt>
                <pt idx="34">
                  <v>-0.03123398071668324</v>
                </pt>
                <pt idx="35">
                  <v>0.07101577310290247</v>
                </pt>
                <pt idx="36">
                  <v>-0.01107120455736663</v>
                </pt>
                <pt idx="37">
                  <v>-0.03276438057422379</v>
                </pt>
                <pt idx="38">
                  <v>-0.01755693990936325</v>
                </pt>
                <pt idx="39">
                  <v>0.03334582925691924</v>
                </pt>
                <pt idx="40">
                  <v>-0.01242744390174843</v>
                </pt>
                <pt idx="41">
                  <v>-0.02575451454375221</v>
                </pt>
                <pt idx="42">
                  <v>0.04336610353421558</v>
                </pt>
                <pt idx="43">
                  <v>-0.04201758445164275</v>
                </pt>
                <pt idx="44">
                  <v>-0.002171402809022363</v>
                </pt>
                <pt idx="45">
                  <v>0.05387761123841051</v>
                </pt>
                <pt idx="46">
                  <v>-0.02884703720716583</v>
                </pt>
                <pt idx="47">
                  <v>-0.05691672184908397</v>
                </pt>
                <pt idx="48">
                  <v>0.0412741932402224</v>
                </pt>
                <pt idx="49">
                  <v>0.005243191420065413</v>
                </pt>
                <pt idx="50">
                  <v>-0.0140640686319248</v>
                </pt>
                <pt idx="51">
                  <v>0.0840468763017338</v>
                </pt>
                <pt idx="52">
                  <v>-0.07477680953987115</v>
                </pt>
                <pt idx="53">
                  <v>0.008061725033802024</v>
                </pt>
                <pt idx="54">
                  <v>-0.002009613183794919</v>
                </pt>
                <pt idx="55">
                  <v>0.01744866084738843</v>
                </pt>
                <pt idx="56">
                  <v>0.0006762392083493001</v>
                </pt>
                <pt idx="57">
                  <v>0.0002703128871668957</v>
                </pt>
                <pt idx="58">
                  <v>0.001679990992005405</v>
                </pt>
                <pt idx="59">
                  <v>0.07171377440444608</v>
                </pt>
                <pt idx="60">
                  <v>-0.08126387158218899</v>
                </pt>
                <pt idx="61">
                  <v>0.02111627652092904</v>
                </pt>
                <pt idx="62">
                  <v>0.02055437786781871</v>
                </pt>
                <pt idx="63">
                  <v>0.00683178643108178</v>
                </pt>
                <pt idx="64">
                  <v>-0.0004831191215066353</v>
                </pt>
                <pt idx="65">
                  <v>0.04466439650592651</v>
                </pt>
                <pt idx="66">
                  <v>-0.05834441420073946</v>
                </pt>
                <pt idx="67">
                  <v>0.03644878843412747</v>
                </pt>
                <pt idx="68">
                  <v>0.03637994362347314</v>
                </pt>
                <pt idx="69">
                  <v>-0.01304716926703426</v>
                </pt>
                <pt idx="70">
                  <v>0.004659863377482337</v>
                </pt>
                <pt idx="71">
                  <v>0.01108026333289001</v>
                </pt>
                <pt idx="72">
                  <v>-0.03571692823729622</v>
                </pt>
                <pt idx="73">
                  <v>0.04059509346292389</v>
                </pt>
                <pt idx="74">
                  <v>0.00297409343405378</v>
                </pt>
                <pt idx="75">
                  <v>-0.02087536861710384</v>
                </pt>
                <pt idx="76">
                  <v>-0.03366385369780955</v>
                </pt>
                <pt idx="77">
                  <v>0.0293326656680466</v>
                </pt>
                <pt idx="78">
                  <v>-0.03950546869757767</v>
                </pt>
                <pt idx="79">
                  <v>-0.02433326929458407</v>
                </pt>
                <pt idx="80">
                  <v>0.04291244322123022</v>
                </pt>
                <pt idx="81">
                  <v>-0.03911278556839052</v>
                </pt>
                <pt idx="82">
                  <v>-0.02880377262435862</v>
                </pt>
                <pt idx="83">
                  <v>0.00953655295453814</v>
                </pt>
                <pt idx="84">
                  <v>0.02589807472455398</v>
                </pt>
                <pt idx="85">
                  <v>-0.003076731827081455</v>
                </pt>
                <pt idx="86">
                  <v>-0.01156555895005923</v>
                </pt>
                <pt idx="87">
                  <v>0.004622683589473257</v>
                </pt>
                <pt idx="88">
                  <v>-0.04572709945061106</v>
                </pt>
                <pt idx="89">
                  <v>0.01196076680499485</v>
                </pt>
                <pt idx="90">
                  <v>0.04749586669391243</v>
                </pt>
                <pt idx="91">
                  <v>0.02632220650761912</v>
                </pt>
                <pt idx="92">
                  <v>-0.1355102640309649</v>
                </pt>
                <pt idx="93">
                  <v>-0.2048231302375087</v>
                </pt>
                <pt idx="94">
                  <v>0.1272795827311003</v>
                </pt>
                <pt idx="95">
                  <v>0.10809213753735</v>
                </pt>
                <pt idx="96">
                  <v>0.09692917584794793</v>
                </pt>
                <pt idx="97">
                  <v>0.01396526341376163</v>
                </pt>
                <pt idx="98">
                  <v>0.02038573224898908</v>
                </pt>
                <pt idx="99">
                  <v>0.0183604987743414</v>
                </pt>
                <pt idx="100">
                  <v>-0.005506344266219775</v>
                </pt>
                <pt idx="101">
                  <v>0.01308705738171314</v>
                </pt>
                <pt idx="102">
                  <v>0.02516201503499525</v>
                </pt>
                <pt idx="103">
                  <v>0.0008218000370863607</v>
                </pt>
                <pt idx="104">
                  <v>0.01647724640915618</v>
                </pt>
                <pt idx="105">
                  <v>-0.01999237754358056</v>
                </pt>
                <pt idx="106">
                  <v>0.02104698054665505</v>
                </pt>
                <pt idx="107">
                  <v>0.01772340557660063</v>
                </pt>
                <pt idx="108">
                  <v>0.003722144931781016</v>
                </pt>
                <pt idx="109">
                  <v>0.01554666634244005</v>
                </pt>
                <pt idx="110">
                  <v>-0.01487766235528401</v>
                </pt>
                <pt idx="111">
                  <v>0.01480257161260528</v>
                </pt>
                <pt idx="112">
                  <v>0.01425531829958124</v>
                </pt>
                <pt idx="113">
                  <v>0.009406708281839149</v>
                </pt>
                <pt idx="114">
                  <v>0.03077235011541581</v>
                </pt>
                <pt idx="115">
                  <v>-0.007043532206569929</v>
                </pt>
                <pt idx="116">
                  <v>0.006720153603510938</v>
                </pt>
                <pt idx="117">
                  <v>0.004230713923514142</v>
                </pt>
                <pt idx="118">
                  <v>0.008128089955384058</v>
                </pt>
                <pt idx="119">
                  <v>0.02256917838173235</v>
                </pt>
                <pt idx="120">
                  <v>-0.001345171820112512</v>
                </pt>
                <pt idx="121">
                  <v>0.002335259861714549</v>
                </pt>
                <pt idx="122">
                  <v>0.002037678799011105</v>
                </pt>
                <pt idx="123">
                  <v>0.007361542862765535</v>
                </pt>
                <pt idx="124">
                  <v>-0.02089219626726093</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Orders'!$A$6:$A$375</f>
              <numCache>
                <formatCode>m/d/yyyy</formatCode>
                <ptCount val="37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'New Orders'!$B$6:$B$375</f>
              <numCache>
                <formatCode>#,##0</formatCode>
                <ptCount val="370"/>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273841</v>
                </pt>
                <pt idx="367">
                  <v>274399</v>
                </pt>
                <pt idx="368">
                  <v>276419</v>
                </pt>
                <pt idx="369">
                  <v>270644</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Aircraft'!$A$6:$A$375</f>
              <numCache>
                <formatCode>m/d/yyyy</formatCode>
                <ptCount val="37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'New Orders ex Aircraft'!$B$6:$B$375</f>
              <numCache>
                <formatCode>#,##0</formatCode>
                <ptCount val="370"/>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67658</v>
                </pt>
                <pt idx="240">
                  <v>69902</v>
                </pt>
                <pt idx="241">
                  <v>69522</v>
                </pt>
                <pt idx="242">
                  <v>67518</v>
                </pt>
                <pt idx="243">
                  <v>69183</v>
                </pt>
                <pt idx="244">
                  <v>67129</v>
                </pt>
                <pt idx="245">
                  <v>65294</v>
                </pt>
                <pt idx="246">
                  <v>63721</v>
                </pt>
                <pt idx="247">
                  <v>63976</v>
                </pt>
                <pt idx="248">
                  <v>65937</v>
                </pt>
                <pt idx="249">
                  <v>66473</v>
                </pt>
                <pt idx="250">
                  <v>66630</v>
                </pt>
                <pt idx="251">
                  <v>69758</v>
                </pt>
                <pt idx="252">
                  <v>66190</v>
                </pt>
                <pt idx="253">
                  <v>66275</v>
                </pt>
                <pt idx="254">
                  <v>67553</v>
                </pt>
                <pt idx="255">
                  <v>69186</v>
                </pt>
                <pt idx="256">
                  <v>69443</v>
                </pt>
                <pt idx="257">
                  <v>66557</v>
                </pt>
                <pt idx="258">
                  <v>65935</v>
                </pt>
                <pt idx="259">
                  <v>66636</v>
                </pt>
                <pt idx="260">
                  <v>64799</v>
                </pt>
                <pt idx="261">
                  <v>68592</v>
                </pt>
                <pt idx="262">
                  <v>67496</v>
                </pt>
                <pt idx="263">
                  <v>68106</v>
                </pt>
                <pt idx="264">
                  <v>67227</v>
                </pt>
                <pt idx="265">
                  <v>68502</v>
                </pt>
                <pt idx="266">
                  <v>66341</v>
                </pt>
                <pt idx="267">
                  <v>65817</v>
                </pt>
                <pt idx="268">
                  <v>69872</v>
                </pt>
                <pt idx="269">
                  <v>67931</v>
                </pt>
                <pt idx="270">
                  <v>68554</v>
                </pt>
                <pt idx="271">
                  <v>69426</v>
                </pt>
                <pt idx="272">
                  <v>65645</v>
                </pt>
                <pt idx="273">
                  <v>63854</v>
                </pt>
                <pt idx="274">
                  <v>65875</v>
                </pt>
                <pt idx="275">
                  <v>64666</v>
                </pt>
                <pt idx="276">
                  <v>64257</v>
                </pt>
                <pt idx="277">
                  <v>64721</v>
                </pt>
                <pt idx="278">
                  <v>64152</v>
                </pt>
                <pt idx="279">
                  <v>62533</v>
                </pt>
                <pt idx="280">
                  <v>63930</v>
                </pt>
                <pt idx="281">
                  <v>63774</v>
                </pt>
                <pt idx="282">
                  <v>63370</v>
                </pt>
                <pt idx="283">
                  <v>63318</v>
                </pt>
                <pt idx="284">
                  <v>63051</v>
                </pt>
                <pt idx="285">
                  <v>62049</v>
                </pt>
                <pt idx="286">
                  <v>60165</v>
                </pt>
                <pt idx="287">
                  <v>61709</v>
                </pt>
                <pt idx="288">
                  <v>61077</v>
                </pt>
                <pt idx="289">
                  <v>60564</v>
                </pt>
                <pt idx="290">
                  <v>60970</v>
                </pt>
                <pt idx="291">
                  <v>59565</v>
                </pt>
                <pt idx="292">
                  <v>59505</v>
                </pt>
                <pt idx="293">
                  <v>59899</v>
                </pt>
                <pt idx="294">
                  <v>61743</v>
                </pt>
                <pt idx="295">
                  <v>59290</v>
                </pt>
                <pt idx="296">
                  <v>59413</v>
                </pt>
                <pt idx="297">
                  <v>59262</v>
                </pt>
                <pt idx="298">
                  <v>59355</v>
                </pt>
                <pt idx="299">
                  <v>60689</v>
                </pt>
                <pt idx="300">
                  <v>60752</v>
                </pt>
                <pt idx="301">
                  <v>61176</v>
                </pt>
                <pt idx="302">
                  <v>61339</v>
                </pt>
                <pt idx="303">
                  <v>61398</v>
                </pt>
                <pt idx="304">
                  <v>60227</v>
                </pt>
                <pt idx="305">
                  <v>61403</v>
                </pt>
                <pt idx="306">
                  <v>61643</v>
                </pt>
                <pt idx="307">
                  <v>63497</v>
                </pt>
                <pt idx="308">
                  <v>63980</v>
                </pt>
                <pt idx="309">
                  <v>63558</v>
                </pt>
                <pt idx="310">
                  <v>63745</v>
                </pt>
                <pt idx="311">
                  <v>63816</v>
                </pt>
                <pt idx="312">
                  <v>65257</v>
                </pt>
                <pt idx="313">
                  <v>64073</v>
                </pt>
                <pt idx="314">
                  <v>65444</v>
                </pt>
                <pt idx="315">
                  <v>66748</v>
                </pt>
                <pt idx="316">
                  <v>67678</v>
                </pt>
                <pt idx="317">
                  <v>68406</v>
                </pt>
                <pt idx="318">
                  <v>67270</v>
                </pt>
                <pt idx="319">
                  <v>67127</v>
                </pt>
                <pt idx="320">
                  <v>67931</v>
                </pt>
                <pt idx="321">
                  <v>65255</v>
                </pt>
                <pt idx="322">
                  <v>65773</v>
                </pt>
                <pt idx="323">
                  <v>67110</v>
                </pt>
                <pt idx="324">
                  <v>66772</v>
                </pt>
                <pt idx="325">
                  <v>67615</v>
                </pt>
                <pt idx="326">
                  <v>67038</v>
                </pt>
                <pt idx="327">
                  <v>66680</v>
                </pt>
                <pt idx="328">
                  <v>66243</v>
                </pt>
                <pt idx="329">
                  <v>65872</v>
                </pt>
                <pt idx="330">
                  <v>65829</v>
                </pt>
                <pt idx="331">
                  <v>65203</v>
                </pt>
                <pt idx="332">
                  <v>65207</v>
                </pt>
                <pt idx="333">
                  <v>63805</v>
                </pt>
                <pt idx="334">
                  <v>62950</v>
                </pt>
                <pt idx="335">
                  <v>62298</v>
                </pt>
                <pt idx="336">
                  <v>61245</v>
                </pt>
                <pt idx="337">
                  <v>60715</v>
                </pt>
                <pt idx="338">
                  <v>55545</v>
                </pt>
                <pt idx="339">
                  <v>56463</v>
                </pt>
                <pt idx="340">
                  <v>58548</v>
                </pt>
                <pt idx="341">
                  <v>60095</v>
                </pt>
                <pt idx="342">
                  <v>60687</v>
                </pt>
                <pt idx="343">
                  <v>62159</v>
                </pt>
                <pt idx="344">
                  <v>62801</v>
                </pt>
                <pt idx="345">
                  <v>62967</v>
                </pt>
                <pt idx="346">
                  <v>63944</v>
                </pt>
                <pt idx="347">
                  <v>64750</v>
                </pt>
                <pt idx="348">
                  <v>64562</v>
                </pt>
                <pt idx="349">
                  <v>65886</v>
                </pt>
                <pt idx="350">
                  <v>67955</v>
                </pt>
                <pt idx="351">
                  <v>66882</v>
                </pt>
                <pt idx="352">
                  <v>68158</v>
                </pt>
                <pt idx="353">
                  <v>68660</v>
                </pt>
                <pt idx="354">
                  <v>69530</v>
                </pt>
                <pt idx="355">
                  <v>69298</v>
                </pt>
                <pt idx="356">
                  <v>70632</v>
                </pt>
                <pt idx="357">
                  <v>71135</v>
                </pt>
                <pt idx="358">
                  <v>71199</v>
                </pt>
                <pt idx="359">
                  <v>72217</v>
                </pt>
                <pt idx="360">
                  <v>72038</v>
                </pt>
                <pt idx="361">
                  <v>72857</v>
                </pt>
                <pt idx="362">
                  <v>73115</v>
                </pt>
                <pt idx="363">
                  <v>73477</v>
                </pt>
                <pt idx="364">
                  <v>74190</v>
                </pt>
                <pt idx="365">
                  <v>74709</v>
                </pt>
                <pt idx="366">
                  <v>75379</v>
                </pt>
                <pt idx="367">
                  <v>74819</v>
                </pt>
                <pt idx="368">
                  <v>75010</v>
                </pt>
                <pt idx="369">
                  <v>75159</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Aircraft'!$A$209:$A$377</f>
              <numCache>
                <formatCode>m/d/yyyy</formatCode>
                <ptCount val="169"/>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pt idx="158">
                  <v>44621</v>
                </pt>
                <pt idx="159">
                  <v>44652</v>
                </pt>
                <pt idx="160">
                  <v>44682</v>
                </pt>
                <pt idx="161">
                  <v>44713</v>
                </pt>
                <pt idx="162">
                  <v>44743</v>
                </pt>
                <pt idx="163">
                  <v>44774</v>
                </pt>
                <pt idx="164">
                  <v>44805</v>
                </pt>
                <pt idx="165">
                  <v>44835</v>
                </pt>
                <pt idx="166">
                  <v>44866</v>
                </pt>
              </numCache>
            </numRef>
          </cat>
          <val>
            <numRef>
              <f>'New Orders ex Aircraft'!$B$209:$B$377</f>
              <numCache>
                <formatCode>#,##0</formatCode>
                <ptCount val="169"/>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67658</v>
                </pt>
                <pt idx="37">
                  <v>69902</v>
                </pt>
                <pt idx="38">
                  <v>69522</v>
                </pt>
                <pt idx="39">
                  <v>67518</v>
                </pt>
                <pt idx="40">
                  <v>69183</v>
                </pt>
                <pt idx="41">
                  <v>67129</v>
                </pt>
                <pt idx="42">
                  <v>65294</v>
                </pt>
                <pt idx="43">
                  <v>63721</v>
                </pt>
                <pt idx="44">
                  <v>63976</v>
                </pt>
                <pt idx="45">
                  <v>65937</v>
                </pt>
                <pt idx="46">
                  <v>66473</v>
                </pt>
                <pt idx="47">
                  <v>66630</v>
                </pt>
                <pt idx="48">
                  <v>69758</v>
                </pt>
                <pt idx="49">
                  <v>66190</v>
                </pt>
                <pt idx="50">
                  <v>66275</v>
                </pt>
                <pt idx="51">
                  <v>67553</v>
                </pt>
                <pt idx="52">
                  <v>69186</v>
                </pt>
                <pt idx="53">
                  <v>69443</v>
                </pt>
                <pt idx="54">
                  <v>66557</v>
                </pt>
                <pt idx="55">
                  <v>65935</v>
                </pt>
                <pt idx="56">
                  <v>66636</v>
                </pt>
                <pt idx="57">
                  <v>64799</v>
                </pt>
                <pt idx="58">
                  <v>68592</v>
                </pt>
                <pt idx="59">
                  <v>67496</v>
                </pt>
                <pt idx="60">
                  <v>68106</v>
                </pt>
                <pt idx="61">
                  <v>67227</v>
                </pt>
                <pt idx="62">
                  <v>68502</v>
                </pt>
                <pt idx="63">
                  <v>66341</v>
                </pt>
                <pt idx="64">
                  <v>65817</v>
                </pt>
                <pt idx="65">
                  <v>69872</v>
                </pt>
                <pt idx="66">
                  <v>67931</v>
                </pt>
                <pt idx="67">
                  <v>68554</v>
                </pt>
                <pt idx="68">
                  <v>69426</v>
                </pt>
                <pt idx="69">
                  <v>65645</v>
                </pt>
                <pt idx="70">
                  <v>63854</v>
                </pt>
                <pt idx="71">
                  <v>65875</v>
                </pt>
                <pt idx="72">
                  <v>64666</v>
                </pt>
                <pt idx="73">
                  <v>64257</v>
                </pt>
                <pt idx="74">
                  <v>64721</v>
                </pt>
                <pt idx="75">
                  <v>64152</v>
                </pt>
                <pt idx="76">
                  <v>62533</v>
                </pt>
                <pt idx="77">
                  <v>63930</v>
                </pt>
                <pt idx="78">
                  <v>63774</v>
                </pt>
                <pt idx="79">
                  <v>63370</v>
                </pt>
                <pt idx="80">
                  <v>63318</v>
                </pt>
                <pt idx="81">
                  <v>63051</v>
                </pt>
                <pt idx="82">
                  <v>62049</v>
                </pt>
                <pt idx="83">
                  <v>60165</v>
                </pt>
                <pt idx="84">
                  <v>61709</v>
                </pt>
                <pt idx="85">
                  <v>61077</v>
                </pt>
                <pt idx="86">
                  <v>60564</v>
                </pt>
                <pt idx="87">
                  <v>60970</v>
                </pt>
                <pt idx="88">
                  <v>59565</v>
                </pt>
                <pt idx="89">
                  <v>59505</v>
                </pt>
                <pt idx="90">
                  <v>59899</v>
                </pt>
                <pt idx="91">
                  <v>61743</v>
                </pt>
                <pt idx="92">
                  <v>59290</v>
                </pt>
                <pt idx="93">
                  <v>59413</v>
                </pt>
                <pt idx="94">
                  <v>59262</v>
                </pt>
                <pt idx="95">
                  <v>59355</v>
                </pt>
                <pt idx="96">
                  <v>60689</v>
                </pt>
                <pt idx="97">
                  <v>60752</v>
                </pt>
                <pt idx="98">
                  <v>61176</v>
                </pt>
                <pt idx="99">
                  <v>61339</v>
                </pt>
                <pt idx="100">
                  <v>61398</v>
                </pt>
                <pt idx="101">
                  <v>60227</v>
                </pt>
                <pt idx="102">
                  <v>61403</v>
                </pt>
                <pt idx="103">
                  <v>61643</v>
                </pt>
                <pt idx="104">
                  <v>63497</v>
                </pt>
                <pt idx="105">
                  <v>63980</v>
                </pt>
                <pt idx="106">
                  <v>63558</v>
                </pt>
                <pt idx="107">
                  <v>63745</v>
                </pt>
                <pt idx="108">
                  <v>63816</v>
                </pt>
                <pt idx="109">
                  <v>65257</v>
                </pt>
                <pt idx="110">
                  <v>64073</v>
                </pt>
                <pt idx="111">
                  <v>65444</v>
                </pt>
                <pt idx="112">
                  <v>66748</v>
                </pt>
                <pt idx="113">
                  <v>67678</v>
                </pt>
                <pt idx="114">
                  <v>68406</v>
                </pt>
                <pt idx="115">
                  <v>67270</v>
                </pt>
                <pt idx="116">
                  <v>67127</v>
                </pt>
                <pt idx="117">
                  <v>67931</v>
                </pt>
                <pt idx="118">
                  <v>65255</v>
                </pt>
                <pt idx="119">
                  <v>65773</v>
                </pt>
                <pt idx="120">
                  <v>67110</v>
                </pt>
                <pt idx="121">
                  <v>66772</v>
                </pt>
                <pt idx="122">
                  <v>67615</v>
                </pt>
                <pt idx="123">
                  <v>67038</v>
                </pt>
                <pt idx="124">
                  <v>66680</v>
                </pt>
                <pt idx="125">
                  <v>66243</v>
                </pt>
                <pt idx="126">
                  <v>65872</v>
                </pt>
                <pt idx="127">
                  <v>65829</v>
                </pt>
                <pt idx="128">
                  <v>65203</v>
                </pt>
                <pt idx="129">
                  <v>65207</v>
                </pt>
                <pt idx="130">
                  <v>63805</v>
                </pt>
                <pt idx="131">
                  <v>62950</v>
                </pt>
                <pt idx="132">
                  <v>62298</v>
                </pt>
                <pt idx="133">
                  <v>61245</v>
                </pt>
                <pt idx="134">
                  <v>60715</v>
                </pt>
                <pt idx="135">
                  <v>55545</v>
                </pt>
                <pt idx="136">
                  <v>56463</v>
                </pt>
                <pt idx="137">
                  <v>58548</v>
                </pt>
                <pt idx="138">
                  <v>60095</v>
                </pt>
                <pt idx="139">
                  <v>60687</v>
                </pt>
                <pt idx="140">
                  <v>62159</v>
                </pt>
                <pt idx="141">
                  <v>62801</v>
                </pt>
                <pt idx="142">
                  <v>62967</v>
                </pt>
                <pt idx="143">
                  <v>63944</v>
                </pt>
                <pt idx="144">
                  <v>64750</v>
                </pt>
                <pt idx="145">
                  <v>64562</v>
                </pt>
                <pt idx="146">
                  <v>65886</v>
                </pt>
                <pt idx="147">
                  <v>67955</v>
                </pt>
                <pt idx="148">
                  <v>66882</v>
                </pt>
                <pt idx="149">
                  <v>68158</v>
                </pt>
                <pt idx="150">
                  <v>68660</v>
                </pt>
                <pt idx="151">
                  <v>69530</v>
                </pt>
                <pt idx="152">
                  <v>69298</v>
                </pt>
                <pt idx="153">
                  <v>70632</v>
                </pt>
                <pt idx="154">
                  <v>71135</v>
                </pt>
                <pt idx="155">
                  <v>71199</v>
                </pt>
                <pt idx="156">
                  <v>72217</v>
                </pt>
                <pt idx="157">
                  <v>72038</v>
                </pt>
                <pt idx="158">
                  <v>72857</v>
                </pt>
                <pt idx="159">
                  <v>73115</v>
                </pt>
                <pt idx="160">
                  <v>73477</v>
                </pt>
                <pt idx="161">
                  <v>74190</v>
                </pt>
                <pt idx="162">
                  <v>74709</v>
                </pt>
                <pt idx="163">
                  <v>75379</v>
                </pt>
                <pt idx="164">
                  <v>74819</v>
                </pt>
                <pt idx="165">
                  <v>75010</v>
                </pt>
                <pt idx="166">
                  <v>75159</v>
                </pt>
              </numCache>
            </numRef>
          </val>
          <smooth val="0"/>
        </ser>
        <dLbls>
          <showLegendKey val="0"/>
          <showVal val="0"/>
          <showCatName val="0"/>
          <showSerName val="0"/>
          <showPercent val="0"/>
          <showBubbleSize val="0"/>
        </dLbls>
        <smooth val="0"/>
        <axId val="504146408"/>
        <axId val="504146800"/>
      </lineChart>
      <dateAx>
        <axId val="50414640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Aircraft'!$A$6:$A$375</f>
              <numCache>
                <formatCode>m/d/yyyy</formatCode>
                <ptCount val="37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'New Orders ex Aircraft'!$C$6:$C$375</f>
              <numCache>
                <formatCode>0.0%</formatCode>
                <ptCount val="370"/>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-0.01775525906999027</v>
                </pt>
                <pt idx="240">
                  <v>0.03316680954210884</v>
                </pt>
                <pt idx="241">
                  <v>-0.005436182083488312</v>
                </pt>
                <pt idx="242">
                  <v>-0.02882540778458617</v>
                </pt>
                <pt idx="243">
                  <v>0.02466009064249533</v>
                </pt>
                <pt idx="244">
                  <v>-0.02968937455733345</v>
                </pt>
                <pt idx="245">
                  <v>-0.02733542880126324</v>
                </pt>
                <pt idx="246">
                  <v>-0.02409103439826018</v>
                </pt>
                <pt idx="247">
                  <v>0.004001820435963027</v>
                </pt>
                <pt idx="248">
                  <v>0.03065211954482931</v>
                </pt>
                <pt idx="249">
                  <v>0.008128971594097397</v>
                </pt>
                <pt idx="250">
                  <v>0.002361861206805771</v>
                </pt>
                <pt idx="251">
                  <v>0.04694582020111061</v>
                </pt>
                <pt idx="252">
                  <v>-0.05114825539723043</v>
                </pt>
                <pt idx="253">
                  <v>0.001284181900589213</v>
                </pt>
                <pt idx="254">
                  <v>0.0192832893247831</v>
                </pt>
                <pt idx="255">
                  <v>0.0241736118307107</v>
                </pt>
                <pt idx="256">
                  <v>0.003714624345965947</v>
                </pt>
                <pt idx="257">
                  <v>-0.0415592644327002</v>
                </pt>
                <pt idx="258">
                  <v>-0.009345373138813349</v>
                </pt>
                <pt idx="259">
                  <v>0.01063168271782816</v>
                </pt>
                <pt idx="260">
                  <v>-0.02756768113332133</v>
                </pt>
                <pt idx="261">
                  <v>0.05853485393293106</v>
                </pt>
                <pt idx="262">
                  <v>-0.01597853977140191</v>
                </pt>
                <pt idx="263">
                  <v>0.009037572596894632</v>
                </pt>
                <pt idx="264">
                  <v>-0.01290635186327196</v>
                </pt>
                <pt idx="265">
                  <v>0.01896559418090946</v>
                </pt>
                <pt idx="266">
                  <v>-0.03154652418907477</v>
                </pt>
                <pt idx="267">
                  <v>-0.007898584585701151</v>
                </pt>
                <pt idx="268">
                  <v>0.06161022228299679</v>
                </pt>
                <pt idx="269">
                  <v>-0.02777936798717655</v>
                </pt>
                <pt idx="270">
                  <v>0.009171070645213525</v>
                </pt>
                <pt idx="271">
                  <v>0.01271989964115879</v>
                </pt>
                <pt idx="272">
                  <v>-0.05446086480569239</v>
                </pt>
                <pt idx="273">
                  <v>-0.02728311371772412</v>
                </pt>
                <pt idx="274">
                  <v>0.03165032730917405</v>
                </pt>
                <pt idx="275">
                  <v>-0.01835294117647059</v>
                </pt>
                <pt idx="276">
                  <v>-0.006324807472241982</v>
                </pt>
                <pt idx="277">
                  <v>0.007221003159188882</v>
                </pt>
                <pt idx="278">
                  <v>-0.0087915823303101</v>
                </pt>
                <pt idx="279">
                  <v>-0.02523693727397431</v>
                </pt>
                <pt idx="280">
                  <v>0.02234020437209154</v>
                </pt>
                <pt idx="281">
                  <v>-0.002440168934772407</v>
                </pt>
                <pt idx="282">
                  <v>-0.00633487000972183</v>
                </pt>
                <pt idx="283">
                  <v>-0.0008205775603597917</v>
                </pt>
                <pt idx="284">
                  <v>-0.004216810385672321</v>
                </pt>
                <pt idx="285">
                  <v>-0.01589189703573298</v>
                </pt>
                <pt idx="286">
                  <v>-0.03036310013054199</v>
                </pt>
                <pt idx="287">
                  <v>0.02566276074129477</v>
                </pt>
                <pt idx="288">
                  <v>-0.01024161791634932</v>
                </pt>
                <pt idx="289">
                  <v>-0.008399233754113659</v>
                </pt>
                <pt idx="290">
                  <v>0.006703652334720296</v>
                </pt>
                <pt idx="291">
                  <v>-0.02304412005904543</v>
                </pt>
                <pt idx="292">
                  <v>-0.001007302946361118</v>
                </pt>
                <pt idx="293">
                  <v>0.006621292328375767</v>
                </pt>
                <pt idx="294">
                  <v>0.03078515501093507</v>
                </pt>
                <pt idx="295">
                  <v>-0.03972920007126314</v>
                </pt>
                <pt idx="296">
                  <v>0.002074548827795581</v>
                </pt>
                <pt idx="297">
                  <v>-0.002541531314695437</v>
                </pt>
                <pt idx="298">
                  <v>0.001569302419763086</v>
                </pt>
                <pt idx="299">
                  <v>0.02247493892679639</v>
                </pt>
                <pt idx="300">
                  <v>0.001038079388357033</v>
                </pt>
                <pt idx="301">
                  <v>0.006979194100605741</v>
                </pt>
                <pt idx="302">
                  <v>0.002664443572642867</v>
                </pt>
                <pt idx="303">
                  <v>0.0009618676535320107</v>
                </pt>
                <pt idx="304">
                  <v>-0.01907228248477149</v>
                </pt>
                <pt idx="305">
                  <v>0.01952612615604297</v>
                </pt>
                <pt idx="306">
                  <v>0.003908603814145889</v>
                </pt>
                <pt idx="307">
                  <v>0.03007640770241552</v>
                </pt>
                <pt idx="308">
                  <v>0.007606658582295226</v>
                </pt>
                <pt idx="309">
                  <v>-0.006595811190997187</v>
                </pt>
                <pt idx="310">
                  <v>0.002942194530979578</v>
                </pt>
                <pt idx="311">
                  <v>0.001113812848066515</v>
                </pt>
                <pt idx="312">
                  <v>0.02258054406418453</v>
                </pt>
                <pt idx="313">
                  <v>-0.01814364742479734</v>
                </pt>
                <pt idx="314">
                  <v>0.02139746851247796</v>
                </pt>
                <pt idx="315">
                  <v>0.01992543243078052</v>
                </pt>
                <pt idx="316">
                  <v>0.01393300173787979</v>
                </pt>
                <pt idx="317">
                  <v>0.01075681905493661</v>
                </pt>
                <pt idx="318">
                  <v>-0.01660673040376575</v>
                </pt>
                <pt idx="319">
                  <v>-0.002125761855210346</v>
                </pt>
                <pt idx="320">
                  <v>0.01197729676583193</v>
                </pt>
                <pt idx="321">
                  <v>-0.03939291339741797</v>
                </pt>
                <pt idx="322">
                  <v>0.007938089035322964</v>
                </pt>
                <pt idx="323">
                  <v>0.02032749000349688</v>
                </pt>
                <pt idx="324">
                  <v>-0.005036507226940844</v>
                </pt>
                <pt idx="325">
                  <v>0.01262505241718085</v>
                </pt>
                <pt idx="326">
                  <v>-0.00853360940619685</v>
                </pt>
                <pt idx="327">
                  <v>-0.005340254780870551</v>
                </pt>
                <pt idx="328">
                  <v>-0.006553689262147571</v>
                </pt>
                <pt idx="329">
                  <v>-0.00560059176063886</v>
                </pt>
                <pt idx="330">
                  <v>-0.0006527811513237794</v>
                </pt>
                <pt idx="331">
                  <v>-0.009509486700390405</v>
                </pt>
                <pt idx="332">
                  <v>6.134687054276643e-05</v>
                </pt>
                <pt idx="333">
                  <v>-0.02150075912095327</v>
                </pt>
                <pt idx="334">
                  <v>-0.01340020374578795</v>
                </pt>
                <pt idx="335">
                  <v>-0.01035742652899126</v>
                </pt>
                <pt idx="336">
                  <v>-0.01690262929789078</v>
                </pt>
                <pt idx="337">
                  <v>-0.008653767654502409</v>
                </pt>
                <pt idx="338">
                  <v>-0.08515193938894837</v>
                </pt>
                <pt idx="339">
                  <v>0.01652714015662976</v>
                </pt>
                <pt idx="340">
                  <v>0.03692683704372775</v>
                </pt>
                <pt idx="341">
                  <v>0.02642276422764228</v>
                </pt>
                <pt idx="342">
                  <v>0.009851069140527498</v>
                </pt>
                <pt idx="343">
                  <v>0.02425560663733584</v>
                </pt>
                <pt idx="344">
                  <v>0.01032835148570601</v>
                </pt>
                <pt idx="345">
                  <v>0.002643270011624019</v>
                </pt>
                <pt idx="346">
                  <v>0.01551606397001604</v>
                </pt>
                <pt idx="347">
                  <v>0.01260477918178406</v>
                </pt>
                <pt idx="348">
                  <v>-0.002903474903474903</v>
                </pt>
                <pt idx="349">
                  <v>0.02050741922493107</v>
                </pt>
                <pt idx="350">
                  <v>0.0314027259205294</v>
                </pt>
                <pt idx="351">
                  <v>-0.01578986093738503</v>
                </pt>
                <pt idx="352">
                  <v>0.01907837684279776</v>
                </pt>
                <pt idx="353">
                  <v>0.007365239590363567</v>
                </pt>
                <pt idx="354">
                  <v>0.01267113311972036</v>
                </pt>
                <pt idx="355">
                  <v>-0.003336689198906947</v>
                </pt>
                <pt idx="356">
                  <v>0.01925019481081705</v>
                </pt>
                <pt idx="357">
                  <v>0.007121418054139766</v>
                </pt>
                <pt idx="358">
                  <v>0.0008996977577844943</v>
                </pt>
                <pt idx="359">
                  <v>0.01429795362294414</v>
                </pt>
                <pt idx="360">
                  <v>-0.002478640763255189</v>
                </pt>
                <pt idx="361">
                  <v>0.01136899969460562</v>
                </pt>
                <pt idx="362">
                  <v>0.003541183414085126</v>
                </pt>
                <pt idx="363">
                  <v>0.004951104424536688</v>
                </pt>
                <pt idx="364">
                  <v>0.009703716809341699</v>
                </pt>
                <pt idx="365">
                  <v>0.006995551961180752</v>
                </pt>
                <pt idx="366">
                  <v>0.008968129676478068</v>
                </pt>
                <pt idx="367">
                  <v>-0.007429124822563313</v>
                </pt>
                <pt idx="368">
                  <v>0.002552827490343362</v>
                </pt>
                <pt idx="369">
                  <v>0.001986401813091588</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Aircraft'!$A$251:$A$378</f>
              <numCache>
                <formatCode>m/d/yyyy</formatCode>
                <ptCount val="12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numCache>
            </numRef>
          </cat>
          <val>
            <numRef>
              <f>'New Orders ex Aircraft'!$C$251:$C$378</f>
              <numCache>
                <formatCode>0.0%</formatCode>
                <ptCount val="128"/>
                <pt idx="0">
                  <v>-0.02733542880126324</v>
                </pt>
                <pt idx="1">
                  <v>-0.02409103439826018</v>
                </pt>
                <pt idx="2">
                  <v>0.004001820435963027</v>
                </pt>
                <pt idx="3">
                  <v>0.03065211954482931</v>
                </pt>
                <pt idx="4">
                  <v>0.008128971594097397</v>
                </pt>
                <pt idx="5">
                  <v>0.002361861206805771</v>
                </pt>
                <pt idx="6">
                  <v>0.04694582020111061</v>
                </pt>
                <pt idx="7">
                  <v>-0.05114825539723043</v>
                </pt>
                <pt idx="8">
                  <v>0.001284181900589213</v>
                </pt>
                <pt idx="9">
                  <v>0.0192832893247831</v>
                </pt>
                <pt idx="10">
                  <v>0.0241736118307107</v>
                </pt>
                <pt idx="11">
                  <v>0.003714624345965947</v>
                </pt>
                <pt idx="12">
                  <v>-0.0415592644327002</v>
                </pt>
                <pt idx="13">
                  <v>-0.009345373138813349</v>
                </pt>
                <pt idx="14">
                  <v>0.01063168271782816</v>
                </pt>
                <pt idx="15">
                  <v>-0.02756768113332133</v>
                </pt>
                <pt idx="16">
                  <v>0.05853485393293106</v>
                </pt>
                <pt idx="17">
                  <v>-0.01597853977140191</v>
                </pt>
                <pt idx="18">
                  <v>0.009037572596894632</v>
                </pt>
                <pt idx="19">
                  <v>-0.01290635186327196</v>
                </pt>
                <pt idx="20">
                  <v>0.01896559418090946</v>
                </pt>
                <pt idx="21">
                  <v>-0.03154652418907477</v>
                </pt>
                <pt idx="22">
                  <v>-0.007898584585701151</v>
                </pt>
                <pt idx="23">
                  <v>0.06161022228299679</v>
                </pt>
                <pt idx="24">
                  <v>-0.02777936798717655</v>
                </pt>
                <pt idx="25">
                  <v>0.009171070645213525</v>
                </pt>
                <pt idx="26">
                  <v>0.01271989964115879</v>
                </pt>
                <pt idx="27">
                  <v>-0.05446086480569239</v>
                </pt>
                <pt idx="28">
                  <v>-0.02728311371772412</v>
                </pt>
                <pt idx="29">
                  <v>0.03165032730917405</v>
                </pt>
                <pt idx="30">
                  <v>-0.01835294117647059</v>
                </pt>
                <pt idx="31">
                  <v>-0.006324807472241982</v>
                </pt>
                <pt idx="32">
                  <v>0.007221003159188882</v>
                </pt>
                <pt idx="33">
                  <v>-0.0087915823303101</v>
                </pt>
                <pt idx="34">
                  <v>-0.02523693727397431</v>
                </pt>
                <pt idx="35">
                  <v>0.02234020437209154</v>
                </pt>
                <pt idx="36">
                  <v>-0.002440168934772407</v>
                </pt>
                <pt idx="37">
                  <v>-0.00633487000972183</v>
                </pt>
                <pt idx="38">
                  <v>-0.0008205775603597917</v>
                </pt>
                <pt idx="39">
                  <v>-0.004216810385672321</v>
                </pt>
                <pt idx="40">
                  <v>-0.01589189703573298</v>
                </pt>
                <pt idx="41">
                  <v>-0.03036310013054199</v>
                </pt>
                <pt idx="42">
                  <v>0.02566276074129477</v>
                </pt>
                <pt idx="43">
                  <v>-0.01024161791634932</v>
                </pt>
                <pt idx="44">
                  <v>-0.008399233754113659</v>
                </pt>
                <pt idx="45">
                  <v>0.006703652334720296</v>
                </pt>
                <pt idx="46">
                  <v>-0.02304412005904543</v>
                </pt>
                <pt idx="47">
                  <v>-0.001007302946361118</v>
                </pt>
                <pt idx="48">
                  <v>0.006621292328375767</v>
                </pt>
                <pt idx="49">
                  <v>0.03078515501093507</v>
                </pt>
                <pt idx="50">
                  <v>-0.03972920007126314</v>
                </pt>
                <pt idx="51">
                  <v>0.002074548827795581</v>
                </pt>
                <pt idx="52">
                  <v>-0.002541531314695437</v>
                </pt>
                <pt idx="53">
                  <v>0.001569302419763086</v>
                </pt>
                <pt idx="54">
                  <v>0.02247493892679639</v>
                </pt>
                <pt idx="55">
                  <v>0.001038079388357033</v>
                </pt>
                <pt idx="56">
                  <v>0.006979194100605741</v>
                </pt>
                <pt idx="57">
                  <v>0.002664443572642867</v>
                </pt>
                <pt idx="58">
                  <v>0.0009618676535320107</v>
                </pt>
                <pt idx="59">
                  <v>-0.01907228248477149</v>
                </pt>
                <pt idx="60">
                  <v>0.01952612615604297</v>
                </pt>
                <pt idx="61">
                  <v>0.003908603814145889</v>
                </pt>
                <pt idx="62">
                  <v>0.03007640770241552</v>
                </pt>
                <pt idx="63">
                  <v>0.007606658582295226</v>
                </pt>
                <pt idx="64">
                  <v>-0.006595811190997187</v>
                </pt>
                <pt idx="65">
                  <v>0.002942194530979578</v>
                </pt>
                <pt idx="66">
                  <v>0.001113812848066515</v>
                </pt>
                <pt idx="67">
                  <v>0.02258054406418453</v>
                </pt>
                <pt idx="68">
                  <v>-0.01814364742479734</v>
                </pt>
                <pt idx="69">
                  <v>0.02139746851247796</v>
                </pt>
                <pt idx="70">
                  <v>0.01992543243078052</v>
                </pt>
                <pt idx="71">
                  <v>0.01393300173787979</v>
                </pt>
                <pt idx="72">
                  <v>0.01075681905493661</v>
                </pt>
                <pt idx="73">
                  <v>-0.01660673040376575</v>
                </pt>
                <pt idx="74">
                  <v>-0.002125761855210346</v>
                </pt>
                <pt idx="75">
                  <v>0.01197729676583193</v>
                </pt>
                <pt idx="76">
                  <v>-0.03939291339741797</v>
                </pt>
                <pt idx="77">
                  <v>0.007938089035322964</v>
                </pt>
                <pt idx="78">
                  <v>0.02032749000349688</v>
                </pt>
                <pt idx="79">
                  <v>-0.005036507226940844</v>
                </pt>
                <pt idx="80">
                  <v>0.01262505241718085</v>
                </pt>
                <pt idx="81">
                  <v>-0.00853360940619685</v>
                </pt>
                <pt idx="82">
                  <v>-0.005340254780870551</v>
                </pt>
                <pt idx="83">
                  <v>-0.006553689262147571</v>
                </pt>
                <pt idx="84">
                  <v>-0.00560059176063886</v>
                </pt>
                <pt idx="85">
                  <v>-0.0006527811513237794</v>
                </pt>
                <pt idx="86">
                  <v>-0.009509486700390405</v>
                </pt>
                <pt idx="87">
                  <v>6.134687054276643e-05</v>
                </pt>
                <pt idx="88">
                  <v>-0.02150075912095327</v>
                </pt>
                <pt idx="89">
                  <v>-0.01340020374578795</v>
                </pt>
                <pt idx="90">
                  <v>-0.01035742652899126</v>
                </pt>
                <pt idx="91">
                  <v>-0.01690262929789078</v>
                </pt>
                <pt idx="92">
                  <v>-0.008653767654502409</v>
                </pt>
                <pt idx="93">
                  <v>-0.08515193938894837</v>
                </pt>
                <pt idx="94">
                  <v>0.01652714015662976</v>
                </pt>
                <pt idx="95">
                  <v>0.03692683704372775</v>
                </pt>
                <pt idx="96">
                  <v>0.02642276422764228</v>
                </pt>
                <pt idx="97">
                  <v>0.009851069140527498</v>
                </pt>
                <pt idx="98">
                  <v>0.02425560663733584</v>
                </pt>
                <pt idx="99">
                  <v>0.01032835148570601</v>
                </pt>
                <pt idx="100">
                  <v>0.002643270011624019</v>
                </pt>
                <pt idx="101">
                  <v>0.01551606397001604</v>
                </pt>
                <pt idx="102">
                  <v>0.01260477918178406</v>
                </pt>
                <pt idx="103">
                  <v>-0.002903474903474903</v>
                </pt>
                <pt idx="104">
                  <v>0.02050741922493107</v>
                </pt>
                <pt idx="105">
                  <v>0.0314027259205294</v>
                </pt>
                <pt idx="106">
                  <v>-0.01578986093738503</v>
                </pt>
                <pt idx="107">
                  <v>0.01907837684279776</v>
                </pt>
                <pt idx="108">
                  <v>0.007365239590363567</v>
                </pt>
                <pt idx="109">
                  <v>0.01267113311972036</v>
                </pt>
                <pt idx="110">
                  <v>-0.003336689198906947</v>
                </pt>
                <pt idx="111">
                  <v>0.01925019481081705</v>
                </pt>
                <pt idx="112">
                  <v>0.007121418054139766</v>
                </pt>
                <pt idx="113">
                  <v>0.0008996977577844943</v>
                </pt>
                <pt idx="114">
                  <v>0.01429795362294414</v>
                </pt>
                <pt idx="115">
                  <v>-0.002478640763255189</v>
                </pt>
                <pt idx="116">
                  <v>0.01136899969460562</v>
                </pt>
                <pt idx="117">
                  <v>0.003541183414085126</v>
                </pt>
                <pt idx="118">
                  <v>0.004951104424536688</v>
                </pt>
                <pt idx="119">
                  <v>0.009703716809341699</v>
                </pt>
                <pt idx="120">
                  <v>0.006995551961180752</v>
                </pt>
                <pt idx="121">
                  <v>0.008968129676478068</v>
                </pt>
                <pt idx="122">
                  <v>-0.007429124822563313</v>
                </pt>
                <pt idx="123">
                  <v>0.002552827490343362</v>
                </pt>
                <pt idx="124">
                  <v>0.001986401813091588</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Transport'!$A$6:$A$375</f>
              <numCache>
                <formatCode>m/d/yyyy</formatCode>
                <ptCount val="37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'New Orders ex Transport'!$B$6:$B$375</f>
              <numCache>
                <formatCode>#,##0</formatCode>
                <ptCount val="370"/>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180358</v>
                </pt>
                <pt idx="367">
                  <v>178723</v>
                </pt>
                <pt idx="368">
                  <v>178970</v>
                </pt>
                <pt idx="369">
                  <v>179328</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0.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Transport'!$A$6:$A$375</f>
              <numCache>
                <formatCode>m/d/yyyy</formatCode>
                <ptCount val="37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'New Orders ex Transport'!$C$6:$C$375</f>
              <numCache>
                <formatCode>0.0%</formatCode>
                <ptCount val="370"/>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-0.0181264978908405</v>
                </pt>
                <pt idx="240">
                  <v>0.01214513635316951</v>
                </pt>
                <pt idx="241">
                  <v>-0.002814594288908678</v>
                </pt>
                <pt idx="242">
                  <v>-0.01320009386733417</v>
                </pt>
                <pt idx="243">
                  <v>-0.003719043749958714</v>
                </pt>
                <pt idx="244">
                  <v>-0.02524864076382443</v>
                </pt>
                <pt idx="245">
                  <v>-0.004366990449759203</v>
                </pt>
                <pt idx="246">
                  <v>-0.02432875589260094</v>
                </pt>
                <pt idx="247">
                  <v>0.01112674971465384</v>
                </pt>
                <pt idx="248">
                  <v>0.02187010900427984</v>
                </pt>
                <pt idx="249">
                  <v>0.0001287646723955651</v>
                </pt>
                <pt idx="250">
                  <v>-0.01006945620870744</v>
                </pt>
                <pt idx="251">
                  <v>0.03881195709464778</v>
                </pt>
                <pt idx="252">
                  <v>-0.01570911774589975</v>
                </pt>
                <pt idx="253">
                  <v>-0.02294225941422594</v>
                </pt>
                <pt idx="254">
                  <v>0.02467317126647847</v>
                </pt>
                <pt idx="255">
                  <v>0.005269175989140683</v>
                </pt>
                <pt idx="256">
                  <v>0.001982213294132516</v>
                </pt>
                <pt idx="257">
                  <v>-0.01241411358582003</v>
                </pt>
                <pt idx="258">
                  <v>-0.008079857493362014</v>
                </pt>
                <pt idx="259">
                  <v>0.005760251553573728</v>
                </pt>
                <pt idx="260">
                  <v>0.003934965265845984</v>
                </pt>
                <pt idx="261">
                  <v>0.01512782136553085</v>
                </pt>
                <pt idx="262">
                  <v>-0.02218828305267403</v>
                </pt>
                <pt idx="263">
                  <v>0.02077825484296291</v>
                </pt>
                <pt idx="264">
                  <v>0.0008014943564199036</v>
                </pt>
                <pt idx="265">
                  <v>0.01484555460688733</v>
                </pt>
                <pt idx="266">
                  <v>-0.00895442569065818</v>
                </pt>
                <pt idx="267">
                  <v>0.001105561368527037</v>
                </pt>
                <pt idx="268">
                  <v>0.02930446271864955</v>
                </pt>
                <pt idx="269">
                  <v>-0.01841172526104033</v>
                </pt>
                <pt idx="270">
                  <v>0.009817699184135536</v>
                </pt>
                <pt idx="271">
                  <v>0.01141027375637036</v>
                </pt>
                <pt idx="272">
                  <v>-0.02688843306875948</v>
                </pt>
                <pt idx="273">
                  <v>-0.0228461452857732</v>
                </pt>
                <pt idx="274">
                  <v>0.006364263654695152</v>
                </pt>
                <pt idx="275">
                  <v>-0.017873666131899</v>
                </pt>
                <pt idx="276">
                  <v>-0.007428695369265806</v>
                </pt>
                <pt idx="277">
                  <v>0.004588910133843212</v>
                </pt>
                <pt idx="278">
                  <v>-0.00352792430257219</v>
                </pt>
                <pt idx="279">
                  <v>-0.01240850518101137</v>
                </pt>
                <pt idx="280">
                  <v>0.02100515285893876</v>
                </pt>
                <pt idx="281">
                  <v>-0.01162940161688597</v>
                </pt>
                <pt idx="282">
                  <v>0.0006639469937575293</v>
                </pt>
                <pt idx="283">
                  <v>-0.001805832016580821</v>
                </pt>
                <pt idx="284">
                  <v>-0.01035435040327831</v>
                </pt>
                <pt idx="285">
                  <v>-0.004514672686230248</v>
                </pt>
                <pt idx="286">
                  <v>-0.01315331858714856</v>
                </pt>
                <pt idx="287">
                  <v>0.01628898678414097</v>
                </pt>
                <pt idx="288">
                  <v>-0.01102048742596369</v>
                </pt>
                <pt idx="289">
                  <v>-0.009432175992482311</v>
                </pt>
                <pt idx="290">
                  <v>0.008821114037323365</v>
                </pt>
                <pt idx="291">
                  <v>-0.006407107468174992</v>
                </pt>
                <pt idx="292">
                  <v>-0.007507857470777272</v>
                </pt>
                <pt idx="293">
                  <v>0.009094661334168315</v>
                </pt>
                <pt idx="294">
                  <v>0.001678420310296192</v>
                </pt>
                <pt idx="295">
                  <v>-0.007857052338106704</v>
                </pt>
                <pt idx="296">
                  <v>0.008061196974212686</v>
                </pt>
                <pt idx="297">
                  <v>0.002506018668431204</v>
                </pt>
                <pt idx="298">
                  <v>0.0008355920064038648</v>
                </pt>
                <pt idx="299">
                  <v>0.01855710607368118</v>
                </pt>
                <pt idx="300">
                  <v>0.000247971455730207</v>
                </pt>
                <pt idx="301">
                  <v>0.01108708526726073</v>
                </pt>
                <pt idx="302">
                  <v>-0.004386203890372147</v>
                </pt>
                <pt idx="303">
                  <v>0.008181693802161719</v>
                </pt>
                <pt idx="304">
                  <v>-0.01046981869503854</v>
                </pt>
                <pt idx="305">
                  <v>0.01378288864660262</v>
                </pt>
                <pt idx="306">
                  <v>0.006838335261053956</v>
                </pt>
                <pt idx="307">
                  <v>0.01019119405592057</v>
                </pt>
                <pt idx="308">
                  <v>0.01845435622560201</v>
                </pt>
                <pt idx="309">
                  <v>0.0009925169446149426</v>
                </pt>
                <pt idx="310">
                  <v>0.00679721848947801</v>
                </pt>
                <pt idx="311">
                  <v>0.001263444343656862</v>
                </pt>
                <pt idx="312">
                  <v>0.01649464522600058</v>
                </pt>
                <pt idx="313">
                  <v>0.002540042270377632</v>
                </pt>
                <pt idx="314">
                  <v>0.01592552846973959</v>
                </pt>
                <pt idx="315">
                  <v>0.01010056815695883</v>
                </pt>
                <pt idx="316">
                  <v>0.0020048636507082</v>
                </pt>
                <pt idx="317">
                  <v>0.005940801946508081</v>
                </pt>
                <pt idx="318">
                  <v>-0.01271386738533884</v>
                </pt>
                <pt idx="319">
                  <v>-0.004365074430115283</v>
                </pt>
                <pt idx="320">
                  <v>0.01170372220834374</v>
                </pt>
                <pt idx="321">
                  <v>-0.02232798745632554</v>
                </pt>
                <pt idx="322">
                  <v>0.007652626328317875</v>
                </pt>
                <pt idx="323">
                  <v>-0.00132214626321363</v>
                </pt>
                <pt idx="324">
                  <v>-0.0003701891101657695</v>
                </pt>
                <pt idx="325">
                  <v>-0.003339212523302305</v>
                </pt>
                <pt idx="326">
                  <v>0.005661672555058034</v>
                </pt>
                <pt idx="327">
                  <v>-0.005886552359004546</v>
                </pt>
                <pt idx="328">
                  <v>0.006715129830042962</v>
                </pt>
                <pt idx="329">
                  <v>-0.01240832978750031</v>
                </pt>
                <pt idx="330">
                  <v>-0.001387577694846955</v>
                </pt>
                <pt idx="331">
                  <v>-0.009047649260833703</v>
                </pt>
                <pt idx="332">
                  <v>-0.00272755211801465</v>
                </pt>
                <pt idx="333">
                  <v>-0.006458737271921827</v>
                </pt>
                <pt idx="334">
                  <v>-0.01450062034739454</v>
                </pt>
                <pt idx="335">
                  <v>-0.009966690271985731</v>
                </pt>
                <pt idx="336">
                  <v>-0.00587463904416245</v>
                </pt>
                <pt idx="337">
                  <v>-0.02732826563447279</v>
                </pt>
                <pt idx="338">
                  <v>-0.09722669333351598</v>
                </pt>
                <pt idx="339">
                  <v>0.03529483171982641</v>
                </pt>
                <pt idx="340">
                  <v>0.05167233393914522</v>
                </pt>
                <pt idx="341">
                  <v>0.02838885908004488</v>
                </pt>
                <pt idx="342">
                  <v>0.01076696864772566</v>
                </pt>
                <pt idx="343">
                  <v>0.02382516591808004</v>
                </pt>
                <pt idx="344">
                  <v>0.009664492810560227</v>
                </pt>
                <pt idx="345">
                  <v>0.006271076523994812</v>
                </pt>
                <pt idx="346">
                  <v>0.02529532697029652</v>
                </pt>
                <pt idx="347">
                  <v>0.01150906393784728</v>
                </pt>
                <pt idx="348">
                  <v>0.0007208416447617805</v>
                </pt>
                <pt idx="349">
                  <v>0.01454306099764653</v>
                </pt>
                <pt idx="350">
                  <v>0.01629320422815382</v>
                </pt>
                <pt idx="351">
                  <v>0.00100576356726872</v>
                </pt>
                <pt idx="352">
                  <v>0.009782804885385958</v>
                </pt>
                <pt idx="353">
                  <v>0.004123072523177387</v>
                </pt>
                <pt idx="354">
                  <v>0.01085279597455616</v>
                </pt>
                <pt idx="355">
                  <v>0.001579036963553009</v>
                </pt>
                <pt idx="356">
                  <v>0.003024158100172307</v>
                </pt>
                <pt idx="357">
                  <v>0.01336317210269834</v>
                </pt>
                <pt idx="358">
                  <v>0.009554342122713042</v>
                </pt>
                <pt idx="359">
                  <v>0.008601487269113464</v>
                </pt>
                <pt idx="360">
                  <v>-0.003267418682613029</v>
                </pt>
                <pt idx="361">
                  <v>0.01149333863591171</v>
                </pt>
                <pt idx="362">
                  <v>0.002409597950999225</v>
                </pt>
                <pt idx="363">
                  <v>0.004432191945849933</v>
                </pt>
                <pt idx="364">
                  <v>0.003832464938803289</v>
                </pt>
                <pt idx="365">
                  <v>0.001506015727027703</v>
                </pt>
                <pt idx="366">
                  <v>0.0007879433568606561</v>
                </pt>
                <pt idx="367">
                  <v>-0.009065303452023199</v>
                </pt>
                <pt idx="368">
                  <v>0.001382026935537116</v>
                </pt>
                <pt idx="369">
                  <v>0.002000335251718165</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numCache>
            </numRef>
          </cat>
          <val>
            <numRef>
              <f>'New Orders ex Transport'!$C$251:$C$463</f>
              <numCache>
                <formatCode>0.0%</formatCode>
                <ptCount val="213"/>
                <pt idx="0">
                  <v>-0.004366990449759203</v>
                </pt>
                <pt idx="1">
                  <v>-0.02432875589260094</v>
                </pt>
                <pt idx="2">
                  <v>0.01112674971465384</v>
                </pt>
                <pt idx="3">
                  <v>0.02187010900427984</v>
                </pt>
                <pt idx="4">
                  <v>0.0001287646723955651</v>
                </pt>
                <pt idx="5">
                  <v>-0.01006945620870744</v>
                </pt>
                <pt idx="6">
                  <v>0.03881195709464778</v>
                </pt>
                <pt idx="7">
                  <v>-0.01570911774589975</v>
                </pt>
                <pt idx="8">
                  <v>-0.02294225941422594</v>
                </pt>
                <pt idx="9">
                  <v>0.02467317126647847</v>
                </pt>
                <pt idx="10">
                  <v>0.005269175989140683</v>
                </pt>
                <pt idx="11">
                  <v>0.001982213294132516</v>
                </pt>
                <pt idx="12">
                  <v>-0.01241411358582003</v>
                </pt>
                <pt idx="13">
                  <v>-0.008079857493362014</v>
                </pt>
                <pt idx="14">
                  <v>0.005760251553573728</v>
                </pt>
                <pt idx="15">
                  <v>0.003934965265845984</v>
                </pt>
                <pt idx="16">
                  <v>0.01512782136553085</v>
                </pt>
                <pt idx="17">
                  <v>-0.02218828305267403</v>
                </pt>
                <pt idx="18">
                  <v>0.02077825484296291</v>
                </pt>
                <pt idx="19">
                  <v>0.0008014943564199036</v>
                </pt>
                <pt idx="20">
                  <v>0.01484555460688733</v>
                </pt>
                <pt idx="21">
                  <v>-0.00895442569065818</v>
                </pt>
                <pt idx="22">
                  <v>0.001105561368527037</v>
                </pt>
                <pt idx="23">
                  <v>0.02930446271864955</v>
                </pt>
                <pt idx="24">
                  <v>-0.01841172526104033</v>
                </pt>
                <pt idx="25">
                  <v>0.009817699184135536</v>
                </pt>
                <pt idx="26">
                  <v>0.01141027375637036</v>
                </pt>
                <pt idx="27">
                  <v>-0.02688843306875948</v>
                </pt>
                <pt idx="28">
                  <v>-0.0228461452857732</v>
                </pt>
                <pt idx="29">
                  <v>0.006364263654695152</v>
                </pt>
                <pt idx="30">
                  <v>-0.017873666131899</v>
                </pt>
                <pt idx="31">
                  <v>-0.007428695369265806</v>
                </pt>
                <pt idx="32">
                  <v>0.004588910133843212</v>
                </pt>
                <pt idx="33">
                  <v>-0.00352792430257219</v>
                </pt>
                <pt idx="34">
                  <v>-0.01240850518101137</v>
                </pt>
                <pt idx="35">
                  <v>0.02100515285893876</v>
                </pt>
                <pt idx="36">
                  <v>-0.01162940161688597</v>
                </pt>
                <pt idx="37">
                  <v>0.0006639469937575293</v>
                </pt>
                <pt idx="38">
                  <v>-0.001805832016580821</v>
                </pt>
                <pt idx="39">
                  <v>-0.01035435040327831</v>
                </pt>
                <pt idx="40">
                  <v>-0.004514672686230248</v>
                </pt>
                <pt idx="41">
                  <v>-0.01315331858714856</v>
                </pt>
                <pt idx="42">
                  <v>0.01628898678414097</v>
                </pt>
                <pt idx="43">
                  <v>-0.01102048742596369</v>
                </pt>
                <pt idx="44">
                  <v>-0.009432175992482311</v>
                </pt>
                <pt idx="45">
                  <v>0.008821114037323365</v>
                </pt>
                <pt idx="46">
                  <v>-0.006407107468174992</v>
                </pt>
                <pt idx="47">
                  <v>-0.007507857470777272</v>
                </pt>
                <pt idx="48">
                  <v>0.009094661334168315</v>
                </pt>
                <pt idx="49">
                  <v>0.001678420310296192</v>
                </pt>
                <pt idx="50">
                  <v>-0.007857052338106704</v>
                </pt>
                <pt idx="51">
                  <v>0.008061196974212686</v>
                </pt>
                <pt idx="52">
                  <v>0.002506018668431204</v>
                </pt>
                <pt idx="53">
                  <v>0.0008355920064038648</v>
                </pt>
                <pt idx="54">
                  <v>0.01855710607368118</v>
                </pt>
                <pt idx="55">
                  <v>0.000247971455730207</v>
                </pt>
                <pt idx="56">
                  <v>0.01108708526726073</v>
                </pt>
                <pt idx="57">
                  <v>-0.004386203890372147</v>
                </pt>
                <pt idx="58">
                  <v>0.008181693802161719</v>
                </pt>
                <pt idx="59">
                  <v>-0.01046981869503854</v>
                </pt>
                <pt idx="60">
                  <v>0.01378288864660262</v>
                </pt>
                <pt idx="61">
                  <v>0.006838335261053956</v>
                </pt>
                <pt idx="62">
                  <v>0.01019119405592057</v>
                </pt>
                <pt idx="63">
                  <v>0.01845435622560201</v>
                </pt>
                <pt idx="64">
                  <v>0.0009925169446149426</v>
                </pt>
                <pt idx="65">
                  <v>0.00679721848947801</v>
                </pt>
                <pt idx="66">
                  <v>0.001263444343656862</v>
                </pt>
                <pt idx="67">
                  <v>0.01649464522600058</v>
                </pt>
                <pt idx="68">
                  <v>0.002540042270377632</v>
                </pt>
                <pt idx="69">
                  <v>0.01592552846973959</v>
                </pt>
                <pt idx="70">
                  <v>0.01010056815695883</v>
                </pt>
                <pt idx="71">
                  <v>0.0020048636507082</v>
                </pt>
                <pt idx="72">
                  <v>0.005940801946508081</v>
                </pt>
                <pt idx="73">
                  <v>-0.01271386738533884</v>
                </pt>
                <pt idx="74">
                  <v>-0.004365074430115283</v>
                </pt>
                <pt idx="75">
                  <v>0.01170372220834374</v>
                </pt>
                <pt idx="76">
                  <v>-0.02232798745632554</v>
                </pt>
                <pt idx="77">
                  <v>0.007652626328317875</v>
                </pt>
                <pt idx="78">
                  <v>-0.00132214626321363</v>
                </pt>
                <pt idx="79">
                  <v>-0.0003701891101657695</v>
                </pt>
                <pt idx="80">
                  <v>-0.003339212523302305</v>
                </pt>
                <pt idx="81">
                  <v>0.005661672555058034</v>
                </pt>
                <pt idx="82">
                  <v>-0.005886552359004546</v>
                </pt>
                <pt idx="83">
                  <v>0.006715129830042962</v>
                </pt>
                <pt idx="84">
                  <v>-0.01240832978750031</v>
                </pt>
                <pt idx="85">
                  <v>-0.001387577694846955</v>
                </pt>
                <pt idx="86">
                  <v>-0.009047649260833703</v>
                </pt>
                <pt idx="87">
                  <v>-0.00272755211801465</v>
                </pt>
                <pt idx="88">
                  <v>-0.006458737271921827</v>
                </pt>
                <pt idx="89">
                  <v>-0.01450062034739454</v>
                </pt>
                <pt idx="90">
                  <v>-0.009966690271985731</v>
                </pt>
                <pt idx="91">
                  <v>-0.00587463904416245</v>
                </pt>
                <pt idx="92">
                  <v>-0.02732826563447279</v>
                </pt>
                <pt idx="93">
                  <v>-0.09722669333351598</v>
                </pt>
                <pt idx="94">
                  <v>0.03529483171982641</v>
                </pt>
                <pt idx="95">
                  <v>0.05167233393914522</v>
                </pt>
                <pt idx="96">
                  <v>0.02838885908004488</v>
                </pt>
                <pt idx="97">
                  <v>0.01076696864772566</v>
                </pt>
                <pt idx="98">
                  <v>0.02382516591808004</v>
                </pt>
                <pt idx="99">
                  <v>0.009664492810560227</v>
                </pt>
                <pt idx="100">
                  <v>0.006271076523994812</v>
                </pt>
                <pt idx="101">
                  <v>0.02529532697029652</v>
                </pt>
                <pt idx="102">
                  <v>0.01150906393784728</v>
                </pt>
                <pt idx="103">
                  <v>0.0007208416447617805</v>
                </pt>
                <pt idx="104">
                  <v>0.01454306099764653</v>
                </pt>
                <pt idx="105">
                  <v>0.01629320422815382</v>
                </pt>
                <pt idx="106">
                  <v>0.00100576356726872</v>
                </pt>
                <pt idx="107">
                  <v>0.009782804885385958</v>
                </pt>
                <pt idx="108">
                  <v>0.004123072523177387</v>
                </pt>
                <pt idx="109">
                  <v>0.01085279597455616</v>
                </pt>
                <pt idx="110">
                  <v>0.001579036963553009</v>
                </pt>
                <pt idx="111">
                  <v>0.003024158100172307</v>
                </pt>
                <pt idx="112">
                  <v>0.01336317210269834</v>
                </pt>
                <pt idx="113">
                  <v>0.009554342122713042</v>
                </pt>
                <pt idx="114">
                  <v>0.008601487269113464</v>
                </pt>
                <pt idx="115">
                  <v>-0.003267418682613029</v>
                </pt>
                <pt idx="116">
                  <v>0.01149333863591171</v>
                </pt>
                <pt idx="117">
                  <v>0.002409597950999225</v>
                </pt>
                <pt idx="118">
                  <v>0.004432191945849933</v>
                </pt>
                <pt idx="119">
                  <v>0.003832464938803289</v>
                </pt>
                <pt idx="120">
                  <v>0.001506015727027703</v>
                </pt>
                <pt idx="121">
                  <v>0.0007879433568606561</v>
                </pt>
                <pt idx="122">
                  <v>-0.009065303452023199</v>
                </pt>
                <pt idx="123">
                  <v>0.001382026935537116</v>
                </pt>
                <pt idx="124">
                  <v>0.002000335251718165</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Transport'!$A$6:$A$375</f>
              <numCache>
                <formatCode>m/d/yyyy</formatCode>
                <ptCount val="37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'New Orders ex Transport'!$B$6:$B$375</f>
              <numCache>
                <formatCode>#,##0</formatCode>
                <ptCount val="370"/>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180358</v>
                </pt>
                <pt idx="367">
                  <v>178723</v>
                </pt>
                <pt idx="368">
                  <v>178970</v>
                </pt>
                <pt idx="369">
                  <v>179328</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3.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Other!$A$6:$A$377</f>
              <numCache>
                <formatCode>m/d/yyyy</formatCode>
                <ptCount val="37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Other!$B$6:$B$377</f>
              <numCache>
                <formatCode>#,##0</formatCode>
                <ptCount val="372"/>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194542</v>
                </pt>
                <pt idx="367">
                  <v>193704</v>
                </pt>
                <pt idx="368">
                  <v>195664</v>
                </pt>
                <pt idx="369">
                  <v>189845</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4.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Other!$C$6:$C$378</f>
              <numCache>
                <formatCode>0.0%</formatCode>
                <ptCount val="373"/>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0.0003460694719801039</v>
                </pt>
                <pt idx="240">
                  <v>0.012577325632531</v>
                </pt>
                <pt idx="241">
                  <v>-0.04601308703457062</v>
                </pt>
                <pt idx="242">
                  <v>-0.02040134997329189</v>
                </pt>
                <pt idx="243">
                  <v>0.003847988945551886</v>
                </pt>
                <pt idx="244">
                  <v>0.001740697760549122</v>
                </pt>
                <pt idx="245">
                  <v>0.03646648509421638</v>
                </pt>
                <pt idx="246">
                  <v>-0.138112054410121</v>
                </pt>
                <pt idx="247">
                  <v>0.114676525973802</v>
                </pt>
                <pt idx="248">
                  <v>0.01388012227874107</v>
                </pt>
                <pt idx="249">
                  <v>-0.03637062762068102</v>
                </pt>
                <pt idx="250">
                  <v>0.09932734573922296</v>
                </pt>
                <pt idx="251">
                  <v>-0.05508630822059874</v>
                </pt>
                <pt idx="252">
                  <v>0.0693158051986854</v>
                </pt>
                <pt idx="253">
                  <v>-0.1109989679023328</v>
                </pt>
                <pt idx="254">
                  <v>0.06877906417369552</v>
                </pt>
                <pt idx="255">
                  <v>0.05095182082243081</v>
                </pt>
                <pt idx="256">
                  <v>0.07269955115978941</v>
                </pt>
                <pt idx="257">
                  <v>-0.1227847899110456</v>
                </pt>
                <pt idx="258">
                  <v>0.0006675405379163025</v>
                </pt>
                <pt idx="259">
                  <v>0.08161000400257135</v>
                </pt>
                <pt idx="260">
                  <v>-0.04117722917168953</v>
                </pt>
                <pt idx="261">
                  <v>0.03150748214985351</v>
                </pt>
                <pt idx="262">
                  <v>0.001014767992290031</v>
                </pt>
                <pt idx="263">
                  <v>-0.07526023083806223</v>
                </pt>
                <pt idx="264">
                  <v>0.04784272897081789</v>
                </pt>
                <pt idx="265">
                  <v>-0.0008766956755524644</v>
                </pt>
                <pt idx="266">
                  <v>0.02930147940589773</v>
                </pt>
                <pt idx="267">
                  <v>-0.03584418831980722</v>
                </pt>
                <pt idx="268">
                  <v>0.04786352999428231</v>
                </pt>
                <pt idx="269">
                  <v>0.340194297093419</v>
                </pt>
                <pt idx="270">
                  <v>-0.2771055006400974</v>
                </pt>
                <pt idx="271">
                  <v>0.002856711530198692</v>
                </pt>
                <pt idx="272">
                  <v>-0.03250385020669531</v>
                </pt>
                <pt idx="273">
                  <v>-0.02536145155112984</v>
                </pt>
                <pt idx="274">
                  <v>-0.01381503812950524</v>
                </pt>
                <pt idx="275">
                  <v>0.00277058325447029</v>
                </pt>
                <pt idx="276">
                  <v>-0.03223623347675725</v>
                </pt>
                <pt idx="277">
                  <v>0.03717865643585318</v>
                </pt>
                <pt idx="278">
                  <v>-0.01225999604117181</v>
                </pt>
                <pt idx="279">
                  <v>-0.04419408574541902</v>
                </pt>
                <pt idx="280">
                  <v>0.09193775593775594</v>
                </pt>
                <pt idx="281">
                  <v>-0.02171525948505013</v>
                </pt>
                <pt idx="282">
                  <v>-0.04028508691225358</v>
                </pt>
                <pt idx="283">
                  <v>-0.03015274493513134</v>
                </pt>
                <pt idx="284">
                  <v>0.0580025304444093</v>
                </pt>
                <pt idx="285">
                  <v>-0.02351233852784733</v>
                </pt>
                <pt idx="286">
                  <v>-0.03277862468825544</v>
                </pt>
                <pt idx="287">
                  <v>0.0586322869955157</v>
                </pt>
                <pt idx="288">
                  <v>-0.06309684733789735</v>
                </pt>
                <pt idx="289">
                  <v>0.006163481868592173</v>
                </pt>
                <pt idx="290">
                  <v>0.07652862306629926</v>
                </pt>
                <pt idx="291">
                  <v>-0.03166779203241053</v>
                </pt>
                <pt idx="292">
                  <v>-0.08541308771418248</v>
                </pt>
                <pt idx="293">
                  <v>0.06572080095926586</v>
                </pt>
                <pt idx="294">
                  <v>0.005989893274540027</v>
                </pt>
                <pt idx="295">
                  <v>-0.0202288595810706</v>
                </pt>
                <pt idx="296">
                  <v>0.1229157181410878</v>
                </pt>
                <pt idx="297">
                  <v>-0.1004648047056335</v>
                </pt>
                <pt idx="298">
                  <v>0.005206359990070682</v>
                </pt>
                <pt idx="299">
                  <v>-0.003398774361673783</v>
                </pt>
                <pt idx="300">
                  <v>0.02964996478781397</v>
                </pt>
                <pt idx="301">
                  <v>0.001564251470839693</v>
                </pt>
                <pt idx="302">
                  <v>0.006380018969332912</v>
                </pt>
                <pt idx="303">
                  <v>-0.008582612356197263</v>
                </pt>
                <pt idx="304">
                  <v>0.105391240422579</v>
                </pt>
                <pt idx="305">
                  <v>-0.1039828462989399</v>
                </pt>
                <pt idx="306">
                  <v>0.01908680240072687</v>
                </pt>
                <pt idx="307">
                  <v>0.03146249427069926</v>
                </pt>
                <pt idx="308">
                  <v>-0.0006026296566837107</v>
                </pt>
                <pt idx="309">
                  <v>-0.005847205218630657</v>
                </pt>
                <pt idx="310">
                  <v>0.06734427555277814</v>
                </pt>
                <pt idx="311">
                  <v>-0.08527492207814572</v>
                </pt>
                <pt idx="312">
                  <v>0.04664369936683045</v>
                </pt>
                <pt idx="313">
                  <v>0.05224533844954733</v>
                </pt>
                <pt idx="314">
                  <v>-0.02902497948764701</v>
                </pt>
                <pt idx="315">
                  <v>0.0248283551434775</v>
                </pt>
                <pt idx="316">
                  <v>0.00542255255066107</v>
                </pt>
                <pt idx="317">
                  <v>-0.05657562020183612</v>
                </pt>
                <pt idx="318">
                  <v>0.06046941214821254</v>
                </pt>
                <pt idx="319">
                  <v>0.00221436662852719</v>
                </pt>
                <pt idx="320">
                  <v>-0.03196637509939793</v>
                </pt>
                <pt idx="321">
                  <v>-0.04188767367630492</v>
                </pt>
                <pt idx="322">
                  <v>0.03942606235417317</v>
                </pt>
                <pt idx="323">
                  <v>-0.0542917911283148</v>
                </pt>
                <pt idx="324">
                  <v>-0.03624560791447581</v>
                </pt>
                <pt idx="325">
                  <v>0.06347205523019044</v>
                </pt>
                <pt idx="326">
                  <v>-0.04437839250654948</v>
                </pt>
                <pt idx="327">
                  <v>-0.04727890291064522</v>
                </pt>
                <pt idx="328">
                  <v>0.003945708124419994</v>
                </pt>
                <pt idx="329">
                  <v>0.04708925745142113</v>
                </pt>
                <pt idx="330">
                  <v>-0.004985551427391953</v>
                </pt>
                <pt idx="331">
                  <v>-0.01431033382268462</v>
                </pt>
                <pt idx="332">
                  <v>0.01423317015049084</v>
                </pt>
                <pt idx="333">
                  <v>-0.06001557851186904</v>
                </pt>
                <pt idx="334">
                  <v>0.02335864589135071</v>
                </pt>
                <pt idx="335">
                  <v>0.0700228984833903</v>
                </pt>
                <pt idx="336">
                  <v>0.02511552895202059</v>
                </pt>
                <pt idx="337">
                  <v>-0.1341792525897957</v>
                </pt>
                <pt idx="338">
                  <v>-0.1556933097582623</v>
                </pt>
                <pt idx="339">
                  <v>0.127852596203988</v>
                </pt>
                <pt idx="340">
                  <v>-0.005849240772951114</v>
                </pt>
                <pt idx="341">
                  <v>0.07588217924110438</v>
                </pt>
                <pt idx="342">
                  <v>0.02499674074887298</v>
                </pt>
                <pt idx="343">
                  <v>0.02365077452437375</v>
                </pt>
                <pt idx="344">
                  <v>0.03312297681718602</v>
                </pt>
                <pt idx="345">
                  <v>-0.01398278263071275</v>
                </pt>
                <pt idx="346">
                  <v>0.01679388332873256</v>
                </pt>
                <pt idx="347">
                  <v>0.03213016219765511</v>
                </pt>
                <pt idx="348">
                  <v>0.02718441850791553</v>
                </pt>
                <pt idx="349">
                  <v>0.01498332539304431</v>
                </pt>
                <pt idx="350">
                  <v>-0.007856321434438734</v>
                </pt>
                <pt idx="351">
                  <v>0.01714400610300597</v>
                </pt>
                <pt idx="352">
                  <v>0.02555873392404474</v>
                </pt>
                <pt idx="353">
                  <v>-0.01027824391128849</v>
                </pt>
                <pt idx="354">
                  <v>0.03055350299864245</v>
                </pt>
                <pt idx="355">
                  <v>-0.01470710843574394</v>
                </pt>
                <pt idx="356">
                  <v>0.007130486779829297</v>
                </pt>
                <pt idx="357">
                  <v>0.01221636578521377</v>
                </pt>
                <pt idx="358">
                  <v>0.003076718756917084</v>
                </pt>
                <pt idx="359">
                  <v>0.04523688681951585</v>
                </pt>
                <pt idx="360">
                  <v>-0.009801127367154348</v>
                </pt>
                <pt idx="361">
                  <v>-0.003752445219096961</v>
                </pt>
                <pt idx="362">
                  <v>0.00728704649906103</v>
                </pt>
                <pt idx="363">
                  <v>0.005454960721095878</v>
                </pt>
                <pt idx="364">
                  <v>0.02742794353816246</v>
                </pt>
                <pt idx="365">
                  <v>-0.0008021060425321871</v>
                </pt>
                <pt idx="366">
                  <v>0.001080624909947924</v>
                </pt>
                <pt idx="367">
                  <v>-0.004307553124775113</v>
                </pt>
                <pt idx="368">
                  <v>0.01011853136744724</v>
                </pt>
                <pt idx="369">
                  <v>-0.02973975795240821</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Other!$A$251:$A$379</f>
              <numCache>
                <formatCode>m/d/yyyy</formatCode>
                <ptCount val="12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numCache>
            </numRef>
          </cat>
          <val>
            <numRef>
              <f>Other!$C$251:$C$379</f>
              <numCache>
                <formatCode>0.0%</formatCode>
                <ptCount val="129"/>
                <pt idx="0">
                  <v>0.03646648509421638</v>
                </pt>
                <pt idx="1">
                  <v>-0.138112054410121</v>
                </pt>
                <pt idx="2">
                  <v>0.114676525973802</v>
                </pt>
                <pt idx="3">
                  <v>0.01388012227874107</v>
                </pt>
                <pt idx="4">
                  <v>-0.03637062762068102</v>
                </pt>
                <pt idx="5">
                  <v>0.09932734573922296</v>
                </pt>
                <pt idx="6">
                  <v>-0.05508630822059874</v>
                </pt>
                <pt idx="7">
                  <v>0.0693158051986854</v>
                </pt>
                <pt idx="8">
                  <v>-0.1109989679023328</v>
                </pt>
                <pt idx="9">
                  <v>0.06877906417369552</v>
                </pt>
                <pt idx="10">
                  <v>0.05095182082243081</v>
                </pt>
                <pt idx="11">
                  <v>0.07269955115978941</v>
                </pt>
                <pt idx="12">
                  <v>-0.1227847899110456</v>
                </pt>
                <pt idx="13">
                  <v>0.0006675405379163025</v>
                </pt>
                <pt idx="14">
                  <v>0.08161000400257135</v>
                </pt>
                <pt idx="15">
                  <v>-0.04117722917168953</v>
                </pt>
                <pt idx="16">
                  <v>0.03150748214985351</v>
                </pt>
                <pt idx="17">
                  <v>0.001014767992290031</v>
                </pt>
                <pt idx="18">
                  <v>-0.07526023083806223</v>
                </pt>
                <pt idx="19">
                  <v>0.04784272897081789</v>
                </pt>
                <pt idx="20">
                  <v>-0.0008766956755524644</v>
                </pt>
                <pt idx="21">
                  <v>0.02930147940589773</v>
                </pt>
                <pt idx="22">
                  <v>-0.03584418831980722</v>
                </pt>
                <pt idx="23">
                  <v>0.04786352999428231</v>
                </pt>
                <pt idx="24">
                  <v>0.340194297093419</v>
                </pt>
                <pt idx="25">
                  <v>-0.2771055006400974</v>
                </pt>
                <pt idx="26">
                  <v>0.002856711530198692</v>
                </pt>
                <pt idx="27">
                  <v>-0.03250385020669531</v>
                </pt>
                <pt idx="28">
                  <v>-0.02536145155112984</v>
                </pt>
                <pt idx="29">
                  <v>-0.01381503812950524</v>
                </pt>
                <pt idx="30">
                  <v>0.00277058325447029</v>
                </pt>
                <pt idx="31">
                  <v>-0.03223623347675725</v>
                </pt>
                <pt idx="32">
                  <v>0.03717865643585318</v>
                </pt>
                <pt idx="33">
                  <v>-0.01225999604117181</v>
                </pt>
                <pt idx="34">
                  <v>-0.04419408574541902</v>
                </pt>
                <pt idx="35">
                  <v>0.09193775593775594</v>
                </pt>
                <pt idx="36">
                  <v>-0.02171525948505013</v>
                </pt>
                <pt idx="37">
                  <v>-0.04028508691225358</v>
                </pt>
                <pt idx="38">
                  <v>-0.03015274493513134</v>
                </pt>
                <pt idx="39">
                  <v>0.0580025304444093</v>
                </pt>
                <pt idx="40">
                  <v>-0.02351233852784733</v>
                </pt>
                <pt idx="41">
                  <v>-0.03277862468825544</v>
                </pt>
                <pt idx="42">
                  <v>0.0586322869955157</v>
                </pt>
                <pt idx="43">
                  <v>-0.06309684733789735</v>
                </pt>
                <pt idx="44">
                  <v>0.006163481868592173</v>
                </pt>
                <pt idx="45">
                  <v>0.07652862306629926</v>
                </pt>
                <pt idx="46">
                  <v>-0.03166779203241053</v>
                </pt>
                <pt idx="47">
                  <v>-0.08541308771418248</v>
                </pt>
                <pt idx="48">
                  <v>0.06572080095926586</v>
                </pt>
                <pt idx="49">
                  <v>0.005989893274540027</v>
                </pt>
                <pt idx="50">
                  <v>-0.0202288595810706</v>
                </pt>
                <pt idx="51">
                  <v>0.1229157181410878</v>
                </pt>
                <pt idx="52">
                  <v>-0.1004648047056335</v>
                </pt>
                <pt idx="53">
                  <v>0.005206359990070682</v>
                </pt>
                <pt idx="54">
                  <v>-0.003398774361673783</v>
                </pt>
                <pt idx="55">
                  <v>0.02964996478781397</v>
                </pt>
                <pt idx="56">
                  <v>0.001564251470839693</v>
                </pt>
                <pt idx="57">
                  <v>0.006380018969332912</v>
                </pt>
                <pt idx="58">
                  <v>-0.008582612356197263</v>
                </pt>
                <pt idx="59">
                  <v>0.105391240422579</v>
                </pt>
                <pt idx="60">
                  <v>-0.1039828462989399</v>
                </pt>
                <pt idx="61">
                  <v>0.01908680240072687</v>
                </pt>
                <pt idx="62">
                  <v>0.03146249427069926</v>
                </pt>
                <pt idx="63">
                  <v>-0.0006026296566837107</v>
                </pt>
                <pt idx="64">
                  <v>-0.005847205218630657</v>
                </pt>
                <pt idx="65">
                  <v>0.06734427555277814</v>
                </pt>
                <pt idx="66">
                  <v>-0.08527492207814572</v>
                </pt>
                <pt idx="67">
                  <v>0.04664369936683045</v>
                </pt>
                <pt idx="68">
                  <v>0.05224533844954733</v>
                </pt>
                <pt idx="69">
                  <v>-0.02902497948764701</v>
                </pt>
                <pt idx="70">
                  <v>0.0248283551434775</v>
                </pt>
                <pt idx="71">
                  <v>0.00542255255066107</v>
                </pt>
                <pt idx="72">
                  <v>-0.05657562020183612</v>
                </pt>
                <pt idx="73">
                  <v>0.06046941214821254</v>
                </pt>
                <pt idx="74">
                  <v>0.00221436662852719</v>
                </pt>
                <pt idx="75">
                  <v>-0.03196637509939793</v>
                </pt>
                <pt idx="76">
                  <v>-0.04188767367630492</v>
                </pt>
                <pt idx="77">
                  <v>0.03942606235417317</v>
                </pt>
                <pt idx="78">
                  <v>-0.0542917911283148</v>
                </pt>
                <pt idx="79">
                  <v>-0.03624560791447581</v>
                </pt>
                <pt idx="80">
                  <v>0.06347205523019044</v>
                </pt>
                <pt idx="81">
                  <v>-0.04437839250654948</v>
                </pt>
                <pt idx="82">
                  <v>-0.04727890291064522</v>
                </pt>
                <pt idx="83">
                  <v>0.003945708124419994</v>
                </pt>
                <pt idx="84">
                  <v>0.04708925745142113</v>
                </pt>
                <pt idx="85">
                  <v>-0.004985551427391953</v>
                </pt>
                <pt idx="86">
                  <v>-0.01431033382268462</v>
                </pt>
                <pt idx="87">
                  <v>0.01423317015049084</v>
                </pt>
                <pt idx="88">
                  <v>-0.06001557851186904</v>
                </pt>
                <pt idx="89">
                  <v>0.02335864589135071</v>
                </pt>
                <pt idx="90">
                  <v>0.0700228984833903</v>
                </pt>
                <pt idx="91">
                  <v>0.02511552895202059</v>
                </pt>
                <pt idx="92">
                  <v>-0.1341792525897957</v>
                </pt>
                <pt idx="93">
                  <v>-0.1556933097582623</v>
                </pt>
                <pt idx="94">
                  <v>0.127852596203988</v>
                </pt>
                <pt idx="95">
                  <v>-0.005849240772951114</v>
                </pt>
                <pt idx="96">
                  <v>0.07588217924110438</v>
                </pt>
                <pt idx="97">
                  <v>0.02499674074887298</v>
                </pt>
                <pt idx="98">
                  <v>0.02365077452437375</v>
                </pt>
                <pt idx="99">
                  <v>0.03312297681718602</v>
                </pt>
                <pt idx="100">
                  <v>-0.01398278263071275</v>
                </pt>
                <pt idx="101">
                  <v>0.01679388332873256</v>
                </pt>
                <pt idx="102">
                  <v>0.03213016219765511</v>
                </pt>
                <pt idx="103">
                  <v>0.02718441850791553</v>
                </pt>
                <pt idx="104">
                  <v>0.01498332539304431</v>
                </pt>
                <pt idx="105">
                  <v>-0.007856321434438734</v>
                </pt>
                <pt idx="106">
                  <v>0.01714400610300597</v>
                </pt>
                <pt idx="107">
                  <v>0.02555873392404474</v>
                </pt>
                <pt idx="108">
                  <v>-0.01027824391128849</v>
                </pt>
                <pt idx="109">
                  <v>0.03055350299864245</v>
                </pt>
                <pt idx="110">
                  <v>-0.01470710843574394</v>
                </pt>
                <pt idx="111">
                  <v>0.007130486779829297</v>
                </pt>
                <pt idx="112">
                  <v>0.01221636578521377</v>
                </pt>
                <pt idx="113">
                  <v>0.003076718756917084</v>
                </pt>
                <pt idx="114">
                  <v>0.04523688681951585</v>
                </pt>
                <pt idx="115">
                  <v>-0.009801127367154348</v>
                </pt>
                <pt idx="116">
                  <v>-0.003752445219096961</v>
                </pt>
                <pt idx="117">
                  <v>0.00728704649906103</v>
                </pt>
                <pt idx="118">
                  <v>0.005454960721095878</v>
                </pt>
                <pt idx="119">
                  <v>0.02742794353816246</v>
                </pt>
                <pt idx="120">
                  <v>-0.0008021060425321871</v>
                </pt>
                <pt idx="121">
                  <v>0.001080624909947924</v>
                </pt>
                <pt idx="122">
                  <v>-0.004307553124775113</v>
                </pt>
                <pt idx="123">
                  <v>0.01011853136744724</v>
                </pt>
                <pt idx="124">
                  <v>-0.02973975795240821</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Other!$B$6:$B$378</f>
              <numCache>
                <formatCode>#,##0</formatCode>
                <ptCount val="373"/>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194542</v>
                </pt>
                <pt idx="367">
                  <v>193704</v>
                </pt>
                <pt idx="368">
                  <v>195664</v>
                </pt>
                <pt idx="369">
                  <v>189845</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_rels/drawing2.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s>
</file>

<file path=xl/drawings/_rels/drawing3.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4.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drawing1.xml><?xml version="1.0" encoding="utf-8"?>
<wsDr xmlns="http://schemas.openxmlformats.org/drawingml/2006/spreadsheetDrawing">
  <twoCellAnchor>
    <from>
      <col>3</col>
      <colOff>230187</colOff>
      <row>328</row>
      <rowOff>79375</rowOff>
    </from>
    <to>
      <col>12</col>
      <colOff>642938</colOff>
      <row>349</row>
      <rowOff>34925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230186</colOff>
      <row>328</row>
      <rowOff>63500</rowOff>
    </from>
    <to>
      <col>23</col>
      <colOff>507999</colOff>
      <row>348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217487</colOff>
      <row>349</row>
      <rowOff>133350</rowOff>
    </from>
    <to>
      <col>23</col>
      <colOff>420687</colOff>
      <row>370</row>
      <rowOff>174625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225424</colOff>
      <row>349</row>
      <rowOff>157163</rowOff>
    </from>
    <to>
      <col>12</col>
      <colOff>627061</colOff>
      <row>370</row>
      <rowOff>166687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2.xml><?xml version="1.0" encoding="utf-8"?>
<wsDr xmlns="http://schemas.openxmlformats.org/drawingml/2006/spreadsheetDrawing">
  <twoCellAnchor>
    <from>
      <col>3</col>
      <colOff>587375</colOff>
      <row>334</row>
      <rowOff>106893</rowOff>
    </from>
    <to>
      <col>14</col>
      <colOff>547158</colOff>
      <row>356</row>
      <rowOff>112184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592666</colOff>
      <row>356</row>
      <rowOff>168804</rowOff>
    </from>
    <to>
      <col>14</col>
      <colOff>548216</colOff>
      <row>379</row>
      <rowOff>177800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26458</colOff>
      <row>334</row>
      <rowOff>71437</rowOff>
    </from>
    <to>
      <col>26</col>
      <colOff>268815</colOff>
      <row>356</row>
      <rowOff>122766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30692</colOff>
      <row>356</row>
      <rowOff>178857</rowOff>
    </from>
    <to>
      <col>26</col>
      <colOff>240241</colOff>
      <row>380</row>
      <rowOff>44450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256931</colOff>
      <row>335</row>
      <rowOff>135426</rowOff>
    </from>
    <to>
      <col>13</col>
      <colOff>117964</colOff>
      <row>355</row>
      <rowOff>167175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258151</colOff>
      <row>335</row>
      <rowOff>132616</rowOff>
    </from>
    <to>
      <col>24</col>
      <colOff>103308</colOff>
      <row>356</row>
      <rowOff>5005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214922</colOff>
      <row>356</row>
      <rowOff>94516</rowOff>
    </from>
    <to>
      <col>24</col>
      <colOff>88655</colOff>
      <row>378</row>
      <rowOff>150079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233118</colOff>
      <row>356</row>
      <rowOff>127609</rowOff>
    </from>
    <to>
      <col>13</col>
      <colOff>116376</colOff>
      <row>378</row>
      <rowOff>143484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445558</colOff>
      <row>335</row>
      <rowOff>26610</rowOff>
    </from>
    <to>
      <col>14</col>
      <colOff>273050</colOff>
      <row>356</row>
      <rowOff>70531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418344</colOff>
      <row>334</row>
      <rowOff>152401</rowOff>
    </from>
    <to>
      <col>25</col>
      <colOff>413053</colOff>
      <row>356</row>
      <rowOff>10056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415019</colOff>
      <row>356</row>
      <rowOff>146352</rowOff>
    </from>
    <to>
      <col>25</col>
      <colOff>321885</colOff>
      <row>379</row>
      <rowOff>142118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453874</colOff>
      <row>357</row>
      <rowOff>6048</rowOff>
    </from>
    <to>
      <col>14</col>
      <colOff>278190</colOff>
      <row>379</row>
      <rowOff>98727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14" displayName="Table53514" ref="A5:C375" headerRowCount="1" totalsRowShown="0" headerRowDxfId="23" dataDxfId="21" headerRowBorderDxfId="22">
  <autoFilter ref="A5:C375"/>
  <tableColumns count="3">
    <tableColumn id="1" name="Date" dataDxfId="20"/>
    <tableColumn id="2" name="Manufacturers' New Orders: Durable Goods"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 displayName="Table535" ref="A5:C375" headerRowCount="1" totalsRowShown="0" headerRowDxfId="17" dataDxfId="15" headerRowBorderDxfId="16">
  <autoFilter ref="A5:C375"/>
  <tableColumns count="3">
    <tableColumn id="1" name="Date" dataDxfId="14"/>
    <tableColumn id="2" name="New Orders - Nondefense Capital Goods Excluding Aircraft"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75" headerRowCount="1" totalsRowShown="0" headerRowDxfId="11" dataDxfId="9" headerRowBorderDxfId="10">
  <autoFilter ref="A5:C375"/>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75" headerRowCount="1" totalsRowShown="0" headerRowDxfId="5" dataDxfId="3" headerRowBorderDxfId="4">
  <autoFilter ref="A5:C375"/>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s>
</file>

<file path=xl/worksheets/_rels/sheet5.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abSelected="1" topLeftCell="C7" zoomScale="150" zoomScaleNormal="150" workbookViewId="0">
      <selection activeCell="P15" sqref="P15"/>
    </sheetView>
  </sheetViews>
  <sheetFormatPr baseColWidth="8" defaultColWidth="9.1796875" defaultRowHeight="14.5"/>
  <cols>
    <col width="9.1796875" customWidth="1" style="128" min="1" max="1"/>
    <col width="12.81640625" customWidth="1" style="128" min="2" max="10"/>
    <col width="3.453125" customWidth="1" style="128" min="11" max="13"/>
    <col width="21.36328125" customWidth="1" style="128" min="14" max="14"/>
    <col width="15.6328125" customWidth="1" style="128" min="15" max="15"/>
    <col width="10.6328125" bestFit="1" customWidth="1" style="128" min="16" max="17"/>
    <col width="9.1796875" customWidth="1" style="128" min="18" max="18"/>
    <col width="11.453125" customWidth="1" style="128" min="19" max="19"/>
    <col width="9.1796875" customWidth="1" style="128" min="20" max="29"/>
    <col width="9.1796875" customWidth="1" style="128" min="30" max="16384"/>
  </cols>
  <sheetData>
    <row r="1">
      <c r="B1" s="131" t="n"/>
    </row>
    <row r="2" ht="16" customHeight="1" s="141" thickBot="1">
      <c r="B2" s="132" t="n"/>
      <c r="C2" s="132" t="n"/>
      <c r="D2" s="132" t="n"/>
      <c r="E2" s="132" t="n"/>
      <c r="F2" s="132" t="n"/>
      <c r="G2" s="132" t="n"/>
      <c r="H2" s="132" t="n"/>
      <c r="I2" s="132" t="n"/>
      <c r="J2" s="132" t="n"/>
    </row>
    <row r="3" ht="16" customHeight="1" s="141" thickBot="1">
      <c r="B3" s="133" t="inlineStr">
        <is>
          <t>Durable Good Orders</t>
        </is>
      </c>
      <c r="C3" s="134" t="n"/>
      <c r="D3" s="134" t="n"/>
      <c r="E3" s="134" t="n"/>
      <c r="F3" s="134" t="n"/>
      <c r="G3" s="134" t="n"/>
      <c r="H3" s="134" t="n"/>
      <c r="I3" s="134" t="n"/>
      <c r="J3" s="135" t="n"/>
    </row>
    <row r="5">
      <c r="B5" s="136" t="inlineStr">
        <is>
          <t>Definition</t>
        </is>
      </c>
      <c r="C5" s="137" t="n"/>
      <c r="D5" s="137" t="n"/>
      <c r="E5" s="137" t="n"/>
      <c r="F5" s="137" t="n"/>
      <c r="G5" s="137" t="n"/>
      <c r="H5" s="137" t="n"/>
      <c r="I5" s="137" t="n"/>
      <c r="J5" s="124" t="n"/>
    </row>
    <row r="7" ht="129" customHeight="1" s="141">
      <c r="B7" s="138"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1">
      <c r="B8" s="127" t="inlineStr">
        <is>
          <t>https://www.census.gov/manufacturing/m3/definitions/index.html</t>
        </is>
      </c>
    </row>
    <row r="9">
      <c r="B9" s="61" t="n"/>
      <c r="C9" s="61" t="n"/>
      <c r="D9" s="61" t="n"/>
      <c r="E9" s="61" t="n"/>
    </row>
    <row r="10">
      <c r="B10" s="136" t="inlineStr">
        <is>
          <t>Process / TO DO LIST</t>
        </is>
      </c>
      <c r="C10" s="137" t="n"/>
      <c r="D10" s="137" t="n"/>
      <c r="E10" s="137" t="n"/>
      <c r="F10" s="137" t="n"/>
      <c r="G10" s="137" t="n"/>
      <c r="H10" s="137" t="n"/>
      <c r="I10" s="137" t="n"/>
      <c r="J10" s="124" t="n"/>
      <c r="N10" s="136" t="inlineStr">
        <is>
          <t>Summary</t>
        </is>
      </c>
      <c r="O10" s="137" t="n"/>
      <c r="P10" s="137" t="n"/>
      <c r="Q10" s="137" t="n"/>
      <c r="R10" s="137" t="n"/>
      <c r="S10" s="124" t="n"/>
    </row>
    <row r="12">
      <c r="B12" s="136" t="inlineStr">
        <is>
          <t>TO DO LIST</t>
        </is>
      </c>
      <c r="C12" s="137" t="n"/>
      <c r="D12" s="137" t="n"/>
      <c r="E12" s="137" t="n"/>
      <c r="F12" s="124" t="n"/>
      <c r="G12" s="136" t="inlineStr">
        <is>
          <t>Comments</t>
        </is>
      </c>
      <c r="H12" s="137" t="n"/>
      <c r="I12" s="137" t="n"/>
      <c r="J12" s="124" t="n"/>
    </row>
    <row r="13" ht="16" customHeight="1" s="141" thickBot="1"/>
    <row r="14" ht="19.5" customHeight="1" s="141">
      <c r="B14" s="127" t="n"/>
      <c r="G14" s="128" t="n"/>
      <c r="P14" s="62" t="n">
        <v>44866</v>
      </c>
      <c r="Q14" s="83">
        <f>DATE(YEAR(P14),MONTH(P14)-1,DAY(P14))</f>
        <v/>
      </c>
      <c r="R14" s="63" t="n"/>
    </row>
    <row r="15" ht="18" customHeight="1" s="141" thickBot="1">
      <c r="B15" s="127" t="inlineStr">
        <is>
          <t>https://fred.stlouisfed.org/series/DGORDER</t>
        </is>
      </c>
      <c r="G15" s="139" t="inlineStr">
        <is>
          <t>Durable Goods New Orders</t>
        </is>
      </c>
      <c r="P15" s="76" t="inlineStr">
        <is>
          <t>Last</t>
        </is>
      </c>
      <c r="Q15" s="64" t="inlineStr">
        <is>
          <t>Last</t>
        </is>
      </c>
      <c r="R15" s="65" t="inlineStr">
        <is>
          <t>Var.</t>
        </is>
      </c>
    </row>
    <row r="16" ht="18" customHeight="1" s="141">
      <c r="B16" s="127" t="inlineStr">
        <is>
          <t>https://fred.stlouisfed.org/series/ADXTNO</t>
        </is>
      </c>
      <c r="G16" s="139" t="inlineStr">
        <is>
          <t>New Orders ex Transport</t>
        </is>
      </c>
      <c r="N16" s="125" t="inlineStr">
        <is>
          <t>Durable Goods New Orders</t>
        </is>
      </c>
      <c r="O16" s="126" t="n"/>
      <c r="P16" s="77">
        <f>VLOOKUP($P$14,Database!$A:$M,MATCH(Note!S16,Database!$A$1:$M$1,),)</f>
        <v/>
      </c>
      <c r="Q16" s="77">
        <f>VLOOKUP($Q$14,Database!$A:$M,MATCH(Note!S16,Database!$A$1:$M$1,),)</f>
        <v/>
      </c>
      <c r="R16" s="97">
        <f>(P16-Q16)/Q16</f>
        <v/>
      </c>
      <c r="S16" s="78" t="inlineStr">
        <is>
          <t>DGORDER</t>
        </is>
      </c>
      <c r="U16" s="78" t="inlineStr">
        <is>
          <t>DGORDER</t>
        </is>
      </c>
      <c r="V16" s="128" t="inlineStr">
        <is>
          <t>Durable Goods New Orders</t>
        </is>
      </c>
    </row>
    <row r="17" ht="18" customHeight="1" s="141">
      <c r="B17" s="127" t="inlineStr">
        <is>
          <t>https://fred.stlouisfed.org/series/NEWORDER</t>
        </is>
      </c>
      <c r="G17" s="129" t="inlineStr">
        <is>
          <t>New Orders Nondefense Ex Aircraft &amp; Parts= Core</t>
        </is>
      </c>
      <c r="N17" s="123" t="inlineStr">
        <is>
          <t>New Orders ex Transport</t>
        </is>
      </c>
      <c r="O17" s="124" t="n"/>
      <c r="P17" s="94">
        <f>VLOOKUP($P$14,Database!$A:$M,MATCH(Note!S17,Database!$A$1:$M$1,),)</f>
        <v/>
      </c>
      <c r="Q17" s="94">
        <f>VLOOKUP($Q$14,Database!$A:$M,MATCH(Note!S17,Database!$A$1:$M$1,),)</f>
        <v/>
      </c>
      <c r="R17" s="98">
        <f>(P17-Q17)/Q17</f>
        <v/>
      </c>
      <c r="S17" s="79" t="inlineStr">
        <is>
          <t>ADXTNO</t>
        </is>
      </c>
      <c r="U17" s="79" t="inlineStr">
        <is>
          <t>ADXTNO</t>
        </is>
      </c>
      <c r="V17" s="128" t="inlineStr">
        <is>
          <t>New Orders ex Transport</t>
        </is>
      </c>
    </row>
    <row r="18" ht="33.75" customHeight="1" s="141">
      <c r="B18" s="127" t="inlineStr">
        <is>
          <t>https://fred.stlouisfed.org/series/AMTUNO</t>
        </is>
      </c>
      <c r="G18" s="129" t="inlineStr">
        <is>
          <t>New Orders - Manufacturing</t>
        </is>
      </c>
      <c r="N18" s="130" t="inlineStr">
        <is>
          <t>New Orders Nondefense Ex Aircraft &amp; Parts = Core</t>
        </is>
      </c>
      <c r="O18" s="124" t="n"/>
      <c r="P18" s="94">
        <f>VLOOKUP($P$14,Database!$A:$M,MATCH(Note!S18,Database!$A$1:$M$1,),)</f>
        <v/>
      </c>
      <c r="Q18" s="94">
        <f>VLOOKUP($Q$14,Database!$A:$M,MATCH(Note!S18,Database!$A$1:$M$1,),)</f>
        <v/>
      </c>
      <c r="R18" s="98">
        <f>(P18-Q18)/Q18</f>
        <v/>
      </c>
      <c r="S18" s="80" t="inlineStr">
        <is>
          <t>NEWORDER</t>
        </is>
      </c>
      <c r="U18" s="80" t="inlineStr">
        <is>
          <t>NEWORDER</t>
        </is>
      </c>
      <c r="V18" s="128" t="inlineStr">
        <is>
          <t>New Orders Nondefense Ex Aircraft &amp; Parts = Core</t>
        </is>
      </c>
    </row>
    <row r="19" ht="18" customHeight="1" s="141">
      <c r="B19" s="127" t="inlineStr">
        <is>
          <t>https://fred.stlouisfed.org/series/A36SNO</t>
        </is>
      </c>
      <c r="G19" s="129" t="inlineStr">
        <is>
          <t>New Orders - Transportation Equipment</t>
        </is>
      </c>
      <c r="N19" s="123" t="inlineStr">
        <is>
          <t>New Orders - Manufacturing</t>
        </is>
      </c>
      <c r="O19" s="124" t="n"/>
      <c r="P19" s="94">
        <f>VLOOKUP($P$14,Database!$A:$M,MATCH(Note!S19,Database!$A$1:$M$1,),)</f>
        <v/>
      </c>
      <c r="Q19" s="94">
        <f>VLOOKUP($Q$14,Database!$A:$M,MATCH(Note!S19,Database!$A$1:$M$1,),)</f>
        <v/>
      </c>
      <c r="R19" s="98">
        <f>(P19-Q19)/Q19</f>
        <v/>
      </c>
      <c r="S19" s="79" t="inlineStr">
        <is>
          <t>AMTUNO</t>
        </is>
      </c>
      <c r="U19" s="79" t="inlineStr">
        <is>
          <t>AMTUNO</t>
        </is>
      </c>
      <c r="V19" s="128" t="inlineStr">
        <is>
          <t>New Orders - Manufacturing</t>
        </is>
      </c>
    </row>
    <row r="20" ht="18" customHeight="1" s="141">
      <c r="B20" s="127" t="inlineStr">
        <is>
          <t>https://fred.stlouisfed.org/series/A32SNO</t>
        </is>
      </c>
      <c r="G20" s="129" t="inlineStr">
        <is>
          <t>New Orders - Fabricated Metal Products</t>
        </is>
      </c>
      <c r="N20" s="123" t="inlineStr">
        <is>
          <t>New Orders - Transportation Equipment</t>
        </is>
      </c>
      <c r="O20" s="124" t="n"/>
      <c r="P20" s="94">
        <f>VLOOKUP($P$14,Database!$A:$M,MATCH(Note!S20,Database!$A$1:$M$1,),)</f>
        <v/>
      </c>
      <c r="Q20" s="94">
        <f>VLOOKUP($Q$14,Database!$A:$M,MATCH(Note!S20,Database!$A$1:$M$1,),)</f>
        <v/>
      </c>
      <c r="R20" s="98">
        <f>(P20-Q20)/Q20</f>
        <v/>
      </c>
      <c r="S20" s="80" t="inlineStr">
        <is>
          <t>A36SNO</t>
        </is>
      </c>
      <c r="U20" s="80" t="inlineStr">
        <is>
          <t>A36SNO</t>
        </is>
      </c>
      <c r="V20" s="128" t="inlineStr">
        <is>
          <t>New Orders - Transportation Equipment</t>
        </is>
      </c>
    </row>
    <row r="21" ht="18" customHeight="1" s="141">
      <c r="B21" s="127" t="inlineStr">
        <is>
          <t>https://fred.stlouisfed.org/series/A33SNO</t>
        </is>
      </c>
      <c r="G21" s="129" t="inlineStr">
        <is>
          <t>New Orders - Machinery</t>
        </is>
      </c>
      <c r="N21" s="123" t="inlineStr">
        <is>
          <t>New Orders - Fabricated Metal Products</t>
        </is>
      </c>
      <c r="O21" s="124" t="n"/>
      <c r="P21" s="94">
        <f>VLOOKUP($P$14,Database!$A:$M,MATCH(Note!S21,Database!$A$1:$M$1,),)</f>
        <v/>
      </c>
      <c r="Q21" s="94">
        <f>VLOOKUP($Q$14,Database!$A:$M,MATCH(Note!S21,Database!$A$1:$M$1,),)</f>
        <v/>
      </c>
      <c r="R21" s="98">
        <f>(P21-Q21)/Q21</f>
        <v/>
      </c>
      <c r="S21" s="80" t="inlineStr">
        <is>
          <t>A32SNO</t>
        </is>
      </c>
      <c r="U21" s="80" t="inlineStr">
        <is>
          <t>A32SNO</t>
        </is>
      </c>
      <c r="V21" s="128" t="inlineStr">
        <is>
          <t>New Orders - Fabricated Metal Products</t>
        </is>
      </c>
    </row>
    <row r="22" ht="18" customHeight="1" s="141">
      <c r="B22" s="127" t="inlineStr">
        <is>
          <t>https://fred.stlouisfed.org/series/A34SNO</t>
        </is>
      </c>
      <c r="G22" s="129" t="inlineStr">
        <is>
          <t>New Orders - Computers</t>
        </is>
      </c>
      <c r="N22" s="123" t="inlineStr">
        <is>
          <t>New Orders - Machinery</t>
        </is>
      </c>
      <c r="O22" s="124" t="n"/>
      <c r="P22" s="94">
        <f>VLOOKUP($P$14,Database!$A:$M,MATCH(Note!S22,Database!$A$1:$M$1,),)</f>
        <v/>
      </c>
      <c r="Q22" s="94">
        <f>VLOOKUP($Q$14,Database!$A:$M,MATCH(Note!S22,Database!$A$1:$M$1,),)</f>
        <v/>
      </c>
      <c r="R22" s="98">
        <f>(P22-Q22)/Q22</f>
        <v/>
      </c>
      <c r="S22" s="80" t="inlineStr">
        <is>
          <t>A33SNO</t>
        </is>
      </c>
      <c r="U22" s="80" t="inlineStr">
        <is>
          <t>A33SNO</t>
        </is>
      </c>
      <c r="V22" s="128" t="inlineStr">
        <is>
          <t>New Orders - Machinery</t>
        </is>
      </c>
    </row>
    <row r="23" ht="18" customHeight="1" s="141">
      <c r="B23" s="127" t="inlineStr">
        <is>
          <t>https://fred.stlouisfed.org/series/A31SNO</t>
        </is>
      </c>
      <c r="G23" s="129" t="inlineStr">
        <is>
          <t>New Orders - Primary Metals</t>
        </is>
      </c>
      <c r="N23" s="123" t="inlineStr">
        <is>
          <t>New Orders - Computers</t>
        </is>
      </c>
      <c r="O23" s="124" t="n"/>
      <c r="P23" s="94">
        <f>VLOOKUP($P$14,Database!$A:$M,MATCH(Note!S23,Database!$A$1:$M$1,),)</f>
        <v/>
      </c>
      <c r="Q23" s="94">
        <f>VLOOKUP($Q$14,Database!$A:$M,MATCH(Note!S23,Database!$A$1:$M$1,),)</f>
        <v/>
      </c>
      <c r="R23" s="98">
        <f>(P23-Q23)/Q23</f>
        <v/>
      </c>
      <c r="S23" s="80" t="inlineStr">
        <is>
          <t>A34SNO</t>
        </is>
      </c>
      <c r="U23" s="80" t="inlineStr">
        <is>
          <t>A34SNO</t>
        </is>
      </c>
      <c r="V23" s="128" t="inlineStr">
        <is>
          <t>New Orders - Computers</t>
        </is>
      </c>
    </row>
    <row r="24" ht="18" customHeight="1" s="141">
      <c r="B24" s="127" t="inlineStr">
        <is>
          <t>https://fred.stlouisfed.org/series/A35SNO</t>
        </is>
      </c>
      <c r="G24" s="129" t="inlineStr">
        <is>
          <t>New Orders - Electrical Equipment</t>
        </is>
      </c>
      <c r="N24" s="123" t="inlineStr">
        <is>
          <t>New Orders - Primary Metals</t>
        </is>
      </c>
      <c r="O24" s="124" t="n"/>
      <c r="P24" s="94">
        <f>VLOOKUP($P$14,Database!$A:$M,MATCH(Note!S24,Database!$A$1:$M$1,),)</f>
        <v/>
      </c>
      <c r="Q24" s="94">
        <f>VLOOKUP($Q$14,Database!$A:$M,MATCH(Note!S24,Database!$A$1:$M$1,),)</f>
        <v/>
      </c>
      <c r="R24" s="98">
        <f>(P24-Q24)/Q24</f>
        <v/>
      </c>
      <c r="S24" s="80" t="inlineStr">
        <is>
          <t>A31SNO</t>
        </is>
      </c>
      <c r="U24" s="80" t="inlineStr">
        <is>
          <t>A31SNO</t>
        </is>
      </c>
      <c r="V24" s="128" t="inlineStr">
        <is>
          <t>New Orders - Primary Metals</t>
        </is>
      </c>
    </row>
    <row r="25" ht="16" customHeight="1" s="141" thickBot="1">
      <c r="N25" s="121" t="inlineStr">
        <is>
          <t>New Orders - Electrical Equipment</t>
        </is>
      </c>
      <c r="O25" s="122" t="n"/>
      <c r="P25" s="81">
        <f>VLOOKUP($P$14,Database!$A:$M,MATCH(Note!S25,Database!$A$1:$M$1,),)</f>
        <v/>
      </c>
      <c r="Q25" s="81">
        <f>VLOOKUP($Q$14,Database!$A:$M,MATCH(Note!S25,Database!$A$1:$M$1,),)</f>
        <v/>
      </c>
      <c r="R25" s="99">
        <f>(P25-Q25)/Q25</f>
        <v/>
      </c>
      <c r="S25" s="82" t="inlineStr">
        <is>
          <t>A35SNO</t>
        </is>
      </c>
      <c r="U25" s="82" t="inlineStr">
        <is>
          <t>A35SNO</t>
        </is>
      </c>
      <c r="V25" s="128" t="inlineStr">
        <is>
          <t>New Orders - Electrical Equipment</t>
        </is>
      </c>
    </row>
    <row r="26">
      <c r="B26" s="66" t="n"/>
      <c r="G26" s="139" t="inlineStr">
        <is>
          <t>*Compare with ISM Manufacturing (Leading Indicator) for confirmation</t>
        </is>
      </c>
    </row>
    <row r="27">
      <c r="N27" s="84" t="inlineStr">
        <is>
          <t>* Month to modify after having downloaded data in Database</t>
        </is>
      </c>
    </row>
    <row r="28">
      <c r="B28" s="67" t="n"/>
    </row>
  </sheetData>
  <mergeCells count="41">
    <mergeCell ref="B16:F16"/>
    <mergeCell ref="G16:J16"/>
    <mergeCell ref="B17:F17"/>
    <mergeCell ref="G17:J17"/>
    <mergeCell ref="G22:J22"/>
    <mergeCell ref="B22:F22"/>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J2"/>
    <mergeCell ref="B3:J3"/>
    <mergeCell ref="B5:J5"/>
    <mergeCell ref="B7:J7"/>
    <mergeCell ref="B8:J8"/>
    <mergeCell ref="B23:F23"/>
    <mergeCell ref="G23:J23"/>
    <mergeCell ref="B24:F24"/>
    <mergeCell ref="G24:J24"/>
    <mergeCell ref="N18:O18"/>
    <mergeCell ref="N22:O22"/>
    <mergeCell ref="N23:O23"/>
    <mergeCell ref="N24:O24"/>
    <mergeCell ref="N25:O25"/>
    <mergeCell ref="N17:O17"/>
    <mergeCell ref="N16:O16"/>
    <mergeCell ref="N19:O19"/>
    <mergeCell ref="N20:O20"/>
    <mergeCell ref="N21:O21"/>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worksheet>
</file>

<file path=xl/worksheets/sheet2.xml><?xml version="1.0" encoding="utf-8"?>
<worksheet xmlns="http://schemas.openxmlformats.org/spreadsheetml/2006/main">
  <sheetPr>
    <tabColor theme="1" tint="0.499984740745262"/>
    <outlinePr summaryBelow="1" summaryRight="1"/>
    <pageSetUpPr/>
  </sheetPr>
  <dimension ref="A1:R204"/>
  <sheetViews>
    <sheetView zoomScale="70" zoomScaleNormal="70" workbookViewId="0">
      <selection activeCell="J55" sqref="J55"/>
    </sheetView>
  </sheetViews>
  <sheetFormatPr baseColWidth="8" defaultColWidth="8.81640625" defaultRowHeight="14.5"/>
  <cols>
    <col width="23.6328125" customWidth="1" style="141" min="1" max="1"/>
    <col width="16.36328125" customWidth="1" style="141" min="2" max="2"/>
    <col width="13.453125" customWidth="1" style="141" min="3" max="11"/>
    <col width="15.6328125" customWidth="1" style="141" min="12" max="12"/>
    <col width="16.81640625" customWidth="1" style="141" min="13" max="13"/>
    <col width="13.453125" customWidth="1" style="142" min="14" max="14"/>
    <col width="10.6328125" customWidth="1" style="141" min="15" max="15"/>
    <col width="21.36328125" customWidth="1" style="141" min="18" max="18"/>
    <col width="23.6328125" customWidth="1" style="141" min="257" max="257"/>
    <col width="16.36328125" customWidth="1" style="141" min="258" max="258"/>
    <col width="13.453125" customWidth="1" style="141" min="259" max="267"/>
    <col width="15.6328125" customWidth="1" style="141" min="268" max="268"/>
    <col width="16.81640625" customWidth="1" style="141" min="269" max="269"/>
    <col width="13.453125" customWidth="1" style="141" min="270" max="270"/>
    <col width="10.6328125" customWidth="1" style="141" min="271" max="271"/>
    <col width="23.6328125" customWidth="1" style="141" min="513" max="513"/>
    <col width="16.36328125" customWidth="1" style="141" min="514" max="514"/>
    <col width="13.453125" customWidth="1" style="141" min="515" max="523"/>
    <col width="15.6328125" customWidth="1" style="141" min="524" max="524"/>
    <col width="16.81640625" customWidth="1" style="141" min="525" max="525"/>
    <col width="13.453125" customWidth="1" style="141" min="526" max="526"/>
    <col width="10.6328125" customWidth="1" style="141" min="527" max="527"/>
    <col width="23.6328125" customWidth="1" style="141" min="769" max="769"/>
    <col width="16.36328125" customWidth="1" style="141" min="770" max="770"/>
    <col width="13.453125" customWidth="1" style="141" min="771" max="779"/>
    <col width="15.6328125" customWidth="1" style="141" min="780" max="780"/>
    <col width="16.81640625" customWidth="1" style="141" min="781" max="781"/>
    <col width="13.453125" customWidth="1" style="141" min="782" max="782"/>
    <col width="10.6328125" customWidth="1" style="141" min="783" max="783"/>
    <col width="23.6328125" customWidth="1" style="141" min="1025" max="1025"/>
    <col width="16.36328125" customWidth="1" style="141" min="1026" max="1026"/>
    <col width="13.453125" customWidth="1" style="141" min="1027" max="1035"/>
    <col width="15.6328125" customWidth="1" style="141" min="1036" max="1036"/>
    <col width="16.81640625" customWidth="1" style="141" min="1037" max="1037"/>
    <col width="13.453125" customWidth="1" style="141" min="1038" max="1038"/>
    <col width="10.6328125" customWidth="1" style="141" min="1039" max="1039"/>
    <col width="23.6328125" customWidth="1" style="141" min="1281" max="1281"/>
    <col width="16.36328125" customWidth="1" style="141" min="1282" max="1282"/>
    <col width="13.453125" customWidth="1" style="141" min="1283" max="1291"/>
    <col width="15.6328125" customWidth="1" style="141" min="1292" max="1292"/>
    <col width="16.81640625" customWidth="1" style="141" min="1293" max="1293"/>
    <col width="13.453125" customWidth="1" style="141" min="1294" max="1294"/>
    <col width="10.6328125" customWidth="1" style="141" min="1295" max="1295"/>
    <col width="23.6328125" customWidth="1" style="141" min="1537" max="1537"/>
    <col width="16.36328125" customWidth="1" style="141" min="1538" max="1538"/>
    <col width="13.453125" customWidth="1" style="141" min="1539" max="1547"/>
    <col width="15.6328125" customWidth="1" style="141" min="1548" max="1548"/>
    <col width="16.81640625" customWidth="1" style="141" min="1549" max="1549"/>
    <col width="13.453125" customWidth="1" style="141" min="1550" max="1550"/>
    <col width="10.6328125" customWidth="1" style="141" min="1551" max="1551"/>
    <col width="23.6328125" customWidth="1" style="141" min="1793" max="1793"/>
    <col width="16.36328125" customWidth="1" style="141" min="1794" max="1794"/>
    <col width="13.453125" customWidth="1" style="141" min="1795" max="1803"/>
    <col width="15.6328125" customWidth="1" style="141" min="1804" max="1804"/>
    <col width="16.81640625" customWidth="1" style="141" min="1805" max="1805"/>
    <col width="13.453125" customWidth="1" style="141" min="1806" max="1806"/>
    <col width="10.6328125" customWidth="1" style="141" min="1807" max="1807"/>
    <col width="23.6328125" customWidth="1" style="141" min="2049" max="2049"/>
    <col width="16.36328125" customWidth="1" style="141" min="2050" max="2050"/>
    <col width="13.453125" customWidth="1" style="141" min="2051" max="2059"/>
    <col width="15.6328125" customWidth="1" style="141" min="2060" max="2060"/>
    <col width="16.81640625" customWidth="1" style="141" min="2061" max="2061"/>
    <col width="13.453125" customWidth="1" style="141" min="2062" max="2062"/>
    <col width="10.6328125" customWidth="1" style="141" min="2063" max="2063"/>
    <col width="23.6328125" customWidth="1" style="141" min="2305" max="2305"/>
    <col width="16.36328125" customWidth="1" style="141" min="2306" max="2306"/>
    <col width="13.453125" customWidth="1" style="141" min="2307" max="2315"/>
    <col width="15.6328125" customWidth="1" style="141" min="2316" max="2316"/>
    <col width="16.81640625" customWidth="1" style="141" min="2317" max="2317"/>
    <col width="13.453125" customWidth="1" style="141" min="2318" max="2318"/>
    <col width="10.6328125" customWidth="1" style="141" min="2319" max="2319"/>
    <col width="23.6328125" customWidth="1" style="141" min="2561" max="2561"/>
    <col width="16.36328125" customWidth="1" style="141" min="2562" max="2562"/>
    <col width="13.453125" customWidth="1" style="141" min="2563" max="2571"/>
    <col width="15.6328125" customWidth="1" style="141" min="2572" max="2572"/>
    <col width="16.81640625" customWidth="1" style="141" min="2573" max="2573"/>
    <col width="13.453125" customWidth="1" style="141" min="2574" max="2574"/>
    <col width="10.6328125" customWidth="1" style="141" min="2575" max="2575"/>
    <col width="23.6328125" customWidth="1" style="141" min="2817" max="2817"/>
    <col width="16.36328125" customWidth="1" style="141" min="2818" max="2818"/>
    <col width="13.453125" customWidth="1" style="141" min="2819" max="2827"/>
    <col width="15.6328125" customWidth="1" style="141" min="2828" max="2828"/>
    <col width="16.81640625" customWidth="1" style="141" min="2829" max="2829"/>
    <col width="13.453125" customWidth="1" style="141" min="2830" max="2830"/>
    <col width="10.6328125" customWidth="1" style="141" min="2831" max="2831"/>
    <col width="23.6328125" customWidth="1" style="141" min="3073" max="3073"/>
    <col width="16.36328125" customWidth="1" style="141" min="3074" max="3074"/>
    <col width="13.453125" customWidth="1" style="141" min="3075" max="3083"/>
    <col width="15.6328125" customWidth="1" style="141" min="3084" max="3084"/>
    <col width="16.81640625" customWidth="1" style="141" min="3085" max="3085"/>
    <col width="13.453125" customWidth="1" style="141" min="3086" max="3086"/>
    <col width="10.6328125" customWidth="1" style="141" min="3087" max="3087"/>
    <col width="23.6328125" customWidth="1" style="141" min="3329" max="3329"/>
    <col width="16.36328125" customWidth="1" style="141" min="3330" max="3330"/>
    <col width="13.453125" customWidth="1" style="141" min="3331" max="3339"/>
    <col width="15.6328125" customWidth="1" style="141" min="3340" max="3340"/>
    <col width="16.81640625" customWidth="1" style="141" min="3341" max="3341"/>
    <col width="13.453125" customWidth="1" style="141" min="3342" max="3342"/>
    <col width="10.6328125" customWidth="1" style="141" min="3343" max="3343"/>
    <col width="23.6328125" customWidth="1" style="141" min="3585" max="3585"/>
    <col width="16.36328125" customWidth="1" style="141" min="3586" max="3586"/>
    <col width="13.453125" customWidth="1" style="141" min="3587" max="3595"/>
    <col width="15.6328125" customWidth="1" style="141" min="3596" max="3596"/>
    <col width="16.81640625" customWidth="1" style="141" min="3597" max="3597"/>
    <col width="13.453125" customWidth="1" style="141" min="3598" max="3598"/>
    <col width="10.6328125" customWidth="1" style="141" min="3599" max="3599"/>
    <col width="23.6328125" customWidth="1" style="141" min="3841" max="3841"/>
    <col width="16.36328125" customWidth="1" style="141" min="3842" max="3842"/>
    <col width="13.453125" customWidth="1" style="141" min="3843" max="3851"/>
    <col width="15.6328125" customWidth="1" style="141" min="3852" max="3852"/>
    <col width="16.81640625" customWidth="1" style="141" min="3853" max="3853"/>
    <col width="13.453125" customWidth="1" style="141" min="3854" max="3854"/>
    <col width="10.6328125" customWidth="1" style="141" min="3855" max="3855"/>
    <col width="23.6328125" customWidth="1" style="141" min="4097" max="4097"/>
    <col width="16.36328125" customWidth="1" style="141" min="4098" max="4098"/>
    <col width="13.453125" customWidth="1" style="141" min="4099" max="4107"/>
    <col width="15.6328125" customWidth="1" style="141" min="4108" max="4108"/>
    <col width="16.81640625" customWidth="1" style="141" min="4109" max="4109"/>
    <col width="13.453125" customWidth="1" style="141" min="4110" max="4110"/>
    <col width="10.6328125" customWidth="1" style="141" min="4111" max="4111"/>
    <col width="23.6328125" customWidth="1" style="141" min="4353" max="4353"/>
    <col width="16.36328125" customWidth="1" style="141" min="4354" max="4354"/>
    <col width="13.453125" customWidth="1" style="141" min="4355" max="4363"/>
    <col width="15.6328125" customWidth="1" style="141" min="4364" max="4364"/>
    <col width="16.81640625" customWidth="1" style="141" min="4365" max="4365"/>
    <col width="13.453125" customWidth="1" style="141" min="4366" max="4366"/>
    <col width="10.6328125" customWidth="1" style="141" min="4367" max="4367"/>
    <col width="23.6328125" customWidth="1" style="141" min="4609" max="4609"/>
    <col width="16.36328125" customWidth="1" style="141" min="4610" max="4610"/>
    <col width="13.453125" customWidth="1" style="141" min="4611" max="4619"/>
    <col width="15.6328125" customWidth="1" style="141" min="4620" max="4620"/>
    <col width="16.81640625" customWidth="1" style="141" min="4621" max="4621"/>
    <col width="13.453125" customWidth="1" style="141" min="4622" max="4622"/>
    <col width="10.6328125" customWidth="1" style="141" min="4623" max="4623"/>
    <col width="23.6328125" customWidth="1" style="141" min="4865" max="4865"/>
    <col width="16.36328125" customWidth="1" style="141" min="4866" max="4866"/>
    <col width="13.453125" customWidth="1" style="141" min="4867" max="4875"/>
    <col width="15.6328125" customWidth="1" style="141" min="4876" max="4876"/>
    <col width="16.81640625" customWidth="1" style="141" min="4877" max="4877"/>
    <col width="13.453125" customWidth="1" style="141" min="4878" max="4878"/>
    <col width="10.6328125" customWidth="1" style="141" min="4879" max="4879"/>
    <col width="23.6328125" customWidth="1" style="141" min="5121" max="5121"/>
    <col width="16.36328125" customWidth="1" style="141" min="5122" max="5122"/>
    <col width="13.453125" customWidth="1" style="141" min="5123" max="5131"/>
    <col width="15.6328125" customWidth="1" style="141" min="5132" max="5132"/>
    <col width="16.81640625" customWidth="1" style="141" min="5133" max="5133"/>
    <col width="13.453125" customWidth="1" style="141" min="5134" max="5134"/>
    <col width="10.6328125" customWidth="1" style="141" min="5135" max="5135"/>
    <col width="23.6328125" customWidth="1" style="141" min="5377" max="5377"/>
    <col width="16.36328125" customWidth="1" style="141" min="5378" max="5378"/>
    <col width="13.453125" customWidth="1" style="141" min="5379" max="5387"/>
    <col width="15.6328125" customWidth="1" style="141" min="5388" max="5388"/>
    <col width="16.81640625" customWidth="1" style="141" min="5389" max="5389"/>
    <col width="13.453125" customWidth="1" style="141" min="5390" max="5390"/>
    <col width="10.6328125" customWidth="1" style="141" min="5391" max="5391"/>
    <col width="23.6328125" customWidth="1" style="141" min="5633" max="5633"/>
    <col width="16.36328125" customWidth="1" style="141" min="5634" max="5634"/>
    <col width="13.453125" customWidth="1" style="141" min="5635" max="5643"/>
    <col width="15.6328125" customWidth="1" style="141" min="5644" max="5644"/>
    <col width="16.81640625" customWidth="1" style="141" min="5645" max="5645"/>
    <col width="13.453125" customWidth="1" style="141" min="5646" max="5646"/>
    <col width="10.6328125" customWidth="1" style="141" min="5647" max="5647"/>
    <col width="23.6328125" customWidth="1" style="141" min="5889" max="5889"/>
    <col width="16.36328125" customWidth="1" style="141" min="5890" max="5890"/>
    <col width="13.453125" customWidth="1" style="141" min="5891" max="5899"/>
    <col width="15.6328125" customWidth="1" style="141" min="5900" max="5900"/>
    <col width="16.81640625" customWidth="1" style="141" min="5901" max="5901"/>
    <col width="13.453125" customWidth="1" style="141" min="5902" max="5902"/>
    <col width="10.6328125" customWidth="1" style="141" min="5903" max="5903"/>
    <col width="23.6328125" customWidth="1" style="141" min="6145" max="6145"/>
    <col width="16.36328125" customWidth="1" style="141" min="6146" max="6146"/>
    <col width="13.453125" customWidth="1" style="141" min="6147" max="6155"/>
    <col width="15.6328125" customWidth="1" style="141" min="6156" max="6156"/>
    <col width="16.81640625" customWidth="1" style="141" min="6157" max="6157"/>
    <col width="13.453125" customWidth="1" style="141" min="6158" max="6158"/>
    <col width="10.6328125" customWidth="1" style="141" min="6159" max="6159"/>
    <col width="23.6328125" customWidth="1" style="141" min="6401" max="6401"/>
    <col width="16.36328125" customWidth="1" style="141" min="6402" max="6402"/>
    <col width="13.453125" customWidth="1" style="141" min="6403" max="6411"/>
    <col width="15.6328125" customWidth="1" style="141" min="6412" max="6412"/>
    <col width="16.81640625" customWidth="1" style="141" min="6413" max="6413"/>
    <col width="13.453125" customWidth="1" style="141" min="6414" max="6414"/>
    <col width="10.6328125" customWidth="1" style="141" min="6415" max="6415"/>
    <col width="23.6328125" customWidth="1" style="141" min="6657" max="6657"/>
    <col width="16.36328125" customWidth="1" style="141" min="6658" max="6658"/>
    <col width="13.453125" customWidth="1" style="141" min="6659" max="6667"/>
    <col width="15.6328125" customWidth="1" style="141" min="6668" max="6668"/>
    <col width="16.81640625" customWidth="1" style="141" min="6669" max="6669"/>
    <col width="13.453125" customWidth="1" style="141" min="6670" max="6670"/>
    <col width="10.6328125" customWidth="1" style="141" min="6671" max="6671"/>
    <col width="23.6328125" customWidth="1" style="141" min="6913" max="6913"/>
    <col width="16.36328125" customWidth="1" style="141" min="6914" max="6914"/>
    <col width="13.453125" customWidth="1" style="141" min="6915" max="6923"/>
    <col width="15.6328125" customWidth="1" style="141" min="6924" max="6924"/>
    <col width="16.81640625" customWidth="1" style="141" min="6925" max="6925"/>
    <col width="13.453125" customWidth="1" style="141" min="6926" max="6926"/>
    <col width="10.6328125" customWidth="1" style="141" min="6927" max="6927"/>
    <col width="23.6328125" customWidth="1" style="141" min="7169" max="7169"/>
    <col width="16.36328125" customWidth="1" style="141" min="7170" max="7170"/>
    <col width="13.453125" customWidth="1" style="141" min="7171" max="7179"/>
    <col width="15.6328125" customWidth="1" style="141" min="7180" max="7180"/>
    <col width="16.81640625" customWidth="1" style="141" min="7181" max="7181"/>
    <col width="13.453125" customWidth="1" style="141" min="7182" max="7182"/>
    <col width="10.6328125" customWidth="1" style="141" min="7183" max="7183"/>
    <col width="23.6328125" customWidth="1" style="141" min="7425" max="7425"/>
    <col width="16.36328125" customWidth="1" style="141" min="7426" max="7426"/>
    <col width="13.453125" customWidth="1" style="141" min="7427" max="7435"/>
    <col width="15.6328125" customWidth="1" style="141" min="7436" max="7436"/>
    <col width="16.81640625" customWidth="1" style="141" min="7437" max="7437"/>
    <col width="13.453125" customWidth="1" style="141" min="7438" max="7438"/>
    <col width="10.6328125" customWidth="1" style="141" min="7439" max="7439"/>
    <col width="23.6328125" customWidth="1" style="141" min="7681" max="7681"/>
    <col width="16.36328125" customWidth="1" style="141" min="7682" max="7682"/>
    <col width="13.453125" customWidth="1" style="141" min="7683" max="7691"/>
    <col width="15.6328125" customWidth="1" style="141" min="7692" max="7692"/>
    <col width="16.81640625" customWidth="1" style="141" min="7693" max="7693"/>
    <col width="13.453125" customWidth="1" style="141" min="7694" max="7694"/>
    <col width="10.6328125" customWidth="1" style="141" min="7695" max="7695"/>
    <col width="23.6328125" customWidth="1" style="141" min="7937" max="7937"/>
    <col width="16.36328125" customWidth="1" style="141" min="7938" max="7938"/>
    <col width="13.453125" customWidth="1" style="141" min="7939" max="7947"/>
    <col width="15.6328125" customWidth="1" style="141" min="7948" max="7948"/>
    <col width="16.81640625" customWidth="1" style="141" min="7949" max="7949"/>
    <col width="13.453125" customWidth="1" style="141" min="7950" max="7950"/>
    <col width="10.6328125" customWidth="1" style="141" min="7951" max="7951"/>
    <col width="23.6328125" customWidth="1" style="141" min="8193" max="8193"/>
    <col width="16.36328125" customWidth="1" style="141" min="8194" max="8194"/>
    <col width="13.453125" customWidth="1" style="141" min="8195" max="8203"/>
    <col width="15.6328125" customWidth="1" style="141" min="8204" max="8204"/>
    <col width="16.81640625" customWidth="1" style="141" min="8205" max="8205"/>
    <col width="13.453125" customWidth="1" style="141" min="8206" max="8206"/>
    <col width="10.6328125" customWidth="1" style="141" min="8207" max="8207"/>
    <col width="23.6328125" customWidth="1" style="141" min="8449" max="8449"/>
    <col width="16.36328125" customWidth="1" style="141" min="8450" max="8450"/>
    <col width="13.453125" customWidth="1" style="141" min="8451" max="8459"/>
    <col width="15.6328125" customWidth="1" style="141" min="8460" max="8460"/>
    <col width="16.81640625" customWidth="1" style="141" min="8461" max="8461"/>
    <col width="13.453125" customWidth="1" style="141" min="8462" max="8462"/>
    <col width="10.6328125" customWidth="1" style="141" min="8463" max="8463"/>
    <col width="23.6328125" customWidth="1" style="141" min="8705" max="8705"/>
    <col width="16.36328125" customWidth="1" style="141" min="8706" max="8706"/>
    <col width="13.453125" customWidth="1" style="141" min="8707" max="8715"/>
    <col width="15.6328125" customWidth="1" style="141" min="8716" max="8716"/>
    <col width="16.81640625" customWidth="1" style="141" min="8717" max="8717"/>
    <col width="13.453125" customWidth="1" style="141" min="8718" max="8718"/>
    <col width="10.6328125" customWidth="1" style="141" min="8719" max="8719"/>
    <col width="23.6328125" customWidth="1" style="141" min="8961" max="8961"/>
    <col width="16.36328125" customWidth="1" style="141" min="8962" max="8962"/>
    <col width="13.453125" customWidth="1" style="141" min="8963" max="8971"/>
    <col width="15.6328125" customWidth="1" style="141" min="8972" max="8972"/>
    <col width="16.81640625" customWidth="1" style="141" min="8973" max="8973"/>
    <col width="13.453125" customWidth="1" style="141" min="8974" max="8974"/>
    <col width="10.6328125" customWidth="1" style="141" min="8975" max="8975"/>
    <col width="23.6328125" customWidth="1" style="141" min="9217" max="9217"/>
    <col width="16.36328125" customWidth="1" style="141" min="9218" max="9218"/>
    <col width="13.453125" customWidth="1" style="141" min="9219" max="9227"/>
    <col width="15.6328125" customWidth="1" style="141" min="9228" max="9228"/>
    <col width="16.81640625" customWidth="1" style="141" min="9229" max="9229"/>
    <col width="13.453125" customWidth="1" style="141" min="9230" max="9230"/>
    <col width="10.6328125" customWidth="1" style="141" min="9231" max="9231"/>
    <col width="23.6328125" customWidth="1" style="141" min="9473" max="9473"/>
    <col width="16.36328125" customWidth="1" style="141" min="9474" max="9474"/>
    <col width="13.453125" customWidth="1" style="141" min="9475" max="9483"/>
    <col width="15.6328125" customWidth="1" style="141" min="9484" max="9484"/>
    <col width="16.81640625" customWidth="1" style="141" min="9485" max="9485"/>
    <col width="13.453125" customWidth="1" style="141" min="9486" max="9486"/>
    <col width="10.6328125" customWidth="1" style="141" min="9487" max="9487"/>
    <col width="23.6328125" customWidth="1" style="141" min="9729" max="9729"/>
    <col width="16.36328125" customWidth="1" style="141" min="9730" max="9730"/>
    <col width="13.453125" customWidth="1" style="141" min="9731" max="9739"/>
    <col width="15.6328125" customWidth="1" style="141" min="9740" max="9740"/>
    <col width="16.81640625" customWidth="1" style="141" min="9741" max="9741"/>
    <col width="13.453125" customWidth="1" style="141" min="9742" max="9742"/>
    <col width="10.6328125" customWidth="1" style="141" min="9743" max="9743"/>
    <col width="23.6328125" customWidth="1" style="141" min="9985" max="9985"/>
    <col width="16.36328125" customWidth="1" style="141" min="9986" max="9986"/>
    <col width="13.453125" customWidth="1" style="141" min="9987" max="9995"/>
    <col width="15.6328125" customWidth="1" style="141" min="9996" max="9996"/>
    <col width="16.81640625" customWidth="1" style="141" min="9997" max="9997"/>
    <col width="13.453125" customWidth="1" style="141" min="9998" max="9998"/>
    <col width="10.6328125" customWidth="1" style="141" min="9999" max="9999"/>
    <col width="23.6328125" customWidth="1" style="141" min="10241" max="10241"/>
    <col width="16.36328125" customWidth="1" style="141" min="10242" max="10242"/>
    <col width="13.453125" customWidth="1" style="141" min="10243" max="10251"/>
    <col width="15.6328125" customWidth="1" style="141" min="10252" max="10252"/>
    <col width="16.81640625" customWidth="1" style="141" min="10253" max="10253"/>
    <col width="13.453125" customWidth="1" style="141" min="10254" max="10254"/>
    <col width="10.6328125" customWidth="1" style="141" min="10255" max="10255"/>
    <col width="23.6328125" customWidth="1" style="141" min="10497" max="10497"/>
    <col width="16.36328125" customWidth="1" style="141" min="10498" max="10498"/>
    <col width="13.453125" customWidth="1" style="141" min="10499" max="10507"/>
    <col width="15.6328125" customWidth="1" style="141" min="10508" max="10508"/>
    <col width="16.81640625" customWidth="1" style="141" min="10509" max="10509"/>
    <col width="13.453125" customWidth="1" style="141" min="10510" max="10510"/>
    <col width="10.6328125" customWidth="1" style="141" min="10511" max="10511"/>
    <col width="23.6328125" customWidth="1" style="141" min="10753" max="10753"/>
    <col width="16.36328125" customWidth="1" style="141" min="10754" max="10754"/>
    <col width="13.453125" customWidth="1" style="141" min="10755" max="10763"/>
    <col width="15.6328125" customWidth="1" style="141" min="10764" max="10764"/>
    <col width="16.81640625" customWidth="1" style="141" min="10765" max="10765"/>
    <col width="13.453125" customWidth="1" style="141" min="10766" max="10766"/>
    <col width="10.6328125" customWidth="1" style="141" min="10767" max="10767"/>
    <col width="23.6328125" customWidth="1" style="141" min="11009" max="11009"/>
    <col width="16.36328125" customWidth="1" style="141" min="11010" max="11010"/>
    <col width="13.453125" customWidth="1" style="141" min="11011" max="11019"/>
    <col width="15.6328125" customWidth="1" style="141" min="11020" max="11020"/>
    <col width="16.81640625" customWidth="1" style="141" min="11021" max="11021"/>
    <col width="13.453125" customWidth="1" style="141" min="11022" max="11022"/>
    <col width="10.6328125" customWidth="1" style="141" min="11023" max="11023"/>
    <col width="23.6328125" customWidth="1" style="141" min="11265" max="11265"/>
    <col width="16.36328125" customWidth="1" style="141" min="11266" max="11266"/>
    <col width="13.453125" customWidth="1" style="141" min="11267" max="11275"/>
    <col width="15.6328125" customWidth="1" style="141" min="11276" max="11276"/>
    <col width="16.81640625" customWidth="1" style="141" min="11277" max="11277"/>
    <col width="13.453125" customWidth="1" style="141" min="11278" max="11278"/>
    <col width="10.6328125" customWidth="1" style="141" min="11279" max="11279"/>
    <col width="23.6328125" customWidth="1" style="141" min="11521" max="11521"/>
    <col width="16.36328125" customWidth="1" style="141" min="11522" max="11522"/>
    <col width="13.453125" customWidth="1" style="141" min="11523" max="11531"/>
    <col width="15.6328125" customWidth="1" style="141" min="11532" max="11532"/>
    <col width="16.81640625" customWidth="1" style="141" min="11533" max="11533"/>
    <col width="13.453125" customWidth="1" style="141" min="11534" max="11534"/>
    <col width="10.6328125" customWidth="1" style="141" min="11535" max="11535"/>
    <col width="23.6328125" customWidth="1" style="141" min="11777" max="11777"/>
    <col width="16.36328125" customWidth="1" style="141" min="11778" max="11778"/>
    <col width="13.453125" customWidth="1" style="141" min="11779" max="11787"/>
    <col width="15.6328125" customWidth="1" style="141" min="11788" max="11788"/>
    <col width="16.81640625" customWidth="1" style="141" min="11789" max="11789"/>
    <col width="13.453125" customWidth="1" style="141" min="11790" max="11790"/>
    <col width="10.6328125" customWidth="1" style="141" min="11791" max="11791"/>
    <col width="23.6328125" customWidth="1" style="141" min="12033" max="12033"/>
    <col width="16.36328125" customWidth="1" style="141" min="12034" max="12034"/>
    <col width="13.453125" customWidth="1" style="141" min="12035" max="12043"/>
    <col width="15.6328125" customWidth="1" style="141" min="12044" max="12044"/>
    <col width="16.81640625" customWidth="1" style="141" min="12045" max="12045"/>
    <col width="13.453125" customWidth="1" style="141" min="12046" max="12046"/>
    <col width="10.6328125" customWidth="1" style="141" min="12047" max="12047"/>
    <col width="23.6328125" customWidth="1" style="141" min="12289" max="12289"/>
    <col width="16.36328125" customWidth="1" style="141" min="12290" max="12290"/>
    <col width="13.453125" customWidth="1" style="141" min="12291" max="12299"/>
    <col width="15.6328125" customWidth="1" style="141" min="12300" max="12300"/>
    <col width="16.81640625" customWidth="1" style="141" min="12301" max="12301"/>
    <col width="13.453125" customWidth="1" style="141" min="12302" max="12302"/>
    <col width="10.6328125" customWidth="1" style="141" min="12303" max="12303"/>
    <col width="23.6328125" customWidth="1" style="141" min="12545" max="12545"/>
    <col width="16.36328125" customWidth="1" style="141" min="12546" max="12546"/>
    <col width="13.453125" customWidth="1" style="141" min="12547" max="12555"/>
    <col width="15.6328125" customWidth="1" style="141" min="12556" max="12556"/>
    <col width="16.81640625" customWidth="1" style="141" min="12557" max="12557"/>
    <col width="13.453125" customWidth="1" style="141" min="12558" max="12558"/>
    <col width="10.6328125" customWidth="1" style="141" min="12559" max="12559"/>
    <col width="23.6328125" customWidth="1" style="141" min="12801" max="12801"/>
    <col width="16.36328125" customWidth="1" style="141" min="12802" max="12802"/>
    <col width="13.453125" customWidth="1" style="141" min="12803" max="12811"/>
    <col width="15.6328125" customWidth="1" style="141" min="12812" max="12812"/>
    <col width="16.81640625" customWidth="1" style="141" min="12813" max="12813"/>
    <col width="13.453125" customWidth="1" style="141" min="12814" max="12814"/>
    <col width="10.6328125" customWidth="1" style="141" min="12815" max="12815"/>
    <col width="23.6328125" customWidth="1" style="141" min="13057" max="13057"/>
    <col width="16.36328125" customWidth="1" style="141" min="13058" max="13058"/>
    <col width="13.453125" customWidth="1" style="141" min="13059" max="13067"/>
    <col width="15.6328125" customWidth="1" style="141" min="13068" max="13068"/>
    <col width="16.81640625" customWidth="1" style="141" min="13069" max="13069"/>
    <col width="13.453125" customWidth="1" style="141" min="13070" max="13070"/>
    <col width="10.6328125" customWidth="1" style="141" min="13071" max="13071"/>
    <col width="23.6328125" customWidth="1" style="141" min="13313" max="13313"/>
    <col width="16.36328125" customWidth="1" style="141" min="13314" max="13314"/>
    <col width="13.453125" customWidth="1" style="141" min="13315" max="13323"/>
    <col width="15.6328125" customWidth="1" style="141" min="13324" max="13324"/>
    <col width="16.81640625" customWidth="1" style="141" min="13325" max="13325"/>
    <col width="13.453125" customWidth="1" style="141" min="13326" max="13326"/>
    <col width="10.6328125" customWidth="1" style="141" min="13327" max="13327"/>
    <col width="23.6328125" customWidth="1" style="141" min="13569" max="13569"/>
    <col width="16.36328125" customWidth="1" style="141" min="13570" max="13570"/>
    <col width="13.453125" customWidth="1" style="141" min="13571" max="13579"/>
    <col width="15.6328125" customWidth="1" style="141" min="13580" max="13580"/>
    <col width="16.81640625" customWidth="1" style="141" min="13581" max="13581"/>
    <col width="13.453125" customWidth="1" style="141" min="13582" max="13582"/>
    <col width="10.6328125" customWidth="1" style="141" min="13583" max="13583"/>
    <col width="23.6328125" customWidth="1" style="141" min="13825" max="13825"/>
    <col width="16.36328125" customWidth="1" style="141" min="13826" max="13826"/>
    <col width="13.453125" customWidth="1" style="141" min="13827" max="13835"/>
    <col width="15.6328125" customWidth="1" style="141" min="13836" max="13836"/>
    <col width="16.81640625" customWidth="1" style="141" min="13837" max="13837"/>
    <col width="13.453125" customWidth="1" style="141" min="13838" max="13838"/>
    <col width="10.6328125" customWidth="1" style="141" min="13839" max="13839"/>
    <col width="23.6328125" customWidth="1" style="141" min="14081" max="14081"/>
    <col width="16.36328125" customWidth="1" style="141" min="14082" max="14082"/>
    <col width="13.453125" customWidth="1" style="141" min="14083" max="14091"/>
    <col width="15.6328125" customWidth="1" style="141" min="14092" max="14092"/>
    <col width="16.81640625" customWidth="1" style="141" min="14093" max="14093"/>
    <col width="13.453125" customWidth="1" style="141" min="14094" max="14094"/>
    <col width="10.6328125" customWidth="1" style="141" min="14095" max="14095"/>
    <col width="23.6328125" customWidth="1" style="141" min="14337" max="14337"/>
    <col width="16.36328125" customWidth="1" style="141" min="14338" max="14338"/>
    <col width="13.453125" customWidth="1" style="141" min="14339" max="14347"/>
    <col width="15.6328125" customWidth="1" style="141" min="14348" max="14348"/>
    <col width="16.81640625" customWidth="1" style="141" min="14349" max="14349"/>
    <col width="13.453125" customWidth="1" style="141" min="14350" max="14350"/>
    <col width="10.6328125" customWidth="1" style="141" min="14351" max="14351"/>
    <col width="23.6328125" customWidth="1" style="141" min="14593" max="14593"/>
    <col width="16.36328125" customWidth="1" style="141" min="14594" max="14594"/>
    <col width="13.453125" customWidth="1" style="141" min="14595" max="14603"/>
    <col width="15.6328125" customWidth="1" style="141" min="14604" max="14604"/>
    <col width="16.81640625" customWidth="1" style="141" min="14605" max="14605"/>
    <col width="13.453125" customWidth="1" style="141" min="14606" max="14606"/>
    <col width="10.6328125" customWidth="1" style="141" min="14607" max="14607"/>
    <col width="23.6328125" customWidth="1" style="141" min="14849" max="14849"/>
    <col width="16.36328125" customWidth="1" style="141" min="14850" max="14850"/>
    <col width="13.453125" customWidth="1" style="141" min="14851" max="14859"/>
    <col width="15.6328125" customWidth="1" style="141" min="14860" max="14860"/>
    <col width="16.81640625" customWidth="1" style="141" min="14861" max="14861"/>
    <col width="13.453125" customWidth="1" style="141" min="14862" max="14862"/>
    <col width="10.6328125" customWidth="1" style="141" min="14863" max="14863"/>
    <col width="23.6328125" customWidth="1" style="141" min="15105" max="15105"/>
    <col width="16.36328125" customWidth="1" style="141" min="15106" max="15106"/>
    <col width="13.453125" customWidth="1" style="141" min="15107" max="15115"/>
    <col width="15.6328125" customWidth="1" style="141" min="15116" max="15116"/>
    <col width="16.81640625" customWidth="1" style="141" min="15117" max="15117"/>
    <col width="13.453125" customWidth="1" style="141" min="15118" max="15118"/>
    <col width="10.6328125" customWidth="1" style="141" min="15119" max="15119"/>
    <col width="23.6328125" customWidth="1" style="141" min="15361" max="15361"/>
    <col width="16.36328125" customWidth="1" style="141" min="15362" max="15362"/>
    <col width="13.453125" customWidth="1" style="141" min="15363" max="15371"/>
    <col width="15.6328125" customWidth="1" style="141" min="15372" max="15372"/>
    <col width="16.81640625" customWidth="1" style="141" min="15373" max="15373"/>
    <col width="13.453125" customWidth="1" style="141" min="15374" max="15374"/>
    <col width="10.6328125" customWidth="1" style="141" min="15375" max="15375"/>
    <col width="23.6328125" customWidth="1" style="141" min="15617" max="15617"/>
    <col width="16.36328125" customWidth="1" style="141" min="15618" max="15618"/>
    <col width="13.453125" customWidth="1" style="141" min="15619" max="15627"/>
    <col width="15.6328125" customWidth="1" style="141" min="15628" max="15628"/>
    <col width="16.81640625" customWidth="1" style="141" min="15629" max="15629"/>
    <col width="13.453125" customWidth="1" style="141" min="15630" max="15630"/>
    <col width="10.6328125" customWidth="1" style="141" min="15631" max="15631"/>
    <col width="23.6328125" customWidth="1" style="141" min="15873" max="15873"/>
    <col width="16.36328125" customWidth="1" style="141" min="15874" max="15874"/>
    <col width="13.453125" customWidth="1" style="141" min="15875" max="15883"/>
    <col width="15.6328125" customWidth="1" style="141" min="15884" max="15884"/>
    <col width="16.81640625" customWidth="1" style="141" min="15885" max="15885"/>
    <col width="13.453125" customWidth="1" style="141" min="15886" max="15886"/>
    <col width="10.6328125" customWidth="1" style="141" min="15887" max="15887"/>
    <col width="23.6328125" customWidth="1" style="141" min="16129" max="16129"/>
    <col width="16.36328125" customWidth="1" style="141" min="16130" max="16130"/>
    <col width="13.453125" customWidth="1" style="141" min="16131" max="16139"/>
    <col width="15.6328125" customWidth="1" style="141" min="16140" max="16140"/>
    <col width="16.81640625" customWidth="1" style="141" min="16141" max="16141"/>
    <col width="13.453125" customWidth="1" style="141" min="16142" max="16142"/>
    <col width="10.6328125" customWidth="1" style="141" min="16143" max="16143"/>
  </cols>
  <sheetData>
    <row r="1" ht="12.75" customHeight="1" s="141">
      <c r="A1" s="3" t="n"/>
      <c r="B1" s="4" t="n"/>
      <c r="C1" s="4" t="n"/>
      <c r="D1" s="4" t="n"/>
      <c r="E1" s="4" t="n"/>
      <c r="F1" s="4" t="n"/>
      <c r="G1" s="4" t="n"/>
      <c r="H1" s="4" t="n"/>
      <c r="I1" s="4" t="n"/>
      <c r="J1" s="4" t="n"/>
      <c r="K1" s="4" t="n"/>
      <c r="L1" s="4" t="n"/>
      <c r="M1" s="4" t="n"/>
      <c r="N1" s="5" t="n"/>
    </row>
    <row r="2" ht="24" customHeight="1" s="141">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1">
      <c r="A3" s="6" t="n"/>
      <c r="B3" s="4" t="n"/>
      <c r="C3" s="4" t="n"/>
      <c r="D3" s="4" t="n"/>
      <c r="E3" s="4" t="n"/>
      <c r="F3" s="4" t="n"/>
      <c r="G3" s="4" t="n"/>
      <c r="H3" s="4" t="n"/>
      <c r="I3" s="4" t="n"/>
      <c r="J3" s="4" t="n"/>
      <c r="K3" s="4" t="n"/>
      <c r="L3" s="4" t="n"/>
      <c r="M3" s="4" t="n"/>
      <c r="N3" s="5" t="n"/>
    </row>
    <row r="4" ht="16.5" customHeight="1" s="141"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1"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1"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1">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1">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1">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1" thickBot="1">
      <c r="A10" s="30" t="n"/>
      <c r="B10" s="31" t="n"/>
      <c r="C10" s="31" t="n"/>
      <c r="D10" s="31" t="n"/>
      <c r="E10" s="31" t="n"/>
      <c r="F10" s="31" t="n"/>
      <c r="G10" s="31" t="n"/>
      <c r="H10" s="31" t="n"/>
      <c r="I10" s="31" t="n"/>
      <c r="J10" s="31" t="n"/>
      <c r="K10" s="31" t="n"/>
      <c r="L10" s="31" t="n"/>
      <c r="M10" s="31" t="n"/>
      <c r="N10" s="32" t="n"/>
    </row>
    <row r="11" ht="9" customHeight="1" s="141">
      <c r="A11" s="3" t="n"/>
      <c r="B11" s="33" t="n"/>
      <c r="C11" s="34" t="n"/>
      <c r="D11" s="34" t="n"/>
      <c r="E11" s="34" t="n"/>
      <c r="F11" s="100" t="n"/>
      <c r="G11" s="100" t="n"/>
      <c r="H11" s="100" t="n"/>
      <c r="I11" s="34" t="n"/>
      <c r="J11" s="34" t="n"/>
      <c r="K11" s="34" t="n"/>
      <c r="L11" s="34" t="n"/>
      <c r="M11" s="34" t="n"/>
      <c r="N11" s="101" t="n"/>
    </row>
    <row r="12" ht="18" customHeight="1" s="141">
      <c r="A12" s="35" t="inlineStr">
        <is>
          <t>DURABLE GOODS</t>
        </is>
      </c>
      <c r="B12" s="36" t="n"/>
      <c r="C12" s="37" t="n"/>
      <c r="D12" s="37" t="n"/>
      <c r="E12" s="37" t="n"/>
      <c r="F12" s="102" t="n"/>
      <c r="G12" s="102" t="n"/>
      <c r="H12" s="102" t="n"/>
      <c r="I12" s="37" t="n"/>
      <c r="J12" s="37" t="n"/>
      <c r="K12" s="37" t="n"/>
      <c r="L12" s="37" t="n"/>
      <c r="M12" s="37" t="n"/>
      <c r="N12" s="103" t="n"/>
    </row>
    <row r="13" ht="9" customHeight="1" s="141">
      <c r="A13" s="38" t="n"/>
      <c r="B13" s="33" t="n"/>
      <c r="C13" s="37" t="n"/>
      <c r="D13" s="37" t="n"/>
      <c r="E13" s="37" t="n"/>
      <c r="F13" s="102" t="n"/>
      <c r="G13" s="102" t="n"/>
      <c r="H13" s="102" t="n"/>
      <c r="I13" s="37" t="n"/>
      <c r="J13" s="37" t="n"/>
      <c r="K13" s="37" t="n"/>
      <c r="L13" s="37" t="n"/>
      <c r="M13" s="37" t="n"/>
      <c r="N13" s="103" t="n"/>
    </row>
    <row r="14" ht="17" customHeight="1" s="141">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1">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1">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1">
      <c r="A17" s="40" t="n"/>
      <c r="B17" s="33" t="n"/>
      <c r="C17" s="41" t="n"/>
      <c r="D17" s="41" t="n"/>
      <c r="E17" s="41" t="n"/>
      <c r="F17" s="104" t="n"/>
      <c r="G17" s="104" t="n"/>
      <c r="H17" s="104" t="n"/>
      <c r="I17" s="41" t="n"/>
      <c r="J17" s="41" t="n"/>
      <c r="K17" s="41" t="n"/>
      <c r="L17" s="41" t="n"/>
      <c r="M17" s="41" t="n"/>
      <c r="N17" s="105" t="n"/>
    </row>
    <row r="18" ht="20" customHeight="1" s="141">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1">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1">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1">
      <c r="A21" s="40" t="n"/>
      <c r="B21" s="33" t="n"/>
      <c r="C21" s="41" t="n"/>
      <c r="D21" s="41" t="n"/>
      <c r="E21" s="41" t="n"/>
      <c r="F21" s="104" t="n"/>
      <c r="G21" s="104" t="n"/>
      <c r="H21" s="104" t="n"/>
      <c r="I21" s="41" t="n"/>
      <c r="J21" s="41" t="n"/>
      <c r="K21" s="41" t="n"/>
      <c r="L21" s="41" t="n"/>
      <c r="M21" s="41" t="n"/>
      <c r="N21" s="105" t="n"/>
    </row>
    <row r="22" ht="20" customHeight="1" s="141">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1">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1">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1">
      <c r="A25" s="43" t="n"/>
      <c r="B25" s="33" t="n"/>
      <c r="C25" s="41" t="n"/>
      <c r="D25" s="41" t="n"/>
      <c r="E25" s="41" t="n"/>
      <c r="F25" s="104" t="n"/>
      <c r="G25" s="104" t="n"/>
      <c r="H25" s="104" t="n"/>
      <c r="I25" s="41" t="n"/>
      <c r="J25" s="41" t="n"/>
      <c r="K25" s="41" t="n"/>
      <c r="L25" s="41" t="n"/>
      <c r="M25" s="41" t="n"/>
      <c r="N25" s="105" t="n"/>
    </row>
    <row r="26" ht="20" customHeight="1" s="141">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1">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1">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1">
      <c r="A29" s="40" t="n"/>
      <c r="B29" s="33" t="n"/>
      <c r="C29" s="41" t="n"/>
      <c r="D29" s="41" t="n"/>
      <c r="E29" s="41" t="n"/>
      <c r="F29" s="104" t="n"/>
      <c r="G29" s="104" t="n"/>
      <c r="H29" s="104" t="n"/>
      <c r="I29" s="41" t="n"/>
      <c r="J29" s="41" t="n"/>
      <c r="K29" s="41" t="n"/>
      <c r="L29" s="41" t="n"/>
      <c r="M29" s="41" t="n"/>
      <c r="N29" s="105" t="n"/>
    </row>
    <row r="30" ht="16.5" customHeight="1" s="141">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1">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1">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1">
      <c r="A33" s="44" t="n"/>
      <c r="B33" s="33" t="n"/>
      <c r="C33" s="41" t="n"/>
      <c r="D33" s="41" t="n"/>
      <c r="E33" s="41" t="n"/>
      <c r="F33" s="104" t="n"/>
      <c r="G33" s="104" t="n"/>
      <c r="H33" s="104" t="n"/>
      <c r="I33" s="41" t="n"/>
      <c r="J33" s="41" t="n"/>
      <c r="K33" s="41" t="n"/>
      <c r="L33" s="41" t="n"/>
      <c r="M33" s="41" t="n"/>
      <c r="N33" s="105" t="n"/>
    </row>
    <row r="34" ht="18" customHeight="1" s="141">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1">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1">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1">
      <c r="A37" s="43" t="n"/>
      <c r="B37" s="33" t="n"/>
      <c r="C37" s="41" t="n"/>
      <c r="D37" s="41" t="n"/>
      <c r="E37" s="41" t="n"/>
      <c r="F37" s="104" t="n"/>
      <c r="G37" s="104" t="n"/>
      <c r="H37" s="104" t="n"/>
      <c r="I37" s="41" t="n"/>
      <c r="J37" s="41" t="n"/>
      <c r="K37" s="41" t="n"/>
      <c r="L37" s="41" t="n"/>
      <c r="M37" s="41" t="n"/>
      <c r="N37" s="105" t="n"/>
    </row>
    <row r="38" ht="18.75" customHeight="1" s="141">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1">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1">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1">
      <c r="A41" s="42" t="n"/>
      <c r="B41" s="33" t="n"/>
      <c r="C41" s="41" t="n"/>
      <c r="D41" s="41" t="n"/>
      <c r="E41" s="41" t="n"/>
      <c r="F41" s="104" t="n"/>
      <c r="G41" s="104" t="n"/>
      <c r="H41" s="104" t="n"/>
      <c r="I41" s="41" t="n"/>
      <c r="J41" s="41" t="n"/>
      <c r="K41" s="41" t="n"/>
      <c r="L41" s="41" t="n"/>
      <c r="M41" s="41" t="n"/>
      <c r="N41" s="105" t="n"/>
    </row>
    <row r="42" ht="20" customHeight="1" s="141">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1">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1">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1">
      <c r="A45" s="44" t="n"/>
      <c r="B45" s="33" t="n"/>
      <c r="C45" s="41" t="n"/>
      <c r="D45" s="41" t="n"/>
      <c r="E45" s="41" t="n"/>
      <c r="F45" s="104" t="n"/>
      <c r="G45" s="104" t="n"/>
      <c r="H45" s="104" t="n"/>
      <c r="I45" s="41" t="n"/>
      <c r="J45" s="41" t="n"/>
      <c r="K45" s="41" t="n"/>
      <c r="L45" s="41" t="n"/>
      <c r="M45" s="41" t="n"/>
      <c r="N45" s="105" t="n"/>
    </row>
    <row r="46" ht="18.75" customHeight="1" s="141">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1">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1">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1">
      <c r="A49" s="45" t="inlineStr">
        <is>
          <t xml:space="preserve">       </t>
        </is>
      </c>
      <c r="B49" s="33" t="n"/>
      <c r="C49" s="41" t="n"/>
      <c r="D49" s="41" t="n"/>
      <c r="E49" s="41" t="n"/>
      <c r="F49" s="104" t="n"/>
      <c r="G49" s="104" t="n"/>
      <c r="H49" s="104" t="n"/>
      <c r="I49" s="41" t="n"/>
      <c r="J49" s="41" t="n"/>
      <c r="K49" s="41" t="n"/>
      <c r="L49" s="41" t="n"/>
      <c r="M49" s="41" t="n"/>
      <c r="N49" s="105" t="n"/>
    </row>
    <row r="50" ht="18.75" customHeight="1" s="141">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1">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1">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1">
      <c r="A53" s="40" t="n"/>
      <c r="B53" s="33" t="n"/>
      <c r="C53" s="41" t="n"/>
      <c r="D53" s="41" t="n"/>
      <c r="E53" s="41" t="n"/>
      <c r="F53" s="104" t="n"/>
      <c r="G53" s="104" t="n"/>
      <c r="H53" s="104" t="n"/>
      <c r="I53" s="41" t="n"/>
      <c r="J53" s="41" t="n"/>
      <c r="K53" s="41" t="n"/>
      <c r="L53" s="41" t="n"/>
      <c r="M53" s="41" t="n"/>
      <c r="N53" s="106" t="n"/>
    </row>
    <row r="54" ht="18.75" customHeight="1" s="141">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1">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1">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1">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1">
      <c r="A58" s="44" t="n"/>
      <c r="B58" s="33" t="n"/>
      <c r="C58" s="41" t="n"/>
      <c r="D58" s="41" t="n"/>
      <c r="E58" s="41" t="n"/>
      <c r="F58" s="104" t="n"/>
      <c r="G58" s="104" t="n"/>
      <c r="H58" s="104" t="n"/>
      <c r="I58" s="41" t="n"/>
      <c r="J58" s="41" t="n"/>
      <c r="K58" s="41" t="n"/>
      <c r="L58" s="41" t="n"/>
      <c r="M58" s="41" t="n"/>
      <c r="N58" s="105" t="n"/>
    </row>
    <row r="59" ht="15" customHeight="1" s="141">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1">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1">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1">
      <c r="A62" s="40" t="n"/>
      <c r="B62" s="33" t="n"/>
      <c r="C62" s="41" t="n"/>
      <c r="D62" s="41" t="n"/>
      <c r="E62" s="41" t="n"/>
      <c r="F62" s="104" t="n"/>
      <c r="G62" s="104" t="n"/>
      <c r="H62" s="104" t="n"/>
      <c r="I62" s="41" t="n"/>
      <c r="J62" s="41" t="n"/>
      <c r="K62" s="41" t="n"/>
      <c r="L62" s="41" t="n"/>
      <c r="M62" s="41" t="n"/>
      <c r="N62" s="105" t="n"/>
    </row>
    <row r="63" ht="18.75" customHeight="1" s="141">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1">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1">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1">
      <c r="A66" s="45" t="inlineStr">
        <is>
          <t xml:space="preserve">           </t>
        </is>
      </c>
      <c r="B66" s="33" t="n"/>
      <c r="C66" s="41" t="n"/>
      <c r="D66" s="41" t="n"/>
      <c r="E66" s="41" t="n"/>
      <c r="F66" s="104" t="n"/>
      <c r="G66" s="104" t="n"/>
      <c r="H66" s="104" t="n"/>
      <c r="I66" s="41" t="n"/>
      <c r="J66" s="41" t="n"/>
      <c r="K66" s="41" t="n"/>
      <c r="L66" s="41" t="n"/>
      <c r="M66" s="41" t="n"/>
      <c r="N66" s="105" t="n"/>
    </row>
    <row r="67" ht="18.75" customHeight="1" s="141">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1">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1">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1">
      <c r="A70" s="40" t="n"/>
      <c r="B70" s="33" t="n"/>
      <c r="C70" s="41" t="n"/>
      <c r="D70" s="41" t="n"/>
      <c r="E70" s="41" t="n"/>
      <c r="F70" s="104" t="n"/>
      <c r="G70" s="104" t="n"/>
      <c r="H70" s="104" t="n"/>
      <c r="I70" s="41" t="n"/>
      <c r="J70" s="41" t="n"/>
      <c r="K70" s="41" t="n"/>
      <c r="L70" s="41" t="n"/>
      <c r="M70" s="41" t="n"/>
      <c r="N70" s="105" t="n"/>
    </row>
    <row r="71" ht="18.75" customHeight="1" s="141">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1">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1">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1">
      <c r="A74" s="40" t="n"/>
      <c r="B74" s="33" t="n"/>
      <c r="C74" s="41" t="n"/>
      <c r="D74" s="41" t="n"/>
      <c r="E74" s="41" t="n"/>
      <c r="F74" s="104" t="n"/>
      <c r="G74" s="104" t="n"/>
      <c r="H74" s="104" t="n"/>
      <c r="I74" s="41" t="n"/>
      <c r="J74" s="41" t="n"/>
      <c r="K74" s="41" t="n"/>
      <c r="L74" s="41" t="n"/>
      <c r="M74" s="41" t="n"/>
      <c r="N74" s="105" t="n"/>
    </row>
    <row r="75" ht="18.75" customHeight="1" s="141">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1">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1">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1">
      <c r="A78" s="40" t="n"/>
      <c r="B78" s="33" t="n"/>
      <c r="C78" s="41" t="n"/>
      <c r="D78" s="41" t="n"/>
      <c r="E78" s="41" t="n"/>
      <c r="F78" s="104" t="n"/>
      <c r="G78" s="104" t="n"/>
      <c r="H78" s="104" t="n"/>
      <c r="I78" s="41" t="n"/>
      <c r="J78" s="41" t="n"/>
      <c r="K78" s="41" t="n"/>
      <c r="L78" s="41" t="n"/>
      <c r="M78" s="41" t="n"/>
      <c r="N78" s="105" t="n"/>
    </row>
    <row r="79" ht="21.75" customHeight="1" s="141">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1">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1">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1">
      <c r="A82" s="40" t="n"/>
      <c r="B82" s="33" t="n"/>
      <c r="C82" s="41" t="n"/>
      <c r="D82" s="41" t="n"/>
      <c r="E82" s="41" t="n"/>
      <c r="F82" s="104" t="n"/>
      <c r="G82" s="104" t="n"/>
      <c r="H82" s="104" t="n"/>
      <c r="I82" s="41" t="n"/>
      <c r="J82" s="41" t="n"/>
      <c r="K82" s="41" t="n"/>
      <c r="L82" s="41" t="n"/>
      <c r="M82" s="41" t="n"/>
      <c r="N82" s="105" t="n"/>
    </row>
    <row r="83" ht="18.75" customHeight="1" s="141">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1">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1">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1">
      <c r="A86" s="43" t="n"/>
      <c r="B86" s="33" t="n"/>
      <c r="C86" s="41" t="n"/>
      <c r="D86" s="41" t="n"/>
      <c r="E86" s="41" t="n"/>
      <c r="F86" s="104" t="n"/>
      <c r="G86" s="104" t="n"/>
      <c r="H86" s="104" t="n"/>
      <c r="I86" s="41" t="n"/>
      <c r="J86" s="41" t="n"/>
      <c r="K86" s="41" t="n"/>
      <c r="L86" s="41" t="n"/>
      <c r="M86" s="41" t="n"/>
      <c r="N86" s="105" t="n"/>
    </row>
    <row r="87" ht="20.25" customHeight="1" s="141">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1">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1">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1">
      <c r="A90" s="43" t="n"/>
      <c r="B90" s="33" t="n"/>
      <c r="C90" s="41" t="n"/>
      <c r="D90" s="41" t="n"/>
      <c r="E90" s="41" t="n"/>
      <c r="F90" s="104" t="n"/>
      <c r="G90" s="104" t="n"/>
      <c r="H90" s="104" t="n"/>
      <c r="I90" s="41" t="n"/>
      <c r="J90" s="41" t="n"/>
      <c r="K90" s="41" t="n"/>
      <c r="L90" s="41" t="n"/>
      <c r="M90" s="41" t="n"/>
      <c r="N90" s="105" t="n"/>
    </row>
    <row r="91" ht="18.75" customHeight="1" s="141">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1">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1">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1" thickBot="1">
      <c r="A94" s="30" t="n"/>
      <c r="B94" s="31" t="n"/>
      <c r="C94" s="46" t="n"/>
      <c r="D94" s="46" t="n"/>
      <c r="E94" s="46" t="n"/>
      <c r="F94" s="108" t="n"/>
      <c r="G94" s="108" t="n"/>
      <c r="H94" s="108" t="n"/>
      <c r="I94" s="46" t="n"/>
      <c r="J94" s="46" t="n"/>
      <c r="K94" s="46" t="n"/>
      <c r="L94" s="46" t="n"/>
      <c r="M94" s="46" t="n"/>
      <c r="N94" s="109" t="n"/>
    </row>
    <row r="95" ht="9" customHeight="1" s="141">
      <c r="A95" s="3" t="n"/>
      <c r="B95" s="3" t="n"/>
      <c r="C95" s="47" t="n"/>
      <c r="D95" s="47" t="n"/>
      <c r="E95" s="47" t="n"/>
      <c r="F95" s="110" t="n"/>
      <c r="G95" s="110" t="n"/>
      <c r="H95" s="110" t="n"/>
      <c r="I95" s="47" t="n"/>
      <c r="J95" s="47" t="n"/>
      <c r="K95" s="47" t="n"/>
      <c r="L95" s="47" t="n"/>
      <c r="M95" s="47" t="n"/>
      <c r="N95" s="101" t="n"/>
    </row>
    <row r="96" ht="9" customHeight="1" s="141">
      <c r="A96" s="3" t="n"/>
      <c r="B96" s="3" t="n"/>
      <c r="C96" s="47" t="n"/>
      <c r="D96" s="47" t="n"/>
      <c r="E96" s="47" t="n"/>
      <c r="F96" s="110" t="n"/>
      <c r="G96" s="110" t="n"/>
      <c r="H96" s="110" t="n"/>
      <c r="I96" s="47" t="n"/>
      <c r="J96" s="47" t="n"/>
      <c r="K96" s="47" t="n"/>
      <c r="L96" s="47" t="n"/>
      <c r="M96" s="47" t="n"/>
      <c r="N96" s="101" t="n"/>
    </row>
    <row r="97" ht="9" customHeight="1" s="141">
      <c r="A97" s="3" t="n"/>
      <c r="B97" s="3" t="n"/>
      <c r="C97" s="3" t="n"/>
      <c r="D97" s="3" t="n"/>
      <c r="E97" s="3" t="n"/>
      <c r="F97" s="3" t="n"/>
      <c r="G97" s="3" t="n"/>
      <c r="H97" s="3" t="n"/>
      <c r="I97" s="3" t="n"/>
      <c r="J97" s="3" t="n"/>
      <c r="K97" s="3" t="n"/>
      <c r="L97" s="3" t="n"/>
      <c r="M97" s="3" t="n"/>
      <c r="N97" s="5" t="n"/>
    </row>
    <row r="98" ht="320.25" customHeight="1" s="141">
      <c r="A98" s="140"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1">
      <c r="A99" s="48" t="n"/>
      <c r="B99" s="49" t="n"/>
      <c r="C99" s="49" t="n"/>
      <c r="D99" s="49" t="n"/>
      <c r="E99" s="49" t="n"/>
      <c r="F99" s="49" t="n"/>
      <c r="G99" s="49" t="n"/>
      <c r="H99" s="49" t="n"/>
      <c r="I99" s="49" t="n"/>
      <c r="J99" s="49" t="n"/>
      <c r="K99" s="49" t="n"/>
      <c r="L99" s="49" t="n"/>
      <c r="M99" s="49" t="n"/>
      <c r="N99" s="49" t="n"/>
    </row>
    <row r="100" ht="12" customHeight="1" s="141">
      <c r="A100" s="50" t="n"/>
      <c r="B100" s="51" t="n"/>
    </row>
    <row r="101" ht="18" customHeight="1" s="141">
      <c r="A101" s="52" t="n"/>
      <c r="B101" s="51" t="n"/>
    </row>
    <row r="102" ht="6.5" customHeight="1" s="141">
      <c r="A102" s="50" t="n"/>
      <c r="B102" s="51" t="n"/>
    </row>
    <row r="103" ht="18" customHeight="1" s="141">
      <c r="A103" s="52" t="n"/>
      <c r="B103" s="51" t="n"/>
    </row>
    <row r="104" ht="6.5" customHeight="1" s="141">
      <c r="A104" s="50" t="n"/>
      <c r="B104" s="51" t="n"/>
    </row>
    <row r="105" ht="12" customHeight="1" s="141">
      <c r="B105" s="51" t="n"/>
    </row>
    <row r="106" ht="12.75" customHeight="1" s="141"/>
    <row r="107" ht="12.75" customHeight="1" s="141">
      <c r="B107" s="53" t="n"/>
      <c r="C107" s="53" t="n"/>
      <c r="D107" s="53" t="n"/>
      <c r="E107" s="53" t="n"/>
      <c r="F107" s="53" t="n"/>
      <c r="G107" s="53" t="n"/>
      <c r="H107" s="53" t="n"/>
      <c r="I107" s="53" t="n"/>
      <c r="J107" s="53" t="n"/>
      <c r="K107" s="53" t="n"/>
      <c r="L107" s="53" t="n"/>
      <c r="M107" s="53" t="n"/>
    </row>
    <row r="108" ht="12.75" customHeight="1" s="141">
      <c r="B108" s="53" t="n"/>
      <c r="C108" s="53" t="n"/>
      <c r="D108" s="53" t="n"/>
      <c r="E108" s="53" t="n"/>
      <c r="F108" s="53" t="n"/>
      <c r="G108" s="53" t="n"/>
      <c r="H108" s="53" t="n"/>
      <c r="I108" s="53" t="n"/>
      <c r="J108" s="53" t="n"/>
      <c r="K108" s="53" t="n"/>
      <c r="L108" s="53" t="n"/>
      <c r="M108" s="53" t="n"/>
    </row>
    <row r="109" ht="12" customHeight="1" s="141">
      <c r="B109" s="53" t="n"/>
      <c r="C109" s="53" t="n"/>
      <c r="D109" s="53" t="n"/>
      <c r="E109" s="53" t="n"/>
      <c r="F109" s="53" t="n"/>
      <c r="G109" s="53" t="n"/>
      <c r="H109" s="53" t="n"/>
      <c r="I109" s="53" t="n"/>
      <c r="J109" s="53" t="n"/>
      <c r="K109" s="53" t="n"/>
      <c r="L109" s="53" t="n"/>
      <c r="M109" s="53" t="n"/>
    </row>
    <row r="110" ht="12.75" customHeight="1" s="141">
      <c r="B110" s="53" t="n"/>
      <c r="C110" s="53" t="n"/>
      <c r="D110" s="53" t="n"/>
      <c r="E110" s="53" t="n"/>
      <c r="F110" s="53" t="n"/>
      <c r="G110" s="53" t="n"/>
      <c r="H110" s="53" t="n"/>
      <c r="I110" s="53" t="n"/>
      <c r="J110" s="53" t="n"/>
      <c r="K110" s="53" t="n"/>
      <c r="L110" s="53" t="n"/>
      <c r="M110" s="53" t="n"/>
    </row>
    <row r="111" ht="12.75" customHeight="1" s="141">
      <c r="B111" s="53" t="n"/>
      <c r="C111" s="53" t="n"/>
      <c r="D111" s="53" t="n"/>
      <c r="E111" s="53" t="n"/>
      <c r="F111" s="53" t="n"/>
      <c r="G111" s="53" t="n"/>
      <c r="H111" s="53" t="n"/>
      <c r="I111" s="53" t="n"/>
      <c r="J111" s="53" t="n"/>
      <c r="K111" s="53" t="n"/>
      <c r="L111" s="53" t="n"/>
      <c r="M111" s="53" t="n"/>
    </row>
    <row r="112" ht="12.75" customHeight="1" s="141">
      <c r="B112" s="53" t="n"/>
      <c r="C112" s="53" t="n"/>
      <c r="D112" s="53" t="n"/>
      <c r="E112" s="53" t="n"/>
      <c r="F112" s="53" t="n"/>
      <c r="G112" s="53" t="n"/>
      <c r="H112" s="53" t="n"/>
      <c r="I112" s="53" t="n"/>
      <c r="J112" s="53" t="n"/>
      <c r="K112" s="53" t="n"/>
      <c r="L112" s="53" t="n"/>
      <c r="M112" s="53" t="n"/>
    </row>
    <row r="113" ht="12.75" customHeight="1" s="141">
      <c r="B113" s="53" t="n"/>
      <c r="C113" s="53" t="n"/>
      <c r="D113" s="53" t="n"/>
      <c r="E113" s="53" t="n"/>
      <c r="F113" s="53" t="n"/>
      <c r="G113" s="53" t="n"/>
      <c r="H113" s="53" t="n"/>
      <c r="I113" s="53" t="n"/>
      <c r="J113" s="53" t="n"/>
      <c r="K113" s="53" t="n"/>
      <c r="L113" s="53" t="n"/>
      <c r="M113" s="53" t="n"/>
    </row>
    <row r="114" ht="12.75" customHeight="1" s="141">
      <c r="B114" s="53" t="n"/>
      <c r="C114" s="53" t="n"/>
      <c r="D114" s="53" t="n"/>
      <c r="E114" s="53" t="n"/>
      <c r="F114" s="53" t="n"/>
      <c r="G114" s="53" t="n"/>
      <c r="H114" s="53" t="n"/>
      <c r="I114" s="53" t="n"/>
      <c r="J114" s="53" t="n"/>
      <c r="K114" s="53" t="n"/>
      <c r="L114" s="53" t="n"/>
      <c r="M114" s="53" t="n"/>
    </row>
    <row r="115" ht="20.25" customHeight="1" s="141">
      <c r="A115" s="54" t="n"/>
      <c r="B115" s="53" t="n"/>
      <c r="C115" s="53" t="n"/>
      <c r="D115" s="53" t="n"/>
      <c r="E115" s="53" t="n"/>
      <c r="F115" s="53" t="n"/>
      <c r="G115" s="53" t="n"/>
      <c r="H115" s="53" t="n"/>
      <c r="I115" s="53" t="n"/>
      <c r="J115" s="53" t="n"/>
      <c r="K115" s="53" t="n"/>
      <c r="L115" s="53" t="n"/>
      <c r="M115" s="53" t="n"/>
    </row>
    <row r="116" ht="15" customHeight="1" s="141">
      <c r="A116" s="55" t="n"/>
      <c r="B116" s="53" t="n"/>
      <c r="C116" s="53" t="n"/>
      <c r="D116" s="53" t="n"/>
      <c r="E116" s="53" t="n"/>
      <c r="F116" s="53" t="n"/>
      <c r="G116" s="53" t="n"/>
      <c r="H116" s="53" t="n"/>
      <c r="I116" s="53" t="n"/>
      <c r="J116" s="53" t="n"/>
      <c r="K116" s="53" t="n"/>
      <c r="L116" s="53" t="n"/>
      <c r="M116" s="53" t="n"/>
    </row>
    <row r="117" ht="12.75" customHeight="1" s="141"/>
    <row r="118" ht="18" customHeight="1" s="141"/>
    <row r="119" ht="18" customHeight="1" s="141"/>
    <row r="120" ht="15" customHeight="1" s="141"/>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79"/>
  <sheetViews>
    <sheetView zoomScale="160" zoomScaleNormal="160" workbookViewId="0">
      <pane ySplit="1" topLeftCell="A771" activePane="bottomLeft" state="frozen"/>
      <selection pane="bottomLeft" activeCell="Q21" sqref="Q21"/>
    </sheetView>
  </sheetViews>
  <sheetFormatPr baseColWidth="8" defaultColWidth="8.81640625" defaultRowHeight="14.5"/>
  <cols>
    <col width="12.6328125" customWidth="1" style="141" min="1" max="1"/>
    <col width="9.6328125" customWidth="1" style="141" min="2" max="7"/>
    <col width="10.6328125" customWidth="1" style="141" min="8" max="10"/>
    <col width="9.6328125" customWidth="1" style="141" min="11" max="11"/>
    <col width="10.6328125" customWidth="1" style="141" min="12" max="12"/>
    <col width="9.6328125" customWidth="1" style="141" min="13" max="13"/>
    <col width="9.1796875" customWidth="1" style="141" min="14" max="256"/>
    <col width="12.6328125" customWidth="1" style="141" min="257" max="257"/>
    <col width="9.6328125" customWidth="1" style="141" min="258" max="262"/>
    <col width="10.6328125" customWidth="1" style="141" min="263" max="266"/>
    <col width="9.6328125" customWidth="1" style="141" min="267" max="267"/>
    <col width="10.6328125" customWidth="1" style="141" min="268" max="268"/>
    <col width="9.6328125" customWidth="1" style="141" min="269" max="269"/>
    <col width="9.1796875" customWidth="1" style="141" min="270" max="512"/>
    <col width="12.6328125" customWidth="1" style="141" min="513" max="513"/>
    <col width="9.6328125" customWidth="1" style="141" min="514" max="518"/>
    <col width="10.6328125" customWidth="1" style="141" min="519" max="522"/>
    <col width="9.6328125" customWidth="1" style="141" min="523" max="523"/>
    <col width="10.6328125" customWidth="1" style="141" min="524" max="524"/>
    <col width="9.6328125" customWidth="1" style="141" min="525" max="525"/>
    <col width="9.1796875" customWidth="1" style="141" min="526" max="768"/>
    <col width="12.6328125" customWidth="1" style="141" min="769" max="769"/>
    <col width="9.6328125" customWidth="1" style="141" min="770" max="774"/>
    <col width="10.6328125" customWidth="1" style="141" min="775" max="778"/>
    <col width="9.6328125" customWidth="1" style="141" min="779" max="779"/>
    <col width="10.6328125" customWidth="1" style="141" min="780" max="780"/>
    <col width="9.6328125" customWidth="1" style="141" min="781" max="781"/>
    <col width="9.1796875" customWidth="1" style="141" min="782" max="1024"/>
    <col width="12.6328125" customWidth="1" style="141" min="1025" max="1025"/>
    <col width="9.6328125" customWidth="1" style="141" min="1026" max="1030"/>
    <col width="10.6328125" customWidth="1" style="141" min="1031" max="1034"/>
    <col width="9.6328125" customWidth="1" style="141" min="1035" max="1035"/>
    <col width="10.6328125" customWidth="1" style="141" min="1036" max="1036"/>
    <col width="9.6328125" customWidth="1" style="141" min="1037" max="1037"/>
    <col width="9.1796875" customWidth="1" style="141" min="1038" max="1280"/>
    <col width="12.6328125" customWidth="1" style="141" min="1281" max="1281"/>
    <col width="9.6328125" customWidth="1" style="141" min="1282" max="1286"/>
    <col width="10.6328125" customWidth="1" style="141" min="1287" max="1290"/>
    <col width="9.6328125" customWidth="1" style="141" min="1291" max="1291"/>
    <col width="10.6328125" customWidth="1" style="141" min="1292" max="1292"/>
    <col width="9.6328125" customWidth="1" style="141" min="1293" max="1293"/>
    <col width="9.1796875" customWidth="1" style="141" min="1294" max="1536"/>
    <col width="12.6328125" customWidth="1" style="141" min="1537" max="1537"/>
    <col width="9.6328125" customWidth="1" style="141" min="1538" max="1542"/>
    <col width="10.6328125" customWidth="1" style="141" min="1543" max="1546"/>
    <col width="9.6328125" customWidth="1" style="141" min="1547" max="1547"/>
    <col width="10.6328125" customWidth="1" style="141" min="1548" max="1548"/>
    <col width="9.6328125" customWidth="1" style="141" min="1549" max="1549"/>
    <col width="9.1796875" customWidth="1" style="141" min="1550" max="1792"/>
    <col width="12.6328125" customWidth="1" style="141" min="1793" max="1793"/>
    <col width="9.6328125" customWidth="1" style="141" min="1794" max="1798"/>
    <col width="10.6328125" customWidth="1" style="141" min="1799" max="1802"/>
    <col width="9.6328125" customWidth="1" style="141" min="1803" max="1803"/>
    <col width="10.6328125" customWidth="1" style="141" min="1804" max="1804"/>
    <col width="9.6328125" customWidth="1" style="141" min="1805" max="1805"/>
    <col width="9.1796875" customWidth="1" style="141" min="1806" max="2048"/>
    <col width="12.6328125" customWidth="1" style="141" min="2049" max="2049"/>
    <col width="9.6328125" customWidth="1" style="141" min="2050" max="2054"/>
    <col width="10.6328125" customWidth="1" style="141" min="2055" max="2058"/>
    <col width="9.6328125" customWidth="1" style="141" min="2059" max="2059"/>
    <col width="10.6328125" customWidth="1" style="141" min="2060" max="2060"/>
    <col width="9.6328125" customWidth="1" style="141" min="2061" max="2061"/>
    <col width="9.1796875" customWidth="1" style="141" min="2062" max="2304"/>
    <col width="12.6328125" customWidth="1" style="141" min="2305" max="2305"/>
    <col width="9.6328125" customWidth="1" style="141" min="2306" max="2310"/>
    <col width="10.6328125" customWidth="1" style="141" min="2311" max="2314"/>
    <col width="9.6328125" customWidth="1" style="141" min="2315" max="2315"/>
    <col width="10.6328125" customWidth="1" style="141" min="2316" max="2316"/>
    <col width="9.6328125" customWidth="1" style="141" min="2317" max="2317"/>
    <col width="9.1796875" customWidth="1" style="141" min="2318" max="2560"/>
    <col width="12.6328125" customWidth="1" style="141" min="2561" max="2561"/>
    <col width="9.6328125" customWidth="1" style="141" min="2562" max="2566"/>
    <col width="10.6328125" customWidth="1" style="141" min="2567" max="2570"/>
    <col width="9.6328125" customWidth="1" style="141" min="2571" max="2571"/>
    <col width="10.6328125" customWidth="1" style="141" min="2572" max="2572"/>
    <col width="9.6328125" customWidth="1" style="141" min="2573" max="2573"/>
    <col width="9.1796875" customWidth="1" style="141" min="2574" max="2816"/>
    <col width="12.6328125" customWidth="1" style="141" min="2817" max="2817"/>
    <col width="9.6328125" customWidth="1" style="141" min="2818" max="2822"/>
    <col width="10.6328125" customWidth="1" style="141" min="2823" max="2826"/>
    <col width="9.6328125" customWidth="1" style="141" min="2827" max="2827"/>
    <col width="10.6328125" customWidth="1" style="141" min="2828" max="2828"/>
    <col width="9.6328125" customWidth="1" style="141" min="2829" max="2829"/>
    <col width="9.1796875" customWidth="1" style="141" min="2830" max="3072"/>
    <col width="12.6328125" customWidth="1" style="141" min="3073" max="3073"/>
    <col width="9.6328125" customWidth="1" style="141" min="3074" max="3078"/>
    <col width="10.6328125" customWidth="1" style="141" min="3079" max="3082"/>
    <col width="9.6328125" customWidth="1" style="141" min="3083" max="3083"/>
    <col width="10.6328125" customWidth="1" style="141" min="3084" max="3084"/>
    <col width="9.6328125" customWidth="1" style="141" min="3085" max="3085"/>
    <col width="9.1796875" customWidth="1" style="141" min="3086" max="3328"/>
    <col width="12.6328125" customWidth="1" style="141" min="3329" max="3329"/>
    <col width="9.6328125" customWidth="1" style="141" min="3330" max="3334"/>
    <col width="10.6328125" customWidth="1" style="141" min="3335" max="3338"/>
    <col width="9.6328125" customWidth="1" style="141" min="3339" max="3339"/>
    <col width="10.6328125" customWidth="1" style="141" min="3340" max="3340"/>
    <col width="9.6328125" customWidth="1" style="141" min="3341" max="3341"/>
    <col width="9.1796875" customWidth="1" style="141" min="3342" max="3584"/>
    <col width="12.6328125" customWidth="1" style="141" min="3585" max="3585"/>
    <col width="9.6328125" customWidth="1" style="141" min="3586" max="3590"/>
    <col width="10.6328125" customWidth="1" style="141" min="3591" max="3594"/>
    <col width="9.6328125" customWidth="1" style="141" min="3595" max="3595"/>
    <col width="10.6328125" customWidth="1" style="141" min="3596" max="3596"/>
    <col width="9.6328125" customWidth="1" style="141" min="3597" max="3597"/>
    <col width="9.1796875" customWidth="1" style="141" min="3598" max="3840"/>
    <col width="12.6328125" customWidth="1" style="141" min="3841" max="3841"/>
    <col width="9.6328125" customWidth="1" style="141" min="3842" max="3846"/>
    <col width="10.6328125" customWidth="1" style="141" min="3847" max="3850"/>
    <col width="9.6328125" customWidth="1" style="141" min="3851" max="3851"/>
    <col width="10.6328125" customWidth="1" style="141" min="3852" max="3852"/>
    <col width="9.6328125" customWidth="1" style="141" min="3853" max="3853"/>
    <col width="9.1796875" customWidth="1" style="141" min="3854" max="4096"/>
    <col width="12.6328125" customWidth="1" style="141" min="4097" max="4097"/>
    <col width="9.6328125" customWidth="1" style="141" min="4098" max="4102"/>
    <col width="10.6328125" customWidth="1" style="141" min="4103" max="4106"/>
    <col width="9.6328125" customWidth="1" style="141" min="4107" max="4107"/>
    <col width="10.6328125" customWidth="1" style="141" min="4108" max="4108"/>
    <col width="9.6328125" customWidth="1" style="141" min="4109" max="4109"/>
    <col width="9.1796875" customWidth="1" style="141" min="4110" max="4352"/>
    <col width="12.6328125" customWidth="1" style="141" min="4353" max="4353"/>
    <col width="9.6328125" customWidth="1" style="141" min="4354" max="4358"/>
    <col width="10.6328125" customWidth="1" style="141" min="4359" max="4362"/>
    <col width="9.6328125" customWidth="1" style="141" min="4363" max="4363"/>
    <col width="10.6328125" customWidth="1" style="141" min="4364" max="4364"/>
    <col width="9.6328125" customWidth="1" style="141" min="4365" max="4365"/>
    <col width="9.1796875" customWidth="1" style="141" min="4366" max="4608"/>
    <col width="12.6328125" customWidth="1" style="141" min="4609" max="4609"/>
    <col width="9.6328125" customWidth="1" style="141" min="4610" max="4614"/>
    <col width="10.6328125" customWidth="1" style="141" min="4615" max="4618"/>
    <col width="9.6328125" customWidth="1" style="141" min="4619" max="4619"/>
    <col width="10.6328125" customWidth="1" style="141" min="4620" max="4620"/>
    <col width="9.6328125" customWidth="1" style="141" min="4621" max="4621"/>
    <col width="9.1796875" customWidth="1" style="141" min="4622" max="4864"/>
    <col width="12.6328125" customWidth="1" style="141" min="4865" max="4865"/>
    <col width="9.6328125" customWidth="1" style="141" min="4866" max="4870"/>
    <col width="10.6328125" customWidth="1" style="141" min="4871" max="4874"/>
    <col width="9.6328125" customWidth="1" style="141" min="4875" max="4875"/>
    <col width="10.6328125" customWidth="1" style="141" min="4876" max="4876"/>
    <col width="9.6328125" customWidth="1" style="141" min="4877" max="4877"/>
    <col width="9.1796875" customWidth="1" style="141" min="4878" max="5120"/>
    <col width="12.6328125" customWidth="1" style="141" min="5121" max="5121"/>
    <col width="9.6328125" customWidth="1" style="141" min="5122" max="5126"/>
    <col width="10.6328125" customWidth="1" style="141" min="5127" max="5130"/>
    <col width="9.6328125" customWidth="1" style="141" min="5131" max="5131"/>
    <col width="10.6328125" customWidth="1" style="141" min="5132" max="5132"/>
    <col width="9.6328125" customWidth="1" style="141" min="5133" max="5133"/>
    <col width="9.1796875" customWidth="1" style="141" min="5134" max="5376"/>
    <col width="12.6328125" customWidth="1" style="141" min="5377" max="5377"/>
    <col width="9.6328125" customWidth="1" style="141" min="5378" max="5382"/>
    <col width="10.6328125" customWidth="1" style="141" min="5383" max="5386"/>
    <col width="9.6328125" customWidth="1" style="141" min="5387" max="5387"/>
    <col width="10.6328125" customWidth="1" style="141" min="5388" max="5388"/>
    <col width="9.6328125" customWidth="1" style="141" min="5389" max="5389"/>
    <col width="9.1796875" customWidth="1" style="141" min="5390" max="5632"/>
    <col width="12.6328125" customWidth="1" style="141" min="5633" max="5633"/>
    <col width="9.6328125" customWidth="1" style="141" min="5634" max="5638"/>
    <col width="10.6328125" customWidth="1" style="141" min="5639" max="5642"/>
    <col width="9.6328125" customWidth="1" style="141" min="5643" max="5643"/>
    <col width="10.6328125" customWidth="1" style="141" min="5644" max="5644"/>
    <col width="9.6328125" customWidth="1" style="141" min="5645" max="5645"/>
    <col width="9.1796875" customWidth="1" style="141" min="5646" max="5888"/>
    <col width="12.6328125" customWidth="1" style="141" min="5889" max="5889"/>
    <col width="9.6328125" customWidth="1" style="141" min="5890" max="5894"/>
    <col width="10.6328125" customWidth="1" style="141" min="5895" max="5898"/>
    <col width="9.6328125" customWidth="1" style="141" min="5899" max="5899"/>
    <col width="10.6328125" customWidth="1" style="141" min="5900" max="5900"/>
    <col width="9.6328125" customWidth="1" style="141" min="5901" max="5901"/>
    <col width="9.1796875" customWidth="1" style="141" min="5902" max="6144"/>
    <col width="12.6328125" customWidth="1" style="141" min="6145" max="6145"/>
    <col width="9.6328125" customWidth="1" style="141" min="6146" max="6150"/>
    <col width="10.6328125" customWidth="1" style="141" min="6151" max="6154"/>
    <col width="9.6328125" customWidth="1" style="141" min="6155" max="6155"/>
    <col width="10.6328125" customWidth="1" style="141" min="6156" max="6156"/>
    <col width="9.6328125" customWidth="1" style="141" min="6157" max="6157"/>
    <col width="9.1796875" customWidth="1" style="141" min="6158" max="6400"/>
    <col width="12.6328125" customWidth="1" style="141" min="6401" max="6401"/>
    <col width="9.6328125" customWidth="1" style="141" min="6402" max="6406"/>
    <col width="10.6328125" customWidth="1" style="141" min="6407" max="6410"/>
    <col width="9.6328125" customWidth="1" style="141" min="6411" max="6411"/>
    <col width="10.6328125" customWidth="1" style="141" min="6412" max="6412"/>
    <col width="9.6328125" customWidth="1" style="141" min="6413" max="6413"/>
    <col width="9.1796875" customWidth="1" style="141" min="6414" max="6656"/>
    <col width="12.6328125" customWidth="1" style="141" min="6657" max="6657"/>
    <col width="9.6328125" customWidth="1" style="141" min="6658" max="6662"/>
    <col width="10.6328125" customWidth="1" style="141" min="6663" max="6666"/>
    <col width="9.6328125" customWidth="1" style="141" min="6667" max="6667"/>
    <col width="10.6328125" customWidth="1" style="141" min="6668" max="6668"/>
    <col width="9.6328125" customWidth="1" style="141" min="6669" max="6669"/>
    <col width="9.1796875" customWidth="1" style="141" min="6670" max="6912"/>
    <col width="12.6328125" customWidth="1" style="141" min="6913" max="6913"/>
    <col width="9.6328125" customWidth="1" style="141" min="6914" max="6918"/>
    <col width="10.6328125" customWidth="1" style="141" min="6919" max="6922"/>
    <col width="9.6328125" customWidth="1" style="141" min="6923" max="6923"/>
    <col width="10.6328125" customWidth="1" style="141" min="6924" max="6924"/>
    <col width="9.6328125" customWidth="1" style="141" min="6925" max="6925"/>
    <col width="9.1796875" customWidth="1" style="141" min="6926" max="7168"/>
    <col width="12.6328125" customWidth="1" style="141" min="7169" max="7169"/>
    <col width="9.6328125" customWidth="1" style="141" min="7170" max="7174"/>
    <col width="10.6328125" customWidth="1" style="141" min="7175" max="7178"/>
    <col width="9.6328125" customWidth="1" style="141" min="7179" max="7179"/>
    <col width="10.6328125" customWidth="1" style="141" min="7180" max="7180"/>
    <col width="9.6328125" customWidth="1" style="141" min="7181" max="7181"/>
    <col width="9.1796875" customWidth="1" style="141" min="7182" max="7424"/>
    <col width="12.6328125" customWidth="1" style="141" min="7425" max="7425"/>
    <col width="9.6328125" customWidth="1" style="141" min="7426" max="7430"/>
    <col width="10.6328125" customWidth="1" style="141" min="7431" max="7434"/>
    <col width="9.6328125" customWidth="1" style="141" min="7435" max="7435"/>
    <col width="10.6328125" customWidth="1" style="141" min="7436" max="7436"/>
    <col width="9.6328125" customWidth="1" style="141" min="7437" max="7437"/>
    <col width="9.1796875" customWidth="1" style="141" min="7438" max="7680"/>
    <col width="12.6328125" customWidth="1" style="141" min="7681" max="7681"/>
    <col width="9.6328125" customWidth="1" style="141" min="7682" max="7686"/>
    <col width="10.6328125" customWidth="1" style="141" min="7687" max="7690"/>
    <col width="9.6328125" customWidth="1" style="141" min="7691" max="7691"/>
    <col width="10.6328125" customWidth="1" style="141" min="7692" max="7692"/>
    <col width="9.6328125" customWidth="1" style="141" min="7693" max="7693"/>
    <col width="9.1796875" customWidth="1" style="141" min="7694" max="7936"/>
    <col width="12.6328125" customWidth="1" style="141" min="7937" max="7937"/>
    <col width="9.6328125" customWidth="1" style="141" min="7938" max="7942"/>
    <col width="10.6328125" customWidth="1" style="141" min="7943" max="7946"/>
    <col width="9.6328125" customWidth="1" style="141" min="7947" max="7947"/>
    <col width="10.6328125" customWidth="1" style="141" min="7948" max="7948"/>
    <col width="9.6328125" customWidth="1" style="141" min="7949" max="7949"/>
    <col width="9.1796875" customWidth="1" style="141" min="7950" max="8192"/>
    <col width="12.6328125" customWidth="1" style="141" min="8193" max="8193"/>
    <col width="9.6328125" customWidth="1" style="141" min="8194" max="8198"/>
    <col width="10.6328125" customWidth="1" style="141" min="8199" max="8202"/>
    <col width="9.6328125" customWidth="1" style="141" min="8203" max="8203"/>
    <col width="10.6328125" customWidth="1" style="141" min="8204" max="8204"/>
    <col width="9.6328125" customWidth="1" style="141" min="8205" max="8205"/>
    <col width="9.1796875" customWidth="1" style="141" min="8206" max="8448"/>
    <col width="12.6328125" customWidth="1" style="141" min="8449" max="8449"/>
    <col width="9.6328125" customWidth="1" style="141" min="8450" max="8454"/>
    <col width="10.6328125" customWidth="1" style="141" min="8455" max="8458"/>
    <col width="9.6328125" customWidth="1" style="141" min="8459" max="8459"/>
    <col width="10.6328125" customWidth="1" style="141" min="8460" max="8460"/>
    <col width="9.6328125" customWidth="1" style="141" min="8461" max="8461"/>
    <col width="9.1796875" customWidth="1" style="141" min="8462" max="8704"/>
    <col width="12.6328125" customWidth="1" style="141" min="8705" max="8705"/>
    <col width="9.6328125" customWidth="1" style="141" min="8706" max="8710"/>
    <col width="10.6328125" customWidth="1" style="141" min="8711" max="8714"/>
    <col width="9.6328125" customWidth="1" style="141" min="8715" max="8715"/>
    <col width="10.6328125" customWidth="1" style="141" min="8716" max="8716"/>
    <col width="9.6328125" customWidth="1" style="141" min="8717" max="8717"/>
    <col width="9.1796875" customWidth="1" style="141" min="8718" max="8960"/>
    <col width="12.6328125" customWidth="1" style="141" min="8961" max="8961"/>
    <col width="9.6328125" customWidth="1" style="141" min="8962" max="8966"/>
    <col width="10.6328125" customWidth="1" style="141" min="8967" max="8970"/>
    <col width="9.6328125" customWidth="1" style="141" min="8971" max="8971"/>
    <col width="10.6328125" customWidth="1" style="141" min="8972" max="8972"/>
    <col width="9.6328125" customWidth="1" style="141" min="8973" max="8973"/>
    <col width="9.1796875" customWidth="1" style="141" min="8974" max="9216"/>
    <col width="12.6328125" customWidth="1" style="141" min="9217" max="9217"/>
    <col width="9.6328125" customWidth="1" style="141" min="9218" max="9222"/>
    <col width="10.6328125" customWidth="1" style="141" min="9223" max="9226"/>
    <col width="9.6328125" customWidth="1" style="141" min="9227" max="9227"/>
    <col width="10.6328125" customWidth="1" style="141" min="9228" max="9228"/>
    <col width="9.6328125" customWidth="1" style="141" min="9229" max="9229"/>
    <col width="9.1796875" customWidth="1" style="141" min="9230" max="9472"/>
    <col width="12.6328125" customWidth="1" style="141" min="9473" max="9473"/>
    <col width="9.6328125" customWidth="1" style="141" min="9474" max="9478"/>
    <col width="10.6328125" customWidth="1" style="141" min="9479" max="9482"/>
    <col width="9.6328125" customWidth="1" style="141" min="9483" max="9483"/>
    <col width="10.6328125" customWidth="1" style="141" min="9484" max="9484"/>
    <col width="9.6328125" customWidth="1" style="141" min="9485" max="9485"/>
    <col width="9.1796875" customWidth="1" style="141" min="9486" max="9728"/>
    <col width="12.6328125" customWidth="1" style="141" min="9729" max="9729"/>
    <col width="9.6328125" customWidth="1" style="141" min="9730" max="9734"/>
    <col width="10.6328125" customWidth="1" style="141" min="9735" max="9738"/>
    <col width="9.6328125" customWidth="1" style="141" min="9739" max="9739"/>
    <col width="10.6328125" customWidth="1" style="141" min="9740" max="9740"/>
    <col width="9.6328125" customWidth="1" style="141" min="9741" max="9741"/>
    <col width="9.1796875" customWidth="1" style="141" min="9742" max="9984"/>
    <col width="12.6328125" customWidth="1" style="141" min="9985" max="9985"/>
    <col width="9.6328125" customWidth="1" style="141" min="9986" max="9990"/>
    <col width="10.6328125" customWidth="1" style="141" min="9991" max="9994"/>
    <col width="9.6328125" customWidth="1" style="141" min="9995" max="9995"/>
    <col width="10.6328125" customWidth="1" style="141" min="9996" max="9996"/>
    <col width="9.6328125" customWidth="1" style="141" min="9997" max="9997"/>
    <col width="9.1796875" customWidth="1" style="141" min="9998" max="10240"/>
    <col width="12.6328125" customWidth="1" style="141" min="10241" max="10241"/>
    <col width="9.6328125" customWidth="1" style="141" min="10242" max="10246"/>
    <col width="10.6328125" customWidth="1" style="141" min="10247" max="10250"/>
    <col width="9.6328125" customWidth="1" style="141" min="10251" max="10251"/>
    <col width="10.6328125" customWidth="1" style="141" min="10252" max="10252"/>
    <col width="9.6328125" customWidth="1" style="141" min="10253" max="10253"/>
    <col width="9.1796875" customWidth="1" style="141" min="10254" max="10496"/>
    <col width="12.6328125" customWidth="1" style="141" min="10497" max="10497"/>
    <col width="9.6328125" customWidth="1" style="141" min="10498" max="10502"/>
    <col width="10.6328125" customWidth="1" style="141" min="10503" max="10506"/>
    <col width="9.6328125" customWidth="1" style="141" min="10507" max="10507"/>
    <col width="10.6328125" customWidth="1" style="141" min="10508" max="10508"/>
    <col width="9.6328125" customWidth="1" style="141" min="10509" max="10509"/>
    <col width="9.1796875" customWidth="1" style="141" min="10510" max="10752"/>
    <col width="12.6328125" customWidth="1" style="141" min="10753" max="10753"/>
    <col width="9.6328125" customWidth="1" style="141" min="10754" max="10758"/>
    <col width="10.6328125" customWidth="1" style="141" min="10759" max="10762"/>
    <col width="9.6328125" customWidth="1" style="141" min="10763" max="10763"/>
    <col width="10.6328125" customWidth="1" style="141" min="10764" max="10764"/>
    <col width="9.6328125" customWidth="1" style="141" min="10765" max="10765"/>
    <col width="9.1796875" customWidth="1" style="141" min="10766" max="11008"/>
    <col width="12.6328125" customWidth="1" style="141" min="11009" max="11009"/>
    <col width="9.6328125" customWidth="1" style="141" min="11010" max="11014"/>
    <col width="10.6328125" customWidth="1" style="141" min="11015" max="11018"/>
    <col width="9.6328125" customWidth="1" style="141" min="11019" max="11019"/>
    <col width="10.6328125" customWidth="1" style="141" min="11020" max="11020"/>
    <col width="9.6328125" customWidth="1" style="141" min="11021" max="11021"/>
    <col width="9.1796875" customWidth="1" style="141" min="11022" max="11264"/>
    <col width="12.6328125" customWidth="1" style="141" min="11265" max="11265"/>
    <col width="9.6328125" customWidth="1" style="141" min="11266" max="11270"/>
    <col width="10.6328125" customWidth="1" style="141" min="11271" max="11274"/>
    <col width="9.6328125" customWidth="1" style="141" min="11275" max="11275"/>
    <col width="10.6328125" customWidth="1" style="141" min="11276" max="11276"/>
    <col width="9.6328125" customWidth="1" style="141" min="11277" max="11277"/>
    <col width="9.1796875" customWidth="1" style="141" min="11278" max="11520"/>
    <col width="12.6328125" customWidth="1" style="141" min="11521" max="11521"/>
    <col width="9.6328125" customWidth="1" style="141" min="11522" max="11526"/>
    <col width="10.6328125" customWidth="1" style="141" min="11527" max="11530"/>
    <col width="9.6328125" customWidth="1" style="141" min="11531" max="11531"/>
    <col width="10.6328125" customWidth="1" style="141" min="11532" max="11532"/>
    <col width="9.6328125" customWidth="1" style="141" min="11533" max="11533"/>
    <col width="9.1796875" customWidth="1" style="141" min="11534" max="11776"/>
    <col width="12.6328125" customWidth="1" style="141" min="11777" max="11777"/>
    <col width="9.6328125" customWidth="1" style="141" min="11778" max="11782"/>
    <col width="10.6328125" customWidth="1" style="141" min="11783" max="11786"/>
    <col width="9.6328125" customWidth="1" style="141" min="11787" max="11787"/>
    <col width="10.6328125" customWidth="1" style="141" min="11788" max="11788"/>
    <col width="9.6328125" customWidth="1" style="141" min="11789" max="11789"/>
    <col width="9.1796875" customWidth="1" style="141" min="11790" max="12032"/>
    <col width="12.6328125" customWidth="1" style="141" min="12033" max="12033"/>
    <col width="9.6328125" customWidth="1" style="141" min="12034" max="12038"/>
    <col width="10.6328125" customWidth="1" style="141" min="12039" max="12042"/>
    <col width="9.6328125" customWidth="1" style="141" min="12043" max="12043"/>
    <col width="10.6328125" customWidth="1" style="141" min="12044" max="12044"/>
    <col width="9.6328125" customWidth="1" style="141" min="12045" max="12045"/>
    <col width="9.1796875" customWidth="1" style="141" min="12046" max="12288"/>
    <col width="12.6328125" customWidth="1" style="141" min="12289" max="12289"/>
    <col width="9.6328125" customWidth="1" style="141" min="12290" max="12294"/>
    <col width="10.6328125" customWidth="1" style="141" min="12295" max="12298"/>
    <col width="9.6328125" customWidth="1" style="141" min="12299" max="12299"/>
    <col width="10.6328125" customWidth="1" style="141" min="12300" max="12300"/>
    <col width="9.6328125" customWidth="1" style="141" min="12301" max="12301"/>
    <col width="9.1796875" customWidth="1" style="141" min="12302" max="12544"/>
    <col width="12.6328125" customWidth="1" style="141" min="12545" max="12545"/>
    <col width="9.6328125" customWidth="1" style="141" min="12546" max="12550"/>
    <col width="10.6328125" customWidth="1" style="141" min="12551" max="12554"/>
    <col width="9.6328125" customWidth="1" style="141" min="12555" max="12555"/>
    <col width="10.6328125" customWidth="1" style="141" min="12556" max="12556"/>
    <col width="9.6328125" customWidth="1" style="141" min="12557" max="12557"/>
    <col width="9.1796875" customWidth="1" style="141" min="12558" max="12800"/>
    <col width="12.6328125" customWidth="1" style="141" min="12801" max="12801"/>
    <col width="9.6328125" customWidth="1" style="141" min="12802" max="12806"/>
    <col width="10.6328125" customWidth="1" style="141" min="12807" max="12810"/>
    <col width="9.6328125" customWidth="1" style="141" min="12811" max="12811"/>
    <col width="10.6328125" customWidth="1" style="141" min="12812" max="12812"/>
    <col width="9.6328125" customWidth="1" style="141" min="12813" max="12813"/>
    <col width="9.1796875" customWidth="1" style="141" min="12814" max="13056"/>
    <col width="12.6328125" customWidth="1" style="141" min="13057" max="13057"/>
    <col width="9.6328125" customWidth="1" style="141" min="13058" max="13062"/>
    <col width="10.6328125" customWidth="1" style="141" min="13063" max="13066"/>
    <col width="9.6328125" customWidth="1" style="141" min="13067" max="13067"/>
    <col width="10.6328125" customWidth="1" style="141" min="13068" max="13068"/>
    <col width="9.6328125" customWidth="1" style="141" min="13069" max="13069"/>
    <col width="9.1796875" customWidth="1" style="141" min="13070" max="13312"/>
    <col width="12.6328125" customWidth="1" style="141" min="13313" max="13313"/>
    <col width="9.6328125" customWidth="1" style="141" min="13314" max="13318"/>
    <col width="10.6328125" customWidth="1" style="141" min="13319" max="13322"/>
    <col width="9.6328125" customWidth="1" style="141" min="13323" max="13323"/>
    <col width="10.6328125" customWidth="1" style="141" min="13324" max="13324"/>
    <col width="9.6328125" customWidth="1" style="141" min="13325" max="13325"/>
    <col width="9.1796875" customWidth="1" style="141" min="13326" max="13568"/>
    <col width="12.6328125" customWidth="1" style="141" min="13569" max="13569"/>
    <col width="9.6328125" customWidth="1" style="141" min="13570" max="13574"/>
    <col width="10.6328125" customWidth="1" style="141" min="13575" max="13578"/>
    <col width="9.6328125" customWidth="1" style="141" min="13579" max="13579"/>
    <col width="10.6328125" customWidth="1" style="141" min="13580" max="13580"/>
    <col width="9.6328125" customWidth="1" style="141" min="13581" max="13581"/>
    <col width="9.1796875" customWidth="1" style="141" min="13582" max="13824"/>
    <col width="12.6328125" customWidth="1" style="141" min="13825" max="13825"/>
    <col width="9.6328125" customWidth="1" style="141" min="13826" max="13830"/>
    <col width="10.6328125" customWidth="1" style="141" min="13831" max="13834"/>
    <col width="9.6328125" customWidth="1" style="141" min="13835" max="13835"/>
    <col width="10.6328125" customWidth="1" style="141" min="13836" max="13836"/>
    <col width="9.6328125" customWidth="1" style="141" min="13837" max="13837"/>
    <col width="9.1796875" customWidth="1" style="141" min="13838" max="14080"/>
    <col width="12.6328125" customWidth="1" style="141" min="14081" max="14081"/>
    <col width="9.6328125" customWidth="1" style="141" min="14082" max="14086"/>
    <col width="10.6328125" customWidth="1" style="141" min="14087" max="14090"/>
    <col width="9.6328125" customWidth="1" style="141" min="14091" max="14091"/>
    <col width="10.6328125" customWidth="1" style="141" min="14092" max="14092"/>
    <col width="9.6328125" customWidth="1" style="141" min="14093" max="14093"/>
    <col width="9.1796875" customWidth="1" style="141" min="14094" max="14336"/>
    <col width="12.6328125" customWidth="1" style="141" min="14337" max="14337"/>
    <col width="9.6328125" customWidth="1" style="141" min="14338" max="14342"/>
    <col width="10.6328125" customWidth="1" style="141" min="14343" max="14346"/>
    <col width="9.6328125" customWidth="1" style="141" min="14347" max="14347"/>
    <col width="10.6328125" customWidth="1" style="141" min="14348" max="14348"/>
    <col width="9.6328125" customWidth="1" style="141" min="14349" max="14349"/>
    <col width="9.1796875" customWidth="1" style="141" min="14350" max="14592"/>
    <col width="12.6328125" customWidth="1" style="141" min="14593" max="14593"/>
    <col width="9.6328125" customWidth="1" style="141" min="14594" max="14598"/>
    <col width="10.6328125" customWidth="1" style="141" min="14599" max="14602"/>
    <col width="9.6328125" customWidth="1" style="141" min="14603" max="14603"/>
    <col width="10.6328125" customWidth="1" style="141" min="14604" max="14604"/>
    <col width="9.6328125" customWidth="1" style="141" min="14605" max="14605"/>
    <col width="9.1796875" customWidth="1" style="141" min="14606" max="14848"/>
    <col width="12.6328125" customWidth="1" style="141" min="14849" max="14849"/>
    <col width="9.6328125" customWidth="1" style="141" min="14850" max="14854"/>
    <col width="10.6328125" customWidth="1" style="141" min="14855" max="14858"/>
    <col width="9.6328125" customWidth="1" style="141" min="14859" max="14859"/>
    <col width="10.6328125" customWidth="1" style="141" min="14860" max="14860"/>
    <col width="9.6328125" customWidth="1" style="141" min="14861" max="14861"/>
    <col width="9.1796875" customWidth="1" style="141" min="14862" max="15104"/>
    <col width="12.6328125" customWidth="1" style="141" min="15105" max="15105"/>
    <col width="9.6328125" customWidth="1" style="141" min="15106" max="15110"/>
    <col width="10.6328125" customWidth="1" style="141" min="15111" max="15114"/>
    <col width="9.6328125" customWidth="1" style="141" min="15115" max="15115"/>
    <col width="10.6328125" customWidth="1" style="141" min="15116" max="15116"/>
    <col width="9.6328125" customWidth="1" style="141" min="15117" max="15117"/>
    <col width="9.1796875" customWidth="1" style="141" min="15118" max="15360"/>
    <col width="12.6328125" customWidth="1" style="141" min="15361" max="15361"/>
    <col width="9.6328125" customWidth="1" style="141" min="15362" max="15366"/>
    <col width="10.6328125" customWidth="1" style="141" min="15367" max="15370"/>
    <col width="9.6328125" customWidth="1" style="141" min="15371" max="15371"/>
    <col width="10.6328125" customWidth="1" style="141" min="15372" max="15372"/>
    <col width="9.6328125" customWidth="1" style="141" min="15373" max="15373"/>
    <col width="9.1796875" customWidth="1" style="141" min="15374" max="15616"/>
    <col width="12.6328125" customWidth="1" style="141" min="15617" max="15617"/>
    <col width="9.6328125" customWidth="1" style="141" min="15618" max="15622"/>
    <col width="10.6328125" customWidth="1" style="141" min="15623" max="15626"/>
    <col width="9.6328125" customWidth="1" style="141" min="15627" max="15627"/>
    <col width="10.6328125" customWidth="1" style="141" min="15628" max="15628"/>
    <col width="9.6328125" customWidth="1" style="141" min="15629" max="15629"/>
    <col width="9.1796875" customWidth="1" style="141" min="15630" max="15872"/>
    <col width="12.6328125" customWidth="1" style="141" min="15873" max="15873"/>
    <col width="9.6328125" customWidth="1" style="141" min="15874" max="15878"/>
    <col width="10.6328125" customWidth="1" style="141" min="15879" max="15882"/>
    <col width="9.6328125" customWidth="1" style="141" min="15883" max="15883"/>
    <col width="10.6328125" customWidth="1" style="141" min="15884" max="15884"/>
    <col width="9.6328125" customWidth="1" style="141" min="15885" max="15885"/>
    <col width="9.1796875" customWidth="1" style="141" min="15886" max="16128"/>
    <col width="12.6328125" customWidth="1" style="141" min="16129" max="16129"/>
    <col width="9.6328125" customWidth="1" style="141" min="16130" max="16134"/>
    <col width="10.6328125" customWidth="1" style="141" min="16135" max="16138"/>
    <col width="9.6328125" customWidth="1" style="141" min="16139" max="16139"/>
    <col width="10.6328125" customWidth="1" style="141" min="16140" max="16140"/>
    <col width="9.6328125" customWidth="1" style="141" min="16141" max="16141"/>
    <col width="9.1796875" customWidth="1" style="141"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8" t="n">
        <v>21217</v>
      </c>
      <c r="B2" t="n">
        <v/>
      </c>
      <c r="C2" t="n">
        <v/>
      </c>
      <c r="D2" t="n">
        <v/>
      </c>
      <c r="E2" t="n">
        <v/>
      </c>
      <c r="F2" t="n">
        <v/>
      </c>
      <c r="G2" t="n">
        <v/>
      </c>
      <c r="H2" t="n">
        <v/>
      </c>
      <c r="I2" t="n">
        <v/>
      </c>
      <c r="J2" t="n">
        <v/>
      </c>
      <c r="K2" t="n">
        <v/>
      </c>
      <c r="L2" t="n">
        <v>0</v>
      </c>
      <c r="M2" t="n">
        <v/>
      </c>
    </row>
    <row r="3">
      <c r="A3" s="148" t="n">
        <v>21245</v>
      </c>
      <c r="B3" t="n">
        <v/>
      </c>
      <c r="C3" t="n">
        <v/>
      </c>
      <c r="D3" t="n">
        <v/>
      </c>
      <c r="E3" t="n">
        <v/>
      </c>
      <c r="F3" t="n">
        <v/>
      </c>
      <c r="G3" t="n">
        <v/>
      </c>
      <c r="H3" t="n">
        <v/>
      </c>
      <c r="I3" t="n">
        <v/>
      </c>
      <c r="J3" t="n">
        <v/>
      </c>
      <c r="K3" t="n">
        <v/>
      </c>
      <c r="L3" t="n">
        <v>0</v>
      </c>
      <c r="M3" t="n">
        <v/>
      </c>
    </row>
    <row r="4">
      <c r="A4" s="148" t="n">
        <v>21276</v>
      </c>
      <c r="B4" t="n">
        <v/>
      </c>
      <c r="C4" t="n">
        <v/>
      </c>
      <c r="D4" t="n">
        <v/>
      </c>
      <c r="E4" t="n">
        <v/>
      </c>
      <c r="F4" t="n">
        <v/>
      </c>
      <c r="G4" t="n">
        <v/>
      </c>
      <c r="H4" t="n">
        <v/>
      </c>
      <c r="I4" t="n">
        <v/>
      </c>
      <c r="J4" t="n">
        <v/>
      </c>
      <c r="K4" t="n">
        <v/>
      </c>
      <c r="L4" t="n">
        <v>0</v>
      </c>
      <c r="M4" t="n">
        <v/>
      </c>
    </row>
    <row r="5">
      <c r="A5" s="148" t="n">
        <v>21306</v>
      </c>
      <c r="B5" t="n">
        <v/>
      </c>
      <c r="C5" t="n">
        <v/>
      </c>
      <c r="D5" t="n">
        <v/>
      </c>
      <c r="E5" t="n">
        <v/>
      </c>
      <c r="F5" t="n">
        <v/>
      </c>
      <c r="G5" t="n">
        <v/>
      </c>
      <c r="H5" t="n">
        <v/>
      </c>
      <c r="I5" t="n">
        <v/>
      </c>
      <c r="J5" t="n">
        <v/>
      </c>
      <c r="K5" t="n">
        <v/>
      </c>
      <c r="L5" t="n">
        <v>0</v>
      </c>
      <c r="M5" t="n">
        <v/>
      </c>
    </row>
    <row r="6">
      <c r="A6" s="148" t="n">
        <v>21337</v>
      </c>
      <c r="B6" t="n">
        <v/>
      </c>
      <c r="C6" t="n">
        <v/>
      </c>
      <c r="D6" t="n">
        <v/>
      </c>
      <c r="E6" t="n">
        <v/>
      </c>
      <c r="F6" t="n">
        <v/>
      </c>
      <c r="G6" t="n">
        <v/>
      </c>
      <c r="H6" t="n">
        <v/>
      </c>
      <c r="I6" t="n">
        <v/>
      </c>
      <c r="J6" t="n">
        <v/>
      </c>
      <c r="K6" t="n">
        <v/>
      </c>
      <c r="L6" t="n">
        <v>0</v>
      </c>
      <c r="M6" t="n">
        <v/>
      </c>
    </row>
    <row r="7">
      <c r="A7" s="148" t="n">
        <v>21367</v>
      </c>
      <c r="B7" t="n">
        <v/>
      </c>
      <c r="C7" t="n">
        <v/>
      </c>
      <c r="D7" t="n">
        <v/>
      </c>
      <c r="E7" t="n">
        <v/>
      </c>
      <c r="F7" t="n">
        <v/>
      </c>
      <c r="G7" t="n">
        <v/>
      </c>
      <c r="H7" t="n">
        <v/>
      </c>
      <c r="I7" t="n">
        <v/>
      </c>
      <c r="J7" t="n">
        <v/>
      </c>
      <c r="K7" t="n">
        <v/>
      </c>
      <c r="L7" t="n">
        <v>0</v>
      </c>
      <c r="M7" t="n">
        <v/>
      </c>
    </row>
    <row r="8">
      <c r="A8" s="148" t="n">
        <v>21398</v>
      </c>
      <c r="B8" t="n">
        <v/>
      </c>
      <c r="C8" t="n">
        <v/>
      </c>
      <c r="D8" t="n">
        <v/>
      </c>
      <c r="E8" t="n">
        <v/>
      </c>
      <c r="F8" t="n">
        <v/>
      </c>
      <c r="G8" t="n">
        <v/>
      </c>
      <c r="H8" t="n">
        <v/>
      </c>
      <c r="I8" t="n">
        <v/>
      </c>
      <c r="J8" t="n">
        <v/>
      </c>
      <c r="K8" t="n">
        <v/>
      </c>
      <c r="L8" t="n">
        <v>0</v>
      </c>
      <c r="M8" t="n">
        <v/>
      </c>
    </row>
    <row r="9">
      <c r="A9" s="148" t="n">
        <v>21429</v>
      </c>
      <c r="B9" t="n">
        <v/>
      </c>
      <c r="C9" t="n">
        <v/>
      </c>
      <c r="D9" t="n">
        <v/>
      </c>
      <c r="E9" t="n">
        <v/>
      </c>
      <c r="F9" t="n">
        <v/>
      </c>
      <c r="G9" t="n">
        <v/>
      </c>
      <c r="H9" t="n">
        <v/>
      </c>
      <c r="I9" t="n">
        <v/>
      </c>
      <c r="J9" t="n">
        <v/>
      </c>
      <c r="K9" t="n">
        <v/>
      </c>
      <c r="L9" t="n">
        <v>0</v>
      </c>
      <c r="M9" t="n">
        <v/>
      </c>
    </row>
    <row r="10">
      <c r="A10" s="148" t="n">
        <v>21459</v>
      </c>
      <c r="B10" t="n">
        <v/>
      </c>
      <c r="C10" t="n">
        <v/>
      </c>
      <c r="D10" t="n">
        <v/>
      </c>
      <c r="E10" t="n">
        <v/>
      </c>
      <c r="F10" t="n">
        <v/>
      </c>
      <c r="G10" t="n">
        <v/>
      </c>
      <c r="H10" t="n">
        <v/>
      </c>
      <c r="I10" t="n">
        <v/>
      </c>
      <c r="J10" t="n">
        <v/>
      </c>
      <c r="K10" t="n">
        <v/>
      </c>
      <c r="L10" t="n">
        <v>0</v>
      </c>
      <c r="M10" t="n">
        <v/>
      </c>
    </row>
    <row r="11">
      <c r="A11" s="148" t="n">
        <v>21490</v>
      </c>
      <c r="B11" t="n">
        <v/>
      </c>
      <c r="C11" t="n">
        <v/>
      </c>
      <c r="D11" t="n">
        <v/>
      </c>
      <c r="E11" t="n">
        <v/>
      </c>
      <c r="F11" t="n">
        <v/>
      </c>
      <c r="G11" t="n">
        <v/>
      </c>
      <c r="H11" t="n">
        <v/>
      </c>
      <c r="I11" t="n">
        <v/>
      </c>
      <c r="J11" t="n">
        <v/>
      </c>
      <c r="K11" t="n">
        <v/>
      </c>
      <c r="L11" t="n">
        <v>0</v>
      </c>
      <c r="M11" t="n">
        <v/>
      </c>
    </row>
    <row r="12">
      <c r="A12" s="148" t="n">
        <v>21520</v>
      </c>
      <c r="B12" t="n">
        <v/>
      </c>
      <c r="C12" t="n">
        <v/>
      </c>
      <c r="D12" t="n">
        <v/>
      </c>
      <c r="E12" t="n">
        <v/>
      </c>
      <c r="F12" t="n">
        <v/>
      </c>
      <c r="G12" t="n">
        <v/>
      </c>
      <c r="H12" t="n">
        <v/>
      </c>
      <c r="I12" t="n">
        <v/>
      </c>
      <c r="J12" t="n">
        <v/>
      </c>
      <c r="K12" t="n">
        <v/>
      </c>
      <c r="L12" t="n">
        <v>0</v>
      </c>
      <c r="M12" t="n">
        <v/>
      </c>
    </row>
    <row r="13">
      <c r="A13" s="148" t="n">
        <v>21551</v>
      </c>
      <c r="B13" t="n">
        <v/>
      </c>
      <c r="C13" t="n">
        <v/>
      </c>
      <c r="D13" t="n">
        <v/>
      </c>
      <c r="E13" t="n">
        <v/>
      </c>
      <c r="F13" t="n">
        <v/>
      </c>
      <c r="G13" t="n">
        <v/>
      </c>
      <c r="H13" t="n">
        <v/>
      </c>
      <c r="I13" t="n">
        <v/>
      </c>
      <c r="J13" t="n">
        <v/>
      </c>
      <c r="K13" t="n">
        <v/>
      </c>
      <c r="L13" t="n">
        <v>0</v>
      </c>
      <c r="M13" t="n">
        <v/>
      </c>
    </row>
    <row r="14">
      <c r="A14" s="148" t="n">
        <v>21582</v>
      </c>
      <c r="B14" t="n">
        <v/>
      </c>
      <c r="C14" t="n">
        <v/>
      </c>
      <c r="D14" t="n">
        <v/>
      </c>
      <c r="E14" t="n">
        <v/>
      </c>
      <c r="F14" t="n">
        <v/>
      </c>
      <c r="G14" t="n">
        <v/>
      </c>
      <c r="H14" t="n">
        <v/>
      </c>
      <c r="I14" t="n">
        <v/>
      </c>
      <c r="J14" t="n">
        <v/>
      </c>
      <c r="K14" t="n">
        <v/>
      </c>
      <c r="L14" t="n">
        <v>0</v>
      </c>
      <c r="M14" t="n">
        <v/>
      </c>
    </row>
    <row r="15">
      <c r="A15" s="148" t="n">
        <v>21610</v>
      </c>
      <c r="B15" t="n">
        <v/>
      </c>
      <c r="C15" t="n">
        <v/>
      </c>
      <c r="D15" t="n">
        <v/>
      </c>
      <c r="E15" t="n">
        <v/>
      </c>
      <c r="F15" t="n">
        <v/>
      </c>
      <c r="G15" t="n">
        <v/>
      </c>
      <c r="H15" t="n">
        <v/>
      </c>
      <c r="I15" t="n">
        <v/>
      </c>
      <c r="J15" t="n">
        <v/>
      </c>
      <c r="K15" t="n">
        <v/>
      </c>
      <c r="L15" t="n">
        <v>0</v>
      </c>
      <c r="M15" t="n">
        <v/>
      </c>
    </row>
    <row r="16">
      <c r="A16" s="148" t="n">
        <v>21641</v>
      </c>
      <c r="B16" t="n">
        <v/>
      </c>
      <c r="C16" t="n">
        <v/>
      </c>
      <c r="D16" t="n">
        <v/>
      </c>
      <c r="E16" t="n">
        <v/>
      </c>
      <c r="F16" t="n">
        <v/>
      </c>
      <c r="G16" t="n">
        <v/>
      </c>
      <c r="H16" t="n">
        <v/>
      </c>
      <c r="I16" t="n">
        <v/>
      </c>
      <c r="J16" t="n">
        <v/>
      </c>
      <c r="K16" t="n">
        <v/>
      </c>
      <c r="L16" t="n">
        <v>0</v>
      </c>
      <c r="M16" t="n">
        <v/>
      </c>
    </row>
    <row r="17">
      <c r="A17" s="148" t="n">
        <v>21671</v>
      </c>
      <c r="B17" t="n">
        <v/>
      </c>
      <c r="C17" t="n">
        <v/>
      </c>
      <c r="D17" t="n">
        <v/>
      </c>
      <c r="E17" t="n">
        <v/>
      </c>
      <c r="F17" t="n">
        <v/>
      </c>
      <c r="G17" t="n">
        <v/>
      </c>
      <c r="H17" t="n">
        <v/>
      </c>
      <c r="I17" t="n">
        <v/>
      </c>
      <c r="J17" t="n">
        <v/>
      </c>
      <c r="K17" t="n">
        <v/>
      </c>
      <c r="L17" t="n">
        <v>0</v>
      </c>
      <c r="M17" t="n">
        <v/>
      </c>
    </row>
    <row r="18">
      <c r="A18" s="148" t="n">
        <v>21702</v>
      </c>
      <c r="B18" t="n">
        <v/>
      </c>
      <c r="C18" t="n">
        <v/>
      </c>
      <c r="D18" t="n">
        <v/>
      </c>
      <c r="E18" t="n">
        <v/>
      </c>
      <c r="F18" t="n">
        <v/>
      </c>
      <c r="G18" t="n">
        <v/>
      </c>
      <c r="H18" t="n">
        <v/>
      </c>
      <c r="I18" t="n">
        <v/>
      </c>
      <c r="J18" t="n">
        <v/>
      </c>
      <c r="K18" t="n">
        <v/>
      </c>
      <c r="L18" t="n">
        <v>0</v>
      </c>
      <c r="M18" t="n">
        <v/>
      </c>
    </row>
    <row r="19">
      <c r="A19" s="148" t="n">
        <v>21732</v>
      </c>
      <c r="B19" t="n">
        <v/>
      </c>
      <c r="C19" t="n">
        <v/>
      </c>
      <c r="D19" t="n">
        <v/>
      </c>
      <c r="E19" t="n">
        <v/>
      </c>
      <c r="F19" t="n">
        <v/>
      </c>
      <c r="G19" t="n">
        <v/>
      </c>
      <c r="H19" t="n">
        <v/>
      </c>
      <c r="I19" t="n">
        <v/>
      </c>
      <c r="J19" t="n">
        <v/>
      </c>
      <c r="K19" t="n">
        <v/>
      </c>
      <c r="L19" t="n">
        <v>0</v>
      </c>
      <c r="M19" t="n">
        <v/>
      </c>
    </row>
    <row r="20">
      <c r="A20" s="148" t="n">
        <v>21763</v>
      </c>
      <c r="B20" t="n">
        <v/>
      </c>
      <c r="C20" t="n">
        <v/>
      </c>
      <c r="D20" t="n">
        <v/>
      </c>
      <c r="E20" t="n">
        <v/>
      </c>
      <c r="F20" t="n">
        <v/>
      </c>
      <c r="G20" t="n">
        <v/>
      </c>
      <c r="H20" t="n">
        <v/>
      </c>
      <c r="I20" t="n">
        <v/>
      </c>
      <c r="J20" t="n">
        <v/>
      </c>
      <c r="K20" t="n">
        <v/>
      </c>
      <c r="L20" t="n">
        <v>0</v>
      </c>
      <c r="M20" t="n">
        <v/>
      </c>
    </row>
    <row r="21">
      <c r="A21" s="148" t="n">
        <v>21794</v>
      </c>
      <c r="B21" t="n">
        <v/>
      </c>
      <c r="C21" t="n">
        <v/>
      </c>
      <c r="D21" t="n">
        <v/>
      </c>
      <c r="E21" t="n">
        <v/>
      </c>
      <c r="F21" t="n">
        <v/>
      </c>
      <c r="G21" t="n">
        <v/>
      </c>
      <c r="H21" t="n">
        <v/>
      </c>
      <c r="I21" t="n">
        <v/>
      </c>
      <c r="J21" t="n">
        <v/>
      </c>
      <c r="K21" t="n">
        <v/>
      </c>
      <c r="L21" t="n">
        <v>0</v>
      </c>
      <c r="M21" t="n">
        <v/>
      </c>
    </row>
    <row r="22">
      <c r="A22" s="148" t="n">
        <v>21824</v>
      </c>
      <c r="B22" t="n">
        <v/>
      </c>
      <c r="C22" t="n">
        <v/>
      </c>
      <c r="D22" t="n">
        <v/>
      </c>
      <c r="E22" t="n">
        <v/>
      </c>
      <c r="F22" t="n">
        <v/>
      </c>
      <c r="G22" t="n">
        <v/>
      </c>
      <c r="H22" t="n">
        <v/>
      </c>
      <c r="I22" t="n">
        <v/>
      </c>
      <c r="J22" t="n">
        <v/>
      </c>
      <c r="K22" t="n">
        <v/>
      </c>
      <c r="L22" t="n">
        <v>0</v>
      </c>
      <c r="M22" t="n">
        <v/>
      </c>
    </row>
    <row r="23">
      <c r="A23" s="148" t="n">
        <v>21855</v>
      </c>
      <c r="B23" t="n">
        <v/>
      </c>
      <c r="C23" t="n">
        <v/>
      </c>
      <c r="D23" t="n">
        <v/>
      </c>
      <c r="E23" t="n">
        <v/>
      </c>
      <c r="F23" t="n">
        <v/>
      </c>
      <c r="G23" t="n">
        <v/>
      </c>
      <c r="H23" t="n">
        <v/>
      </c>
      <c r="I23" t="n">
        <v/>
      </c>
      <c r="J23" t="n">
        <v/>
      </c>
      <c r="K23" t="n">
        <v/>
      </c>
      <c r="L23" t="n">
        <v>0</v>
      </c>
      <c r="M23" t="n">
        <v/>
      </c>
    </row>
    <row r="24">
      <c r="A24" s="148" t="n">
        <v>21885</v>
      </c>
      <c r="B24" t="n">
        <v/>
      </c>
      <c r="C24" t="n">
        <v/>
      </c>
      <c r="D24" t="n">
        <v/>
      </c>
      <c r="E24" t="n">
        <v/>
      </c>
      <c r="F24" t="n">
        <v/>
      </c>
      <c r="G24" t="n">
        <v/>
      </c>
      <c r="H24" t="n">
        <v/>
      </c>
      <c r="I24" t="n">
        <v/>
      </c>
      <c r="J24" t="n">
        <v/>
      </c>
      <c r="K24" t="n">
        <v/>
      </c>
      <c r="L24" t="n">
        <v>0</v>
      </c>
      <c r="M24" t="n">
        <v/>
      </c>
    </row>
    <row r="25">
      <c r="A25" s="148" t="n">
        <v>21916</v>
      </c>
      <c r="B25" t="n">
        <v/>
      </c>
      <c r="C25" t="n">
        <v/>
      </c>
      <c r="D25" t="n">
        <v/>
      </c>
      <c r="E25" t="n">
        <v/>
      </c>
      <c r="F25" t="n">
        <v/>
      </c>
      <c r="G25" t="n">
        <v/>
      </c>
      <c r="H25" t="n">
        <v/>
      </c>
      <c r="I25" t="n">
        <v/>
      </c>
      <c r="J25" t="n">
        <v/>
      </c>
      <c r="K25" t="n">
        <v/>
      </c>
      <c r="L25" t="n">
        <v>0</v>
      </c>
      <c r="M25" t="n">
        <v/>
      </c>
    </row>
    <row r="26">
      <c r="A26" s="148" t="n">
        <v>21947</v>
      </c>
      <c r="B26" t="n">
        <v/>
      </c>
      <c r="C26" t="n">
        <v/>
      </c>
      <c r="D26" t="n">
        <v/>
      </c>
      <c r="E26" t="n">
        <v/>
      </c>
      <c r="F26" t="n">
        <v/>
      </c>
      <c r="G26" t="n">
        <v/>
      </c>
      <c r="H26" t="n">
        <v/>
      </c>
      <c r="I26" t="n">
        <v/>
      </c>
      <c r="J26" t="n">
        <v/>
      </c>
      <c r="K26" t="n">
        <v/>
      </c>
      <c r="L26" t="n">
        <v>0</v>
      </c>
      <c r="M26" t="n">
        <v/>
      </c>
    </row>
    <row r="27">
      <c r="A27" s="148" t="n">
        <v>21976</v>
      </c>
      <c r="B27" t="n">
        <v/>
      </c>
      <c r="C27" t="n">
        <v/>
      </c>
      <c r="D27" t="n">
        <v/>
      </c>
      <c r="E27" t="n">
        <v/>
      </c>
      <c r="F27" t="n">
        <v/>
      </c>
      <c r="G27" t="n">
        <v/>
      </c>
      <c r="H27" t="n">
        <v/>
      </c>
      <c r="I27" t="n">
        <v/>
      </c>
      <c r="J27" t="n">
        <v/>
      </c>
      <c r="K27" t="n">
        <v/>
      </c>
      <c r="L27" t="n">
        <v>0</v>
      </c>
      <c r="M27" t="n">
        <v/>
      </c>
    </row>
    <row r="28">
      <c r="A28" s="148" t="n">
        <v>22007</v>
      </c>
      <c r="B28" t="n">
        <v/>
      </c>
      <c r="C28" t="n">
        <v/>
      </c>
      <c r="D28" t="n">
        <v/>
      </c>
      <c r="E28" t="n">
        <v/>
      </c>
      <c r="F28" t="n">
        <v/>
      </c>
      <c r="G28" t="n">
        <v/>
      </c>
      <c r="H28" t="n">
        <v/>
      </c>
      <c r="I28" t="n">
        <v/>
      </c>
      <c r="J28" t="n">
        <v/>
      </c>
      <c r="K28" t="n">
        <v/>
      </c>
      <c r="L28" t="n">
        <v>0</v>
      </c>
      <c r="M28" t="n">
        <v/>
      </c>
    </row>
    <row r="29">
      <c r="A29" s="148" t="n">
        <v>22037</v>
      </c>
      <c r="B29" t="n">
        <v/>
      </c>
      <c r="C29" t="n">
        <v/>
      </c>
      <c r="D29" t="n">
        <v/>
      </c>
      <c r="E29" t="n">
        <v/>
      </c>
      <c r="F29" t="n">
        <v/>
      </c>
      <c r="G29" t="n">
        <v/>
      </c>
      <c r="H29" t="n">
        <v/>
      </c>
      <c r="I29" t="n">
        <v/>
      </c>
      <c r="J29" t="n">
        <v/>
      </c>
      <c r="K29" t="n">
        <v/>
      </c>
      <c r="L29" t="n">
        <v>0</v>
      </c>
      <c r="M29" t="n">
        <v/>
      </c>
    </row>
    <row r="30">
      <c r="A30" s="148" t="n">
        <v>22068</v>
      </c>
      <c r="B30" t="n">
        <v/>
      </c>
      <c r="C30" t="n">
        <v/>
      </c>
      <c r="D30" t="n">
        <v/>
      </c>
      <c r="E30" t="n">
        <v/>
      </c>
      <c r="F30" t="n">
        <v/>
      </c>
      <c r="G30" t="n">
        <v/>
      </c>
      <c r="H30" t="n">
        <v/>
      </c>
      <c r="I30" t="n">
        <v/>
      </c>
      <c r="J30" t="n">
        <v/>
      </c>
      <c r="K30" t="n">
        <v/>
      </c>
      <c r="L30" t="n">
        <v>0</v>
      </c>
      <c r="M30" t="n">
        <v/>
      </c>
    </row>
    <row r="31">
      <c r="A31" s="148" t="n">
        <v>22098</v>
      </c>
      <c r="B31" t="n">
        <v/>
      </c>
      <c r="C31" t="n">
        <v/>
      </c>
      <c r="D31" t="n">
        <v/>
      </c>
      <c r="E31" t="n">
        <v/>
      </c>
      <c r="F31" t="n">
        <v/>
      </c>
      <c r="G31" t="n">
        <v/>
      </c>
      <c r="H31" t="n">
        <v/>
      </c>
      <c r="I31" t="n">
        <v/>
      </c>
      <c r="J31" t="n">
        <v/>
      </c>
      <c r="K31" t="n">
        <v/>
      </c>
      <c r="L31" t="n">
        <v>0</v>
      </c>
      <c r="M31" t="n">
        <v/>
      </c>
    </row>
    <row r="32">
      <c r="A32" s="148" t="n">
        <v>22129</v>
      </c>
      <c r="B32" t="n">
        <v/>
      </c>
      <c r="C32" t="n">
        <v/>
      </c>
      <c r="D32" t="n">
        <v/>
      </c>
      <c r="E32" t="n">
        <v/>
      </c>
      <c r="F32" t="n">
        <v/>
      </c>
      <c r="G32" t="n">
        <v/>
      </c>
      <c r="H32" t="n">
        <v/>
      </c>
      <c r="I32" t="n">
        <v/>
      </c>
      <c r="J32" t="n">
        <v/>
      </c>
      <c r="K32" t="n">
        <v/>
      </c>
      <c r="L32" t="n">
        <v>0</v>
      </c>
      <c r="M32" t="n">
        <v/>
      </c>
    </row>
    <row r="33">
      <c r="A33" s="148" t="n">
        <v>22160</v>
      </c>
      <c r="B33" t="n">
        <v/>
      </c>
      <c r="C33" t="n">
        <v/>
      </c>
      <c r="D33" t="n">
        <v/>
      </c>
      <c r="E33" t="n">
        <v/>
      </c>
      <c r="F33" t="n">
        <v/>
      </c>
      <c r="G33" t="n">
        <v/>
      </c>
      <c r="H33" t="n">
        <v/>
      </c>
      <c r="I33" t="n">
        <v/>
      </c>
      <c r="J33" t="n">
        <v/>
      </c>
      <c r="K33" t="n">
        <v/>
      </c>
      <c r="L33" t="n">
        <v>0</v>
      </c>
      <c r="M33" t="n">
        <v/>
      </c>
    </row>
    <row r="34">
      <c r="A34" s="148" t="n">
        <v>22190</v>
      </c>
      <c r="B34" t="n">
        <v/>
      </c>
      <c r="C34" t="n">
        <v/>
      </c>
      <c r="D34" t="n">
        <v/>
      </c>
      <c r="E34" t="n">
        <v/>
      </c>
      <c r="F34" t="n">
        <v/>
      </c>
      <c r="G34" t="n">
        <v/>
      </c>
      <c r="H34" t="n">
        <v/>
      </c>
      <c r="I34" t="n">
        <v/>
      </c>
      <c r="J34" t="n">
        <v/>
      </c>
      <c r="K34" t="n">
        <v/>
      </c>
      <c r="L34" t="n">
        <v>0</v>
      </c>
      <c r="M34" t="n">
        <v/>
      </c>
    </row>
    <row r="35">
      <c r="A35" s="148" t="n">
        <v>22221</v>
      </c>
      <c r="B35" t="n">
        <v/>
      </c>
      <c r="C35" t="n">
        <v/>
      </c>
      <c r="D35" t="n">
        <v/>
      </c>
      <c r="E35" t="n">
        <v/>
      </c>
      <c r="F35" t="n">
        <v/>
      </c>
      <c r="G35" t="n">
        <v/>
      </c>
      <c r="H35" t="n">
        <v/>
      </c>
      <c r="I35" t="n">
        <v/>
      </c>
      <c r="J35" t="n">
        <v/>
      </c>
      <c r="K35" t="n">
        <v/>
      </c>
      <c r="L35" t="n">
        <v>0</v>
      </c>
      <c r="M35" t="n">
        <v/>
      </c>
    </row>
    <row r="36">
      <c r="A36" s="148" t="n">
        <v>22251</v>
      </c>
      <c r="B36" t="n">
        <v/>
      </c>
      <c r="C36" t="n">
        <v/>
      </c>
      <c r="D36" t="n">
        <v/>
      </c>
      <c r="E36" t="n">
        <v/>
      </c>
      <c r="F36" t="n">
        <v/>
      </c>
      <c r="G36" t="n">
        <v/>
      </c>
      <c r="H36" t="n">
        <v/>
      </c>
      <c r="I36" t="n">
        <v/>
      </c>
      <c r="J36" t="n">
        <v/>
      </c>
      <c r="K36" t="n">
        <v/>
      </c>
      <c r="L36" t="n">
        <v>0</v>
      </c>
      <c r="M36" t="n">
        <v/>
      </c>
    </row>
    <row r="37">
      <c r="A37" s="148" t="n">
        <v>22282</v>
      </c>
      <c r="B37" t="n">
        <v/>
      </c>
      <c r="C37" t="n">
        <v/>
      </c>
      <c r="D37" t="n">
        <v/>
      </c>
      <c r="E37" t="n">
        <v/>
      </c>
      <c r="F37" t="n">
        <v/>
      </c>
      <c r="G37" t="n">
        <v/>
      </c>
      <c r="H37" t="n">
        <v/>
      </c>
      <c r="I37" t="n">
        <v/>
      </c>
      <c r="J37" t="n">
        <v/>
      </c>
      <c r="K37" t="n">
        <v/>
      </c>
      <c r="L37" t="n">
        <v>0</v>
      </c>
      <c r="M37" t="n">
        <v/>
      </c>
    </row>
    <row r="38">
      <c r="A38" s="148" t="n">
        <v>22313</v>
      </c>
      <c r="B38" t="n">
        <v/>
      </c>
      <c r="C38" t="n">
        <v/>
      </c>
      <c r="D38" t="n">
        <v/>
      </c>
      <c r="E38" t="n">
        <v/>
      </c>
      <c r="F38" t="n">
        <v/>
      </c>
      <c r="G38" t="n">
        <v/>
      </c>
      <c r="H38" t="n">
        <v/>
      </c>
      <c r="I38" t="n">
        <v/>
      </c>
      <c r="J38" t="n">
        <v/>
      </c>
      <c r="K38" t="n">
        <v/>
      </c>
      <c r="L38" t="n">
        <v>0</v>
      </c>
      <c r="M38" t="n">
        <v/>
      </c>
    </row>
    <row r="39">
      <c r="A39" s="148" t="n">
        <v>22341</v>
      </c>
      <c r="B39" t="n">
        <v/>
      </c>
      <c r="C39" t="n">
        <v/>
      </c>
      <c r="D39" t="n">
        <v/>
      </c>
      <c r="E39" t="n">
        <v/>
      </c>
      <c r="F39" t="n">
        <v/>
      </c>
      <c r="G39" t="n">
        <v/>
      </c>
      <c r="H39" t="n">
        <v/>
      </c>
      <c r="I39" t="n">
        <v/>
      </c>
      <c r="J39" t="n">
        <v/>
      </c>
      <c r="K39" t="n">
        <v/>
      </c>
      <c r="L39" t="n">
        <v>0</v>
      </c>
      <c r="M39" t="n">
        <v/>
      </c>
    </row>
    <row r="40">
      <c r="A40" s="148" t="n">
        <v>22372</v>
      </c>
      <c r="B40" t="n">
        <v/>
      </c>
      <c r="C40" t="n">
        <v/>
      </c>
      <c r="D40" t="n">
        <v/>
      </c>
      <c r="E40" t="n">
        <v/>
      </c>
      <c r="F40" t="n">
        <v/>
      </c>
      <c r="G40" t="n">
        <v/>
      </c>
      <c r="H40" t="n">
        <v/>
      </c>
      <c r="I40" t="n">
        <v/>
      </c>
      <c r="J40" t="n">
        <v/>
      </c>
      <c r="K40" t="n">
        <v/>
      </c>
      <c r="L40" t="n">
        <v>0</v>
      </c>
      <c r="M40" t="n">
        <v/>
      </c>
    </row>
    <row r="41">
      <c r="A41" s="148" t="n">
        <v>22402</v>
      </c>
      <c r="B41" t="n">
        <v/>
      </c>
      <c r="C41" t="n">
        <v/>
      </c>
      <c r="D41" t="n">
        <v/>
      </c>
      <c r="E41" t="n">
        <v/>
      </c>
      <c r="F41" t="n">
        <v/>
      </c>
      <c r="G41" t="n">
        <v/>
      </c>
      <c r="H41" t="n">
        <v/>
      </c>
      <c r="I41" t="n">
        <v/>
      </c>
      <c r="J41" t="n">
        <v/>
      </c>
      <c r="K41" t="n">
        <v/>
      </c>
      <c r="L41" t="n">
        <v>0</v>
      </c>
      <c r="M41" t="n">
        <v/>
      </c>
    </row>
    <row r="42">
      <c r="A42" s="148" t="n">
        <v>22433</v>
      </c>
      <c r="B42" t="n">
        <v/>
      </c>
      <c r="C42" t="n">
        <v/>
      </c>
      <c r="D42" t="n">
        <v/>
      </c>
      <c r="E42" t="n">
        <v/>
      </c>
      <c r="F42" t="n">
        <v/>
      </c>
      <c r="G42" t="n">
        <v/>
      </c>
      <c r="H42" t="n">
        <v/>
      </c>
      <c r="I42" t="n">
        <v/>
      </c>
      <c r="J42" t="n">
        <v/>
      </c>
      <c r="K42" t="n">
        <v/>
      </c>
      <c r="L42" t="n">
        <v>0</v>
      </c>
      <c r="M42" t="n">
        <v/>
      </c>
    </row>
    <row r="43">
      <c r="A43" s="148" t="n">
        <v>22463</v>
      </c>
      <c r="B43" t="n">
        <v/>
      </c>
      <c r="C43" t="n">
        <v/>
      </c>
      <c r="D43" t="n">
        <v/>
      </c>
      <c r="E43" t="n">
        <v/>
      </c>
      <c r="F43" t="n">
        <v/>
      </c>
      <c r="G43" t="n">
        <v/>
      </c>
      <c r="H43" t="n">
        <v/>
      </c>
      <c r="I43" t="n">
        <v/>
      </c>
      <c r="J43" t="n">
        <v/>
      </c>
      <c r="K43" t="n">
        <v/>
      </c>
      <c r="L43" t="n">
        <v>0</v>
      </c>
      <c r="M43" t="n">
        <v/>
      </c>
    </row>
    <row r="44">
      <c r="A44" s="148" t="n">
        <v>22494</v>
      </c>
      <c r="B44" t="n">
        <v/>
      </c>
      <c r="C44" t="n">
        <v/>
      </c>
      <c r="D44" t="n">
        <v/>
      </c>
      <c r="E44" t="n">
        <v/>
      </c>
      <c r="F44" t="n">
        <v/>
      </c>
      <c r="G44" t="n">
        <v/>
      </c>
      <c r="H44" t="n">
        <v/>
      </c>
      <c r="I44" t="n">
        <v/>
      </c>
      <c r="J44" t="n">
        <v/>
      </c>
      <c r="K44" t="n">
        <v/>
      </c>
      <c r="L44" t="n">
        <v>0</v>
      </c>
      <c r="M44" t="n">
        <v/>
      </c>
    </row>
    <row r="45">
      <c r="A45" s="148" t="n">
        <v>22525</v>
      </c>
      <c r="B45" t="n">
        <v/>
      </c>
      <c r="C45" t="n">
        <v/>
      </c>
      <c r="D45" t="n">
        <v/>
      </c>
      <c r="E45" t="n">
        <v/>
      </c>
      <c r="F45" t="n">
        <v/>
      </c>
      <c r="G45" t="n">
        <v/>
      </c>
      <c r="H45" t="n">
        <v/>
      </c>
      <c r="I45" t="n">
        <v/>
      </c>
      <c r="J45" t="n">
        <v/>
      </c>
      <c r="K45" t="n">
        <v/>
      </c>
      <c r="L45" t="n">
        <v>0</v>
      </c>
      <c r="M45" t="n">
        <v/>
      </c>
    </row>
    <row r="46">
      <c r="A46" s="148" t="n">
        <v>22555</v>
      </c>
      <c r="B46" t="n">
        <v/>
      </c>
      <c r="C46" t="n">
        <v/>
      </c>
      <c r="D46" t="n">
        <v/>
      </c>
      <c r="E46" t="n">
        <v/>
      </c>
      <c r="F46" t="n">
        <v/>
      </c>
      <c r="G46" t="n">
        <v/>
      </c>
      <c r="H46" t="n">
        <v/>
      </c>
      <c r="I46" t="n">
        <v/>
      </c>
      <c r="J46" t="n">
        <v/>
      </c>
      <c r="K46" t="n">
        <v/>
      </c>
      <c r="L46" t="n">
        <v>0</v>
      </c>
      <c r="M46" t="n">
        <v/>
      </c>
    </row>
    <row r="47">
      <c r="A47" s="148" t="n">
        <v>22586</v>
      </c>
      <c r="B47" t="n">
        <v/>
      </c>
      <c r="C47" t="n">
        <v/>
      </c>
      <c r="D47" t="n">
        <v/>
      </c>
      <c r="E47" t="n">
        <v/>
      </c>
      <c r="F47" t="n">
        <v/>
      </c>
      <c r="G47" t="n">
        <v/>
      </c>
      <c r="H47" t="n">
        <v/>
      </c>
      <c r="I47" t="n">
        <v/>
      </c>
      <c r="J47" t="n">
        <v/>
      </c>
      <c r="K47" t="n">
        <v/>
      </c>
      <c r="L47" t="n">
        <v>0</v>
      </c>
      <c r="M47" t="n">
        <v/>
      </c>
    </row>
    <row r="48">
      <c r="A48" s="148" t="n">
        <v>22616</v>
      </c>
      <c r="B48" t="n">
        <v/>
      </c>
      <c r="C48" t="n">
        <v/>
      </c>
      <c r="D48" t="n">
        <v/>
      </c>
      <c r="E48" t="n">
        <v/>
      </c>
      <c r="F48" t="n">
        <v/>
      </c>
      <c r="G48" t="n">
        <v/>
      </c>
      <c r="H48" t="n">
        <v/>
      </c>
      <c r="I48" t="n">
        <v/>
      </c>
      <c r="J48" t="n">
        <v/>
      </c>
      <c r="K48" t="n">
        <v/>
      </c>
      <c r="L48" t="n">
        <v>0</v>
      </c>
      <c r="M48" t="n">
        <v/>
      </c>
    </row>
    <row r="49">
      <c r="A49" s="148" t="n">
        <v>22647</v>
      </c>
      <c r="B49" t="n">
        <v/>
      </c>
      <c r="C49" t="n">
        <v/>
      </c>
      <c r="D49" t="n">
        <v/>
      </c>
      <c r="E49" t="n">
        <v/>
      </c>
      <c r="F49" t="n">
        <v/>
      </c>
      <c r="G49" t="n">
        <v/>
      </c>
      <c r="H49" t="n">
        <v/>
      </c>
      <c r="I49" t="n">
        <v/>
      </c>
      <c r="J49" t="n">
        <v/>
      </c>
      <c r="K49" t="n">
        <v/>
      </c>
      <c r="L49" t="n">
        <v>0</v>
      </c>
      <c r="M49" t="n">
        <v/>
      </c>
    </row>
    <row r="50">
      <c r="A50" s="148" t="n">
        <v>22678</v>
      </c>
      <c r="B50" t="n">
        <v/>
      </c>
      <c r="C50" t="n">
        <v/>
      </c>
      <c r="D50" t="n">
        <v/>
      </c>
      <c r="E50" t="n">
        <v/>
      </c>
      <c r="F50" t="n">
        <v/>
      </c>
      <c r="G50" t="n">
        <v/>
      </c>
      <c r="H50" t="n">
        <v/>
      </c>
      <c r="I50" t="n">
        <v/>
      </c>
      <c r="J50" t="n">
        <v/>
      </c>
      <c r="K50" t="n">
        <v/>
      </c>
      <c r="L50" t="n">
        <v>0</v>
      </c>
      <c r="M50" t="n">
        <v/>
      </c>
    </row>
    <row r="51">
      <c r="A51" s="148" t="n">
        <v>22706</v>
      </c>
      <c r="B51" t="n">
        <v/>
      </c>
      <c r="C51" t="n">
        <v/>
      </c>
      <c r="D51" t="n">
        <v/>
      </c>
      <c r="E51" t="n">
        <v/>
      </c>
      <c r="F51" t="n">
        <v/>
      </c>
      <c r="G51" t="n">
        <v/>
      </c>
      <c r="H51" t="n">
        <v/>
      </c>
      <c r="I51" t="n">
        <v/>
      </c>
      <c r="J51" t="n">
        <v/>
      </c>
      <c r="K51" t="n">
        <v/>
      </c>
      <c r="L51" t="n">
        <v>0</v>
      </c>
      <c r="M51" t="n">
        <v/>
      </c>
    </row>
    <row r="52">
      <c r="A52" s="148" t="n">
        <v>22737</v>
      </c>
      <c r="B52" t="n">
        <v/>
      </c>
      <c r="C52" t="n">
        <v/>
      </c>
      <c r="D52" t="n">
        <v/>
      </c>
      <c r="E52" t="n">
        <v/>
      </c>
      <c r="F52" t="n">
        <v/>
      </c>
      <c r="G52" t="n">
        <v/>
      </c>
      <c r="H52" t="n">
        <v/>
      </c>
      <c r="I52" t="n">
        <v/>
      </c>
      <c r="J52" t="n">
        <v/>
      </c>
      <c r="K52" t="n">
        <v/>
      </c>
      <c r="L52" t="n">
        <v>0</v>
      </c>
      <c r="M52" t="n">
        <v/>
      </c>
    </row>
    <row r="53">
      <c r="A53" s="148" t="n">
        <v>22767</v>
      </c>
      <c r="B53" t="n">
        <v/>
      </c>
      <c r="C53" t="n">
        <v/>
      </c>
      <c r="D53" t="n">
        <v/>
      </c>
      <c r="E53" t="n">
        <v/>
      </c>
      <c r="F53" t="n">
        <v/>
      </c>
      <c r="G53" t="n">
        <v/>
      </c>
      <c r="H53" t="n">
        <v/>
      </c>
      <c r="I53" t="n">
        <v/>
      </c>
      <c r="J53" t="n">
        <v/>
      </c>
      <c r="K53" t="n">
        <v/>
      </c>
      <c r="L53" t="n">
        <v>0</v>
      </c>
      <c r="M53" t="n">
        <v/>
      </c>
    </row>
    <row r="54">
      <c r="A54" s="148" t="n">
        <v>22798</v>
      </c>
      <c r="B54" t="n">
        <v/>
      </c>
      <c r="C54" t="n">
        <v/>
      </c>
      <c r="D54" t="n">
        <v/>
      </c>
      <c r="E54" t="n">
        <v/>
      </c>
      <c r="F54" t="n">
        <v/>
      </c>
      <c r="G54" t="n">
        <v/>
      </c>
      <c r="H54" t="n">
        <v/>
      </c>
      <c r="I54" t="n">
        <v/>
      </c>
      <c r="J54" t="n">
        <v/>
      </c>
      <c r="K54" t="n">
        <v/>
      </c>
      <c r="L54" t="n">
        <v>0</v>
      </c>
      <c r="M54" t="n">
        <v/>
      </c>
    </row>
    <row r="55">
      <c r="A55" s="148" t="n">
        <v>22828</v>
      </c>
      <c r="B55" t="n">
        <v/>
      </c>
      <c r="C55" t="n">
        <v/>
      </c>
      <c r="D55" t="n">
        <v/>
      </c>
      <c r="E55" t="n">
        <v/>
      </c>
      <c r="F55" t="n">
        <v/>
      </c>
      <c r="G55" t="n">
        <v/>
      </c>
      <c r="H55" t="n">
        <v/>
      </c>
      <c r="I55" t="n">
        <v/>
      </c>
      <c r="J55" t="n">
        <v/>
      </c>
      <c r="K55" t="n">
        <v/>
      </c>
      <c r="L55" t="n">
        <v>0</v>
      </c>
      <c r="M55" t="n">
        <v/>
      </c>
    </row>
    <row r="56">
      <c r="A56" s="148" t="n">
        <v>22859</v>
      </c>
      <c r="B56" t="n">
        <v/>
      </c>
      <c r="C56" t="n">
        <v/>
      </c>
      <c r="D56" t="n">
        <v/>
      </c>
      <c r="E56" t="n">
        <v/>
      </c>
      <c r="F56" t="n">
        <v/>
      </c>
      <c r="G56" t="n">
        <v/>
      </c>
      <c r="H56" t="n">
        <v/>
      </c>
      <c r="I56" t="n">
        <v/>
      </c>
      <c r="J56" t="n">
        <v/>
      </c>
      <c r="K56" t="n">
        <v/>
      </c>
      <c r="L56" t="n">
        <v>0</v>
      </c>
      <c r="M56" t="n">
        <v/>
      </c>
    </row>
    <row r="57">
      <c r="A57" s="148" t="n">
        <v>22890</v>
      </c>
      <c r="B57" t="n">
        <v/>
      </c>
      <c r="C57" t="n">
        <v/>
      </c>
      <c r="D57" t="n">
        <v/>
      </c>
      <c r="E57" t="n">
        <v/>
      </c>
      <c r="F57" t="n">
        <v/>
      </c>
      <c r="G57" t="n">
        <v/>
      </c>
      <c r="H57" t="n">
        <v/>
      </c>
      <c r="I57" t="n">
        <v/>
      </c>
      <c r="J57" t="n">
        <v/>
      </c>
      <c r="K57" t="n">
        <v/>
      </c>
      <c r="L57" t="n">
        <v>0</v>
      </c>
      <c r="M57" t="n">
        <v/>
      </c>
    </row>
    <row r="58">
      <c r="A58" s="148" t="n">
        <v>22920</v>
      </c>
      <c r="B58" t="n">
        <v/>
      </c>
      <c r="C58" t="n">
        <v/>
      </c>
      <c r="D58" t="n">
        <v/>
      </c>
      <c r="E58" t="n">
        <v/>
      </c>
      <c r="F58" t="n">
        <v/>
      </c>
      <c r="G58" t="n">
        <v/>
      </c>
      <c r="H58" t="n">
        <v/>
      </c>
      <c r="I58" t="n">
        <v/>
      </c>
      <c r="J58" t="n">
        <v/>
      </c>
      <c r="K58" t="n">
        <v/>
      </c>
      <c r="L58" t="n">
        <v>0</v>
      </c>
      <c r="M58" t="n">
        <v/>
      </c>
    </row>
    <row r="59">
      <c r="A59" s="148" t="n">
        <v>22951</v>
      </c>
      <c r="B59" t="n">
        <v/>
      </c>
      <c r="C59" t="n">
        <v/>
      </c>
      <c r="D59" t="n">
        <v/>
      </c>
      <c r="E59" t="n">
        <v/>
      </c>
      <c r="F59" t="n">
        <v/>
      </c>
      <c r="G59" t="n">
        <v/>
      </c>
      <c r="H59" t="n">
        <v/>
      </c>
      <c r="I59" t="n">
        <v/>
      </c>
      <c r="J59" t="n">
        <v/>
      </c>
      <c r="K59" t="n">
        <v/>
      </c>
      <c r="L59" t="n">
        <v>0</v>
      </c>
      <c r="M59" t="n">
        <v/>
      </c>
    </row>
    <row r="60">
      <c r="A60" s="148" t="n">
        <v>22981</v>
      </c>
      <c r="B60" t="n">
        <v/>
      </c>
      <c r="C60" t="n">
        <v/>
      </c>
      <c r="D60" t="n">
        <v/>
      </c>
      <c r="E60" t="n">
        <v/>
      </c>
      <c r="F60" t="n">
        <v/>
      </c>
      <c r="G60" t="n">
        <v/>
      </c>
      <c r="H60" t="n">
        <v/>
      </c>
      <c r="I60" t="n">
        <v/>
      </c>
      <c r="J60" t="n">
        <v/>
      </c>
      <c r="K60" t="n">
        <v/>
      </c>
      <c r="L60" t="n">
        <v>0</v>
      </c>
      <c r="M60" t="n">
        <v/>
      </c>
    </row>
    <row r="61">
      <c r="A61" s="148" t="n">
        <v>23012</v>
      </c>
      <c r="B61" t="n">
        <v/>
      </c>
      <c r="C61" t="n">
        <v/>
      </c>
      <c r="D61" t="n">
        <v/>
      </c>
      <c r="E61" t="n">
        <v/>
      </c>
      <c r="F61" t="n">
        <v/>
      </c>
      <c r="G61" t="n">
        <v/>
      </c>
      <c r="H61" t="n">
        <v/>
      </c>
      <c r="I61" t="n">
        <v/>
      </c>
      <c r="J61" t="n">
        <v/>
      </c>
      <c r="K61" t="n">
        <v/>
      </c>
      <c r="L61" t="n">
        <v>0</v>
      </c>
      <c r="M61" t="n">
        <v/>
      </c>
    </row>
    <row r="62">
      <c r="A62" s="148" t="n">
        <v>23043</v>
      </c>
      <c r="B62" t="n">
        <v/>
      </c>
      <c r="C62" t="n">
        <v/>
      </c>
      <c r="D62" t="n">
        <v/>
      </c>
      <c r="E62" t="n">
        <v/>
      </c>
      <c r="F62" t="n">
        <v/>
      </c>
      <c r="G62" t="n">
        <v/>
      </c>
      <c r="H62" t="n">
        <v/>
      </c>
      <c r="I62" t="n">
        <v/>
      </c>
      <c r="J62" t="n">
        <v/>
      </c>
      <c r="K62" t="n">
        <v/>
      </c>
      <c r="L62" t="n">
        <v>0</v>
      </c>
      <c r="M62" t="n">
        <v/>
      </c>
    </row>
    <row r="63">
      <c r="A63" s="148" t="n">
        <v>23071</v>
      </c>
      <c r="B63" t="n">
        <v/>
      </c>
      <c r="C63" t="n">
        <v/>
      </c>
      <c r="D63" t="n">
        <v/>
      </c>
      <c r="E63" t="n">
        <v/>
      </c>
      <c r="F63" t="n">
        <v/>
      </c>
      <c r="G63" t="n">
        <v/>
      </c>
      <c r="H63" t="n">
        <v/>
      </c>
      <c r="I63" t="n">
        <v/>
      </c>
      <c r="J63" t="n">
        <v/>
      </c>
      <c r="K63" t="n">
        <v/>
      </c>
      <c r="L63" t="n">
        <v>0</v>
      </c>
      <c r="M63" t="n">
        <v/>
      </c>
    </row>
    <row r="64">
      <c r="A64" s="148" t="n">
        <v>23102</v>
      </c>
      <c r="B64" t="n">
        <v/>
      </c>
      <c r="C64" t="n">
        <v/>
      </c>
      <c r="D64" t="n">
        <v/>
      </c>
      <c r="E64" t="n">
        <v/>
      </c>
      <c r="F64" t="n">
        <v/>
      </c>
      <c r="G64" t="n">
        <v/>
      </c>
      <c r="H64" t="n">
        <v/>
      </c>
      <c r="I64" t="n">
        <v/>
      </c>
      <c r="J64" t="n">
        <v/>
      </c>
      <c r="K64" t="n">
        <v/>
      </c>
      <c r="L64" t="n">
        <v>0</v>
      </c>
      <c r="M64" t="n">
        <v/>
      </c>
    </row>
    <row r="65">
      <c r="A65" s="148" t="n">
        <v>23132</v>
      </c>
      <c r="B65" t="n">
        <v/>
      </c>
      <c r="C65" t="n">
        <v/>
      </c>
      <c r="D65" t="n">
        <v/>
      </c>
      <c r="E65" t="n">
        <v/>
      </c>
      <c r="F65" t="n">
        <v/>
      </c>
      <c r="G65" t="n">
        <v/>
      </c>
      <c r="H65" t="n">
        <v/>
      </c>
      <c r="I65" t="n">
        <v/>
      </c>
      <c r="J65" t="n">
        <v/>
      </c>
      <c r="K65" t="n">
        <v/>
      </c>
      <c r="L65" t="n">
        <v>0</v>
      </c>
      <c r="M65" t="n">
        <v/>
      </c>
    </row>
    <row r="66">
      <c r="A66" s="148" t="n">
        <v>23163</v>
      </c>
      <c r="B66" t="n">
        <v/>
      </c>
      <c r="C66" t="n">
        <v/>
      </c>
      <c r="D66" t="n">
        <v/>
      </c>
      <c r="E66" t="n">
        <v/>
      </c>
      <c r="F66" t="n">
        <v/>
      </c>
      <c r="G66" t="n">
        <v/>
      </c>
      <c r="H66" t="n">
        <v/>
      </c>
      <c r="I66" t="n">
        <v/>
      </c>
      <c r="J66" t="n">
        <v/>
      </c>
      <c r="K66" t="n">
        <v/>
      </c>
      <c r="L66" t="n">
        <v>0</v>
      </c>
      <c r="M66" t="n">
        <v/>
      </c>
    </row>
    <row r="67">
      <c r="A67" s="148" t="n">
        <v>23193</v>
      </c>
      <c r="B67" t="n">
        <v/>
      </c>
      <c r="C67" t="n">
        <v/>
      </c>
      <c r="D67" t="n">
        <v/>
      </c>
      <c r="E67" t="n">
        <v/>
      </c>
      <c r="F67" t="n">
        <v/>
      </c>
      <c r="G67" t="n">
        <v/>
      </c>
      <c r="H67" t="n">
        <v/>
      </c>
      <c r="I67" t="n">
        <v/>
      </c>
      <c r="J67" t="n">
        <v/>
      </c>
      <c r="K67" t="n">
        <v/>
      </c>
      <c r="L67" t="n">
        <v>0</v>
      </c>
      <c r="M67" t="n">
        <v/>
      </c>
    </row>
    <row r="68">
      <c r="A68" s="148" t="n">
        <v>23224</v>
      </c>
      <c r="B68" t="n">
        <v/>
      </c>
      <c r="C68" t="n">
        <v/>
      </c>
      <c r="D68" t="n">
        <v/>
      </c>
      <c r="E68" t="n">
        <v/>
      </c>
      <c r="F68" t="n">
        <v/>
      </c>
      <c r="G68" t="n">
        <v/>
      </c>
      <c r="H68" t="n">
        <v/>
      </c>
      <c r="I68" t="n">
        <v/>
      </c>
      <c r="J68" t="n">
        <v/>
      </c>
      <c r="K68" t="n">
        <v/>
      </c>
      <c r="L68" t="n">
        <v>0</v>
      </c>
      <c r="M68" t="n">
        <v/>
      </c>
    </row>
    <row r="69">
      <c r="A69" s="148" t="n">
        <v>23255</v>
      </c>
      <c r="B69" t="n">
        <v/>
      </c>
      <c r="C69" t="n">
        <v/>
      </c>
      <c r="D69" t="n">
        <v/>
      </c>
      <c r="E69" t="n">
        <v/>
      </c>
      <c r="F69" t="n">
        <v/>
      </c>
      <c r="G69" t="n">
        <v/>
      </c>
      <c r="H69" t="n">
        <v/>
      </c>
      <c r="I69" t="n">
        <v/>
      </c>
      <c r="J69" t="n">
        <v/>
      </c>
      <c r="K69" t="n">
        <v/>
      </c>
      <c r="L69" t="n">
        <v>0</v>
      </c>
      <c r="M69" t="n">
        <v/>
      </c>
    </row>
    <row r="70">
      <c r="A70" s="148" t="n">
        <v>23285</v>
      </c>
      <c r="B70" t="n">
        <v/>
      </c>
      <c r="C70" t="n">
        <v/>
      </c>
      <c r="D70" t="n">
        <v/>
      </c>
      <c r="E70" t="n">
        <v/>
      </c>
      <c r="F70" t="n">
        <v/>
      </c>
      <c r="G70" t="n">
        <v/>
      </c>
      <c r="H70" t="n">
        <v/>
      </c>
      <c r="I70" t="n">
        <v/>
      </c>
      <c r="J70" t="n">
        <v/>
      </c>
      <c r="K70" t="n">
        <v/>
      </c>
      <c r="L70" t="n">
        <v>0</v>
      </c>
      <c r="M70" t="n">
        <v/>
      </c>
    </row>
    <row r="71">
      <c r="A71" s="148" t="n">
        <v>23316</v>
      </c>
      <c r="B71" t="n">
        <v/>
      </c>
      <c r="C71" t="n">
        <v/>
      </c>
      <c r="D71" t="n">
        <v/>
      </c>
      <c r="E71" t="n">
        <v/>
      </c>
      <c r="F71" t="n">
        <v/>
      </c>
      <c r="G71" t="n">
        <v/>
      </c>
      <c r="H71" t="n">
        <v/>
      </c>
      <c r="I71" t="n">
        <v/>
      </c>
      <c r="J71" t="n">
        <v/>
      </c>
      <c r="K71" t="n">
        <v/>
      </c>
      <c r="L71" t="n">
        <v>0</v>
      </c>
      <c r="M71" t="n">
        <v/>
      </c>
    </row>
    <row r="72">
      <c r="A72" s="148" t="n">
        <v>23346</v>
      </c>
      <c r="B72" t="n">
        <v/>
      </c>
      <c r="C72" t="n">
        <v/>
      </c>
      <c r="D72" t="n">
        <v/>
      </c>
      <c r="E72" t="n">
        <v/>
      </c>
      <c r="F72" t="n">
        <v/>
      </c>
      <c r="G72" t="n">
        <v/>
      </c>
      <c r="H72" t="n">
        <v/>
      </c>
      <c r="I72" t="n">
        <v/>
      </c>
      <c r="J72" t="n">
        <v/>
      </c>
      <c r="K72" t="n">
        <v/>
      </c>
      <c r="L72" t="n">
        <v>0</v>
      </c>
      <c r="M72" t="n">
        <v/>
      </c>
    </row>
    <row r="73">
      <c r="A73" s="148" t="n">
        <v>23377</v>
      </c>
      <c r="B73" t="n">
        <v/>
      </c>
      <c r="C73" t="n">
        <v/>
      </c>
      <c r="D73" t="n">
        <v/>
      </c>
      <c r="E73" t="n">
        <v/>
      </c>
      <c r="F73" t="n">
        <v/>
      </c>
      <c r="G73" t="n">
        <v/>
      </c>
      <c r="H73" t="n">
        <v/>
      </c>
      <c r="I73" t="n">
        <v/>
      </c>
      <c r="J73" t="n">
        <v/>
      </c>
      <c r="K73" t="n">
        <v/>
      </c>
      <c r="L73" t="n">
        <v>0</v>
      </c>
      <c r="M73" t="n">
        <v/>
      </c>
    </row>
    <row r="74">
      <c r="A74" s="148" t="n">
        <v>23408</v>
      </c>
      <c r="B74" t="n">
        <v/>
      </c>
      <c r="C74" t="n">
        <v/>
      </c>
      <c r="D74" t="n">
        <v/>
      </c>
      <c r="E74" t="n">
        <v/>
      </c>
      <c r="F74" t="n">
        <v/>
      </c>
      <c r="G74" t="n">
        <v/>
      </c>
      <c r="H74" t="n">
        <v/>
      </c>
      <c r="I74" t="n">
        <v/>
      </c>
      <c r="J74" t="n">
        <v/>
      </c>
      <c r="K74" t="n">
        <v/>
      </c>
      <c r="L74" t="n">
        <v>0</v>
      </c>
      <c r="M74" t="n">
        <v/>
      </c>
    </row>
    <row r="75">
      <c r="A75" s="148" t="n">
        <v>23437</v>
      </c>
      <c r="B75" t="n">
        <v/>
      </c>
      <c r="C75" t="n">
        <v/>
      </c>
      <c r="D75" t="n">
        <v/>
      </c>
      <c r="E75" t="n">
        <v/>
      </c>
      <c r="F75" t="n">
        <v/>
      </c>
      <c r="G75" t="n">
        <v/>
      </c>
      <c r="H75" t="n">
        <v/>
      </c>
      <c r="I75" t="n">
        <v/>
      </c>
      <c r="J75" t="n">
        <v/>
      </c>
      <c r="K75" t="n">
        <v/>
      </c>
      <c r="L75" t="n">
        <v>0</v>
      </c>
      <c r="M75" t="n">
        <v/>
      </c>
    </row>
    <row r="76">
      <c r="A76" s="148" t="n">
        <v>23468</v>
      </c>
      <c r="B76" t="n">
        <v/>
      </c>
      <c r="C76" t="n">
        <v/>
      </c>
      <c r="D76" t="n">
        <v/>
      </c>
      <c r="E76" t="n">
        <v/>
      </c>
      <c r="F76" t="n">
        <v/>
      </c>
      <c r="G76" t="n">
        <v/>
      </c>
      <c r="H76" t="n">
        <v/>
      </c>
      <c r="I76" t="n">
        <v/>
      </c>
      <c r="J76" t="n">
        <v/>
      </c>
      <c r="K76" t="n">
        <v/>
      </c>
      <c r="L76" t="n">
        <v>0</v>
      </c>
      <c r="M76" t="n">
        <v/>
      </c>
    </row>
    <row r="77">
      <c r="A77" s="148" t="n">
        <v>23498</v>
      </c>
      <c r="B77" t="n">
        <v/>
      </c>
      <c r="C77" t="n">
        <v/>
      </c>
      <c r="D77" t="n">
        <v/>
      </c>
      <c r="E77" t="n">
        <v/>
      </c>
      <c r="F77" t="n">
        <v/>
      </c>
      <c r="G77" t="n">
        <v/>
      </c>
      <c r="H77" t="n">
        <v/>
      </c>
      <c r="I77" t="n">
        <v/>
      </c>
      <c r="J77" t="n">
        <v/>
      </c>
      <c r="K77" t="n">
        <v/>
      </c>
      <c r="L77" t="n">
        <v>0</v>
      </c>
      <c r="M77" t="n">
        <v/>
      </c>
    </row>
    <row r="78">
      <c r="A78" s="148" t="n">
        <v>23529</v>
      </c>
      <c r="B78" t="n">
        <v/>
      </c>
      <c r="C78" t="n">
        <v/>
      </c>
      <c r="D78" t="n">
        <v/>
      </c>
      <c r="E78" t="n">
        <v/>
      </c>
      <c r="F78" t="n">
        <v/>
      </c>
      <c r="G78" t="n">
        <v/>
      </c>
      <c r="H78" t="n">
        <v/>
      </c>
      <c r="I78" t="n">
        <v/>
      </c>
      <c r="J78" t="n">
        <v/>
      </c>
      <c r="K78" t="n">
        <v/>
      </c>
      <c r="L78" t="n">
        <v>0</v>
      </c>
      <c r="M78" t="n">
        <v/>
      </c>
    </row>
    <row r="79">
      <c r="A79" s="148" t="n">
        <v>23559</v>
      </c>
      <c r="B79" t="n">
        <v/>
      </c>
      <c r="C79" t="n">
        <v/>
      </c>
      <c r="D79" t="n">
        <v/>
      </c>
      <c r="E79" t="n">
        <v/>
      </c>
      <c r="F79" t="n">
        <v/>
      </c>
      <c r="G79" t="n">
        <v/>
      </c>
      <c r="H79" t="n">
        <v/>
      </c>
      <c r="I79" t="n">
        <v/>
      </c>
      <c r="J79" t="n">
        <v/>
      </c>
      <c r="K79" t="n">
        <v/>
      </c>
      <c r="L79" t="n">
        <v>0</v>
      </c>
      <c r="M79" t="n">
        <v/>
      </c>
    </row>
    <row r="80">
      <c r="A80" s="148" t="n">
        <v>23590</v>
      </c>
      <c r="B80" t="n">
        <v/>
      </c>
      <c r="C80" t="n">
        <v/>
      </c>
      <c r="D80" t="n">
        <v/>
      </c>
      <c r="E80" t="n">
        <v/>
      </c>
      <c r="F80" t="n">
        <v/>
      </c>
      <c r="G80" t="n">
        <v/>
      </c>
      <c r="H80" t="n">
        <v/>
      </c>
      <c r="I80" t="n">
        <v/>
      </c>
      <c r="J80" t="n">
        <v/>
      </c>
      <c r="K80" t="n">
        <v/>
      </c>
      <c r="L80" t="n">
        <v>0</v>
      </c>
      <c r="M80" t="n">
        <v/>
      </c>
    </row>
    <row r="81">
      <c r="A81" s="148" t="n">
        <v>23621</v>
      </c>
      <c r="B81" t="n">
        <v/>
      </c>
      <c r="C81" t="n">
        <v/>
      </c>
      <c r="D81" t="n">
        <v/>
      </c>
      <c r="E81" t="n">
        <v/>
      </c>
      <c r="F81" t="n">
        <v/>
      </c>
      <c r="G81" t="n">
        <v/>
      </c>
      <c r="H81" t="n">
        <v/>
      </c>
      <c r="I81" t="n">
        <v/>
      </c>
      <c r="J81" t="n">
        <v/>
      </c>
      <c r="K81" t="n">
        <v/>
      </c>
      <c r="L81" t="n">
        <v>0</v>
      </c>
      <c r="M81" t="n">
        <v/>
      </c>
    </row>
    <row r="82">
      <c r="A82" s="148" t="n">
        <v>23651</v>
      </c>
      <c r="B82" t="n">
        <v/>
      </c>
      <c r="C82" t="n">
        <v/>
      </c>
      <c r="D82" t="n">
        <v/>
      </c>
      <c r="E82" t="n">
        <v/>
      </c>
      <c r="F82" t="n">
        <v/>
      </c>
      <c r="G82" t="n">
        <v/>
      </c>
      <c r="H82" t="n">
        <v/>
      </c>
      <c r="I82" t="n">
        <v/>
      </c>
      <c r="J82" t="n">
        <v/>
      </c>
      <c r="K82" t="n">
        <v/>
      </c>
      <c r="L82" t="n">
        <v>0</v>
      </c>
      <c r="M82" t="n">
        <v/>
      </c>
    </row>
    <row r="83">
      <c r="A83" s="148" t="n">
        <v>23682</v>
      </c>
      <c r="B83" t="n">
        <v/>
      </c>
      <c r="C83" t="n">
        <v/>
      </c>
      <c r="D83" t="n">
        <v/>
      </c>
      <c r="E83" t="n">
        <v/>
      </c>
      <c r="F83" t="n">
        <v/>
      </c>
      <c r="G83" t="n">
        <v/>
      </c>
      <c r="H83" t="n">
        <v/>
      </c>
      <c r="I83" t="n">
        <v/>
      </c>
      <c r="J83" t="n">
        <v/>
      </c>
      <c r="K83" t="n">
        <v/>
      </c>
      <c r="L83" t="n">
        <v>0</v>
      </c>
      <c r="M83" t="n">
        <v/>
      </c>
    </row>
    <row r="84">
      <c r="A84" s="148" t="n">
        <v>23712</v>
      </c>
      <c r="B84" t="n">
        <v/>
      </c>
      <c r="C84" t="n">
        <v/>
      </c>
      <c r="D84" t="n">
        <v/>
      </c>
      <c r="E84" t="n">
        <v/>
      </c>
      <c r="F84" t="n">
        <v/>
      </c>
      <c r="G84" t="n">
        <v/>
      </c>
      <c r="H84" t="n">
        <v/>
      </c>
      <c r="I84" t="n">
        <v/>
      </c>
      <c r="J84" t="n">
        <v/>
      </c>
      <c r="K84" t="n">
        <v/>
      </c>
      <c r="L84" t="n">
        <v>0</v>
      </c>
      <c r="M84" t="n">
        <v/>
      </c>
    </row>
    <row r="85">
      <c r="A85" s="148" t="n">
        <v>23743</v>
      </c>
      <c r="B85" t="n">
        <v/>
      </c>
      <c r="C85" t="n">
        <v/>
      </c>
      <c r="D85" t="n">
        <v/>
      </c>
      <c r="E85" t="n">
        <v/>
      </c>
      <c r="F85" t="n">
        <v/>
      </c>
      <c r="G85" t="n">
        <v/>
      </c>
      <c r="H85" t="n">
        <v/>
      </c>
      <c r="I85" t="n">
        <v/>
      </c>
      <c r="J85" t="n">
        <v/>
      </c>
      <c r="K85" t="n">
        <v/>
      </c>
      <c r="L85" t="n">
        <v>0</v>
      </c>
      <c r="M85" t="n">
        <v/>
      </c>
    </row>
    <row r="86">
      <c r="A86" s="148" t="n">
        <v>23774</v>
      </c>
      <c r="B86" t="n">
        <v/>
      </c>
      <c r="C86" t="n">
        <v/>
      </c>
      <c r="D86" t="n">
        <v/>
      </c>
      <c r="E86" t="n">
        <v/>
      </c>
      <c r="F86" t="n">
        <v/>
      </c>
      <c r="G86" t="n">
        <v/>
      </c>
      <c r="H86" t="n">
        <v/>
      </c>
      <c r="I86" t="n">
        <v/>
      </c>
      <c r="J86" t="n">
        <v/>
      </c>
      <c r="K86" t="n">
        <v/>
      </c>
      <c r="L86" t="n">
        <v>0</v>
      </c>
      <c r="M86" t="n">
        <v/>
      </c>
    </row>
    <row r="87">
      <c r="A87" s="148" t="n">
        <v>23802</v>
      </c>
      <c r="B87" t="n">
        <v/>
      </c>
      <c r="C87" t="n">
        <v/>
      </c>
      <c r="D87" t="n">
        <v/>
      </c>
      <c r="E87" t="n">
        <v/>
      </c>
      <c r="F87" t="n">
        <v/>
      </c>
      <c r="G87" t="n">
        <v/>
      </c>
      <c r="H87" t="n">
        <v/>
      </c>
      <c r="I87" t="n">
        <v/>
      </c>
      <c r="J87" t="n">
        <v/>
      </c>
      <c r="K87" t="n">
        <v/>
      </c>
      <c r="L87" t="n">
        <v>0</v>
      </c>
      <c r="M87" t="n">
        <v/>
      </c>
    </row>
    <row r="88">
      <c r="A88" s="148" t="n">
        <v>23833</v>
      </c>
      <c r="B88" t="n">
        <v/>
      </c>
      <c r="C88" t="n">
        <v/>
      </c>
      <c r="D88" t="n">
        <v/>
      </c>
      <c r="E88" t="n">
        <v/>
      </c>
      <c r="F88" t="n">
        <v/>
      </c>
      <c r="G88" t="n">
        <v/>
      </c>
      <c r="H88" t="n">
        <v/>
      </c>
      <c r="I88" t="n">
        <v/>
      </c>
      <c r="J88" t="n">
        <v/>
      </c>
      <c r="K88" t="n">
        <v/>
      </c>
      <c r="L88" t="n">
        <v>0</v>
      </c>
      <c r="M88" t="n">
        <v/>
      </c>
    </row>
    <row r="89">
      <c r="A89" s="148" t="n">
        <v>23863</v>
      </c>
      <c r="B89" t="n">
        <v/>
      </c>
      <c r="C89" t="n">
        <v/>
      </c>
      <c r="D89" t="n">
        <v/>
      </c>
      <c r="E89" t="n">
        <v/>
      </c>
      <c r="F89" t="n">
        <v/>
      </c>
      <c r="G89" t="n">
        <v/>
      </c>
      <c r="H89" t="n">
        <v/>
      </c>
      <c r="I89" t="n">
        <v/>
      </c>
      <c r="J89" t="n">
        <v/>
      </c>
      <c r="K89" t="n">
        <v/>
      </c>
      <c r="L89" t="n">
        <v>0</v>
      </c>
      <c r="M89" t="n">
        <v/>
      </c>
    </row>
    <row r="90">
      <c r="A90" s="148" t="n">
        <v>23894</v>
      </c>
      <c r="B90" t="n">
        <v/>
      </c>
      <c r="C90" t="n">
        <v/>
      </c>
      <c r="D90" t="n">
        <v/>
      </c>
      <c r="E90" t="n">
        <v/>
      </c>
      <c r="F90" t="n">
        <v/>
      </c>
      <c r="G90" t="n">
        <v/>
      </c>
      <c r="H90" t="n">
        <v/>
      </c>
      <c r="I90" t="n">
        <v/>
      </c>
      <c r="J90" t="n">
        <v/>
      </c>
      <c r="K90" t="n">
        <v/>
      </c>
      <c r="L90" t="n">
        <v>0</v>
      </c>
      <c r="M90" t="n">
        <v/>
      </c>
    </row>
    <row r="91">
      <c r="A91" s="148" t="n">
        <v>23924</v>
      </c>
      <c r="B91" t="n">
        <v/>
      </c>
      <c r="C91" t="n">
        <v/>
      </c>
      <c r="D91" t="n">
        <v/>
      </c>
      <c r="E91" t="n">
        <v/>
      </c>
      <c r="F91" t="n">
        <v/>
      </c>
      <c r="G91" t="n">
        <v/>
      </c>
      <c r="H91" t="n">
        <v/>
      </c>
      <c r="I91" t="n">
        <v/>
      </c>
      <c r="J91" t="n">
        <v/>
      </c>
      <c r="K91" t="n">
        <v/>
      </c>
      <c r="L91" t="n">
        <v>0</v>
      </c>
      <c r="M91" t="n">
        <v/>
      </c>
    </row>
    <row r="92">
      <c r="A92" s="148" t="n">
        <v>23955</v>
      </c>
      <c r="B92" t="n">
        <v/>
      </c>
      <c r="C92" t="n">
        <v/>
      </c>
      <c r="D92" t="n">
        <v/>
      </c>
      <c r="E92" t="n">
        <v/>
      </c>
      <c r="F92" t="n">
        <v/>
      </c>
      <c r="G92" t="n">
        <v/>
      </c>
      <c r="H92" t="n">
        <v/>
      </c>
      <c r="I92" t="n">
        <v/>
      </c>
      <c r="J92" t="n">
        <v/>
      </c>
      <c r="K92" t="n">
        <v/>
      </c>
      <c r="L92" t="n">
        <v>0</v>
      </c>
      <c r="M92" t="n">
        <v/>
      </c>
    </row>
    <row r="93">
      <c r="A93" s="148" t="n">
        <v>23986</v>
      </c>
      <c r="B93" t="n">
        <v/>
      </c>
      <c r="C93" t="n">
        <v/>
      </c>
      <c r="D93" t="n">
        <v/>
      </c>
      <c r="E93" t="n">
        <v/>
      </c>
      <c r="F93" t="n">
        <v/>
      </c>
      <c r="G93" t="n">
        <v/>
      </c>
      <c r="H93" t="n">
        <v/>
      </c>
      <c r="I93" t="n">
        <v/>
      </c>
      <c r="J93" t="n">
        <v/>
      </c>
      <c r="K93" t="n">
        <v/>
      </c>
      <c r="L93" t="n">
        <v>0</v>
      </c>
      <c r="M93" t="n">
        <v/>
      </c>
    </row>
    <row r="94">
      <c r="A94" s="148" t="n">
        <v>24016</v>
      </c>
      <c r="B94" t="n">
        <v/>
      </c>
      <c r="C94" t="n">
        <v/>
      </c>
      <c r="D94" t="n">
        <v/>
      </c>
      <c r="E94" t="n">
        <v/>
      </c>
      <c r="F94" t="n">
        <v/>
      </c>
      <c r="G94" t="n">
        <v/>
      </c>
      <c r="H94" t="n">
        <v/>
      </c>
      <c r="I94" t="n">
        <v/>
      </c>
      <c r="J94" t="n">
        <v/>
      </c>
      <c r="K94" t="n">
        <v/>
      </c>
      <c r="L94" t="n">
        <v>0</v>
      </c>
      <c r="M94" t="n">
        <v/>
      </c>
    </row>
    <row r="95">
      <c r="A95" s="148" t="n">
        <v>24047</v>
      </c>
      <c r="B95" t="n">
        <v/>
      </c>
      <c r="C95" t="n">
        <v/>
      </c>
      <c r="D95" t="n">
        <v/>
      </c>
      <c r="E95" t="n">
        <v/>
      </c>
      <c r="F95" t="n">
        <v/>
      </c>
      <c r="G95" t="n">
        <v/>
      </c>
      <c r="H95" t="n">
        <v/>
      </c>
      <c r="I95" t="n">
        <v/>
      </c>
      <c r="J95" t="n">
        <v/>
      </c>
      <c r="K95" t="n">
        <v/>
      </c>
      <c r="L95" t="n">
        <v>0</v>
      </c>
      <c r="M95" t="n">
        <v/>
      </c>
    </row>
    <row r="96">
      <c r="A96" s="148" t="n">
        <v>24077</v>
      </c>
      <c r="B96" t="n">
        <v/>
      </c>
      <c r="C96" t="n">
        <v/>
      </c>
      <c r="D96" t="n">
        <v/>
      </c>
      <c r="E96" t="n">
        <v/>
      </c>
      <c r="F96" t="n">
        <v/>
      </c>
      <c r="G96" t="n">
        <v/>
      </c>
      <c r="H96" t="n">
        <v/>
      </c>
      <c r="I96" t="n">
        <v/>
      </c>
      <c r="J96" t="n">
        <v/>
      </c>
      <c r="K96" t="n">
        <v/>
      </c>
      <c r="L96" t="n">
        <v>0</v>
      </c>
      <c r="M96" t="n">
        <v/>
      </c>
    </row>
    <row r="97">
      <c r="A97" s="148" t="n">
        <v>24108</v>
      </c>
      <c r="B97" t="n">
        <v/>
      </c>
      <c r="C97" t="n">
        <v/>
      </c>
      <c r="D97" t="n">
        <v/>
      </c>
      <c r="E97" t="n">
        <v/>
      </c>
      <c r="F97" t="n">
        <v/>
      </c>
      <c r="G97" t="n">
        <v/>
      </c>
      <c r="H97" t="n">
        <v/>
      </c>
      <c r="I97" t="n">
        <v/>
      </c>
      <c r="J97" t="n">
        <v/>
      </c>
      <c r="K97" t="n">
        <v/>
      </c>
      <c r="L97" t="n">
        <v>0</v>
      </c>
      <c r="M97" t="n">
        <v/>
      </c>
    </row>
    <row r="98">
      <c r="A98" s="148" t="n">
        <v>24139</v>
      </c>
      <c r="B98" t="n">
        <v/>
      </c>
      <c r="C98" t="n">
        <v/>
      </c>
      <c r="D98" t="n">
        <v/>
      </c>
      <c r="E98" t="n">
        <v/>
      </c>
      <c r="F98" t="n">
        <v/>
      </c>
      <c r="G98" t="n">
        <v/>
      </c>
      <c r="H98" t="n">
        <v/>
      </c>
      <c r="I98" t="n">
        <v/>
      </c>
      <c r="J98" t="n">
        <v/>
      </c>
      <c r="K98" t="n">
        <v/>
      </c>
      <c r="L98" t="n">
        <v>0</v>
      </c>
      <c r="M98" t="n">
        <v/>
      </c>
    </row>
    <row r="99">
      <c r="A99" s="148" t="n">
        <v>24167</v>
      </c>
      <c r="B99" t="n">
        <v/>
      </c>
      <c r="C99" t="n">
        <v/>
      </c>
      <c r="D99" t="n">
        <v/>
      </c>
      <c r="E99" t="n">
        <v/>
      </c>
      <c r="F99" t="n">
        <v/>
      </c>
      <c r="G99" t="n">
        <v/>
      </c>
      <c r="H99" t="n">
        <v/>
      </c>
      <c r="I99" t="n">
        <v/>
      </c>
      <c r="J99" t="n">
        <v/>
      </c>
      <c r="K99" t="n">
        <v/>
      </c>
      <c r="L99" t="n">
        <v>0</v>
      </c>
      <c r="M99" t="n">
        <v/>
      </c>
    </row>
    <row r="100">
      <c r="A100" s="148" t="n">
        <v>24198</v>
      </c>
      <c r="B100" t="n">
        <v/>
      </c>
      <c r="C100" t="n">
        <v/>
      </c>
      <c r="D100" t="n">
        <v/>
      </c>
      <c r="E100" t="n">
        <v/>
      </c>
      <c r="F100" t="n">
        <v/>
      </c>
      <c r="G100" t="n">
        <v/>
      </c>
      <c r="H100" t="n">
        <v/>
      </c>
      <c r="I100" t="n">
        <v/>
      </c>
      <c r="J100" t="n">
        <v/>
      </c>
      <c r="K100" t="n">
        <v/>
      </c>
      <c r="L100" t="n">
        <v>0</v>
      </c>
      <c r="M100" t="n">
        <v/>
      </c>
    </row>
    <row r="101">
      <c r="A101" s="148" t="n">
        <v>24228</v>
      </c>
      <c r="B101" t="n">
        <v/>
      </c>
      <c r="C101" t="n">
        <v/>
      </c>
      <c r="D101" t="n">
        <v/>
      </c>
      <c r="E101" t="n">
        <v/>
      </c>
      <c r="F101" t="n">
        <v/>
      </c>
      <c r="G101" t="n">
        <v/>
      </c>
      <c r="H101" t="n">
        <v/>
      </c>
      <c r="I101" t="n">
        <v/>
      </c>
      <c r="J101" t="n">
        <v/>
      </c>
      <c r="K101" t="n">
        <v/>
      </c>
      <c r="L101" t="n">
        <v>0</v>
      </c>
      <c r="M101" t="n">
        <v/>
      </c>
    </row>
    <row r="102">
      <c r="A102" s="148" t="n">
        <v>24259</v>
      </c>
      <c r="B102" t="n">
        <v/>
      </c>
      <c r="C102" t="n">
        <v/>
      </c>
      <c r="D102" t="n">
        <v/>
      </c>
      <c r="E102" t="n">
        <v/>
      </c>
      <c r="F102" t="n">
        <v/>
      </c>
      <c r="G102" t="n">
        <v/>
      </c>
      <c r="H102" t="n">
        <v/>
      </c>
      <c r="I102" t="n">
        <v/>
      </c>
      <c r="J102" t="n">
        <v/>
      </c>
      <c r="K102" t="n">
        <v/>
      </c>
      <c r="L102" t="n">
        <v>0</v>
      </c>
      <c r="M102" t="n">
        <v/>
      </c>
    </row>
    <row r="103">
      <c r="A103" s="148" t="n">
        <v>24289</v>
      </c>
      <c r="B103" t="n">
        <v/>
      </c>
      <c r="C103" t="n">
        <v/>
      </c>
      <c r="D103" t="n">
        <v/>
      </c>
      <c r="E103" t="n">
        <v/>
      </c>
      <c r="F103" t="n">
        <v/>
      </c>
      <c r="G103" t="n">
        <v/>
      </c>
      <c r="H103" t="n">
        <v/>
      </c>
      <c r="I103" t="n">
        <v/>
      </c>
      <c r="J103" t="n">
        <v/>
      </c>
      <c r="K103" t="n">
        <v/>
      </c>
      <c r="L103" t="n">
        <v>0</v>
      </c>
      <c r="M103" t="n">
        <v/>
      </c>
    </row>
    <row r="104">
      <c r="A104" s="148" t="n">
        <v>24320</v>
      </c>
      <c r="B104" t="n">
        <v/>
      </c>
      <c r="C104" t="n">
        <v/>
      </c>
      <c r="D104" t="n">
        <v/>
      </c>
      <c r="E104" t="n">
        <v/>
      </c>
      <c r="F104" t="n">
        <v/>
      </c>
      <c r="G104" t="n">
        <v/>
      </c>
      <c r="H104" t="n">
        <v/>
      </c>
      <c r="I104" t="n">
        <v/>
      </c>
      <c r="J104" t="n">
        <v/>
      </c>
      <c r="K104" t="n">
        <v/>
      </c>
      <c r="L104" t="n">
        <v>0</v>
      </c>
      <c r="M104" t="n">
        <v/>
      </c>
    </row>
    <row r="105">
      <c r="A105" s="148" t="n">
        <v>24351</v>
      </c>
      <c r="B105" t="n">
        <v/>
      </c>
      <c r="C105" t="n">
        <v/>
      </c>
      <c r="D105" t="n">
        <v/>
      </c>
      <c r="E105" t="n">
        <v/>
      </c>
      <c r="F105" t="n">
        <v/>
      </c>
      <c r="G105" t="n">
        <v/>
      </c>
      <c r="H105" t="n">
        <v/>
      </c>
      <c r="I105" t="n">
        <v/>
      </c>
      <c r="J105" t="n">
        <v/>
      </c>
      <c r="K105" t="n">
        <v/>
      </c>
      <c r="L105" t="n">
        <v>0</v>
      </c>
      <c r="M105" t="n">
        <v/>
      </c>
    </row>
    <row r="106">
      <c r="A106" s="148" t="n">
        <v>24381</v>
      </c>
      <c r="B106" t="n">
        <v/>
      </c>
      <c r="C106" t="n">
        <v/>
      </c>
      <c r="D106" t="n">
        <v/>
      </c>
      <c r="E106" t="n">
        <v/>
      </c>
      <c r="F106" t="n">
        <v/>
      </c>
      <c r="G106" t="n">
        <v/>
      </c>
      <c r="H106" t="n">
        <v/>
      </c>
      <c r="I106" t="n">
        <v/>
      </c>
      <c r="J106" t="n">
        <v/>
      </c>
      <c r="K106" t="n">
        <v/>
      </c>
      <c r="L106" t="n">
        <v>0</v>
      </c>
      <c r="M106" t="n">
        <v/>
      </c>
    </row>
    <row r="107">
      <c r="A107" s="148" t="n">
        <v>24412</v>
      </c>
      <c r="B107" t="n">
        <v/>
      </c>
      <c r="C107" t="n">
        <v/>
      </c>
      <c r="D107" t="n">
        <v/>
      </c>
      <c r="E107" t="n">
        <v/>
      </c>
      <c r="F107" t="n">
        <v/>
      </c>
      <c r="G107" t="n">
        <v/>
      </c>
      <c r="H107" t="n">
        <v/>
      </c>
      <c r="I107" t="n">
        <v/>
      </c>
      <c r="J107" t="n">
        <v/>
      </c>
      <c r="K107" t="n">
        <v/>
      </c>
      <c r="L107" t="n">
        <v>0</v>
      </c>
      <c r="M107" t="n">
        <v/>
      </c>
    </row>
    <row r="108">
      <c r="A108" s="148" t="n">
        <v>24442</v>
      </c>
      <c r="B108" t="n">
        <v/>
      </c>
      <c r="C108" t="n">
        <v/>
      </c>
      <c r="D108" t="n">
        <v/>
      </c>
      <c r="E108" t="n">
        <v/>
      </c>
      <c r="F108" t="n">
        <v/>
      </c>
      <c r="G108" t="n">
        <v/>
      </c>
      <c r="H108" t="n">
        <v/>
      </c>
      <c r="I108" t="n">
        <v/>
      </c>
      <c r="J108" t="n">
        <v/>
      </c>
      <c r="K108" t="n">
        <v/>
      </c>
      <c r="L108" t="n">
        <v>0</v>
      </c>
      <c r="M108" t="n">
        <v/>
      </c>
    </row>
    <row r="109">
      <c r="A109" s="148" t="n">
        <v>24473</v>
      </c>
      <c r="B109" t="n">
        <v/>
      </c>
      <c r="C109" t="n">
        <v/>
      </c>
      <c r="D109" t="n">
        <v/>
      </c>
      <c r="E109" t="n">
        <v/>
      </c>
      <c r="F109" t="n">
        <v/>
      </c>
      <c r="G109" t="n">
        <v/>
      </c>
      <c r="H109" t="n">
        <v/>
      </c>
      <c r="I109" t="n">
        <v/>
      </c>
      <c r="J109" t="n">
        <v/>
      </c>
      <c r="K109" t="n">
        <v/>
      </c>
      <c r="L109" t="n">
        <v>0</v>
      </c>
      <c r="M109" t="n">
        <v/>
      </c>
    </row>
    <row r="110">
      <c r="A110" s="148" t="n">
        <v>24504</v>
      </c>
      <c r="B110" t="n">
        <v/>
      </c>
      <c r="C110" t="n">
        <v/>
      </c>
      <c r="D110" t="n">
        <v/>
      </c>
      <c r="E110" t="n">
        <v/>
      </c>
      <c r="F110" t="n">
        <v/>
      </c>
      <c r="G110" t="n">
        <v/>
      </c>
      <c r="H110" t="n">
        <v/>
      </c>
      <c r="I110" t="n">
        <v/>
      </c>
      <c r="J110" t="n">
        <v/>
      </c>
      <c r="K110" t="n">
        <v/>
      </c>
      <c r="L110" t="n">
        <v>0</v>
      </c>
      <c r="M110" t="n">
        <v/>
      </c>
    </row>
    <row r="111">
      <c r="A111" s="148" t="n">
        <v>24532</v>
      </c>
      <c r="B111" t="n">
        <v/>
      </c>
      <c r="C111" t="n">
        <v/>
      </c>
      <c r="D111" t="n">
        <v/>
      </c>
      <c r="E111" t="n">
        <v/>
      </c>
      <c r="F111" t="n">
        <v/>
      </c>
      <c r="G111" t="n">
        <v/>
      </c>
      <c r="H111" t="n">
        <v/>
      </c>
      <c r="I111" t="n">
        <v/>
      </c>
      <c r="J111" t="n">
        <v/>
      </c>
      <c r="K111" t="n">
        <v/>
      </c>
      <c r="L111" t="n">
        <v>0</v>
      </c>
      <c r="M111" t="n">
        <v/>
      </c>
    </row>
    <row r="112">
      <c r="A112" s="148" t="n">
        <v>24563</v>
      </c>
      <c r="B112" t="n">
        <v/>
      </c>
      <c r="C112" t="n">
        <v/>
      </c>
      <c r="D112" t="n">
        <v/>
      </c>
      <c r="E112" t="n">
        <v/>
      </c>
      <c r="F112" t="n">
        <v/>
      </c>
      <c r="G112" t="n">
        <v/>
      </c>
      <c r="H112" t="n">
        <v/>
      </c>
      <c r="I112" t="n">
        <v/>
      </c>
      <c r="J112" t="n">
        <v/>
      </c>
      <c r="K112" t="n">
        <v/>
      </c>
      <c r="L112" t="n">
        <v>0</v>
      </c>
      <c r="M112" t="n">
        <v/>
      </c>
    </row>
    <row r="113">
      <c r="A113" s="148" t="n">
        <v>24593</v>
      </c>
      <c r="B113" t="n">
        <v/>
      </c>
      <c r="C113" t="n">
        <v/>
      </c>
      <c r="D113" t="n">
        <v/>
      </c>
      <c r="E113" t="n">
        <v/>
      </c>
      <c r="F113" t="n">
        <v/>
      </c>
      <c r="G113" t="n">
        <v/>
      </c>
      <c r="H113" t="n">
        <v/>
      </c>
      <c r="I113" t="n">
        <v/>
      </c>
      <c r="J113" t="n">
        <v/>
      </c>
      <c r="K113" t="n">
        <v/>
      </c>
      <c r="L113" t="n">
        <v>0</v>
      </c>
      <c r="M113" t="n">
        <v/>
      </c>
    </row>
    <row r="114">
      <c r="A114" s="148" t="n">
        <v>24624</v>
      </c>
      <c r="B114" t="n">
        <v/>
      </c>
      <c r="C114" t="n">
        <v/>
      </c>
      <c r="D114" t="n">
        <v/>
      </c>
      <c r="E114" t="n">
        <v/>
      </c>
      <c r="F114" t="n">
        <v/>
      </c>
      <c r="G114" t="n">
        <v/>
      </c>
      <c r="H114" t="n">
        <v/>
      </c>
      <c r="I114" t="n">
        <v/>
      </c>
      <c r="J114" t="n">
        <v/>
      </c>
      <c r="K114" t="n">
        <v/>
      </c>
      <c r="L114" t="n">
        <v>0</v>
      </c>
      <c r="M114" t="n">
        <v/>
      </c>
    </row>
    <row r="115">
      <c r="A115" s="148" t="n">
        <v>24654</v>
      </c>
      <c r="B115" t="n">
        <v/>
      </c>
      <c r="C115" t="n">
        <v/>
      </c>
      <c r="D115" t="n">
        <v/>
      </c>
      <c r="E115" t="n">
        <v/>
      </c>
      <c r="F115" t="n">
        <v/>
      </c>
      <c r="G115" t="n">
        <v/>
      </c>
      <c r="H115" t="n">
        <v/>
      </c>
      <c r="I115" t="n">
        <v/>
      </c>
      <c r="J115" t="n">
        <v/>
      </c>
      <c r="K115" t="n">
        <v/>
      </c>
      <c r="L115" t="n">
        <v>0</v>
      </c>
      <c r="M115" t="n">
        <v/>
      </c>
    </row>
    <row r="116">
      <c r="A116" s="148" t="n">
        <v>24685</v>
      </c>
      <c r="B116" t="n">
        <v/>
      </c>
      <c r="C116" t="n">
        <v/>
      </c>
      <c r="D116" t="n">
        <v/>
      </c>
      <c r="E116" t="n">
        <v/>
      </c>
      <c r="F116" t="n">
        <v/>
      </c>
      <c r="G116" t="n">
        <v/>
      </c>
      <c r="H116" t="n">
        <v/>
      </c>
      <c r="I116" t="n">
        <v/>
      </c>
      <c r="J116" t="n">
        <v/>
      </c>
      <c r="K116" t="n">
        <v/>
      </c>
      <c r="L116" t="n">
        <v>0</v>
      </c>
      <c r="M116" t="n">
        <v/>
      </c>
    </row>
    <row r="117">
      <c r="A117" s="148" t="n">
        <v>24716</v>
      </c>
      <c r="B117" t="n">
        <v/>
      </c>
      <c r="C117" t="n">
        <v/>
      </c>
      <c r="D117" t="n">
        <v/>
      </c>
      <c r="E117" t="n">
        <v/>
      </c>
      <c r="F117" t="n">
        <v/>
      </c>
      <c r="G117" t="n">
        <v/>
      </c>
      <c r="H117" t="n">
        <v/>
      </c>
      <c r="I117" t="n">
        <v/>
      </c>
      <c r="J117" t="n">
        <v/>
      </c>
      <c r="K117" t="n">
        <v/>
      </c>
      <c r="L117" t="n">
        <v>0</v>
      </c>
      <c r="M117" t="n">
        <v/>
      </c>
    </row>
    <row r="118">
      <c r="A118" s="148" t="n">
        <v>24746</v>
      </c>
      <c r="B118" t="n">
        <v/>
      </c>
      <c r="C118" t="n">
        <v/>
      </c>
      <c r="D118" t="n">
        <v/>
      </c>
      <c r="E118" t="n">
        <v/>
      </c>
      <c r="F118" t="n">
        <v/>
      </c>
      <c r="G118" t="n">
        <v/>
      </c>
      <c r="H118" t="n">
        <v/>
      </c>
      <c r="I118" t="n">
        <v/>
      </c>
      <c r="J118" t="n">
        <v/>
      </c>
      <c r="K118" t="n">
        <v/>
      </c>
      <c r="L118" t="n">
        <v>0</v>
      </c>
      <c r="M118" t="n">
        <v/>
      </c>
    </row>
    <row r="119">
      <c r="A119" s="148" t="n">
        <v>24777</v>
      </c>
      <c r="B119" t="n">
        <v/>
      </c>
      <c r="C119" t="n">
        <v/>
      </c>
      <c r="D119" t="n">
        <v/>
      </c>
      <c r="E119" t="n">
        <v/>
      </c>
      <c r="F119" t="n">
        <v/>
      </c>
      <c r="G119" t="n">
        <v/>
      </c>
      <c r="H119" t="n">
        <v/>
      </c>
      <c r="I119" t="n">
        <v/>
      </c>
      <c r="J119" t="n">
        <v/>
      </c>
      <c r="K119" t="n">
        <v/>
      </c>
      <c r="L119" t="n">
        <v>0</v>
      </c>
      <c r="M119" t="n">
        <v/>
      </c>
    </row>
    <row r="120">
      <c r="A120" s="148" t="n">
        <v>24807</v>
      </c>
      <c r="B120" t="n">
        <v/>
      </c>
      <c r="C120" t="n">
        <v/>
      </c>
      <c r="D120" t="n">
        <v/>
      </c>
      <c r="E120" t="n">
        <v/>
      </c>
      <c r="F120" t="n">
        <v/>
      </c>
      <c r="G120" t="n">
        <v/>
      </c>
      <c r="H120" t="n">
        <v/>
      </c>
      <c r="I120" t="n">
        <v/>
      </c>
      <c r="J120" t="n">
        <v/>
      </c>
      <c r="K120" t="n">
        <v/>
      </c>
      <c r="L120" t="n">
        <v>0</v>
      </c>
      <c r="M120" t="n">
        <v/>
      </c>
    </row>
    <row r="121">
      <c r="A121" s="148" t="n">
        <v>24838</v>
      </c>
      <c r="B121" t="n">
        <v/>
      </c>
      <c r="C121" t="n">
        <v/>
      </c>
      <c r="D121" t="n">
        <v/>
      </c>
      <c r="E121" t="n">
        <v/>
      </c>
      <c r="F121" t="n">
        <v/>
      </c>
      <c r="G121" t="n">
        <v/>
      </c>
      <c r="H121" t="n">
        <v/>
      </c>
      <c r="I121" t="n">
        <v/>
      </c>
      <c r="J121" t="n">
        <v/>
      </c>
      <c r="K121" t="n">
        <v/>
      </c>
      <c r="L121" t="n">
        <v>0</v>
      </c>
      <c r="M121" t="n">
        <v/>
      </c>
    </row>
    <row r="122">
      <c r="A122" s="148" t="n">
        <v>24869</v>
      </c>
      <c r="B122" t="n">
        <v/>
      </c>
      <c r="C122" t="n">
        <v/>
      </c>
      <c r="D122" t="n">
        <v/>
      </c>
      <c r="E122" t="n">
        <v/>
      </c>
      <c r="F122" t="n">
        <v/>
      </c>
      <c r="G122" t="n">
        <v/>
      </c>
      <c r="H122" t="n">
        <v/>
      </c>
      <c r="I122" t="n">
        <v/>
      </c>
      <c r="J122" t="n">
        <v/>
      </c>
      <c r="K122" t="n">
        <v/>
      </c>
      <c r="L122" t="n">
        <v>0</v>
      </c>
      <c r="M122" t="n">
        <v>0</v>
      </c>
    </row>
    <row r="123">
      <c r="A123" s="148" t="n">
        <v>24898</v>
      </c>
      <c r="B123" t="n">
        <v/>
      </c>
      <c r="C123" t="n">
        <v/>
      </c>
      <c r="D123" t="n">
        <v/>
      </c>
      <c r="E123" t="n">
        <v/>
      </c>
      <c r="F123" t="n">
        <v/>
      </c>
      <c r="G123" t="n">
        <v/>
      </c>
      <c r="H123" t="n">
        <v/>
      </c>
      <c r="I123" t="n">
        <v/>
      </c>
      <c r="J123" t="n">
        <v/>
      </c>
      <c r="K123" t="n">
        <v/>
      </c>
      <c r="L123" t="n">
        <v>0</v>
      </c>
      <c r="M123" t="n">
        <v>0</v>
      </c>
    </row>
    <row r="124">
      <c r="A124" s="148" t="n">
        <v>24929</v>
      </c>
      <c r="B124" t="n">
        <v/>
      </c>
      <c r="C124" t="n">
        <v/>
      </c>
      <c r="D124" t="n">
        <v/>
      </c>
      <c r="E124" t="n">
        <v/>
      </c>
      <c r="F124" t="n">
        <v/>
      </c>
      <c r="G124" t="n">
        <v/>
      </c>
      <c r="H124" t="n">
        <v/>
      </c>
      <c r="I124" t="n">
        <v/>
      </c>
      <c r="J124" t="n">
        <v/>
      </c>
      <c r="K124" t="n">
        <v/>
      </c>
      <c r="L124" t="n">
        <v>0</v>
      </c>
      <c r="M124" t="n">
        <v>0</v>
      </c>
    </row>
    <row r="125">
      <c r="A125" s="148" t="n">
        <v>24959</v>
      </c>
      <c r="B125" t="n">
        <v/>
      </c>
      <c r="C125" t="n">
        <v/>
      </c>
      <c r="D125" t="n">
        <v/>
      </c>
      <c r="E125" t="n">
        <v/>
      </c>
      <c r="F125" t="n">
        <v/>
      </c>
      <c r="G125" t="n">
        <v/>
      </c>
      <c r="H125" t="n">
        <v/>
      </c>
      <c r="I125" t="n">
        <v/>
      </c>
      <c r="J125" t="n">
        <v/>
      </c>
      <c r="K125" t="n">
        <v/>
      </c>
      <c r="L125" t="n">
        <v>0</v>
      </c>
      <c r="M125" t="n">
        <v>0</v>
      </c>
    </row>
    <row r="126">
      <c r="A126" s="148" t="n">
        <v>24990</v>
      </c>
      <c r="B126" t="n">
        <v/>
      </c>
      <c r="C126" t="n">
        <v/>
      </c>
      <c r="D126" t="n">
        <v/>
      </c>
      <c r="E126" t="n">
        <v/>
      </c>
      <c r="F126" t="n">
        <v/>
      </c>
      <c r="G126" t="n">
        <v/>
      </c>
      <c r="H126" t="n">
        <v/>
      </c>
      <c r="I126" t="n">
        <v/>
      </c>
      <c r="J126" t="n">
        <v/>
      </c>
      <c r="K126" t="n">
        <v/>
      </c>
      <c r="L126" t="n">
        <v>0</v>
      </c>
      <c r="M126" t="n">
        <v>0</v>
      </c>
    </row>
    <row r="127">
      <c r="A127" s="148" t="n">
        <v>25020</v>
      </c>
      <c r="B127" t="n">
        <v/>
      </c>
      <c r="C127" t="n">
        <v/>
      </c>
      <c r="D127" t="n">
        <v/>
      </c>
      <c r="E127" t="n">
        <v/>
      </c>
      <c r="F127" t="n">
        <v/>
      </c>
      <c r="G127" t="n">
        <v/>
      </c>
      <c r="H127" t="n">
        <v/>
      </c>
      <c r="I127" t="n">
        <v/>
      </c>
      <c r="J127" t="n">
        <v/>
      </c>
      <c r="K127" t="n">
        <v/>
      </c>
      <c r="L127" t="n">
        <v>0</v>
      </c>
      <c r="M127" t="n">
        <v>0</v>
      </c>
    </row>
    <row r="128">
      <c r="A128" s="148" t="n">
        <v>25051</v>
      </c>
      <c r="B128" t="n">
        <v/>
      </c>
      <c r="C128" t="n">
        <v/>
      </c>
      <c r="D128" t="n">
        <v/>
      </c>
      <c r="E128" t="n">
        <v/>
      </c>
      <c r="F128" t="n">
        <v/>
      </c>
      <c r="G128" t="n">
        <v/>
      </c>
      <c r="H128" t="n">
        <v/>
      </c>
      <c r="I128" t="n">
        <v/>
      </c>
      <c r="J128" t="n">
        <v/>
      </c>
      <c r="K128" t="n">
        <v/>
      </c>
      <c r="L128" t="n">
        <v>0</v>
      </c>
      <c r="M128" t="n">
        <v>0</v>
      </c>
    </row>
    <row r="129">
      <c r="A129" s="148" t="n">
        <v>25082</v>
      </c>
      <c r="B129" t="n">
        <v/>
      </c>
      <c r="C129" t="n">
        <v/>
      </c>
      <c r="D129" t="n">
        <v/>
      </c>
      <c r="E129" t="n">
        <v/>
      </c>
      <c r="F129" t="n">
        <v/>
      </c>
      <c r="G129" t="n">
        <v/>
      </c>
      <c r="H129" t="n">
        <v/>
      </c>
      <c r="I129" t="n">
        <v/>
      </c>
      <c r="J129" t="n">
        <v/>
      </c>
      <c r="K129" t="n">
        <v/>
      </c>
      <c r="L129" t="n">
        <v>0</v>
      </c>
      <c r="M129" t="n">
        <v>0</v>
      </c>
    </row>
    <row r="130">
      <c r="A130" s="148" t="n">
        <v>25112</v>
      </c>
      <c r="B130" t="n">
        <v/>
      </c>
      <c r="C130" t="n">
        <v/>
      </c>
      <c r="D130" t="n">
        <v/>
      </c>
      <c r="E130" t="n">
        <v/>
      </c>
      <c r="F130" t="n">
        <v/>
      </c>
      <c r="G130" t="n">
        <v/>
      </c>
      <c r="H130" t="n">
        <v/>
      </c>
      <c r="I130" t="n">
        <v/>
      </c>
      <c r="J130" t="n">
        <v/>
      </c>
      <c r="K130" t="n">
        <v/>
      </c>
      <c r="L130" t="n">
        <v>0</v>
      </c>
      <c r="M130" t="n">
        <v>0</v>
      </c>
    </row>
    <row r="131">
      <c r="A131" s="148" t="n">
        <v>25143</v>
      </c>
      <c r="B131" t="n">
        <v/>
      </c>
      <c r="C131" t="n">
        <v/>
      </c>
      <c r="D131" t="n">
        <v/>
      </c>
      <c r="E131" t="n">
        <v/>
      </c>
      <c r="F131" t="n">
        <v/>
      </c>
      <c r="G131" t="n">
        <v/>
      </c>
      <c r="H131" t="n">
        <v/>
      </c>
      <c r="I131" t="n">
        <v/>
      </c>
      <c r="J131" t="n">
        <v/>
      </c>
      <c r="K131" t="n">
        <v/>
      </c>
      <c r="L131" t="n">
        <v>0</v>
      </c>
      <c r="M131" t="n">
        <v>0</v>
      </c>
    </row>
    <row r="132">
      <c r="A132" s="148" t="n">
        <v>25173</v>
      </c>
      <c r="B132" t="n">
        <v/>
      </c>
      <c r="C132" t="n">
        <v/>
      </c>
      <c r="D132" t="n">
        <v/>
      </c>
      <c r="E132" t="n">
        <v/>
      </c>
      <c r="F132" t="n">
        <v/>
      </c>
      <c r="G132" t="n">
        <v/>
      </c>
      <c r="H132" t="n">
        <v/>
      </c>
      <c r="I132" t="n">
        <v/>
      </c>
      <c r="J132" t="n">
        <v/>
      </c>
      <c r="K132" t="n">
        <v/>
      </c>
      <c r="L132" t="n">
        <v>0</v>
      </c>
      <c r="M132" t="n">
        <v>0</v>
      </c>
    </row>
    <row r="133">
      <c r="A133" s="148" t="n">
        <v>25204</v>
      </c>
      <c r="B133" t="n">
        <v/>
      </c>
      <c r="C133" t="n">
        <v/>
      </c>
      <c r="D133" t="n">
        <v/>
      </c>
      <c r="E133" t="n">
        <v/>
      </c>
      <c r="F133" t="n">
        <v/>
      </c>
      <c r="G133" t="n">
        <v/>
      </c>
      <c r="H133" t="n">
        <v/>
      </c>
      <c r="I133" t="n">
        <v/>
      </c>
      <c r="J133" t="n">
        <v/>
      </c>
      <c r="K133" t="n">
        <v/>
      </c>
      <c r="L133" t="n">
        <v>0</v>
      </c>
      <c r="M133" t="n">
        <v>0</v>
      </c>
    </row>
    <row r="134">
      <c r="A134" s="148" t="n">
        <v>25235</v>
      </c>
      <c r="B134" t="n">
        <v/>
      </c>
      <c r="C134" t="n">
        <v/>
      </c>
      <c r="D134" t="n">
        <v/>
      </c>
      <c r="E134" t="n">
        <v/>
      </c>
      <c r="F134" t="n">
        <v/>
      </c>
      <c r="G134" t="n">
        <v/>
      </c>
      <c r="H134" t="n">
        <v/>
      </c>
      <c r="I134" t="n">
        <v/>
      </c>
      <c r="J134" t="n">
        <v/>
      </c>
      <c r="K134" t="n">
        <v/>
      </c>
      <c r="L134" t="n">
        <v>0</v>
      </c>
      <c r="M134" t="n">
        <v>0</v>
      </c>
    </row>
    <row r="135">
      <c r="A135" s="148" t="n">
        <v>25263</v>
      </c>
      <c r="B135" t="n">
        <v/>
      </c>
      <c r="C135" t="n">
        <v/>
      </c>
      <c r="D135" t="n">
        <v/>
      </c>
      <c r="E135" t="n">
        <v/>
      </c>
      <c r="F135" t="n">
        <v/>
      </c>
      <c r="G135" t="n">
        <v/>
      </c>
      <c r="H135" t="n">
        <v/>
      </c>
      <c r="I135" t="n">
        <v/>
      </c>
      <c r="J135" t="n">
        <v/>
      </c>
      <c r="K135" t="n">
        <v/>
      </c>
      <c r="L135" t="n">
        <v>0</v>
      </c>
      <c r="M135" t="n">
        <v>0</v>
      </c>
    </row>
    <row r="136">
      <c r="A136" s="148" t="n">
        <v>25294</v>
      </c>
      <c r="B136" t="n">
        <v/>
      </c>
      <c r="C136" t="n">
        <v/>
      </c>
      <c r="D136" t="n">
        <v/>
      </c>
      <c r="E136" t="n">
        <v/>
      </c>
      <c r="F136" t="n">
        <v/>
      </c>
      <c r="G136" t="n">
        <v/>
      </c>
      <c r="H136" t="n">
        <v/>
      </c>
      <c r="I136" t="n">
        <v/>
      </c>
      <c r="J136" t="n">
        <v/>
      </c>
      <c r="K136" t="n">
        <v/>
      </c>
      <c r="L136" t="n">
        <v>0</v>
      </c>
      <c r="M136" t="n">
        <v>0</v>
      </c>
    </row>
    <row r="137">
      <c r="A137" s="148" t="n">
        <v>25324</v>
      </c>
      <c r="B137" t="n">
        <v/>
      </c>
      <c r="C137" t="n">
        <v/>
      </c>
      <c r="D137" t="n">
        <v/>
      </c>
      <c r="E137" t="n">
        <v/>
      </c>
      <c r="F137" t="n">
        <v/>
      </c>
      <c r="G137" t="n">
        <v/>
      </c>
      <c r="H137" t="n">
        <v/>
      </c>
      <c r="I137" t="n">
        <v/>
      </c>
      <c r="J137" t="n">
        <v/>
      </c>
      <c r="K137" t="n">
        <v/>
      </c>
      <c r="L137" t="n">
        <v>0</v>
      </c>
      <c r="M137" t="n">
        <v>0</v>
      </c>
    </row>
    <row r="138">
      <c r="A138" s="148" t="n">
        <v>25355</v>
      </c>
      <c r="B138" t="n">
        <v/>
      </c>
      <c r="C138" t="n">
        <v/>
      </c>
      <c r="D138" t="n">
        <v/>
      </c>
      <c r="E138" t="n">
        <v/>
      </c>
      <c r="F138" t="n">
        <v/>
      </c>
      <c r="G138" t="n">
        <v/>
      </c>
      <c r="H138" t="n">
        <v/>
      </c>
      <c r="I138" t="n">
        <v/>
      </c>
      <c r="J138" t="n">
        <v/>
      </c>
      <c r="K138" t="n">
        <v/>
      </c>
      <c r="L138" t="n">
        <v>0</v>
      </c>
      <c r="M138" t="n">
        <v>0</v>
      </c>
    </row>
    <row r="139">
      <c r="A139" s="148" t="n">
        <v>25385</v>
      </c>
      <c r="B139" t="n">
        <v/>
      </c>
      <c r="C139" t="n">
        <v/>
      </c>
      <c r="D139" t="n">
        <v/>
      </c>
      <c r="E139" t="n">
        <v/>
      </c>
      <c r="F139" t="n">
        <v/>
      </c>
      <c r="G139" t="n">
        <v/>
      </c>
      <c r="H139" t="n">
        <v/>
      </c>
      <c r="I139" t="n">
        <v/>
      </c>
      <c r="J139" t="n">
        <v/>
      </c>
      <c r="K139" t="n">
        <v/>
      </c>
      <c r="L139" t="n">
        <v>0</v>
      </c>
      <c r="M139" t="n">
        <v>0</v>
      </c>
    </row>
    <row r="140">
      <c r="A140" s="148" t="n">
        <v>25416</v>
      </c>
      <c r="B140" t="n">
        <v/>
      </c>
      <c r="C140" t="n">
        <v/>
      </c>
      <c r="D140" t="n">
        <v/>
      </c>
      <c r="E140" t="n">
        <v/>
      </c>
      <c r="F140" t="n">
        <v/>
      </c>
      <c r="G140" t="n">
        <v/>
      </c>
      <c r="H140" t="n">
        <v/>
      </c>
      <c r="I140" t="n">
        <v/>
      </c>
      <c r="J140" t="n">
        <v/>
      </c>
      <c r="K140" t="n">
        <v/>
      </c>
      <c r="L140" t="n">
        <v>0</v>
      </c>
      <c r="M140" t="n">
        <v>0</v>
      </c>
    </row>
    <row r="141">
      <c r="A141" s="148" t="n">
        <v>25447</v>
      </c>
      <c r="B141" t="n">
        <v/>
      </c>
      <c r="C141" t="n">
        <v/>
      </c>
      <c r="D141" t="n">
        <v/>
      </c>
      <c r="E141" t="n">
        <v/>
      </c>
      <c r="F141" t="n">
        <v/>
      </c>
      <c r="G141" t="n">
        <v/>
      </c>
      <c r="H141" t="n">
        <v/>
      </c>
      <c r="I141" t="n">
        <v/>
      </c>
      <c r="J141" t="n">
        <v/>
      </c>
      <c r="K141" t="n">
        <v/>
      </c>
      <c r="L141" t="n">
        <v>0</v>
      </c>
      <c r="M141" t="n">
        <v>0</v>
      </c>
    </row>
    <row r="142">
      <c r="A142" s="148" t="n">
        <v>25477</v>
      </c>
      <c r="B142" t="n">
        <v/>
      </c>
      <c r="C142" t="n">
        <v/>
      </c>
      <c r="D142" t="n">
        <v/>
      </c>
      <c r="E142" t="n">
        <v/>
      </c>
      <c r="F142" t="n">
        <v/>
      </c>
      <c r="G142" t="n">
        <v/>
      </c>
      <c r="H142" t="n">
        <v/>
      </c>
      <c r="I142" t="n">
        <v/>
      </c>
      <c r="J142" t="n">
        <v/>
      </c>
      <c r="K142" t="n">
        <v/>
      </c>
      <c r="L142" t="n">
        <v>0</v>
      </c>
      <c r="M142" t="n">
        <v>0</v>
      </c>
    </row>
    <row r="143">
      <c r="A143" s="148" t="n">
        <v>25508</v>
      </c>
      <c r="B143" t="n">
        <v/>
      </c>
      <c r="C143" t="n">
        <v/>
      </c>
      <c r="D143" t="n">
        <v/>
      </c>
      <c r="E143" t="n">
        <v/>
      </c>
      <c r="F143" t="n">
        <v/>
      </c>
      <c r="G143" t="n">
        <v/>
      </c>
      <c r="H143" t="n">
        <v/>
      </c>
      <c r="I143" t="n">
        <v/>
      </c>
      <c r="J143" t="n">
        <v/>
      </c>
      <c r="K143" t="n">
        <v/>
      </c>
      <c r="L143" t="n">
        <v>0</v>
      </c>
      <c r="M143" t="n">
        <v>0</v>
      </c>
    </row>
    <row r="144">
      <c r="A144" s="148" t="n">
        <v>25538</v>
      </c>
      <c r="B144" t="n">
        <v/>
      </c>
      <c r="C144" t="n">
        <v/>
      </c>
      <c r="D144" t="n">
        <v/>
      </c>
      <c r="E144" t="n">
        <v/>
      </c>
      <c r="F144" t="n">
        <v/>
      </c>
      <c r="G144" t="n">
        <v/>
      </c>
      <c r="H144" t="n">
        <v/>
      </c>
      <c r="I144" t="n">
        <v/>
      </c>
      <c r="J144" t="n">
        <v/>
      </c>
      <c r="K144" t="n">
        <v/>
      </c>
      <c r="L144" t="n">
        <v>0</v>
      </c>
      <c r="M144" t="n">
        <v>0</v>
      </c>
    </row>
    <row r="145">
      <c r="A145" s="148" t="n">
        <v>25569</v>
      </c>
      <c r="B145" t="n">
        <v/>
      </c>
      <c r="C145" t="n">
        <v/>
      </c>
      <c r="D145" t="n">
        <v/>
      </c>
      <c r="E145" t="n">
        <v/>
      </c>
      <c r="F145" t="n">
        <v/>
      </c>
      <c r="G145" t="n">
        <v/>
      </c>
      <c r="H145" t="n">
        <v/>
      </c>
      <c r="I145" t="n">
        <v/>
      </c>
      <c r="J145" t="n">
        <v/>
      </c>
      <c r="K145" t="n">
        <v/>
      </c>
      <c r="L145" t="n">
        <v>0</v>
      </c>
      <c r="M145" t="n">
        <v>0</v>
      </c>
    </row>
    <row r="146">
      <c r="A146" s="148" t="n">
        <v>25600</v>
      </c>
      <c r="B146" t="n">
        <v/>
      </c>
      <c r="C146" t="n">
        <v/>
      </c>
      <c r="D146" t="n">
        <v/>
      </c>
      <c r="E146" t="n">
        <v/>
      </c>
      <c r="F146" t="n">
        <v/>
      </c>
      <c r="G146" t="n">
        <v/>
      </c>
      <c r="H146" t="n">
        <v/>
      </c>
      <c r="I146" t="n">
        <v/>
      </c>
      <c r="J146" t="n">
        <v/>
      </c>
      <c r="K146" t="n">
        <v/>
      </c>
      <c r="L146" t="n">
        <v>0</v>
      </c>
      <c r="M146" t="n">
        <v>0</v>
      </c>
    </row>
    <row r="147">
      <c r="A147" s="148" t="n">
        <v>25628</v>
      </c>
      <c r="B147" t="n">
        <v/>
      </c>
      <c r="C147" t="n">
        <v/>
      </c>
      <c r="D147" t="n">
        <v/>
      </c>
      <c r="E147" t="n">
        <v/>
      </c>
      <c r="F147" t="n">
        <v/>
      </c>
      <c r="G147" t="n">
        <v/>
      </c>
      <c r="H147" t="n">
        <v/>
      </c>
      <c r="I147" t="n">
        <v/>
      </c>
      <c r="J147" t="n">
        <v/>
      </c>
      <c r="K147" t="n">
        <v/>
      </c>
      <c r="L147" t="n">
        <v>0</v>
      </c>
      <c r="M147" t="n">
        <v>0</v>
      </c>
    </row>
    <row r="148">
      <c r="A148" s="148" t="n">
        <v>25659</v>
      </c>
      <c r="B148" t="n">
        <v/>
      </c>
      <c r="C148" t="n">
        <v/>
      </c>
      <c r="D148" t="n">
        <v/>
      </c>
      <c r="E148" t="n">
        <v/>
      </c>
      <c r="F148" t="n">
        <v/>
      </c>
      <c r="G148" t="n">
        <v/>
      </c>
      <c r="H148" t="n">
        <v/>
      </c>
      <c r="I148" t="n">
        <v/>
      </c>
      <c r="J148" t="n">
        <v/>
      </c>
      <c r="K148" t="n">
        <v/>
      </c>
      <c r="L148" t="n">
        <v>0</v>
      </c>
      <c r="M148" t="n">
        <v>0</v>
      </c>
    </row>
    <row r="149">
      <c r="A149" s="148" t="n">
        <v>25689</v>
      </c>
      <c r="B149" t="n">
        <v/>
      </c>
      <c r="C149" t="n">
        <v/>
      </c>
      <c r="D149" t="n">
        <v/>
      </c>
      <c r="E149" t="n">
        <v/>
      </c>
      <c r="F149" t="n">
        <v/>
      </c>
      <c r="G149" t="n">
        <v/>
      </c>
      <c r="H149" t="n">
        <v/>
      </c>
      <c r="I149" t="n">
        <v/>
      </c>
      <c r="J149" t="n">
        <v/>
      </c>
      <c r="K149" t="n">
        <v/>
      </c>
      <c r="L149" t="n">
        <v>0</v>
      </c>
      <c r="M149" t="n">
        <v>0</v>
      </c>
    </row>
    <row r="150">
      <c r="A150" s="148" t="n">
        <v>25720</v>
      </c>
      <c r="B150" t="n">
        <v/>
      </c>
      <c r="C150" t="n">
        <v/>
      </c>
      <c r="D150" t="n">
        <v/>
      </c>
      <c r="E150" t="n">
        <v/>
      </c>
      <c r="F150" t="n">
        <v/>
      </c>
      <c r="G150" t="n">
        <v/>
      </c>
      <c r="H150" t="n">
        <v/>
      </c>
      <c r="I150" t="n">
        <v/>
      </c>
      <c r="J150" t="n">
        <v/>
      </c>
      <c r="K150" t="n">
        <v/>
      </c>
      <c r="L150" t="n">
        <v>0</v>
      </c>
      <c r="M150" t="n">
        <v>0</v>
      </c>
    </row>
    <row r="151">
      <c r="A151" s="148" t="n">
        <v>25750</v>
      </c>
      <c r="B151" t="n">
        <v/>
      </c>
      <c r="C151" t="n">
        <v/>
      </c>
      <c r="D151" t="n">
        <v/>
      </c>
      <c r="E151" t="n">
        <v/>
      </c>
      <c r="F151" t="n">
        <v/>
      </c>
      <c r="G151" t="n">
        <v/>
      </c>
      <c r="H151" t="n">
        <v/>
      </c>
      <c r="I151" t="n">
        <v/>
      </c>
      <c r="J151" t="n">
        <v/>
      </c>
      <c r="K151" t="n">
        <v/>
      </c>
      <c r="L151" t="n">
        <v>0</v>
      </c>
      <c r="M151" t="n">
        <v>0</v>
      </c>
    </row>
    <row r="152">
      <c r="A152" s="148" t="n">
        <v>25781</v>
      </c>
      <c r="B152" t="n">
        <v/>
      </c>
      <c r="C152" t="n">
        <v/>
      </c>
      <c r="D152" t="n">
        <v/>
      </c>
      <c r="E152" t="n">
        <v/>
      </c>
      <c r="F152" t="n">
        <v/>
      </c>
      <c r="G152" t="n">
        <v/>
      </c>
      <c r="H152" t="n">
        <v/>
      </c>
      <c r="I152" t="n">
        <v/>
      </c>
      <c r="J152" t="n">
        <v/>
      </c>
      <c r="K152" t="n">
        <v/>
      </c>
      <c r="L152" t="n">
        <v>0</v>
      </c>
      <c r="M152" t="n">
        <v>0</v>
      </c>
    </row>
    <row r="153">
      <c r="A153" s="148" t="n">
        <v>25812</v>
      </c>
      <c r="B153" t="n">
        <v/>
      </c>
      <c r="C153" t="n">
        <v/>
      </c>
      <c r="D153" t="n">
        <v/>
      </c>
      <c r="E153" t="n">
        <v/>
      </c>
      <c r="F153" t="n">
        <v/>
      </c>
      <c r="G153" t="n">
        <v/>
      </c>
      <c r="H153" t="n">
        <v/>
      </c>
      <c r="I153" t="n">
        <v/>
      </c>
      <c r="J153" t="n">
        <v/>
      </c>
      <c r="K153" t="n">
        <v/>
      </c>
      <c r="L153" t="n">
        <v>0</v>
      </c>
      <c r="M153" t="n">
        <v>0</v>
      </c>
    </row>
    <row r="154">
      <c r="A154" s="148" t="n">
        <v>25842</v>
      </c>
      <c r="B154" t="n">
        <v/>
      </c>
      <c r="C154" t="n">
        <v/>
      </c>
      <c r="D154" t="n">
        <v/>
      </c>
      <c r="E154" t="n">
        <v/>
      </c>
      <c r="F154" t="n">
        <v/>
      </c>
      <c r="G154" t="n">
        <v/>
      </c>
      <c r="H154" t="n">
        <v/>
      </c>
      <c r="I154" t="n">
        <v/>
      </c>
      <c r="J154" t="n">
        <v/>
      </c>
      <c r="K154" t="n">
        <v/>
      </c>
      <c r="L154" t="n">
        <v>0</v>
      </c>
      <c r="M154" t="n">
        <v>0</v>
      </c>
    </row>
    <row r="155">
      <c r="A155" s="148" t="n">
        <v>25873</v>
      </c>
      <c r="B155" t="n">
        <v/>
      </c>
      <c r="C155" t="n">
        <v/>
      </c>
      <c r="D155" t="n">
        <v/>
      </c>
      <c r="E155" t="n">
        <v/>
      </c>
      <c r="F155" t="n">
        <v/>
      </c>
      <c r="G155" t="n">
        <v/>
      </c>
      <c r="H155" t="n">
        <v/>
      </c>
      <c r="I155" t="n">
        <v/>
      </c>
      <c r="J155" t="n">
        <v/>
      </c>
      <c r="K155" t="n">
        <v/>
      </c>
      <c r="L155" t="n">
        <v>0</v>
      </c>
      <c r="M155" t="n">
        <v>0</v>
      </c>
    </row>
    <row r="156">
      <c r="A156" s="148" t="n">
        <v>25903</v>
      </c>
      <c r="B156" t="n">
        <v/>
      </c>
      <c r="C156" t="n">
        <v/>
      </c>
      <c r="D156" t="n">
        <v/>
      </c>
      <c r="E156" t="n">
        <v/>
      </c>
      <c r="F156" t="n">
        <v/>
      </c>
      <c r="G156" t="n">
        <v/>
      </c>
      <c r="H156" t="n">
        <v/>
      </c>
      <c r="I156" t="n">
        <v/>
      </c>
      <c r="J156" t="n">
        <v/>
      </c>
      <c r="K156" t="n">
        <v/>
      </c>
      <c r="L156" t="n">
        <v>0</v>
      </c>
      <c r="M156" t="n">
        <v>0</v>
      </c>
    </row>
    <row r="157">
      <c r="A157" s="148" t="n">
        <v>25934</v>
      </c>
      <c r="B157" t="n">
        <v/>
      </c>
      <c r="C157" t="n">
        <v/>
      </c>
      <c r="D157" t="n">
        <v/>
      </c>
      <c r="E157" t="n">
        <v/>
      </c>
      <c r="F157" t="n">
        <v/>
      </c>
      <c r="G157" t="n">
        <v/>
      </c>
      <c r="H157" t="n">
        <v/>
      </c>
      <c r="I157" t="n">
        <v/>
      </c>
      <c r="J157" t="n">
        <v/>
      </c>
      <c r="K157" t="n">
        <v/>
      </c>
      <c r="L157" t="n">
        <v>0</v>
      </c>
      <c r="M157" t="n">
        <v>0</v>
      </c>
    </row>
    <row r="158">
      <c r="A158" s="148" t="n">
        <v>25965</v>
      </c>
      <c r="B158" t="n">
        <v/>
      </c>
      <c r="C158" t="n">
        <v/>
      </c>
      <c r="D158" t="n">
        <v/>
      </c>
      <c r="E158" t="n">
        <v/>
      </c>
      <c r="F158" t="n">
        <v/>
      </c>
      <c r="G158" t="n">
        <v/>
      </c>
      <c r="H158" t="n">
        <v/>
      </c>
      <c r="I158" t="n">
        <v/>
      </c>
      <c r="J158" t="n">
        <v/>
      </c>
      <c r="K158" t="n">
        <v/>
      </c>
      <c r="L158" t="n">
        <v>0</v>
      </c>
      <c r="M158" t="n">
        <v>0</v>
      </c>
    </row>
    <row r="159">
      <c r="A159" s="148" t="n">
        <v>25993</v>
      </c>
      <c r="B159" t="n">
        <v/>
      </c>
      <c r="C159" t="n">
        <v/>
      </c>
      <c r="D159" t="n">
        <v/>
      </c>
      <c r="E159" t="n">
        <v/>
      </c>
      <c r="F159" t="n">
        <v/>
      </c>
      <c r="G159" t="n">
        <v/>
      </c>
      <c r="H159" t="n">
        <v/>
      </c>
      <c r="I159" t="n">
        <v/>
      </c>
      <c r="J159" t="n">
        <v/>
      </c>
      <c r="K159" t="n">
        <v/>
      </c>
      <c r="L159" t="n">
        <v>0</v>
      </c>
      <c r="M159" t="n">
        <v>0</v>
      </c>
    </row>
    <row r="160">
      <c r="A160" s="148" t="n">
        <v>26024</v>
      </c>
      <c r="B160" t="n">
        <v/>
      </c>
      <c r="C160" t="n">
        <v/>
      </c>
      <c r="D160" t="n">
        <v/>
      </c>
      <c r="E160" t="n">
        <v/>
      </c>
      <c r="F160" t="n">
        <v/>
      </c>
      <c r="G160" t="n">
        <v/>
      </c>
      <c r="H160" t="n">
        <v/>
      </c>
      <c r="I160" t="n">
        <v/>
      </c>
      <c r="J160" t="n">
        <v/>
      </c>
      <c r="K160" t="n">
        <v/>
      </c>
      <c r="L160" t="n">
        <v>0</v>
      </c>
      <c r="M160" t="n">
        <v>0</v>
      </c>
    </row>
    <row r="161">
      <c r="A161" s="148" t="n">
        <v>26054</v>
      </c>
      <c r="B161" t="n">
        <v/>
      </c>
      <c r="C161" t="n">
        <v/>
      </c>
      <c r="D161" t="n">
        <v/>
      </c>
      <c r="E161" t="n">
        <v/>
      </c>
      <c r="F161" t="n">
        <v/>
      </c>
      <c r="G161" t="n">
        <v/>
      </c>
      <c r="H161" t="n">
        <v/>
      </c>
      <c r="I161" t="n">
        <v/>
      </c>
      <c r="J161" t="n">
        <v/>
      </c>
      <c r="K161" t="n">
        <v/>
      </c>
      <c r="L161" t="n">
        <v>0</v>
      </c>
      <c r="M161" t="n">
        <v>0</v>
      </c>
    </row>
    <row r="162">
      <c r="A162" s="148" t="n">
        <v>26085</v>
      </c>
      <c r="B162" t="n">
        <v/>
      </c>
      <c r="C162" t="n">
        <v/>
      </c>
      <c r="D162" t="n">
        <v/>
      </c>
      <c r="E162" t="n">
        <v/>
      </c>
      <c r="F162" t="n">
        <v/>
      </c>
      <c r="G162" t="n">
        <v/>
      </c>
      <c r="H162" t="n">
        <v/>
      </c>
      <c r="I162" t="n">
        <v/>
      </c>
      <c r="J162" t="n">
        <v/>
      </c>
      <c r="K162" t="n">
        <v/>
      </c>
      <c r="L162" t="n">
        <v>0</v>
      </c>
      <c r="M162" t="n">
        <v>0</v>
      </c>
    </row>
    <row r="163">
      <c r="A163" s="148" t="n">
        <v>26115</v>
      </c>
      <c r="B163" t="n">
        <v/>
      </c>
      <c r="C163" t="n">
        <v/>
      </c>
      <c r="D163" t="n">
        <v/>
      </c>
      <c r="E163" t="n">
        <v/>
      </c>
      <c r="F163" t="n">
        <v/>
      </c>
      <c r="G163" t="n">
        <v/>
      </c>
      <c r="H163" t="n">
        <v/>
      </c>
      <c r="I163" t="n">
        <v/>
      </c>
      <c r="J163" t="n">
        <v/>
      </c>
      <c r="K163" t="n">
        <v/>
      </c>
      <c r="L163" t="n">
        <v>0</v>
      </c>
      <c r="M163" t="n">
        <v>0</v>
      </c>
    </row>
    <row r="164">
      <c r="A164" s="148" t="n">
        <v>26146</v>
      </c>
      <c r="B164" t="n">
        <v/>
      </c>
      <c r="C164" t="n">
        <v/>
      </c>
      <c r="D164" t="n">
        <v/>
      </c>
      <c r="E164" t="n">
        <v/>
      </c>
      <c r="F164" t="n">
        <v/>
      </c>
      <c r="G164" t="n">
        <v/>
      </c>
      <c r="H164" t="n">
        <v/>
      </c>
      <c r="I164" t="n">
        <v/>
      </c>
      <c r="J164" t="n">
        <v/>
      </c>
      <c r="K164" t="n">
        <v/>
      </c>
      <c r="L164" t="n">
        <v>0</v>
      </c>
      <c r="M164" t="n">
        <v>0</v>
      </c>
    </row>
    <row r="165">
      <c r="A165" s="148" t="n">
        <v>26177</v>
      </c>
      <c r="B165" t="n">
        <v/>
      </c>
      <c r="C165" t="n">
        <v/>
      </c>
      <c r="D165" t="n">
        <v/>
      </c>
      <c r="E165" t="n">
        <v/>
      </c>
      <c r="F165" t="n">
        <v/>
      </c>
      <c r="G165" t="n">
        <v/>
      </c>
      <c r="H165" t="n">
        <v/>
      </c>
      <c r="I165" t="n">
        <v/>
      </c>
      <c r="J165" t="n">
        <v/>
      </c>
      <c r="K165" t="n">
        <v/>
      </c>
      <c r="L165" t="n">
        <v>0</v>
      </c>
      <c r="M165" t="n">
        <v>0</v>
      </c>
    </row>
    <row r="166">
      <c r="A166" s="148" t="n">
        <v>26207</v>
      </c>
      <c r="B166" t="n">
        <v/>
      </c>
      <c r="C166" t="n">
        <v/>
      </c>
      <c r="D166" t="n">
        <v/>
      </c>
      <c r="E166" t="n">
        <v/>
      </c>
      <c r="F166" t="n">
        <v/>
      </c>
      <c r="G166" t="n">
        <v/>
      </c>
      <c r="H166" t="n">
        <v/>
      </c>
      <c r="I166" t="n">
        <v/>
      </c>
      <c r="J166" t="n">
        <v/>
      </c>
      <c r="K166" t="n">
        <v/>
      </c>
      <c r="L166" t="n">
        <v>0</v>
      </c>
      <c r="M166" t="n">
        <v>0</v>
      </c>
    </row>
    <row r="167">
      <c r="A167" s="148" t="n">
        <v>26238</v>
      </c>
      <c r="B167" t="n">
        <v/>
      </c>
      <c r="C167" t="n">
        <v/>
      </c>
      <c r="D167" t="n">
        <v/>
      </c>
      <c r="E167" t="n">
        <v/>
      </c>
      <c r="F167" t="n">
        <v/>
      </c>
      <c r="G167" t="n">
        <v/>
      </c>
      <c r="H167" t="n">
        <v/>
      </c>
      <c r="I167" t="n">
        <v/>
      </c>
      <c r="J167" t="n">
        <v/>
      </c>
      <c r="K167" t="n">
        <v/>
      </c>
      <c r="L167" t="n">
        <v>0</v>
      </c>
      <c r="M167" t="n">
        <v>0</v>
      </c>
    </row>
    <row r="168">
      <c r="A168" s="148" t="n">
        <v>26268</v>
      </c>
      <c r="B168" t="n">
        <v/>
      </c>
      <c r="C168" t="n">
        <v/>
      </c>
      <c r="D168" t="n">
        <v/>
      </c>
      <c r="E168" t="n">
        <v/>
      </c>
      <c r="F168" t="n">
        <v/>
      </c>
      <c r="G168" t="n">
        <v/>
      </c>
      <c r="H168" t="n">
        <v/>
      </c>
      <c r="I168" t="n">
        <v/>
      </c>
      <c r="J168" t="n">
        <v/>
      </c>
      <c r="K168" t="n">
        <v/>
      </c>
      <c r="L168" t="n">
        <v>0</v>
      </c>
      <c r="M168" t="n">
        <v>0</v>
      </c>
    </row>
    <row r="169">
      <c r="A169" s="148" t="n">
        <v>26299</v>
      </c>
      <c r="B169" t="n">
        <v/>
      </c>
      <c r="C169" t="n">
        <v/>
      </c>
      <c r="D169" t="n">
        <v/>
      </c>
      <c r="E169" t="n">
        <v/>
      </c>
      <c r="F169" t="n">
        <v/>
      </c>
      <c r="G169" t="n">
        <v/>
      </c>
      <c r="H169" t="n">
        <v/>
      </c>
      <c r="I169" t="n">
        <v/>
      </c>
      <c r="J169" t="n">
        <v/>
      </c>
      <c r="K169" t="n">
        <v/>
      </c>
      <c r="L169" t="n">
        <v>0</v>
      </c>
      <c r="M169" t="n">
        <v>0</v>
      </c>
    </row>
    <row r="170">
      <c r="A170" s="148" t="n">
        <v>26330</v>
      </c>
      <c r="B170" t="n">
        <v/>
      </c>
      <c r="C170" t="n">
        <v/>
      </c>
      <c r="D170" t="n">
        <v/>
      </c>
      <c r="E170" t="n">
        <v/>
      </c>
      <c r="F170" t="n">
        <v/>
      </c>
      <c r="G170" t="n">
        <v/>
      </c>
      <c r="H170" t="n">
        <v/>
      </c>
      <c r="I170" t="n">
        <v/>
      </c>
      <c r="J170" t="n">
        <v/>
      </c>
      <c r="K170" t="n">
        <v/>
      </c>
      <c r="L170" t="n">
        <v>0</v>
      </c>
      <c r="M170" t="n">
        <v>0</v>
      </c>
    </row>
    <row r="171">
      <c r="A171" s="148" t="n">
        <v>26359</v>
      </c>
      <c r="B171" t="n">
        <v/>
      </c>
      <c r="C171" t="n">
        <v/>
      </c>
      <c r="D171" t="n">
        <v/>
      </c>
      <c r="E171" t="n">
        <v/>
      </c>
      <c r="F171" t="n">
        <v/>
      </c>
      <c r="G171" t="n">
        <v/>
      </c>
      <c r="H171" t="n">
        <v/>
      </c>
      <c r="I171" t="n">
        <v/>
      </c>
      <c r="J171" t="n">
        <v/>
      </c>
      <c r="K171" t="n">
        <v/>
      </c>
      <c r="L171" t="n">
        <v>0</v>
      </c>
      <c r="M171" t="n">
        <v>0</v>
      </c>
    </row>
    <row r="172">
      <c r="A172" s="148" t="n">
        <v>26390</v>
      </c>
      <c r="B172" t="n">
        <v/>
      </c>
      <c r="C172" t="n">
        <v/>
      </c>
      <c r="D172" t="n">
        <v/>
      </c>
      <c r="E172" t="n">
        <v/>
      </c>
      <c r="F172" t="n">
        <v/>
      </c>
      <c r="G172" t="n">
        <v/>
      </c>
      <c r="H172" t="n">
        <v/>
      </c>
      <c r="I172" t="n">
        <v/>
      </c>
      <c r="J172" t="n">
        <v/>
      </c>
      <c r="K172" t="n">
        <v/>
      </c>
      <c r="L172" t="n">
        <v>0</v>
      </c>
      <c r="M172" t="n">
        <v>0</v>
      </c>
    </row>
    <row r="173">
      <c r="A173" s="148" t="n">
        <v>26420</v>
      </c>
      <c r="B173" t="n">
        <v/>
      </c>
      <c r="C173" t="n">
        <v/>
      </c>
      <c r="D173" t="n">
        <v/>
      </c>
      <c r="E173" t="n">
        <v/>
      </c>
      <c r="F173" t="n">
        <v/>
      </c>
      <c r="G173" t="n">
        <v/>
      </c>
      <c r="H173" t="n">
        <v/>
      </c>
      <c r="I173" t="n">
        <v/>
      </c>
      <c r="J173" t="n">
        <v/>
      </c>
      <c r="K173" t="n">
        <v/>
      </c>
      <c r="L173" t="n">
        <v>0</v>
      </c>
      <c r="M173" t="n">
        <v>0</v>
      </c>
    </row>
    <row r="174">
      <c r="A174" s="148" t="n">
        <v>26451</v>
      </c>
      <c r="B174" t="n">
        <v/>
      </c>
      <c r="C174" t="n">
        <v/>
      </c>
      <c r="D174" t="n">
        <v/>
      </c>
      <c r="E174" t="n">
        <v/>
      </c>
      <c r="F174" t="n">
        <v/>
      </c>
      <c r="G174" t="n">
        <v/>
      </c>
      <c r="H174" t="n">
        <v/>
      </c>
      <c r="I174" t="n">
        <v/>
      </c>
      <c r="J174" t="n">
        <v/>
      </c>
      <c r="K174" t="n">
        <v/>
      </c>
      <c r="L174" t="n">
        <v>0</v>
      </c>
      <c r="M174" t="n">
        <v>0</v>
      </c>
    </row>
    <row r="175">
      <c r="A175" s="148" t="n">
        <v>26481</v>
      </c>
      <c r="B175" t="n">
        <v/>
      </c>
      <c r="C175" t="n">
        <v/>
      </c>
      <c r="D175" t="n">
        <v/>
      </c>
      <c r="E175" t="n">
        <v/>
      </c>
      <c r="F175" t="n">
        <v/>
      </c>
      <c r="G175" t="n">
        <v/>
      </c>
      <c r="H175" t="n">
        <v/>
      </c>
      <c r="I175" t="n">
        <v/>
      </c>
      <c r="J175" t="n">
        <v/>
      </c>
      <c r="K175" t="n">
        <v/>
      </c>
      <c r="L175" t="n">
        <v>0</v>
      </c>
      <c r="M175" t="n">
        <v>0</v>
      </c>
    </row>
    <row r="176">
      <c r="A176" s="148" t="n">
        <v>26512</v>
      </c>
      <c r="B176" t="n">
        <v/>
      </c>
      <c r="C176" t="n">
        <v/>
      </c>
      <c r="D176" t="n">
        <v/>
      </c>
      <c r="E176" t="n">
        <v/>
      </c>
      <c r="F176" t="n">
        <v/>
      </c>
      <c r="G176" t="n">
        <v/>
      </c>
      <c r="H176" t="n">
        <v/>
      </c>
      <c r="I176" t="n">
        <v/>
      </c>
      <c r="J176" t="n">
        <v/>
      </c>
      <c r="K176" t="n">
        <v/>
      </c>
      <c r="L176" t="n">
        <v>0</v>
      </c>
      <c r="M176" t="n">
        <v>0</v>
      </c>
    </row>
    <row r="177">
      <c r="A177" s="148" t="n">
        <v>26543</v>
      </c>
      <c r="B177" t="n">
        <v/>
      </c>
      <c r="C177" t="n">
        <v/>
      </c>
      <c r="D177" t="n">
        <v/>
      </c>
      <c r="E177" t="n">
        <v/>
      </c>
      <c r="F177" t="n">
        <v/>
      </c>
      <c r="G177" t="n">
        <v/>
      </c>
      <c r="H177" t="n">
        <v/>
      </c>
      <c r="I177" t="n">
        <v/>
      </c>
      <c r="J177" t="n">
        <v/>
      </c>
      <c r="K177" t="n">
        <v/>
      </c>
      <c r="L177" t="n">
        <v>0</v>
      </c>
      <c r="M177" t="n">
        <v>0</v>
      </c>
    </row>
    <row r="178">
      <c r="A178" s="148" t="n">
        <v>26573</v>
      </c>
      <c r="B178" t="n">
        <v/>
      </c>
      <c r="C178" t="n">
        <v/>
      </c>
      <c r="D178" t="n">
        <v/>
      </c>
      <c r="E178" t="n">
        <v/>
      </c>
      <c r="F178" t="n">
        <v/>
      </c>
      <c r="G178" t="n">
        <v/>
      </c>
      <c r="H178" t="n">
        <v/>
      </c>
      <c r="I178" t="n">
        <v/>
      </c>
      <c r="J178" t="n">
        <v/>
      </c>
      <c r="K178" t="n">
        <v/>
      </c>
      <c r="L178" t="n">
        <v>0</v>
      </c>
      <c r="M178" t="n">
        <v>0</v>
      </c>
    </row>
    <row r="179">
      <c r="A179" s="148" t="n">
        <v>26604</v>
      </c>
      <c r="B179" t="n">
        <v/>
      </c>
      <c r="C179" t="n">
        <v/>
      </c>
      <c r="D179" t="n">
        <v/>
      </c>
      <c r="E179" t="n">
        <v/>
      </c>
      <c r="F179" t="n">
        <v/>
      </c>
      <c r="G179" t="n">
        <v/>
      </c>
      <c r="H179" t="n">
        <v/>
      </c>
      <c r="I179" t="n">
        <v/>
      </c>
      <c r="J179" t="n">
        <v/>
      </c>
      <c r="K179" t="n">
        <v/>
      </c>
      <c r="L179" t="n">
        <v>0</v>
      </c>
      <c r="M179" t="n">
        <v>0</v>
      </c>
    </row>
    <row r="180">
      <c r="A180" s="148" t="n">
        <v>26634</v>
      </c>
      <c r="B180" t="n">
        <v/>
      </c>
      <c r="C180" t="n">
        <v/>
      </c>
      <c r="D180" t="n">
        <v/>
      </c>
      <c r="E180" t="n">
        <v/>
      </c>
      <c r="F180" t="n">
        <v/>
      </c>
      <c r="G180" t="n">
        <v/>
      </c>
      <c r="H180" t="n">
        <v/>
      </c>
      <c r="I180" t="n">
        <v/>
      </c>
      <c r="J180" t="n">
        <v/>
      </c>
      <c r="K180" t="n">
        <v/>
      </c>
      <c r="L180" t="n">
        <v>0</v>
      </c>
      <c r="M180" t="n">
        <v>0</v>
      </c>
    </row>
    <row r="181">
      <c r="A181" s="148" t="n">
        <v>26665</v>
      </c>
      <c r="B181" t="n">
        <v/>
      </c>
      <c r="C181" t="n">
        <v/>
      </c>
      <c r="D181" t="n">
        <v/>
      </c>
      <c r="E181" t="n">
        <v/>
      </c>
      <c r="F181" t="n">
        <v/>
      </c>
      <c r="G181" t="n">
        <v/>
      </c>
      <c r="H181" t="n">
        <v/>
      </c>
      <c r="I181" t="n">
        <v/>
      </c>
      <c r="J181" t="n">
        <v/>
      </c>
      <c r="K181" t="n">
        <v/>
      </c>
      <c r="L181" t="n">
        <v>0</v>
      </c>
      <c r="M181" t="n">
        <v>0</v>
      </c>
    </row>
    <row r="182">
      <c r="A182" s="148" t="n">
        <v>26696</v>
      </c>
      <c r="B182" t="n">
        <v/>
      </c>
      <c r="C182" t="n">
        <v/>
      </c>
      <c r="D182" t="n">
        <v/>
      </c>
      <c r="E182" t="n">
        <v/>
      </c>
      <c r="F182" t="n">
        <v/>
      </c>
      <c r="G182" t="n">
        <v/>
      </c>
      <c r="H182" t="n">
        <v/>
      </c>
      <c r="I182" t="n">
        <v/>
      </c>
      <c r="J182" t="n">
        <v/>
      </c>
      <c r="K182" t="n">
        <v/>
      </c>
      <c r="L182" t="n">
        <v>0</v>
      </c>
      <c r="M182" t="n">
        <v>0</v>
      </c>
    </row>
    <row r="183">
      <c r="A183" s="148" t="n">
        <v>26724</v>
      </c>
      <c r="B183" t="n">
        <v/>
      </c>
      <c r="C183" t="n">
        <v/>
      </c>
      <c r="D183" t="n">
        <v/>
      </c>
      <c r="E183" t="n">
        <v/>
      </c>
      <c r="F183" t="n">
        <v/>
      </c>
      <c r="G183" t="n">
        <v/>
      </c>
      <c r="H183" t="n">
        <v/>
      </c>
      <c r="I183" t="n">
        <v/>
      </c>
      <c r="J183" t="n">
        <v/>
      </c>
      <c r="K183" t="n">
        <v/>
      </c>
      <c r="L183" t="n">
        <v>0</v>
      </c>
      <c r="M183" t="n">
        <v>0</v>
      </c>
    </row>
    <row r="184">
      <c r="A184" s="148" t="n">
        <v>26755</v>
      </c>
      <c r="B184" t="n">
        <v/>
      </c>
      <c r="C184" t="n">
        <v/>
      </c>
      <c r="D184" t="n">
        <v/>
      </c>
      <c r="E184" t="n">
        <v/>
      </c>
      <c r="F184" t="n">
        <v/>
      </c>
      <c r="G184" t="n">
        <v/>
      </c>
      <c r="H184" t="n">
        <v/>
      </c>
      <c r="I184" t="n">
        <v/>
      </c>
      <c r="J184" t="n">
        <v/>
      </c>
      <c r="K184" t="n">
        <v/>
      </c>
      <c r="L184" t="n">
        <v>0</v>
      </c>
      <c r="M184" t="n">
        <v>0</v>
      </c>
    </row>
    <row r="185">
      <c r="A185" s="148" t="n">
        <v>26785</v>
      </c>
      <c r="B185" t="n">
        <v/>
      </c>
      <c r="C185" t="n">
        <v/>
      </c>
      <c r="D185" t="n">
        <v/>
      </c>
      <c r="E185" t="n">
        <v/>
      </c>
      <c r="F185" t="n">
        <v/>
      </c>
      <c r="G185" t="n">
        <v/>
      </c>
      <c r="H185" t="n">
        <v/>
      </c>
      <c r="I185" t="n">
        <v/>
      </c>
      <c r="J185" t="n">
        <v/>
      </c>
      <c r="K185" t="n">
        <v/>
      </c>
      <c r="L185" t="n">
        <v>0</v>
      </c>
      <c r="M185" t="n">
        <v>0</v>
      </c>
    </row>
    <row r="186">
      <c r="A186" s="148" t="n">
        <v>26816</v>
      </c>
      <c r="B186" t="n">
        <v/>
      </c>
      <c r="C186" t="n">
        <v/>
      </c>
      <c r="D186" t="n">
        <v/>
      </c>
      <c r="E186" t="n">
        <v/>
      </c>
      <c r="F186" t="n">
        <v/>
      </c>
      <c r="G186" t="n">
        <v/>
      </c>
      <c r="H186" t="n">
        <v/>
      </c>
      <c r="I186" t="n">
        <v/>
      </c>
      <c r="J186" t="n">
        <v/>
      </c>
      <c r="K186" t="n">
        <v/>
      </c>
      <c r="L186" t="n">
        <v>0</v>
      </c>
      <c r="M186" t="n">
        <v>0</v>
      </c>
    </row>
    <row r="187">
      <c r="A187" s="148" t="n">
        <v>26846</v>
      </c>
      <c r="B187" t="n">
        <v/>
      </c>
      <c r="C187" t="n">
        <v/>
      </c>
      <c r="D187" t="n">
        <v/>
      </c>
      <c r="E187" t="n">
        <v/>
      </c>
      <c r="F187" t="n">
        <v/>
      </c>
      <c r="G187" t="n">
        <v/>
      </c>
      <c r="H187" t="n">
        <v/>
      </c>
      <c r="I187" t="n">
        <v/>
      </c>
      <c r="J187" t="n">
        <v/>
      </c>
      <c r="K187" t="n">
        <v/>
      </c>
      <c r="L187" t="n">
        <v>0</v>
      </c>
      <c r="M187" t="n">
        <v>0</v>
      </c>
    </row>
    <row r="188">
      <c r="A188" s="148" t="n">
        <v>26877</v>
      </c>
      <c r="B188" t="n">
        <v/>
      </c>
      <c r="C188" t="n">
        <v/>
      </c>
      <c r="D188" t="n">
        <v/>
      </c>
      <c r="E188" t="n">
        <v/>
      </c>
      <c r="F188" t="n">
        <v/>
      </c>
      <c r="G188" t="n">
        <v/>
      </c>
      <c r="H188" t="n">
        <v/>
      </c>
      <c r="I188" t="n">
        <v/>
      </c>
      <c r="J188" t="n">
        <v/>
      </c>
      <c r="K188" t="n">
        <v/>
      </c>
      <c r="L188" t="n">
        <v>0</v>
      </c>
      <c r="M188" t="n">
        <v>0</v>
      </c>
    </row>
    <row r="189">
      <c r="A189" s="148" t="n">
        <v>26908</v>
      </c>
      <c r="B189" t="n">
        <v/>
      </c>
      <c r="C189" t="n">
        <v/>
      </c>
      <c r="D189" t="n">
        <v/>
      </c>
      <c r="E189" t="n">
        <v/>
      </c>
      <c r="F189" t="n">
        <v/>
      </c>
      <c r="G189" t="n">
        <v/>
      </c>
      <c r="H189" t="n">
        <v/>
      </c>
      <c r="I189" t="n">
        <v/>
      </c>
      <c r="J189" t="n">
        <v/>
      </c>
      <c r="K189" t="n">
        <v/>
      </c>
      <c r="L189" t="n">
        <v>0</v>
      </c>
      <c r="M189" t="n">
        <v>0</v>
      </c>
    </row>
    <row r="190">
      <c r="A190" s="148" t="n">
        <v>26938</v>
      </c>
      <c r="B190" t="n">
        <v/>
      </c>
      <c r="C190" t="n">
        <v/>
      </c>
      <c r="D190" t="n">
        <v/>
      </c>
      <c r="E190" t="n">
        <v/>
      </c>
      <c r="F190" t="n">
        <v/>
      </c>
      <c r="G190" t="n">
        <v/>
      </c>
      <c r="H190" t="n">
        <v/>
      </c>
      <c r="I190" t="n">
        <v/>
      </c>
      <c r="J190" t="n">
        <v/>
      </c>
      <c r="K190" t="n">
        <v/>
      </c>
      <c r="L190" t="n">
        <v>0</v>
      </c>
      <c r="M190" t="n">
        <v>0</v>
      </c>
    </row>
    <row r="191">
      <c r="A191" s="148" t="n">
        <v>26969</v>
      </c>
      <c r="B191" t="n">
        <v/>
      </c>
      <c r="C191" t="n">
        <v/>
      </c>
      <c r="D191" t="n">
        <v/>
      </c>
      <c r="E191" t="n">
        <v/>
      </c>
      <c r="F191" t="n">
        <v/>
      </c>
      <c r="G191" t="n">
        <v/>
      </c>
      <c r="H191" t="n">
        <v/>
      </c>
      <c r="I191" t="n">
        <v/>
      </c>
      <c r="J191" t="n">
        <v/>
      </c>
      <c r="K191" t="n">
        <v/>
      </c>
      <c r="L191" t="n">
        <v>0</v>
      </c>
      <c r="M191" t="n">
        <v>0</v>
      </c>
    </row>
    <row r="192">
      <c r="A192" s="148" t="n">
        <v>26999</v>
      </c>
      <c r="B192" t="n">
        <v/>
      </c>
      <c r="C192" t="n">
        <v/>
      </c>
      <c r="D192" t="n">
        <v/>
      </c>
      <c r="E192" t="n">
        <v/>
      </c>
      <c r="F192" t="n">
        <v/>
      </c>
      <c r="G192" t="n">
        <v/>
      </c>
      <c r="H192" t="n">
        <v/>
      </c>
      <c r="I192" t="n">
        <v/>
      </c>
      <c r="J192" t="n">
        <v/>
      </c>
      <c r="K192" t="n">
        <v/>
      </c>
      <c r="L192" t="n">
        <v>0</v>
      </c>
      <c r="M192" t="n">
        <v>0</v>
      </c>
    </row>
    <row r="193">
      <c r="A193" s="148" t="n">
        <v>27030</v>
      </c>
      <c r="B193" t="n">
        <v/>
      </c>
      <c r="C193" t="n">
        <v/>
      </c>
      <c r="D193" t="n">
        <v/>
      </c>
      <c r="E193" t="n">
        <v/>
      </c>
      <c r="F193" t="n">
        <v/>
      </c>
      <c r="G193" t="n">
        <v/>
      </c>
      <c r="H193" t="n">
        <v/>
      </c>
      <c r="I193" t="n">
        <v/>
      </c>
      <c r="J193" t="n">
        <v/>
      </c>
      <c r="K193" t="n">
        <v/>
      </c>
      <c r="L193" t="n">
        <v>0</v>
      </c>
      <c r="M193" t="n">
        <v>0</v>
      </c>
    </row>
    <row r="194">
      <c r="A194" s="148" t="n">
        <v>27061</v>
      </c>
      <c r="B194" t="n">
        <v/>
      </c>
      <c r="C194" t="n">
        <v/>
      </c>
      <c r="D194" t="n">
        <v/>
      </c>
      <c r="E194" t="n">
        <v/>
      </c>
      <c r="F194" t="n">
        <v/>
      </c>
      <c r="G194" t="n">
        <v/>
      </c>
      <c r="H194" t="n">
        <v/>
      </c>
      <c r="I194" t="n">
        <v/>
      </c>
      <c r="J194" t="n">
        <v/>
      </c>
      <c r="K194" t="n">
        <v/>
      </c>
      <c r="L194" t="n">
        <v>0</v>
      </c>
      <c r="M194" t="n">
        <v>0</v>
      </c>
    </row>
    <row r="195">
      <c r="A195" s="148" t="n">
        <v>27089</v>
      </c>
      <c r="B195" t="n">
        <v/>
      </c>
      <c r="C195" t="n">
        <v/>
      </c>
      <c r="D195" t="n">
        <v/>
      </c>
      <c r="E195" t="n">
        <v/>
      </c>
      <c r="F195" t="n">
        <v/>
      </c>
      <c r="G195" t="n">
        <v/>
      </c>
      <c r="H195" t="n">
        <v/>
      </c>
      <c r="I195" t="n">
        <v/>
      </c>
      <c r="J195" t="n">
        <v/>
      </c>
      <c r="K195" t="n">
        <v/>
      </c>
      <c r="L195" t="n">
        <v>0</v>
      </c>
      <c r="M195" t="n">
        <v>0</v>
      </c>
    </row>
    <row r="196">
      <c r="A196" s="148" t="n">
        <v>27120</v>
      </c>
      <c r="B196" t="n">
        <v/>
      </c>
      <c r="C196" t="n">
        <v/>
      </c>
      <c r="D196" t="n">
        <v/>
      </c>
      <c r="E196" t="n">
        <v/>
      </c>
      <c r="F196" t="n">
        <v/>
      </c>
      <c r="G196" t="n">
        <v/>
      </c>
      <c r="H196" t="n">
        <v/>
      </c>
      <c r="I196" t="n">
        <v/>
      </c>
      <c r="J196" t="n">
        <v/>
      </c>
      <c r="K196" t="n">
        <v/>
      </c>
      <c r="L196" t="n">
        <v>0</v>
      </c>
      <c r="M196" t="n">
        <v>0</v>
      </c>
    </row>
    <row r="197">
      <c r="A197" s="148" t="n">
        <v>27150</v>
      </c>
      <c r="B197" t="n">
        <v/>
      </c>
      <c r="C197" t="n">
        <v/>
      </c>
      <c r="D197" t="n">
        <v/>
      </c>
      <c r="E197" t="n">
        <v/>
      </c>
      <c r="F197" t="n">
        <v/>
      </c>
      <c r="G197" t="n">
        <v/>
      </c>
      <c r="H197" t="n">
        <v/>
      </c>
      <c r="I197" t="n">
        <v/>
      </c>
      <c r="J197" t="n">
        <v/>
      </c>
      <c r="K197" t="n">
        <v/>
      </c>
      <c r="L197" t="n">
        <v>0</v>
      </c>
      <c r="M197" t="n">
        <v>0</v>
      </c>
    </row>
    <row r="198">
      <c r="A198" s="148" t="n">
        <v>27181</v>
      </c>
      <c r="B198" t="n">
        <v/>
      </c>
      <c r="C198" t="n">
        <v/>
      </c>
      <c r="D198" t="n">
        <v/>
      </c>
      <c r="E198" t="n">
        <v/>
      </c>
      <c r="F198" t="n">
        <v/>
      </c>
      <c r="G198" t="n">
        <v/>
      </c>
      <c r="H198" t="n">
        <v/>
      </c>
      <c r="I198" t="n">
        <v/>
      </c>
      <c r="J198" t="n">
        <v/>
      </c>
      <c r="K198" t="n">
        <v/>
      </c>
      <c r="L198" t="n">
        <v>0</v>
      </c>
      <c r="M198" t="n">
        <v>0</v>
      </c>
    </row>
    <row r="199">
      <c r="A199" s="148" t="n">
        <v>27211</v>
      </c>
      <c r="B199" t="n">
        <v/>
      </c>
      <c r="C199" t="n">
        <v/>
      </c>
      <c r="D199" t="n">
        <v/>
      </c>
      <c r="E199" t="n">
        <v/>
      </c>
      <c r="F199" t="n">
        <v/>
      </c>
      <c r="G199" t="n">
        <v/>
      </c>
      <c r="H199" t="n">
        <v/>
      </c>
      <c r="I199" t="n">
        <v/>
      </c>
      <c r="J199" t="n">
        <v/>
      </c>
      <c r="K199" t="n">
        <v/>
      </c>
      <c r="L199" t="n">
        <v>0</v>
      </c>
      <c r="M199" t="n">
        <v>0</v>
      </c>
    </row>
    <row r="200">
      <c r="A200" s="148" t="n">
        <v>27242</v>
      </c>
      <c r="B200" t="n">
        <v/>
      </c>
      <c r="C200" t="n">
        <v/>
      </c>
      <c r="D200" t="n">
        <v/>
      </c>
      <c r="E200" t="n">
        <v/>
      </c>
      <c r="F200" t="n">
        <v/>
      </c>
      <c r="G200" t="n">
        <v/>
      </c>
      <c r="H200" t="n">
        <v/>
      </c>
      <c r="I200" t="n">
        <v/>
      </c>
      <c r="J200" t="n">
        <v/>
      </c>
      <c r="K200" t="n">
        <v/>
      </c>
      <c r="L200" t="n">
        <v>0</v>
      </c>
      <c r="M200" t="n">
        <v>0</v>
      </c>
    </row>
    <row r="201">
      <c r="A201" s="148" t="n">
        <v>27273</v>
      </c>
      <c r="B201" t="n">
        <v/>
      </c>
      <c r="C201" t="n">
        <v/>
      </c>
      <c r="D201" t="n">
        <v/>
      </c>
      <c r="E201" t="n">
        <v/>
      </c>
      <c r="F201" t="n">
        <v/>
      </c>
      <c r="G201" t="n">
        <v/>
      </c>
      <c r="H201" t="n">
        <v/>
      </c>
      <c r="I201" t="n">
        <v/>
      </c>
      <c r="J201" t="n">
        <v/>
      </c>
      <c r="K201" t="n">
        <v/>
      </c>
      <c r="L201" t="n">
        <v>0</v>
      </c>
      <c r="M201" t="n">
        <v>0</v>
      </c>
    </row>
    <row r="202">
      <c r="A202" s="148" t="n">
        <v>27303</v>
      </c>
      <c r="B202" t="n">
        <v/>
      </c>
      <c r="C202" t="n">
        <v/>
      </c>
      <c r="D202" t="n">
        <v/>
      </c>
      <c r="E202" t="n">
        <v/>
      </c>
      <c r="F202" t="n">
        <v/>
      </c>
      <c r="G202" t="n">
        <v/>
      </c>
      <c r="H202" t="n">
        <v/>
      </c>
      <c r="I202" t="n">
        <v/>
      </c>
      <c r="J202" t="n">
        <v/>
      </c>
      <c r="K202" t="n">
        <v/>
      </c>
      <c r="L202" t="n">
        <v>0</v>
      </c>
      <c r="M202" t="n">
        <v>0</v>
      </c>
    </row>
    <row r="203">
      <c r="A203" s="148" t="n">
        <v>27334</v>
      </c>
      <c r="B203" t="n">
        <v/>
      </c>
      <c r="C203" t="n">
        <v/>
      </c>
      <c r="D203" t="n">
        <v/>
      </c>
      <c r="E203" t="n">
        <v/>
      </c>
      <c r="F203" t="n">
        <v/>
      </c>
      <c r="G203" t="n">
        <v/>
      </c>
      <c r="H203" t="n">
        <v/>
      </c>
      <c r="I203" t="n">
        <v/>
      </c>
      <c r="J203" t="n">
        <v/>
      </c>
      <c r="K203" t="n">
        <v/>
      </c>
      <c r="L203" t="n">
        <v>0</v>
      </c>
      <c r="M203" t="n">
        <v>0</v>
      </c>
    </row>
    <row r="204">
      <c r="A204" s="148" t="n">
        <v>27364</v>
      </c>
      <c r="B204" t="n">
        <v/>
      </c>
      <c r="C204" t="n">
        <v/>
      </c>
      <c r="D204" t="n">
        <v/>
      </c>
      <c r="E204" t="n">
        <v/>
      </c>
      <c r="F204" t="n">
        <v/>
      </c>
      <c r="G204" t="n">
        <v/>
      </c>
      <c r="H204" t="n">
        <v/>
      </c>
      <c r="I204" t="n">
        <v/>
      </c>
      <c r="J204" t="n">
        <v/>
      </c>
      <c r="K204" t="n">
        <v/>
      </c>
      <c r="L204" t="n">
        <v>0</v>
      </c>
      <c r="M204" t="n">
        <v>0</v>
      </c>
    </row>
    <row r="205">
      <c r="A205" s="148" t="n">
        <v>27395</v>
      </c>
      <c r="B205" t="n">
        <v/>
      </c>
      <c r="C205" t="n">
        <v/>
      </c>
      <c r="D205" t="n">
        <v/>
      </c>
      <c r="E205" t="n">
        <v/>
      </c>
      <c r="F205" t="n">
        <v/>
      </c>
      <c r="G205" t="n">
        <v/>
      </c>
      <c r="H205" t="n">
        <v/>
      </c>
      <c r="I205" t="n">
        <v/>
      </c>
      <c r="J205" t="n">
        <v/>
      </c>
      <c r="K205" t="n">
        <v/>
      </c>
      <c r="L205" t="n">
        <v>0</v>
      </c>
      <c r="M205" t="n">
        <v>0</v>
      </c>
    </row>
    <row r="206">
      <c r="A206" s="148" t="n">
        <v>27426</v>
      </c>
      <c r="B206" t="n">
        <v/>
      </c>
      <c r="C206" t="n">
        <v/>
      </c>
      <c r="D206" t="n">
        <v/>
      </c>
      <c r="E206" t="n">
        <v/>
      </c>
      <c r="F206" t="n">
        <v/>
      </c>
      <c r="G206" t="n">
        <v/>
      </c>
      <c r="H206" t="n">
        <v/>
      </c>
      <c r="I206" t="n">
        <v/>
      </c>
      <c r="J206" t="n">
        <v/>
      </c>
      <c r="K206" t="n">
        <v/>
      </c>
      <c r="L206" t="n">
        <v>0</v>
      </c>
      <c r="M206" t="n">
        <v>0</v>
      </c>
    </row>
    <row r="207">
      <c r="A207" s="148" t="n">
        <v>27454</v>
      </c>
      <c r="B207" t="n">
        <v/>
      </c>
      <c r="C207" t="n">
        <v/>
      </c>
      <c r="D207" t="n">
        <v/>
      </c>
      <c r="E207" t="n">
        <v/>
      </c>
      <c r="F207" t="n">
        <v/>
      </c>
      <c r="G207" t="n">
        <v/>
      </c>
      <c r="H207" t="n">
        <v/>
      </c>
      <c r="I207" t="n">
        <v/>
      </c>
      <c r="J207" t="n">
        <v/>
      </c>
      <c r="K207" t="n">
        <v/>
      </c>
      <c r="L207" t="n">
        <v>0</v>
      </c>
      <c r="M207" t="n">
        <v>0</v>
      </c>
    </row>
    <row r="208">
      <c r="A208" s="148" t="n">
        <v>27485</v>
      </c>
      <c r="B208" t="n">
        <v/>
      </c>
      <c r="C208" t="n">
        <v/>
      </c>
      <c r="D208" t="n">
        <v/>
      </c>
      <c r="E208" t="n">
        <v/>
      </c>
      <c r="F208" t="n">
        <v/>
      </c>
      <c r="G208" t="n">
        <v/>
      </c>
      <c r="H208" t="n">
        <v/>
      </c>
      <c r="I208" t="n">
        <v/>
      </c>
      <c r="J208" t="n">
        <v/>
      </c>
      <c r="K208" t="n">
        <v/>
      </c>
      <c r="L208" t="n">
        <v>0</v>
      </c>
      <c r="M208" t="n">
        <v>0</v>
      </c>
    </row>
    <row r="209">
      <c r="A209" s="148" t="n">
        <v>27515</v>
      </c>
      <c r="B209" t="n">
        <v/>
      </c>
      <c r="C209" t="n">
        <v/>
      </c>
      <c r="D209" t="n">
        <v/>
      </c>
      <c r="E209" t="n">
        <v/>
      </c>
      <c r="F209" t="n">
        <v/>
      </c>
      <c r="G209" t="n">
        <v/>
      </c>
      <c r="H209" t="n">
        <v/>
      </c>
      <c r="I209" t="n">
        <v/>
      </c>
      <c r="J209" t="n">
        <v/>
      </c>
      <c r="K209" t="n">
        <v/>
      </c>
      <c r="L209" t="n">
        <v>0</v>
      </c>
      <c r="M209" t="n">
        <v>0</v>
      </c>
    </row>
    <row r="210">
      <c r="A210" s="148" t="n">
        <v>27546</v>
      </c>
      <c r="B210" t="n">
        <v/>
      </c>
      <c r="C210" t="n">
        <v/>
      </c>
      <c r="D210" t="n">
        <v/>
      </c>
      <c r="E210" t="n">
        <v/>
      </c>
      <c r="F210" t="n">
        <v/>
      </c>
      <c r="G210" t="n">
        <v/>
      </c>
      <c r="H210" t="n">
        <v/>
      </c>
      <c r="I210" t="n">
        <v/>
      </c>
      <c r="J210" t="n">
        <v/>
      </c>
      <c r="K210" t="n">
        <v/>
      </c>
      <c r="L210" t="n">
        <v>0</v>
      </c>
      <c r="M210" t="n">
        <v>0</v>
      </c>
    </row>
    <row r="211">
      <c r="A211" s="148" t="n">
        <v>27576</v>
      </c>
      <c r="B211" t="n">
        <v/>
      </c>
      <c r="C211" t="n">
        <v/>
      </c>
      <c r="D211" t="n">
        <v/>
      </c>
      <c r="E211" t="n">
        <v/>
      </c>
      <c r="F211" t="n">
        <v/>
      </c>
      <c r="G211" t="n">
        <v/>
      </c>
      <c r="H211" t="n">
        <v/>
      </c>
      <c r="I211" t="n">
        <v/>
      </c>
      <c r="J211" t="n">
        <v/>
      </c>
      <c r="K211" t="n">
        <v/>
      </c>
      <c r="L211" t="n">
        <v>0</v>
      </c>
      <c r="M211" t="n">
        <v>0</v>
      </c>
    </row>
    <row r="212">
      <c r="A212" s="148" t="n">
        <v>27607</v>
      </c>
      <c r="B212" t="n">
        <v/>
      </c>
      <c r="C212" t="n">
        <v/>
      </c>
      <c r="D212" t="n">
        <v/>
      </c>
      <c r="E212" t="n">
        <v/>
      </c>
      <c r="F212" t="n">
        <v/>
      </c>
      <c r="G212" t="n">
        <v/>
      </c>
      <c r="H212" t="n">
        <v/>
      </c>
      <c r="I212" t="n">
        <v/>
      </c>
      <c r="J212" t="n">
        <v/>
      </c>
      <c r="K212" t="n">
        <v/>
      </c>
      <c r="L212" t="n">
        <v>0</v>
      </c>
      <c r="M212" t="n">
        <v>0</v>
      </c>
    </row>
    <row r="213">
      <c r="A213" s="148" t="n">
        <v>27638</v>
      </c>
      <c r="B213" t="n">
        <v/>
      </c>
      <c r="C213" t="n">
        <v/>
      </c>
      <c r="D213" t="n">
        <v/>
      </c>
      <c r="E213" t="n">
        <v/>
      </c>
      <c r="F213" t="n">
        <v/>
      </c>
      <c r="G213" t="n">
        <v/>
      </c>
      <c r="H213" t="n">
        <v/>
      </c>
      <c r="I213" t="n">
        <v/>
      </c>
      <c r="J213" t="n">
        <v/>
      </c>
      <c r="K213" t="n">
        <v/>
      </c>
      <c r="L213" t="n">
        <v>0</v>
      </c>
      <c r="M213" t="n">
        <v>0</v>
      </c>
    </row>
    <row r="214">
      <c r="A214" s="148" t="n">
        <v>27668</v>
      </c>
      <c r="B214" t="n">
        <v/>
      </c>
      <c r="C214" t="n">
        <v/>
      </c>
      <c r="D214" t="n">
        <v/>
      </c>
      <c r="E214" t="n">
        <v/>
      </c>
      <c r="F214" t="n">
        <v/>
      </c>
      <c r="G214" t="n">
        <v/>
      </c>
      <c r="H214" t="n">
        <v/>
      </c>
      <c r="I214" t="n">
        <v/>
      </c>
      <c r="J214" t="n">
        <v/>
      </c>
      <c r="K214" t="n">
        <v/>
      </c>
      <c r="L214" t="n">
        <v>0</v>
      </c>
      <c r="M214" t="n">
        <v>0</v>
      </c>
    </row>
    <row r="215">
      <c r="A215" s="148" t="n">
        <v>27699</v>
      </c>
      <c r="B215" t="n">
        <v/>
      </c>
      <c r="C215" t="n">
        <v/>
      </c>
      <c r="D215" t="n">
        <v/>
      </c>
      <c r="E215" t="n">
        <v/>
      </c>
      <c r="F215" t="n">
        <v/>
      </c>
      <c r="G215" t="n">
        <v/>
      </c>
      <c r="H215" t="n">
        <v/>
      </c>
      <c r="I215" t="n">
        <v/>
      </c>
      <c r="J215" t="n">
        <v/>
      </c>
      <c r="K215" t="n">
        <v/>
      </c>
      <c r="L215" t="n">
        <v>0</v>
      </c>
      <c r="M215" t="n">
        <v>0</v>
      </c>
    </row>
    <row r="216">
      <c r="A216" s="148" t="n">
        <v>27729</v>
      </c>
      <c r="B216" t="n">
        <v/>
      </c>
      <c r="C216" t="n">
        <v/>
      </c>
      <c r="D216" t="n">
        <v/>
      </c>
      <c r="E216" t="n">
        <v/>
      </c>
      <c r="F216" t="n">
        <v/>
      </c>
      <c r="G216" t="n">
        <v/>
      </c>
      <c r="H216" t="n">
        <v/>
      </c>
      <c r="I216" t="n">
        <v/>
      </c>
      <c r="J216" t="n">
        <v/>
      </c>
      <c r="K216" t="n">
        <v/>
      </c>
      <c r="L216" t="n">
        <v>0</v>
      </c>
      <c r="M216" t="n">
        <v>0</v>
      </c>
    </row>
    <row r="217">
      <c r="A217" s="148" t="n">
        <v>27760</v>
      </c>
      <c r="B217" t="n">
        <v/>
      </c>
      <c r="C217" t="n">
        <v/>
      </c>
      <c r="D217" t="n">
        <v/>
      </c>
      <c r="E217" t="n">
        <v/>
      </c>
      <c r="F217" t="n">
        <v/>
      </c>
      <c r="G217" t="n">
        <v/>
      </c>
      <c r="H217" t="n">
        <v/>
      </c>
      <c r="I217" t="n">
        <v/>
      </c>
      <c r="J217" t="n">
        <v/>
      </c>
      <c r="K217" t="n">
        <v/>
      </c>
      <c r="L217" t="n">
        <v>0</v>
      </c>
      <c r="M217" t="n">
        <v>0</v>
      </c>
    </row>
    <row r="218">
      <c r="A218" s="148" t="n">
        <v>27791</v>
      </c>
      <c r="B218" t="n">
        <v/>
      </c>
      <c r="C218" t="n">
        <v/>
      </c>
      <c r="D218" t="n">
        <v/>
      </c>
      <c r="E218" t="n">
        <v/>
      </c>
      <c r="F218" t="n">
        <v/>
      </c>
      <c r="G218" t="n">
        <v/>
      </c>
      <c r="H218" t="n">
        <v/>
      </c>
      <c r="I218" t="n">
        <v/>
      </c>
      <c r="J218" t="n">
        <v/>
      </c>
      <c r="K218" t="n">
        <v/>
      </c>
      <c r="L218" t="n">
        <v>0</v>
      </c>
      <c r="M218" t="n">
        <v>0</v>
      </c>
    </row>
    <row r="219">
      <c r="A219" s="148" t="n">
        <v>27820</v>
      </c>
      <c r="B219" t="n">
        <v/>
      </c>
      <c r="C219" t="n">
        <v/>
      </c>
      <c r="D219" t="n">
        <v/>
      </c>
      <c r="E219" t="n">
        <v/>
      </c>
      <c r="F219" t="n">
        <v/>
      </c>
      <c r="G219" t="n">
        <v/>
      </c>
      <c r="H219" t="n">
        <v/>
      </c>
      <c r="I219" t="n">
        <v/>
      </c>
      <c r="J219" t="n">
        <v/>
      </c>
      <c r="K219" t="n">
        <v/>
      </c>
      <c r="L219" t="n">
        <v>0</v>
      </c>
      <c r="M219" t="n">
        <v>0</v>
      </c>
    </row>
    <row r="220">
      <c r="A220" s="148" t="n">
        <v>27851</v>
      </c>
      <c r="B220" t="n">
        <v/>
      </c>
      <c r="C220" t="n">
        <v/>
      </c>
      <c r="D220" t="n">
        <v/>
      </c>
      <c r="E220" t="n">
        <v/>
      </c>
      <c r="F220" t="n">
        <v/>
      </c>
      <c r="G220" t="n">
        <v/>
      </c>
      <c r="H220" t="n">
        <v/>
      </c>
      <c r="I220" t="n">
        <v/>
      </c>
      <c r="J220" t="n">
        <v/>
      </c>
      <c r="K220" t="n">
        <v/>
      </c>
      <c r="L220" t="n">
        <v>0</v>
      </c>
      <c r="M220" t="n">
        <v>0</v>
      </c>
    </row>
    <row r="221">
      <c r="A221" s="148" t="n">
        <v>27881</v>
      </c>
      <c r="B221" t="n">
        <v/>
      </c>
      <c r="C221" t="n">
        <v/>
      </c>
      <c r="D221" t="n">
        <v/>
      </c>
      <c r="E221" t="n">
        <v/>
      </c>
      <c r="F221" t="n">
        <v/>
      </c>
      <c r="G221" t="n">
        <v/>
      </c>
      <c r="H221" t="n">
        <v/>
      </c>
      <c r="I221" t="n">
        <v/>
      </c>
      <c r="J221" t="n">
        <v/>
      </c>
      <c r="K221" t="n">
        <v/>
      </c>
      <c r="L221" t="n">
        <v>0</v>
      </c>
      <c r="M221" t="n">
        <v>0</v>
      </c>
    </row>
    <row r="222">
      <c r="A222" s="148" t="n">
        <v>27912</v>
      </c>
      <c r="B222" t="n">
        <v/>
      </c>
      <c r="C222" t="n">
        <v/>
      </c>
      <c r="D222" t="n">
        <v/>
      </c>
      <c r="E222" t="n">
        <v/>
      </c>
      <c r="F222" t="n">
        <v/>
      </c>
      <c r="G222" t="n">
        <v/>
      </c>
      <c r="H222" t="n">
        <v/>
      </c>
      <c r="I222" t="n">
        <v/>
      </c>
      <c r="J222" t="n">
        <v/>
      </c>
      <c r="K222" t="n">
        <v/>
      </c>
      <c r="L222" t="n">
        <v>0</v>
      </c>
      <c r="M222" t="n">
        <v>0</v>
      </c>
    </row>
    <row r="223">
      <c r="A223" s="148" t="n">
        <v>27942</v>
      </c>
      <c r="B223" t="n">
        <v/>
      </c>
      <c r="C223" t="n">
        <v/>
      </c>
      <c r="D223" t="n">
        <v/>
      </c>
      <c r="E223" t="n">
        <v/>
      </c>
      <c r="F223" t="n">
        <v/>
      </c>
      <c r="G223" t="n">
        <v/>
      </c>
      <c r="H223" t="n">
        <v/>
      </c>
      <c r="I223" t="n">
        <v/>
      </c>
      <c r="J223" t="n">
        <v/>
      </c>
      <c r="K223" t="n">
        <v/>
      </c>
      <c r="L223" t="n">
        <v>0</v>
      </c>
      <c r="M223" t="n">
        <v>0</v>
      </c>
    </row>
    <row r="224">
      <c r="A224" s="148" t="n">
        <v>27973</v>
      </c>
      <c r="B224" t="n">
        <v/>
      </c>
      <c r="C224" t="n">
        <v/>
      </c>
      <c r="D224" t="n">
        <v/>
      </c>
      <c r="E224" t="n">
        <v/>
      </c>
      <c r="F224" t="n">
        <v/>
      </c>
      <c r="G224" t="n">
        <v/>
      </c>
      <c r="H224" t="n">
        <v/>
      </c>
      <c r="I224" t="n">
        <v/>
      </c>
      <c r="J224" t="n">
        <v/>
      </c>
      <c r="K224" t="n">
        <v/>
      </c>
      <c r="L224" t="n">
        <v>0</v>
      </c>
      <c r="M224" t="n">
        <v>0</v>
      </c>
    </row>
    <row r="225">
      <c r="A225" s="148" t="n">
        <v>28004</v>
      </c>
      <c r="B225" t="n">
        <v/>
      </c>
      <c r="C225" t="n">
        <v/>
      </c>
      <c r="D225" t="n">
        <v/>
      </c>
      <c r="E225" t="n">
        <v/>
      </c>
      <c r="F225" t="n">
        <v/>
      </c>
      <c r="G225" t="n">
        <v/>
      </c>
      <c r="H225" t="n">
        <v/>
      </c>
      <c r="I225" t="n">
        <v/>
      </c>
      <c r="J225" t="n">
        <v/>
      </c>
      <c r="K225" t="n">
        <v/>
      </c>
      <c r="L225" t="n">
        <v>0</v>
      </c>
      <c r="M225" t="n">
        <v>0</v>
      </c>
    </row>
    <row r="226">
      <c r="A226" s="148" t="n">
        <v>28034</v>
      </c>
      <c r="B226" t="n">
        <v/>
      </c>
      <c r="C226" t="n">
        <v/>
      </c>
      <c r="D226" t="n">
        <v/>
      </c>
      <c r="E226" t="n">
        <v/>
      </c>
      <c r="F226" t="n">
        <v/>
      </c>
      <c r="G226" t="n">
        <v/>
      </c>
      <c r="H226" t="n">
        <v/>
      </c>
      <c r="I226" t="n">
        <v/>
      </c>
      <c r="J226" t="n">
        <v/>
      </c>
      <c r="K226" t="n">
        <v/>
      </c>
      <c r="L226" t="n">
        <v>0</v>
      </c>
      <c r="M226" t="n">
        <v>0</v>
      </c>
    </row>
    <row r="227">
      <c r="A227" s="148" t="n">
        <v>28065</v>
      </c>
      <c r="B227" t="n">
        <v/>
      </c>
      <c r="C227" t="n">
        <v/>
      </c>
      <c r="D227" t="n">
        <v/>
      </c>
      <c r="E227" t="n">
        <v/>
      </c>
      <c r="F227" t="n">
        <v/>
      </c>
      <c r="G227" t="n">
        <v/>
      </c>
      <c r="H227" t="n">
        <v/>
      </c>
      <c r="I227" t="n">
        <v/>
      </c>
      <c r="J227" t="n">
        <v/>
      </c>
      <c r="K227" t="n">
        <v/>
      </c>
      <c r="L227" t="n">
        <v>0</v>
      </c>
      <c r="M227" t="n">
        <v>0</v>
      </c>
    </row>
    <row r="228">
      <c r="A228" s="148" t="n">
        <v>28095</v>
      </c>
      <c r="B228" t="n">
        <v/>
      </c>
      <c r="C228" t="n">
        <v/>
      </c>
      <c r="D228" t="n">
        <v/>
      </c>
      <c r="E228" t="n">
        <v/>
      </c>
      <c r="F228" t="n">
        <v/>
      </c>
      <c r="G228" t="n">
        <v/>
      </c>
      <c r="H228" t="n">
        <v/>
      </c>
      <c r="I228" t="n">
        <v/>
      </c>
      <c r="J228" t="n">
        <v/>
      </c>
      <c r="K228" t="n">
        <v/>
      </c>
      <c r="L228" t="n">
        <v>0</v>
      </c>
      <c r="M228" t="n">
        <v>0</v>
      </c>
    </row>
    <row r="229">
      <c r="A229" s="148" t="n">
        <v>28126</v>
      </c>
      <c r="B229" t="n">
        <v/>
      </c>
      <c r="C229" t="n">
        <v/>
      </c>
      <c r="D229" t="n">
        <v/>
      </c>
      <c r="E229" t="n">
        <v/>
      </c>
      <c r="F229" t="n">
        <v/>
      </c>
      <c r="G229" t="n">
        <v/>
      </c>
      <c r="H229" t="n">
        <v/>
      </c>
      <c r="I229" t="n">
        <v/>
      </c>
      <c r="J229" t="n">
        <v/>
      </c>
      <c r="K229" t="n">
        <v/>
      </c>
      <c r="L229" t="n">
        <v>0</v>
      </c>
      <c r="M229" t="n">
        <v>0</v>
      </c>
    </row>
    <row r="230">
      <c r="A230" s="148" t="n">
        <v>28157</v>
      </c>
      <c r="B230" t="n">
        <v/>
      </c>
      <c r="C230" t="n">
        <v/>
      </c>
      <c r="D230" t="n">
        <v/>
      </c>
      <c r="E230" t="n">
        <v/>
      </c>
      <c r="F230" t="n">
        <v/>
      </c>
      <c r="G230" t="n">
        <v/>
      </c>
      <c r="H230" t="n">
        <v/>
      </c>
      <c r="I230" t="n">
        <v/>
      </c>
      <c r="J230" t="n">
        <v/>
      </c>
      <c r="K230" t="n">
        <v/>
      </c>
      <c r="L230" t="n">
        <v>0</v>
      </c>
      <c r="M230" t="n">
        <v>0</v>
      </c>
    </row>
    <row r="231">
      <c r="A231" s="148" t="n">
        <v>28185</v>
      </c>
      <c r="B231" t="n">
        <v/>
      </c>
      <c r="C231" t="n">
        <v/>
      </c>
      <c r="D231" t="n">
        <v/>
      </c>
      <c r="E231" t="n">
        <v/>
      </c>
      <c r="F231" t="n">
        <v/>
      </c>
      <c r="G231" t="n">
        <v/>
      </c>
      <c r="H231" t="n">
        <v/>
      </c>
      <c r="I231" t="n">
        <v/>
      </c>
      <c r="J231" t="n">
        <v/>
      </c>
      <c r="K231" t="n">
        <v/>
      </c>
      <c r="L231" t="n">
        <v>0</v>
      </c>
      <c r="M231" t="n">
        <v>0</v>
      </c>
    </row>
    <row r="232">
      <c r="A232" s="148" t="n">
        <v>28216</v>
      </c>
      <c r="B232" t="n">
        <v/>
      </c>
      <c r="C232" t="n">
        <v/>
      </c>
      <c r="D232" t="n">
        <v/>
      </c>
      <c r="E232" t="n">
        <v/>
      </c>
      <c r="F232" t="n">
        <v/>
      </c>
      <c r="G232" t="n">
        <v/>
      </c>
      <c r="H232" t="n">
        <v/>
      </c>
      <c r="I232" t="n">
        <v/>
      </c>
      <c r="J232" t="n">
        <v/>
      </c>
      <c r="K232" t="n">
        <v/>
      </c>
      <c r="L232" t="n">
        <v>0</v>
      </c>
      <c r="M232" t="n">
        <v>0</v>
      </c>
    </row>
    <row r="233">
      <c r="A233" s="148" t="n">
        <v>28246</v>
      </c>
      <c r="B233" t="n">
        <v/>
      </c>
      <c r="C233" t="n">
        <v/>
      </c>
      <c r="D233" t="n">
        <v/>
      </c>
      <c r="E233" t="n">
        <v/>
      </c>
      <c r="F233" t="n">
        <v/>
      </c>
      <c r="G233" t="n">
        <v/>
      </c>
      <c r="H233" t="n">
        <v/>
      </c>
      <c r="I233" t="n">
        <v/>
      </c>
      <c r="J233" t="n">
        <v/>
      </c>
      <c r="K233" t="n">
        <v/>
      </c>
      <c r="L233" t="n">
        <v>0</v>
      </c>
      <c r="M233" t="n">
        <v>0</v>
      </c>
    </row>
    <row r="234">
      <c r="A234" s="148" t="n">
        <v>28277</v>
      </c>
      <c r="B234" t="n">
        <v/>
      </c>
      <c r="C234" t="n">
        <v/>
      </c>
      <c r="D234" t="n">
        <v/>
      </c>
      <c r="E234" t="n">
        <v/>
      </c>
      <c r="F234" t="n">
        <v/>
      </c>
      <c r="G234" t="n">
        <v/>
      </c>
      <c r="H234" t="n">
        <v/>
      </c>
      <c r="I234" t="n">
        <v/>
      </c>
      <c r="J234" t="n">
        <v/>
      </c>
      <c r="K234" t="n">
        <v/>
      </c>
      <c r="L234" t="n">
        <v>0</v>
      </c>
      <c r="M234" t="n">
        <v>0</v>
      </c>
    </row>
    <row r="235">
      <c r="A235" s="148" t="n">
        <v>28307</v>
      </c>
      <c r="B235" t="n">
        <v/>
      </c>
      <c r="C235" t="n">
        <v/>
      </c>
      <c r="D235" t="n">
        <v/>
      </c>
      <c r="E235" t="n">
        <v/>
      </c>
      <c r="F235" t="n">
        <v/>
      </c>
      <c r="G235" t="n">
        <v/>
      </c>
      <c r="H235" t="n">
        <v/>
      </c>
      <c r="I235" t="n">
        <v/>
      </c>
      <c r="J235" t="n">
        <v/>
      </c>
      <c r="K235" t="n">
        <v/>
      </c>
      <c r="L235" t="n">
        <v>0</v>
      </c>
      <c r="M235" t="n">
        <v>0</v>
      </c>
    </row>
    <row r="236">
      <c r="A236" s="148" t="n">
        <v>28338</v>
      </c>
      <c r="B236" t="n">
        <v/>
      </c>
      <c r="C236" t="n">
        <v/>
      </c>
      <c r="D236" t="n">
        <v/>
      </c>
      <c r="E236" t="n">
        <v/>
      </c>
      <c r="F236" t="n">
        <v/>
      </c>
      <c r="G236" t="n">
        <v/>
      </c>
      <c r="H236" t="n">
        <v/>
      </c>
      <c r="I236" t="n">
        <v/>
      </c>
      <c r="J236" t="n">
        <v/>
      </c>
      <c r="K236" t="n">
        <v/>
      </c>
      <c r="L236" t="n">
        <v>0</v>
      </c>
      <c r="M236" t="n">
        <v>0</v>
      </c>
    </row>
    <row r="237">
      <c r="A237" s="148" t="n">
        <v>28369</v>
      </c>
      <c r="B237" t="n">
        <v/>
      </c>
      <c r="C237" t="n">
        <v/>
      </c>
      <c r="D237" t="n">
        <v/>
      </c>
      <c r="E237" t="n">
        <v/>
      </c>
      <c r="F237" t="n">
        <v/>
      </c>
      <c r="G237" t="n">
        <v/>
      </c>
      <c r="H237" t="n">
        <v/>
      </c>
      <c r="I237" t="n">
        <v/>
      </c>
      <c r="J237" t="n">
        <v/>
      </c>
      <c r="K237" t="n">
        <v/>
      </c>
      <c r="L237" t="n">
        <v>0</v>
      </c>
      <c r="M237" t="n">
        <v>0</v>
      </c>
    </row>
    <row r="238">
      <c r="A238" s="148" t="n">
        <v>28399</v>
      </c>
      <c r="B238" t="n">
        <v/>
      </c>
      <c r="C238" t="n">
        <v/>
      </c>
      <c r="D238" t="n">
        <v/>
      </c>
      <c r="E238" t="n">
        <v/>
      </c>
      <c r="F238" t="n">
        <v/>
      </c>
      <c r="G238" t="n">
        <v/>
      </c>
      <c r="H238" t="n">
        <v/>
      </c>
      <c r="I238" t="n">
        <v/>
      </c>
      <c r="J238" t="n">
        <v/>
      </c>
      <c r="K238" t="n">
        <v/>
      </c>
      <c r="L238" t="n">
        <v>0</v>
      </c>
      <c r="M238" t="n">
        <v>0</v>
      </c>
    </row>
    <row r="239">
      <c r="A239" s="148" t="n">
        <v>28430</v>
      </c>
      <c r="B239" t="n">
        <v/>
      </c>
      <c r="C239" t="n">
        <v/>
      </c>
      <c r="D239" t="n">
        <v/>
      </c>
      <c r="E239" t="n">
        <v/>
      </c>
      <c r="F239" t="n">
        <v/>
      </c>
      <c r="G239" t="n">
        <v/>
      </c>
      <c r="H239" t="n">
        <v/>
      </c>
      <c r="I239" t="n">
        <v/>
      </c>
      <c r="J239" t="n">
        <v/>
      </c>
      <c r="K239" t="n">
        <v/>
      </c>
      <c r="L239" t="n">
        <v>0</v>
      </c>
      <c r="M239" t="n">
        <v>0</v>
      </c>
    </row>
    <row r="240">
      <c r="A240" s="148" t="n">
        <v>28460</v>
      </c>
      <c r="B240" t="n">
        <v/>
      </c>
      <c r="C240" t="n">
        <v/>
      </c>
      <c r="D240" t="n">
        <v/>
      </c>
      <c r="E240" t="n">
        <v/>
      </c>
      <c r="F240" t="n">
        <v/>
      </c>
      <c r="G240" t="n">
        <v/>
      </c>
      <c r="H240" t="n">
        <v/>
      </c>
      <c r="I240" t="n">
        <v/>
      </c>
      <c r="J240" t="n">
        <v/>
      </c>
      <c r="K240" t="n">
        <v/>
      </c>
      <c r="L240" t="n">
        <v>0</v>
      </c>
      <c r="M240" t="n">
        <v>0</v>
      </c>
    </row>
    <row r="241">
      <c r="A241" s="148" t="n">
        <v>28491</v>
      </c>
      <c r="B241" t="n">
        <v/>
      </c>
      <c r="C241" t="n">
        <v/>
      </c>
      <c r="D241" t="n">
        <v/>
      </c>
      <c r="E241" t="n">
        <v/>
      </c>
      <c r="F241" t="n">
        <v/>
      </c>
      <c r="G241" t="n">
        <v/>
      </c>
      <c r="H241" t="n">
        <v/>
      </c>
      <c r="I241" t="n">
        <v/>
      </c>
      <c r="J241" t="n">
        <v/>
      </c>
      <c r="K241" t="n">
        <v/>
      </c>
      <c r="L241" t="n">
        <v>0</v>
      </c>
      <c r="M241" t="n">
        <v>0</v>
      </c>
    </row>
    <row r="242">
      <c r="A242" s="148" t="n">
        <v>28522</v>
      </c>
      <c r="B242" t="n">
        <v/>
      </c>
      <c r="C242" t="n">
        <v/>
      </c>
      <c r="D242" t="n">
        <v/>
      </c>
      <c r="E242" t="n">
        <v/>
      </c>
      <c r="F242" t="n">
        <v/>
      </c>
      <c r="G242" t="n">
        <v/>
      </c>
      <c r="H242" t="n">
        <v/>
      </c>
      <c r="I242" t="n">
        <v/>
      </c>
      <c r="J242" t="n">
        <v/>
      </c>
      <c r="K242" t="n">
        <v/>
      </c>
      <c r="L242" t="n">
        <v>0</v>
      </c>
      <c r="M242" t="n">
        <v>0</v>
      </c>
    </row>
    <row r="243">
      <c r="A243" s="148" t="n">
        <v>28550</v>
      </c>
      <c r="B243" t="n">
        <v/>
      </c>
      <c r="C243" t="n">
        <v/>
      </c>
      <c r="D243" t="n">
        <v/>
      </c>
      <c r="E243" t="n">
        <v/>
      </c>
      <c r="F243" t="n">
        <v/>
      </c>
      <c r="G243" t="n">
        <v/>
      </c>
      <c r="H243" t="n">
        <v/>
      </c>
      <c r="I243" t="n">
        <v/>
      </c>
      <c r="J243" t="n">
        <v/>
      </c>
      <c r="K243" t="n">
        <v/>
      </c>
      <c r="L243" t="n">
        <v>0</v>
      </c>
      <c r="M243" t="n">
        <v>0</v>
      </c>
    </row>
    <row r="244">
      <c r="A244" s="148" t="n">
        <v>28581</v>
      </c>
      <c r="B244" t="n">
        <v/>
      </c>
      <c r="C244" t="n">
        <v/>
      </c>
      <c r="D244" t="n">
        <v/>
      </c>
      <c r="E244" t="n">
        <v/>
      </c>
      <c r="F244" t="n">
        <v/>
      </c>
      <c r="G244" t="n">
        <v/>
      </c>
      <c r="H244" t="n">
        <v/>
      </c>
      <c r="I244" t="n">
        <v/>
      </c>
      <c r="J244" t="n">
        <v/>
      </c>
      <c r="K244" t="n">
        <v/>
      </c>
      <c r="L244" t="n">
        <v>0</v>
      </c>
      <c r="M244" t="n">
        <v>0</v>
      </c>
    </row>
    <row r="245">
      <c r="A245" s="148" t="n">
        <v>28611</v>
      </c>
      <c r="B245" t="n">
        <v/>
      </c>
      <c r="C245" t="n">
        <v/>
      </c>
      <c r="D245" t="n">
        <v/>
      </c>
      <c r="E245" t="n">
        <v/>
      </c>
      <c r="F245" t="n">
        <v/>
      </c>
      <c r="G245" t="n">
        <v/>
      </c>
      <c r="H245" t="n">
        <v/>
      </c>
      <c r="I245" t="n">
        <v/>
      </c>
      <c r="J245" t="n">
        <v/>
      </c>
      <c r="K245" t="n">
        <v/>
      </c>
      <c r="L245" t="n">
        <v>0</v>
      </c>
      <c r="M245" t="n">
        <v>0</v>
      </c>
    </row>
    <row r="246">
      <c r="A246" s="148" t="n">
        <v>28642</v>
      </c>
      <c r="B246" t="n">
        <v/>
      </c>
      <c r="C246" t="n">
        <v/>
      </c>
      <c r="D246" t="n">
        <v/>
      </c>
      <c r="E246" t="n">
        <v/>
      </c>
      <c r="F246" t="n">
        <v/>
      </c>
      <c r="G246" t="n">
        <v/>
      </c>
      <c r="H246" t="n">
        <v/>
      </c>
      <c r="I246" t="n">
        <v/>
      </c>
      <c r="J246" t="n">
        <v/>
      </c>
      <c r="K246" t="n">
        <v/>
      </c>
      <c r="L246" t="n">
        <v>0</v>
      </c>
      <c r="M246" t="n">
        <v>0</v>
      </c>
    </row>
    <row r="247">
      <c r="A247" s="148" t="n">
        <v>28672</v>
      </c>
      <c r="B247" t="n">
        <v/>
      </c>
      <c r="C247" t="n">
        <v/>
      </c>
      <c r="D247" t="n">
        <v/>
      </c>
      <c r="E247" t="n">
        <v/>
      </c>
      <c r="F247" t="n">
        <v/>
      </c>
      <c r="G247" t="n">
        <v/>
      </c>
      <c r="H247" t="n">
        <v/>
      </c>
      <c r="I247" t="n">
        <v/>
      </c>
      <c r="J247" t="n">
        <v/>
      </c>
      <c r="K247" t="n">
        <v/>
      </c>
      <c r="L247" t="n">
        <v>0</v>
      </c>
      <c r="M247" t="n">
        <v>0</v>
      </c>
    </row>
    <row r="248">
      <c r="A248" s="148" t="n">
        <v>28703</v>
      </c>
      <c r="B248" t="n">
        <v/>
      </c>
      <c r="C248" t="n">
        <v/>
      </c>
      <c r="D248" t="n">
        <v/>
      </c>
      <c r="E248" t="n">
        <v/>
      </c>
      <c r="F248" t="n">
        <v/>
      </c>
      <c r="G248" t="n">
        <v/>
      </c>
      <c r="H248" t="n">
        <v/>
      </c>
      <c r="I248" t="n">
        <v/>
      </c>
      <c r="J248" t="n">
        <v/>
      </c>
      <c r="K248" t="n">
        <v/>
      </c>
      <c r="L248" t="n">
        <v>0</v>
      </c>
      <c r="M248" t="n">
        <v>0</v>
      </c>
    </row>
    <row r="249">
      <c r="A249" s="148" t="n">
        <v>28734</v>
      </c>
      <c r="B249" t="n">
        <v/>
      </c>
      <c r="C249" t="n">
        <v/>
      </c>
      <c r="D249" t="n">
        <v/>
      </c>
      <c r="E249" t="n">
        <v/>
      </c>
      <c r="F249" t="n">
        <v/>
      </c>
      <c r="G249" t="n">
        <v/>
      </c>
      <c r="H249" t="n">
        <v/>
      </c>
      <c r="I249" t="n">
        <v/>
      </c>
      <c r="J249" t="n">
        <v/>
      </c>
      <c r="K249" t="n">
        <v/>
      </c>
      <c r="L249" t="n">
        <v>0</v>
      </c>
      <c r="M249" t="n">
        <v>0</v>
      </c>
    </row>
    <row r="250">
      <c r="A250" s="148" t="n">
        <v>28764</v>
      </c>
      <c r="B250" t="n">
        <v/>
      </c>
      <c r="C250" t="n">
        <v/>
      </c>
      <c r="D250" t="n">
        <v/>
      </c>
      <c r="E250" t="n">
        <v/>
      </c>
      <c r="F250" t="n">
        <v/>
      </c>
      <c r="G250" t="n">
        <v/>
      </c>
      <c r="H250" t="n">
        <v/>
      </c>
      <c r="I250" t="n">
        <v/>
      </c>
      <c r="J250" t="n">
        <v/>
      </c>
      <c r="K250" t="n">
        <v/>
      </c>
      <c r="L250" t="n">
        <v>0</v>
      </c>
      <c r="M250" t="n">
        <v>0</v>
      </c>
    </row>
    <row r="251">
      <c r="A251" s="148" t="n">
        <v>28795</v>
      </c>
      <c r="B251" t="n">
        <v/>
      </c>
      <c r="C251" t="n">
        <v/>
      </c>
      <c r="D251" t="n">
        <v/>
      </c>
      <c r="E251" t="n">
        <v/>
      </c>
      <c r="F251" t="n">
        <v/>
      </c>
      <c r="G251" t="n">
        <v/>
      </c>
      <c r="H251" t="n">
        <v/>
      </c>
      <c r="I251" t="n">
        <v/>
      </c>
      <c r="J251" t="n">
        <v/>
      </c>
      <c r="K251" t="n">
        <v/>
      </c>
      <c r="L251" t="n">
        <v>0</v>
      </c>
      <c r="M251" t="n">
        <v>0</v>
      </c>
    </row>
    <row r="252">
      <c r="A252" s="148" t="n">
        <v>28825</v>
      </c>
      <c r="B252" t="n">
        <v/>
      </c>
      <c r="C252" t="n">
        <v/>
      </c>
      <c r="D252" t="n">
        <v/>
      </c>
      <c r="E252" t="n">
        <v/>
      </c>
      <c r="F252" t="n">
        <v/>
      </c>
      <c r="G252" t="n">
        <v/>
      </c>
      <c r="H252" t="n">
        <v/>
      </c>
      <c r="I252" t="n">
        <v/>
      </c>
      <c r="J252" t="n">
        <v/>
      </c>
      <c r="K252" t="n">
        <v/>
      </c>
      <c r="L252" t="n">
        <v>0</v>
      </c>
      <c r="M252" t="n">
        <v>0</v>
      </c>
    </row>
    <row r="253">
      <c r="A253" s="148" t="n">
        <v>28856</v>
      </c>
      <c r="B253" t="n">
        <v/>
      </c>
      <c r="C253" t="n">
        <v/>
      </c>
      <c r="D253" t="n">
        <v/>
      </c>
      <c r="E253" t="n">
        <v/>
      </c>
      <c r="F253" t="n">
        <v/>
      </c>
      <c r="G253" t="n">
        <v/>
      </c>
      <c r="H253" t="n">
        <v/>
      </c>
      <c r="I253" t="n">
        <v/>
      </c>
      <c r="J253" t="n">
        <v/>
      </c>
      <c r="K253" t="n">
        <v/>
      </c>
      <c r="L253" t="n">
        <v>0</v>
      </c>
      <c r="M253" t="n">
        <v>0</v>
      </c>
    </row>
    <row r="254">
      <c r="A254" s="148" t="n">
        <v>28887</v>
      </c>
      <c r="B254" t="n">
        <v/>
      </c>
      <c r="C254" t="n">
        <v/>
      </c>
      <c r="D254" t="n">
        <v/>
      </c>
      <c r="E254" t="n">
        <v/>
      </c>
      <c r="F254" t="n">
        <v/>
      </c>
      <c r="G254" t="n">
        <v/>
      </c>
      <c r="H254" t="n">
        <v/>
      </c>
      <c r="I254" t="n">
        <v/>
      </c>
      <c r="J254" t="n">
        <v/>
      </c>
      <c r="K254" t="n">
        <v/>
      </c>
      <c r="L254" t="n">
        <v>0</v>
      </c>
      <c r="M254" t="n">
        <v>0</v>
      </c>
    </row>
    <row r="255">
      <c r="A255" s="148" t="n">
        <v>28915</v>
      </c>
      <c r="B255" t="n">
        <v/>
      </c>
      <c r="C255" t="n">
        <v/>
      </c>
      <c r="D255" t="n">
        <v/>
      </c>
      <c r="E255" t="n">
        <v/>
      </c>
      <c r="F255" t="n">
        <v/>
      </c>
      <c r="G255" t="n">
        <v/>
      </c>
      <c r="H255" t="n">
        <v/>
      </c>
      <c r="I255" t="n">
        <v/>
      </c>
      <c r="J255" t="n">
        <v/>
      </c>
      <c r="K255" t="n">
        <v/>
      </c>
      <c r="L255" t="n">
        <v>0</v>
      </c>
      <c r="M255" t="n">
        <v>0</v>
      </c>
    </row>
    <row r="256">
      <c r="A256" s="148" t="n">
        <v>28946</v>
      </c>
      <c r="B256" t="n">
        <v/>
      </c>
      <c r="C256" t="n">
        <v/>
      </c>
      <c r="D256" t="n">
        <v/>
      </c>
      <c r="E256" t="n">
        <v/>
      </c>
      <c r="F256" t="n">
        <v/>
      </c>
      <c r="G256" t="n">
        <v/>
      </c>
      <c r="H256" t="n">
        <v/>
      </c>
      <c r="I256" t="n">
        <v/>
      </c>
      <c r="J256" t="n">
        <v/>
      </c>
      <c r="K256" t="n">
        <v/>
      </c>
      <c r="L256" t="n">
        <v>0</v>
      </c>
      <c r="M256" t="n">
        <v>0</v>
      </c>
    </row>
    <row r="257">
      <c r="A257" s="148" t="n">
        <v>28976</v>
      </c>
      <c r="B257" t="n">
        <v/>
      </c>
      <c r="C257" t="n">
        <v/>
      </c>
      <c r="D257" t="n">
        <v/>
      </c>
      <c r="E257" t="n">
        <v/>
      </c>
      <c r="F257" t="n">
        <v/>
      </c>
      <c r="G257" t="n">
        <v/>
      </c>
      <c r="H257" t="n">
        <v/>
      </c>
      <c r="I257" t="n">
        <v/>
      </c>
      <c r="J257" t="n">
        <v/>
      </c>
      <c r="K257" t="n">
        <v/>
      </c>
      <c r="L257" t="n">
        <v>0</v>
      </c>
      <c r="M257" t="n">
        <v>0</v>
      </c>
    </row>
    <row r="258">
      <c r="A258" s="148" t="n">
        <v>29007</v>
      </c>
      <c r="B258" t="n">
        <v/>
      </c>
      <c r="C258" t="n">
        <v/>
      </c>
      <c r="D258" t="n">
        <v/>
      </c>
      <c r="E258" t="n">
        <v/>
      </c>
      <c r="F258" t="n">
        <v/>
      </c>
      <c r="G258" t="n">
        <v/>
      </c>
      <c r="H258" t="n">
        <v/>
      </c>
      <c r="I258" t="n">
        <v/>
      </c>
      <c r="J258" t="n">
        <v/>
      </c>
      <c r="K258" t="n">
        <v/>
      </c>
      <c r="L258" t="n">
        <v>0</v>
      </c>
      <c r="M258" t="n">
        <v>0</v>
      </c>
    </row>
    <row r="259">
      <c r="A259" s="148" t="n">
        <v>29037</v>
      </c>
      <c r="B259" t="n">
        <v/>
      </c>
      <c r="C259" t="n">
        <v/>
      </c>
      <c r="D259" t="n">
        <v/>
      </c>
      <c r="E259" t="n">
        <v/>
      </c>
      <c r="F259" t="n">
        <v/>
      </c>
      <c r="G259" t="n">
        <v/>
      </c>
      <c r="H259" t="n">
        <v/>
      </c>
      <c r="I259" t="n">
        <v/>
      </c>
      <c r="J259" t="n">
        <v/>
      </c>
      <c r="K259" t="n">
        <v/>
      </c>
      <c r="L259" t="n">
        <v>0</v>
      </c>
      <c r="M259" t="n">
        <v>0</v>
      </c>
    </row>
    <row r="260">
      <c r="A260" s="148" t="n">
        <v>29068</v>
      </c>
      <c r="B260" t="n">
        <v/>
      </c>
      <c r="C260" t="n">
        <v/>
      </c>
      <c r="D260" t="n">
        <v/>
      </c>
      <c r="E260" t="n">
        <v/>
      </c>
      <c r="F260" t="n">
        <v/>
      </c>
      <c r="G260" t="n">
        <v/>
      </c>
      <c r="H260" t="n">
        <v/>
      </c>
      <c r="I260" t="n">
        <v/>
      </c>
      <c r="J260" t="n">
        <v/>
      </c>
      <c r="K260" t="n">
        <v/>
      </c>
      <c r="L260" t="n">
        <v>0</v>
      </c>
      <c r="M260" t="n">
        <v>0</v>
      </c>
    </row>
    <row r="261">
      <c r="A261" s="148" t="n">
        <v>29099</v>
      </c>
      <c r="B261" t="n">
        <v/>
      </c>
      <c r="C261" t="n">
        <v/>
      </c>
      <c r="D261" t="n">
        <v/>
      </c>
      <c r="E261" t="n">
        <v/>
      </c>
      <c r="F261" t="n">
        <v/>
      </c>
      <c r="G261" t="n">
        <v/>
      </c>
      <c r="H261" t="n">
        <v/>
      </c>
      <c r="I261" t="n">
        <v/>
      </c>
      <c r="J261" t="n">
        <v/>
      </c>
      <c r="K261" t="n">
        <v/>
      </c>
      <c r="L261" t="n">
        <v>0</v>
      </c>
      <c r="M261" t="n">
        <v>0</v>
      </c>
    </row>
    <row r="262">
      <c r="A262" s="148" t="n">
        <v>29129</v>
      </c>
      <c r="B262" t="n">
        <v/>
      </c>
      <c r="C262" t="n">
        <v/>
      </c>
      <c r="D262" t="n">
        <v/>
      </c>
      <c r="E262" t="n">
        <v/>
      </c>
      <c r="F262" t="n">
        <v/>
      </c>
      <c r="G262" t="n">
        <v/>
      </c>
      <c r="H262" t="n">
        <v/>
      </c>
      <c r="I262" t="n">
        <v/>
      </c>
      <c r="J262" t="n">
        <v/>
      </c>
      <c r="K262" t="n">
        <v/>
      </c>
      <c r="L262" t="n">
        <v>0</v>
      </c>
      <c r="M262" t="n">
        <v>0</v>
      </c>
    </row>
    <row r="263">
      <c r="A263" s="148" t="n">
        <v>29160</v>
      </c>
      <c r="B263" t="n">
        <v/>
      </c>
      <c r="C263" t="n">
        <v/>
      </c>
      <c r="D263" t="n">
        <v/>
      </c>
      <c r="E263" t="n">
        <v/>
      </c>
      <c r="F263" t="n">
        <v/>
      </c>
      <c r="G263" t="n">
        <v/>
      </c>
      <c r="H263" t="n">
        <v/>
      </c>
      <c r="I263" t="n">
        <v/>
      </c>
      <c r="J263" t="n">
        <v/>
      </c>
      <c r="K263" t="n">
        <v/>
      </c>
      <c r="L263" t="n">
        <v>0</v>
      </c>
      <c r="M263" t="n">
        <v>0</v>
      </c>
    </row>
    <row r="264">
      <c r="A264" s="148" t="n">
        <v>29190</v>
      </c>
      <c r="B264" t="n">
        <v/>
      </c>
      <c r="C264" t="n">
        <v/>
      </c>
      <c r="D264" t="n">
        <v/>
      </c>
      <c r="E264" t="n">
        <v/>
      </c>
      <c r="F264" t="n">
        <v/>
      </c>
      <c r="G264" t="n">
        <v/>
      </c>
      <c r="H264" t="n">
        <v/>
      </c>
      <c r="I264" t="n">
        <v/>
      </c>
      <c r="J264" t="n">
        <v/>
      </c>
      <c r="K264" t="n">
        <v/>
      </c>
      <c r="L264" t="n">
        <v>0</v>
      </c>
      <c r="M264" t="n">
        <v>0</v>
      </c>
    </row>
    <row r="265">
      <c r="A265" s="148" t="n">
        <v>29221</v>
      </c>
      <c r="B265" t="n">
        <v/>
      </c>
      <c r="C265" t="n">
        <v/>
      </c>
      <c r="D265" t="n">
        <v/>
      </c>
      <c r="E265" t="n">
        <v/>
      </c>
      <c r="F265" t="n">
        <v/>
      </c>
      <c r="G265" t="n">
        <v/>
      </c>
      <c r="H265" t="n">
        <v/>
      </c>
      <c r="I265" t="n">
        <v/>
      </c>
      <c r="J265" t="n">
        <v/>
      </c>
      <c r="K265" t="n">
        <v/>
      </c>
      <c r="L265" t="n">
        <v>0</v>
      </c>
      <c r="M265" t="n">
        <v>0</v>
      </c>
    </row>
    <row r="266">
      <c r="A266" s="148" t="n">
        <v>29252</v>
      </c>
      <c r="B266" t="n">
        <v/>
      </c>
      <c r="C266" t="n">
        <v/>
      </c>
      <c r="D266" t="n">
        <v/>
      </c>
      <c r="E266" t="n">
        <v/>
      </c>
      <c r="F266" t="n">
        <v/>
      </c>
      <c r="G266" t="n">
        <v/>
      </c>
      <c r="H266" t="n">
        <v/>
      </c>
      <c r="I266" t="n">
        <v/>
      </c>
      <c r="J266" t="n">
        <v/>
      </c>
      <c r="K266" t="n">
        <v/>
      </c>
      <c r="L266" t="n">
        <v>0</v>
      </c>
      <c r="M266" t="n">
        <v>0</v>
      </c>
    </row>
    <row r="267">
      <c r="A267" s="148" t="n">
        <v>29281</v>
      </c>
      <c r="B267" t="n">
        <v/>
      </c>
      <c r="C267" t="n">
        <v/>
      </c>
      <c r="D267" t="n">
        <v/>
      </c>
      <c r="E267" t="n">
        <v/>
      </c>
      <c r="F267" t="n">
        <v/>
      </c>
      <c r="G267" t="n">
        <v/>
      </c>
      <c r="H267" t="n">
        <v/>
      </c>
      <c r="I267" t="n">
        <v/>
      </c>
      <c r="J267" t="n">
        <v/>
      </c>
      <c r="K267" t="n">
        <v/>
      </c>
      <c r="L267" t="n">
        <v>0</v>
      </c>
      <c r="M267" t="n">
        <v>0</v>
      </c>
    </row>
    <row r="268">
      <c r="A268" s="148" t="n">
        <v>29312</v>
      </c>
      <c r="B268" t="n">
        <v/>
      </c>
      <c r="C268" t="n">
        <v/>
      </c>
      <c r="D268" t="n">
        <v/>
      </c>
      <c r="E268" t="n">
        <v/>
      </c>
      <c r="F268" t="n">
        <v/>
      </c>
      <c r="G268" t="n">
        <v/>
      </c>
      <c r="H268" t="n">
        <v/>
      </c>
      <c r="I268" t="n">
        <v/>
      </c>
      <c r="J268" t="n">
        <v/>
      </c>
      <c r="K268" t="n">
        <v/>
      </c>
      <c r="L268" t="n">
        <v>0</v>
      </c>
      <c r="M268" t="n">
        <v>0</v>
      </c>
    </row>
    <row r="269">
      <c r="A269" s="148" t="n">
        <v>29342</v>
      </c>
      <c r="B269" t="n">
        <v/>
      </c>
      <c r="C269" t="n">
        <v/>
      </c>
      <c r="D269" t="n">
        <v/>
      </c>
      <c r="E269" t="n">
        <v/>
      </c>
      <c r="F269" t="n">
        <v/>
      </c>
      <c r="G269" t="n">
        <v/>
      </c>
      <c r="H269" t="n">
        <v/>
      </c>
      <c r="I269" t="n">
        <v/>
      </c>
      <c r="J269" t="n">
        <v/>
      </c>
      <c r="K269" t="n">
        <v/>
      </c>
      <c r="L269" t="n">
        <v>0</v>
      </c>
      <c r="M269" t="n">
        <v>0</v>
      </c>
    </row>
    <row r="270">
      <c r="A270" s="148" t="n">
        <v>29373</v>
      </c>
      <c r="B270" t="n">
        <v/>
      </c>
      <c r="C270" t="n">
        <v/>
      </c>
      <c r="D270" t="n">
        <v/>
      </c>
      <c r="E270" t="n">
        <v/>
      </c>
      <c r="F270" t="n">
        <v/>
      </c>
      <c r="G270" t="n">
        <v/>
      </c>
      <c r="H270" t="n">
        <v/>
      </c>
      <c r="I270" t="n">
        <v/>
      </c>
      <c r="J270" t="n">
        <v/>
      </c>
      <c r="K270" t="n">
        <v/>
      </c>
      <c r="L270" t="n">
        <v>0</v>
      </c>
      <c r="M270" t="n">
        <v>0</v>
      </c>
    </row>
    <row r="271">
      <c r="A271" s="148" t="n">
        <v>29403</v>
      </c>
      <c r="B271" t="n">
        <v/>
      </c>
      <c r="C271" t="n">
        <v/>
      </c>
      <c r="D271" t="n">
        <v/>
      </c>
      <c r="E271" t="n">
        <v/>
      </c>
      <c r="F271" t="n">
        <v/>
      </c>
      <c r="G271" t="n">
        <v/>
      </c>
      <c r="H271" t="n">
        <v/>
      </c>
      <c r="I271" t="n">
        <v/>
      </c>
      <c r="J271" t="n">
        <v/>
      </c>
      <c r="K271" t="n">
        <v/>
      </c>
      <c r="L271" t="n">
        <v>0</v>
      </c>
      <c r="M271" t="n">
        <v>0</v>
      </c>
    </row>
    <row r="272">
      <c r="A272" s="148" t="n">
        <v>29434</v>
      </c>
      <c r="B272" t="n">
        <v/>
      </c>
      <c r="C272" t="n">
        <v/>
      </c>
      <c r="D272" t="n">
        <v/>
      </c>
      <c r="E272" t="n">
        <v/>
      </c>
      <c r="F272" t="n">
        <v/>
      </c>
      <c r="G272" t="n">
        <v/>
      </c>
      <c r="H272" t="n">
        <v/>
      </c>
      <c r="I272" t="n">
        <v/>
      </c>
      <c r="J272" t="n">
        <v/>
      </c>
      <c r="K272" t="n">
        <v/>
      </c>
      <c r="L272" t="n">
        <v>0</v>
      </c>
      <c r="M272" t="n">
        <v>0</v>
      </c>
    </row>
    <row r="273">
      <c r="A273" s="148" t="n">
        <v>29465</v>
      </c>
      <c r="B273" t="n">
        <v/>
      </c>
      <c r="C273" t="n">
        <v/>
      </c>
      <c r="D273" t="n">
        <v/>
      </c>
      <c r="E273" t="n">
        <v/>
      </c>
      <c r="F273" t="n">
        <v/>
      </c>
      <c r="G273" t="n">
        <v/>
      </c>
      <c r="H273" t="n">
        <v/>
      </c>
      <c r="I273" t="n">
        <v/>
      </c>
      <c r="J273" t="n">
        <v/>
      </c>
      <c r="K273" t="n">
        <v/>
      </c>
      <c r="L273" t="n">
        <v>0</v>
      </c>
      <c r="M273" t="n">
        <v>0</v>
      </c>
    </row>
    <row r="274">
      <c r="A274" s="148" t="n">
        <v>29495</v>
      </c>
      <c r="B274" t="n">
        <v/>
      </c>
      <c r="C274" t="n">
        <v/>
      </c>
      <c r="D274" t="n">
        <v/>
      </c>
      <c r="E274" t="n">
        <v/>
      </c>
      <c r="F274" t="n">
        <v/>
      </c>
      <c r="G274" t="n">
        <v/>
      </c>
      <c r="H274" t="n">
        <v/>
      </c>
      <c r="I274" t="n">
        <v/>
      </c>
      <c r="J274" t="n">
        <v/>
      </c>
      <c r="K274" t="n">
        <v/>
      </c>
      <c r="L274" t="n">
        <v>0</v>
      </c>
      <c r="M274" t="n">
        <v>0</v>
      </c>
    </row>
    <row r="275">
      <c r="A275" s="148" t="n">
        <v>29526</v>
      </c>
      <c r="B275" t="n">
        <v/>
      </c>
      <c r="C275" t="n">
        <v/>
      </c>
      <c r="D275" t="n">
        <v/>
      </c>
      <c r="E275" t="n">
        <v/>
      </c>
      <c r="F275" t="n">
        <v/>
      </c>
      <c r="G275" t="n">
        <v/>
      </c>
      <c r="H275" t="n">
        <v/>
      </c>
      <c r="I275" t="n">
        <v/>
      </c>
      <c r="J275" t="n">
        <v/>
      </c>
      <c r="K275" t="n">
        <v/>
      </c>
      <c r="L275" t="n">
        <v>0</v>
      </c>
      <c r="M275" t="n">
        <v>0</v>
      </c>
    </row>
    <row r="276">
      <c r="A276" s="148" t="n">
        <v>29556</v>
      </c>
      <c r="B276" t="n">
        <v/>
      </c>
      <c r="C276" t="n">
        <v/>
      </c>
      <c r="D276" t="n">
        <v/>
      </c>
      <c r="E276" t="n">
        <v/>
      </c>
      <c r="F276" t="n">
        <v/>
      </c>
      <c r="G276" t="n">
        <v/>
      </c>
      <c r="H276" t="n">
        <v/>
      </c>
      <c r="I276" t="n">
        <v/>
      </c>
      <c r="J276" t="n">
        <v/>
      </c>
      <c r="K276" t="n">
        <v/>
      </c>
      <c r="L276" t="n">
        <v>0</v>
      </c>
      <c r="M276" t="n">
        <v>0</v>
      </c>
    </row>
    <row r="277">
      <c r="A277" s="148" t="n">
        <v>29587</v>
      </c>
      <c r="B277" t="n">
        <v/>
      </c>
      <c r="C277" t="n">
        <v/>
      </c>
      <c r="D277" t="n">
        <v/>
      </c>
      <c r="E277" t="n">
        <v/>
      </c>
      <c r="F277" t="n">
        <v/>
      </c>
      <c r="G277" t="n">
        <v/>
      </c>
      <c r="H277" t="n">
        <v/>
      </c>
      <c r="I277" t="n">
        <v/>
      </c>
      <c r="J277" t="n">
        <v/>
      </c>
      <c r="K277" t="n">
        <v/>
      </c>
      <c r="L277" t="n">
        <v>0</v>
      </c>
      <c r="M277" t="n">
        <v>0</v>
      </c>
    </row>
    <row r="278">
      <c r="A278" s="148" t="n">
        <v>29618</v>
      </c>
      <c r="B278" t="n">
        <v/>
      </c>
      <c r="C278" t="n">
        <v/>
      </c>
      <c r="D278" t="n">
        <v/>
      </c>
      <c r="E278" t="n">
        <v/>
      </c>
      <c r="F278" t="n">
        <v/>
      </c>
      <c r="G278" t="n">
        <v/>
      </c>
      <c r="H278" t="n">
        <v/>
      </c>
      <c r="I278" t="n">
        <v/>
      </c>
      <c r="J278" t="n">
        <v/>
      </c>
      <c r="K278" t="n">
        <v/>
      </c>
      <c r="L278" t="n">
        <v>0</v>
      </c>
      <c r="M278" t="n">
        <v>0</v>
      </c>
    </row>
    <row r="279">
      <c r="A279" s="148" t="n">
        <v>29646</v>
      </c>
      <c r="B279" t="n">
        <v/>
      </c>
      <c r="C279" t="n">
        <v/>
      </c>
      <c r="D279" t="n">
        <v/>
      </c>
      <c r="E279" t="n">
        <v/>
      </c>
      <c r="F279" t="n">
        <v/>
      </c>
      <c r="G279" t="n">
        <v/>
      </c>
      <c r="H279" t="n">
        <v/>
      </c>
      <c r="I279" t="n">
        <v/>
      </c>
      <c r="J279" t="n">
        <v/>
      </c>
      <c r="K279" t="n">
        <v/>
      </c>
      <c r="L279" t="n">
        <v>0</v>
      </c>
      <c r="M279" t="n">
        <v>0</v>
      </c>
    </row>
    <row r="280">
      <c r="A280" s="148" t="n">
        <v>29677</v>
      </c>
      <c r="B280" t="n">
        <v/>
      </c>
      <c r="C280" t="n">
        <v/>
      </c>
      <c r="D280" t="n">
        <v/>
      </c>
      <c r="E280" t="n">
        <v/>
      </c>
      <c r="F280" t="n">
        <v/>
      </c>
      <c r="G280" t="n">
        <v/>
      </c>
      <c r="H280" t="n">
        <v/>
      </c>
      <c r="I280" t="n">
        <v/>
      </c>
      <c r="J280" t="n">
        <v/>
      </c>
      <c r="K280" t="n">
        <v/>
      </c>
      <c r="L280" t="n">
        <v>0</v>
      </c>
      <c r="M280" t="n">
        <v>0</v>
      </c>
    </row>
    <row r="281">
      <c r="A281" s="148" t="n">
        <v>29707</v>
      </c>
      <c r="B281" t="n">
        <v/>
      </c>
      <c r="C281" t="n">
        <v/>
      </c>
      <c r="D281" t="n">
        <v/>
      </c>
      <c r="E281" t="n">
        <v/>
      </c>
      <c r="F281" t="n">
        <v/>
      </c>
      <c r="G281" t="n">
        <v/>
      </c>
      <c r="H281" t="n">
        <v/>
      </c>
      <c r="I281" t="n">
        <v/>
      </c>
      <c r="J281" t="n">
        <v/>
      </c>
      <c r="K281" t="n">
        <v/>
      </c>
      <c r="L281" t="n">
        <v>0</v>
      </c>
      <c r="M281" t="n">
        <v>0</v>
      </c>
    </row>
    <row r="282">
      <c r="A282" s="148" t="n">
        <v>29738</v>
      </c>
      <c r="B282" t="n">
        <v/>
      </c>
      <c r="C282" t="n">
        <v/>
      </c>
      <c r="D282" t="n">
        <v/>
      </c>
      <c r="E282" t="n">
        <v/>
      </c>
      <c r="F282" t="n">
        <v/>
      </c>
      <c r="G282" t="n">
        <v/>
      </c>
      <c r="H282" t="n">
        <v/>
      </c>
      <c r="I282" t="n">
        <v/>
      </c>
      <c r="J282" t="n">
        <v/>
      </c>
      <c r="K282" t="n">
        <v/>
      </c>
      <c r="L282" t="n">
        <v>0</v>
      </c>
      <c r="M282" t="n">
        <v>0</v>
      </c>
    </row>
    <row r="283">
      <c r="A283" s="148" t="n">
        <v>29768</v>
      </c>
      <c r="B283" t="n">
        <v/>
      </c>
      <c r="C283" t="n">
        <v/>
      </c>
      <c r="D283" t="n">
        <v/>
      </c>
      <c r="E283" t="n">
        <v/>
      </c>
      <c r="F283" t="n">
        <v/>
      </c>
      <c r="G283" t="n">
        <v/>
      </c>
      <c r="H283" t="n">
        <v/>
      </c>
      <c r="I283" t="n">
        <v/>
      </c>
      <c r="J283" t="n">
        <v/>
      </c>
      <c r="K283" t="n">
        <v/>
      </c>
      <c r="L283" t="n">
        <v>0</v>
      </c>
      <c r="M283" t="n">
        <v>0</v>
      </c>
    </row>
    <row r="284">
      <c r="A284" s="148" t="n">
        <v>29799</v>
      </c>
      <c r="B284" t="n">
        <v/>
      </c>
      <c r="C284" t="n">
        <v/>
      </c>
      <c r="D284" t="n">
        <v/>
      </c>
      <c r="E284" t="n">
        <v/>
      </c>
      <c r="F284" t="n">
        <v/>
      </c>
      <c r="G284" t="n">
        <v/>
      </c>
      <c r="H284" t="n">
        <v/>
      </c>
      <c r="I284" t="n">
        <v/>
      </c>
      <c r="J284" t="n">
        <v/>
      </c>
      <c r="K284" t="n">
        <v/>
      </c>
      <c r="L284" t="n">
        <v>0</v>
      </c>
      <c r="M284" t="n">
        <v>0</v>
      </c>
    </row>
    <row r="285">
      <c r="A285" s="148" t="n">
        <v>29830</v>
      </c>
      <c r="B285" t="n">
        <v/>
      </c>
      <c r="C285" t="n">
        <v/>
      </c>
      <c r="D285" t="n">
        <v/>
      </c>
      <c r="E285" t="n">
        <v/>
      </c>
      <c r="F285" t="n">
        <v/>
      </c>
      <c r="G285" t="n">
        <v/>
      </c>
      <c r="H285" t="n">
        <v/>
      </c>
      <c r="I285" t="n">
        <v/>
      </c>
      <c r="J285" t="n">
        <v/>
      </c>
      <c r="K285" t="n">
        <v/>
      </c>
      <c r="L285" t="n">
        <v>0</v>
      </c>
      <c r="M285" t="n">
        <v>0</v>
      </c>
    </row>
    <row r="286">
      <c r="A286" s="148" t="n">
        <v>29860</v>
      </c>
      <c r="B286" t="n">
        <v/>
      </c>
      <c r="C286" t="n">
        <v/>
      </c>
      <c r="D286" t="n">
        <v/>
      </c>
      <c r="E286" t="n">
        <v/>
      </c>
      <c r="F286" t="n">
        <v/>
      </c>
      <c r="G286" t="n">
        <v/>
      </c>
      <c r="H286" t="n">
        <v/>
      </c>
      <c r="I286" t="n">
        <v/>
      </c>
      <c r="J286" t="n">
        <v/>
      </c>
      <c r="K286" t="n">
        <v/>
      </c>
      <c r="L286" t="n">
        <v>0</v>
      </c>
      <c r="M286" t="n">
        <v>0</v>
      </c>
    </row>
    <row r="287">
      <c r="A287" s="148" t="n">
        <v>29891</v>
      </c>
      <c r="B287" t="n">
        <v/>
      </c>
      <c r="C287" t="n">
        <v/>
      </c>
      <c r="D287" t="n">
        <v/>
      </c>
      <c r="E287" t="n">
        <v/>
      </c>
      <c r="F287" t="n">
        <v/>
      </c>
      <c r="G287" t="n">
        <v/>
      </c>
      <c r="H287" t="n">
        <v/>
      </c>
      <c r="I287" t="n">
        <v/>
      </c>
      <c r="J287" t="n">
        <v/>
      </c>
      <c r="K287" t="n">
        <v/>
      </c>
      <c r="L287" t="n">
        <v>0</v>
      </c>
      <c r="M287" t="n">
        <v>0</v>
      </c>
    </row>
    <row r="288">
      <c r="A288" s="148" t="n">
        <v>29921</v>
      </c>
      <c r="B288" t="n">
        <v/>
      </c>
      <c r="C288" t="n">
        <v/>
      </c>
      <c r="D288" t="n">
        <v/>
      </c>
      <c r="E288" t="n">
        <v/>
      </c>
      <c r="F288" t="n">
        <v/>
      </c>
      <c r="G288" t="n">
        <v/>
      </c>
      <c r="H288" t="n">
        <v/>
      </c>
      <c r="I288" t="n">
        <v/>
      </c>
      <c r="J288" t="n">
        <v/>
      </c>
      <c r="K288" t="n">
        <v/>
      </c>
      <c r="L288" t="n">
        <v>0</v>
      </c>
      <c r="M288" t="n">
        <v>0</v>
      </c>
    </row>
    <row r="289">
      <c r="A289" s="148" t="n">
        <v>29952</v>
      </c>
      <c r="B289" t="n">
        <v/>
      </c>
      <c r="C289" t="n">
        <v/>
      </c>
      <c r="D289" t="n">
        <v/>
      </c>
      <c r="E289" t="n">
        <v/>
      </c>
      <c r="F289" t="n">
        <v/>
      </c>
      <c r="G289" t="n">
        <v/>
      </c>
      <c r="H289" t="n">
        <v/>
      </c>
      <c r="I289" t="n">
        <v/>
      </c>
      <c r="J289" t="n">
        <v/>
      </c>
      <c r="K289" t="n">
        <v/>
      </c>
      <c r="L289" t="n">
        <v>0</v>
      </c>
      <c r="M289" t="n">
        <v>0</v>
      </c>
    </row>
    <row r="290">
      <c r="A290" s="148" t="n">
        <v>29983</v>
      </c>
      <c r="B290" t="n">
        <v/>
      </c>
      <c r="C290" t="n">
        <v/>
      </c>
      <c r="D290" t="n">
        <v/>
      </c>
      <c r="E290" t="n">
        <v/>
      </c>
      <c r="F290" t="n">
        <v/>
      </c>
      <c r="G290" t="n">
        <v/>
      </c>
      <c r="H290" t="n">
        <v/>
      </c>
      <c r="I290" t="n">
        <v/>
      </c>
      <c r="J290" t="n">
        <v/>
      </c>
      <c r="K290" t="n">
        <v/>
      </c>
      <c r="L290" t="n">
        <v>0</v>
      </c>
      <c r="M290" t="n">
        <v>0</v>
      </c>
    </row>
    <row r="291">
      <c r="A291" s="148" t="n">
        <v>30011</v>
      </c>
      <c r="B291" t="n">
        <v/>
      </c>
      <c r="C291" t="n">
        <v/>
      </c>
      <c r="D291" t="n">
        <v/>
      </c>
      <c r="E291" t="n">
        <v/>
      </c>
      <c r="F291" t="n">
        <v/>
      </c>
      <c r="G291" t="n">
        <v/>
      </c>
      <c r="H291" t="n">
        <v/>
      </c>
      <c r="I291" t="n">
        <v/>
      </c>
      <c r="J291" t="n">
        <v/>
      </c>
      <c r="K291" t="n">
        <v/>
      </c>
      <c r="L291" t="n">
        <v>0</v>
      </c>
      <c r="M291" t="n">
        <v>0</v>
      </c>
    </row>
    <row r="292">
      <c r="A292" s="148" t="n">
        <v>30042</v>
      </c>
      <c r="B292" t="n">
        <v/>
      </c>
      <c r="C292" t="n">
        <v/>
      </c>
      <c r="D292" t="n">
        <v/>
      </c>
      <c r="E292" t="n">
        <v/>
      </c>
      <c r="F292" t="n">
        <v/>
      </c>
      <c r="G292" t="n">
        <v/>
      </c>
      <c r="H292" t="n">
        <v/>
      </c>
      <c r="I292" t="n">
        <v/>
      </c>
      <c r="J292" t="n">
        <v/>
      </c>
      <c r="K292" t="n">
        <v/>
      </c>
      <c r="L292" t="n">
        <v>0</v>
      </c>
      <c r="M292" t="n">
        <v>0</v>
      </c>
    </row>
    <row r="293">
      <c r="A293" s="148" t="n">
        <v>30072</v>
      </c>
      <c r="B293" t="n">
        <v/>
      </c>
      <c r="C293" t="n">
        <v/>
      </c>
      <c r="D293" t="n">
        <v/>
      </c>
      <c r="E293" t="n">
        <v/>
      </c>
      <c r="F293" t="n">
        <v/>
      </c>
      <c r="G293" t="n">
        <v/>
      </c>
      <c r="H293" t="n">
        <v/>
      </c>
      <c r="I293" t="n">
        <v/>
      </c>
      <c r="J293" t="n">
        <v/>
      </c>
      <c r="K293" t="n">
        <v/>
      </c>
      <c r="L293" t="n">
        <v>0</v>
      </c>
      <c r="M293" t="n">
        <v>0</v>
      </c>
    </row>
    <row r="294">
      <c r="A294" s="148" t="n">
        <v>30103</v>
      </c>
      <c r="B294" t="n">
        <v/>
      </c>
      <c r="C294" t="n">
        <v/>
      </c>
      <c r="D294" t="n">
        <v/>
      </c>
      <c r="E294" t="n">
        <v/>
      </c>
      <c r="F294" t="n">
        <v/>
      </c>
      <c r="G294" t="n">
        <v/>
      </c>
      <c r="H294" t="n">
        <v/>
      </c>
      <c r="I294" t="n">
        <v/>
      </c>
      <c r="J294" t="n">
        <v/>
      </c>
      <c r="K294" t="n">
        <v/>
      </c>
      <c r="L294" t="n">
        <v>0</v>
      </c>
      <c r="M294" t="n">
        <v>0</v>
      </c>
    </row>
    <row r="295">
      <c r="A295" s="148" t="n">
        <v>30133</v>
      </c>
      <c r="B295" t="n">
        <v/>
      </c>
      <c r="C295" t="n">
        <v/>
      </c>
      <c r="D295" t="n">
        <v/>
      </c>
      <c r="E295" t="n">
        <v/>
      </c>
      <c r="F295" t="n">
        <v/>
      </c>
      <c r="G295" t="n">
        <v/>
      </c>
      <c r="H295" t="n">
        <v/>
      </c>
      <c r="I295" t="n">
        <v/>
      </c>
      <c r="J295" t="n">
        <v/>
      </c>
      <c r="K295" t="n">
        <v/>
      </c>
      <c r="L295" t="n">
        <v>0</v>
      </c>
      <c r="M295" t="n">
        <v>0</v>
      </c>
    </row>
    <row r="296">
      <c r="A296" s="148" t="n">
        <v>30164</v>
      </c>
      <c r="B296" t="n">
        <v/>
      </c>
      <c r="C296" t="n">
        <v/>
      </c>
      <c r="D296" t="n">
        <v/>
      </c>
      <c r="E296" t="n">
        <v/>
      </c>
      <c r="F296" t="n">
        <v/>
      </c>
      <c r="G296" t="n">
        <v/>
      </c>
      <c r="H296" t="n">
        <v/>
      </c>
      <c r="I296" t="n">
        <v/>
      </c>
      <c r="J296" t="n">
        <v/>
      </c>
      <c r="K296" t="n">
        <v/>
      </c>
      <c r="L296" t="n">
        <v>0</v>
      </c>
      <c r="M296" t="n">
        <v>0</v>
      </c>
    </row>
    <row r="297">
      <c r="A297" s="148" t="n">
        <v>30195</v>
      </c>
      <c r="B297" t="n">
        <v/>
      </c>
      <c r="C297" t="n">
        <v/>
      </c>
      <c r="D297" t="n">
        <v/>
      </c>
      <c r="E297" t="n">
        <v/>
      </c>
      <c r="F297" t="n">
        <v/>
      </c>
      <c r="G297" t="n">
        <v/>
      </c>
      <c r="H297" t="n">
        <v/>
      </c>
      <c r="I297" t="n">
        <v/>
      </c>
      <c r="J297" t="n">
        <v/>
      </c>
      <c r="K297" t="n">
        <v/>
      </c>
      <c r="L297" t="n">
        <v>0</v>
      </c>
      <c r="M297" t="n">
        <v>0</v>
      </c>
    </row>
    <row r="298">
      <c r="A298" s="148" t="n">
        <v>30225</v>
      </c>
      <c r="B298" t="n">
        <v/>
      </c>
      <c r="C298" t="n">
        <v/>
      </c>
      <c r="D298" t="n">
        <v/>
      </c>
      <c r="E298" t="n">
        <v/>
      </c>
      <c r="F298" t="n">
        <v/>
      </c>
      <c r="G298" t="n">
        <v/>
      </c>
      <c r="H298" t="n">
        <v/>
      </c>
      <c r="I298" t="n">
        <v/>
      </c>
      <c r="J298" t="n">
        <v/>
      </c>
      <c r="K298" t="n">
        <v/>
      </c>
      <c r="L298" t="n">
        <v>0</v>
      </c>
      <c r="M298" t="n">
        <v>0</v>
      </c>
    </row>
    <row r="299">
      <c r="A299" s="148" t="n">
        <v>30256</v>
      </c>
      <c r="B299" t="n">
        <v/>
      </c>
      <c r="C299" t="n">
        <v/>
      </c>
      <c r="D299" t="n">
        <v/>
      </c>
      <c r="E299" t="n">
        <v/>
      </c>
      <c r="F299" t="n">
        <v/>
      </c>
      <c r="G299" t="n">
        <v/>
      </c>
      <c r="H299" t="n">
        <v/>
      </c>
      <c r="I299" t="n">
        <v/>
      </c>
      <c r="J299" t="n">
        <v/>
      </c>
      <c r="K299" t="n">
        <v/>
      </c>
      <c r="L299" t="n">
        <v>0</v>
      </c>
      <c r="M299" t="n">
        <v>0</v>
      </c>
    </row>
    <row r="300">
      <c r="A300" s="148" t="n">
        <v>30286</v>
      </c>
      <c r="B300" t="n">
        <v/>
      </c>
      <c r="C300" t="n">
        <v/>
      </c>
      <c r="D300" t="n">
        <v/>
      </c>
      <c r="E300" t="n">
        <v/>
      </c>
      <c r="F300" t="n">
        <v/>
      </c>
      <c r="G300" t="n">
        <v/>
      </c>
      <c r="H300" t="n">
        <v/>
      </c>
      <c r="I300" t="n">
        <v/>
      </c>
      <c r="J300" t="n">
        <v/>
      </c>
      <c r="K300" t="n">
        <v/>
      </c>
      <c r="L300" t="n">
        <v>0</v>
      </c>
      <c r="M300" t="n">
        <v>0</v>
      </c>
    </row>
    <row r="301">
      <c r="A301" s="148" t="n">
        <v>30317</v>
      </c>
      <c r="B301" t="n">
        <v/>
      </c>
      <c r="C301" t="n">
        <v/>
      </c>
      <c r="D301" t="n">
        <v/>
      </c>
      <c r="E301" t="n">
        <v/>
      </c>
      <c r="F301" t="n">
        <v/>
      </c>
      <c r="G301" t="n">
        <v/>
      </c>
      <c r="H301" t="n">
        <v/>
      </c>
      <c r="I301" t="n">
        <v/>
      </c>
      <c r="J301" t="n">
        <v/>
      </c>
      <c r="K301" t="n">
        <v/>
      </c>
      <c r="L301" t="n">
        <v>0</v>
      </c>
      <c r="M301" t="n">
        <v>0</v>
      </c>
    </row>
    <row r="302">
      <c r="A302" s="148" t="n">
        <v>30348</v>
      </c>
      <c r="B302" t="n">
        <v/>
      </c>
      <c r="C302" t="n">
        <v/>
      </c>
      <c r="D302" t="n">
        <v/>
      </c>
      <c r="E302" t="n">
        <v/>
      </c>
      <c r="F302" t="n">
        <v/>
      </c>
      <c r="G302" t="n">
        <v/>
      </c>
      <c r="H302" t="n">
        <v/>
      </c>
      <c r="I302" t="n">
        <v/>
      </c>
      <c r="J302" t="n">
        <v/>
      </c>
      <c r="K302" t="n">
        <v/>
      </c>
      <c r="L302" t="n">
        <v>0</v>
      </c>
      <c r="M302" t="n">
        <v>0</v>
      </c>
    </row>
    <row r="303">
      <c r="A303" s="148" t="n">
        <v>30376</v>
      </c>
      <c r="B303" t="n">
        <v/>
      </c>
      <c r="C303" t="n">
        <v/>
      </c>
      <c r="D303" t="n">
        <v/>
      </c>
      <c r="E303" t="n">
        <v/>
      </c>
      <c r="F303" t="n">
        <v/>
      </c>
      <c r="G303" t="n">
        <v/>
      </c>
      <c r="H303" t="n">
        <v/>
      </c>
      <c r="I303" t="n">
        <v/>
      </c>
      <c r="J303" t="n">
        <v/>
      </c>
      <c r="K303" t="n">
        <v/>
      </c>
      <c r="L303" t="n">
        <v>0</v>
      </c>
      <c r="M303" t="n">
        <v>0</v>
      </c>
    </row>
    <row r="304">
      <c r="A304" s="148" t="n">
        <v>30407</v>
      </c>
      <c r="B304" t="n">
        <v/>
      </c>
      <c r="C304" t="n">
        <v/>
      </c>
      <c r="D304" t="n">
        <v/>
      </c>
      <c r="E304" t="n">
        <v/>
      </c>
      <c r="F304" t="n">
        <v/>
      </c>
      <c r="G304" t="n">
        <v/>
      </c>
      <c r="H304" t="n">
        <v/>
      </c>
      <c r="I304" t="n">
        <v/>
      </c>
      <c r="J304" t="n">
        <v/>
      </c>
      <c r="K304" t="n">
        <v/>
      </c>
      <c r="L304" t="n">
        <v>0</v>
      </c>
      <c r="M304" t="n">
        <v>0</v>
      </c>
    </row>
    <row r="305">
      <c r="A305" s="148" t="n">
        <v>30437</v>
      </c>
      <c r="B305" t="n">
        <v/>
      </c>
      <c r="C305" t="n">
        <v/>
      </c>
      <c r="D305" t="n">
        <v/>
      </c>
      <c r="E305" t="n">
        <v/>
      </c>
      <c r="F305" t="n">
        <v/>
      </c>
      <c r="G305" t="n">
        <v/>
      </c>
      <c r="H305" t="n">
        <v/>
      </c>
      <c r="I305" t="n">
        <v/>
      </c>
      <c r="J305" t="n">
        <v/>
      </c>
      <c r="K305" t="n">
        <v/>
      </c>
      <c r="L305" t="n">
        <v>0</v>
      </c>
      <c r="M305" t="n">
        <v>0</v>
      </c>
    </row>
    <row r="306">
      <c r="A306" s="148" t="n">
        <v>30468</v>
      </c>
      <c r="B306" t="n">
        <v/>
      </c>
      <c r="C306" t="n">
        <v/>
      </c>
      <c r="D306" t="n">
        <v/>
      </c>
      <c r="E306" t="n">
        <v/>
      </c>
      <c r="F306" t="n">
        <v/>
      </c>
      <c r="G306" t="n">
        <v/>
      </c>
      <c r="H306" t="n">
        <v/>
      </c>
      <c r="I306" t="n">
        <v/>
      </c>
      <c r="J306" t="n">
        <v/>
      </c>
      <c r="K306" t="n">
        <v/>
      </c>
      <c r="L306" t="n">
        <v>0</v>
      </c>
      <c r="M306" t="n">
        <v>0</v>
      </c>
    </row>
    <row r="307">
      <c r="A307" s="148" t="n">
        <v>30498</v>
      </c>
      <c r="B307" t="n">
        <v/>
      </c>
      <c r="C307" t="n">
        <v/>
      </c>
      <c r="D307" t="n">
        <v/>
      </c>
      <c r="E307" t="n">
        <v/>
      </c>
      <c r="F307" t="n">
        <v/>
      </c>
      <c r="G307" t="n">
        <v/>
      </c>
      <c r="H307" t="n">
        <v/>
      </c>
      <c r="I307" t="n">
        <v/>
      </c>
      <c r="J307" t="n">
        <v/>
      </c>
      <c r="K307" t="n">
        <v/>
      </c>
      <c r="L307" t="n">
        <v>0</v>
      </c>
      <c r="M307" t="n">
        <v>0</v>
      </c>
    </row>
    <row r="308">
      <c r="A308" s="148" t="n">
        <v>30529</v>
      </c>
      <c r="B308" t="n">
        <v/>
      </c>
      <c r="C308" t="n">
        <v/>
      </c>
      <c r="D308" t="n">
        <v/>
      </c>
      <c r="E308" t="n">
        <v/>
      </c>
      <c r="F308" t="n">
        <v/>
      </c>
      <c r="G308" t="n">
        <v/>
      </c>
      <c r="H308" t="n">
        <v/>
      </c>
      <c r="I308" t="n">
        <v/>
      </c>
      <c r="J308" t="n">
        <v/>
      </c>
      <c r="K308" t="n">
        <v/>
      </c>
      <c r="L308" t="n">
        <v>0</v>
      </c>
      <c r="M308" t="n">
        <v>0</v>
      </c>
    </row>
    <row r="309">
      <c r="A309" s="148" t="n">
        <v>30560</v>
      </c>
      <c r="B309" t="n">
        <v/>
      </c>
      <c r="C309" t="n">
        <v/>
      </c>
      <c r="D309" t="n">
        <v/>
      </c>
      <c r="E309" t="n">
        <v/>
      </c>
      <c r="F309" t="n">
        <v/>
      </c>
      <c r="G309" t="n">
        <v/>
      </c>
      <c r="H309" t="n">
        <v/>
      </c>
      <c r="I309" t="n">
        <v/>
      </c>
      <c r="J309" t="n">
        <v/>
      </c>
      <c r="K309" t="n">
        <v/>
      </c>
      <c r="L309" t="n">
        <v>0</v>
      </c>
      <c r="M309" t="n">
        <v>0</v>
      </c>
    </row>
    <row r="310">
      <c r="A310" s="148" t="n">
        <v>30590</v>
      </c>
      <c r="B310" t="n">
        <v/>
      </c>
      <c r="C310" t="n">
        <v/>
      </c>
      <c r="D310" t="n">
        <v/>
      </c>
      <c r="E310" t="n">
        <v/>
      </c>
      <c r="F310" t="n">
        <v/>
      </c>
      <c r="G310" t="n">
        <v/>
      </c>
      <c r="H310" t="n">
        <v/>
      </c>
      <c r="I310" t="n">
        <v/>
      </c>
      <c r="J310" t="n">
        <v/>
      </c>
      <c r="K310" t="n">
        <v/>
      </c>
      <c r="L310" t="n">
        <v>0</v>
      </c>
      <c r="M310" t="n">
        <v>0</v>
      </c>
    </row>
    <row r="311">
      <c r="A311" s="148" t="n">
        <v>30621</v>
      </c>
      <c r="B311" t="n">
        <v/>
      </c>
      <c r="C311" t="n">
        <v/>
      </c>
      <c r="D311" t="n">
        <v/>
      </c>
      <c r="E311" t="n">
        <v/>
      </c>
      <c r="F311" t="n">
        <v/>
      </c>
      <c r="G311" t="n">
        <v/>
      </c>
      <c r="H311" t="n">
        <v/>
      </c>
      <c r="I311" t="n">
        <v/>
      </c>
      <c r="J311" t="n">
        <v/>
      </c>
      <c r="K311" t="n">
        <v/>
      </c>
      <c r="L311" t="n">
        <v>0</v>
      </c>
      <c r="M311" t="n">
        <v>0</v>
      </c>
    </row>
    <row r="312">
      <c r="A312" s="148" t="n">
        <v>30651</v>
      </c>
      <c r="B312" t="n">
        <v/>
      </c>
      <c r="C312" t="n">
        <v/>
      </c>
      <c r="D312" t="n">
        <v/>
      </c>
      <c r="E312" t="n">
        <v/>
      </c>
      <c r="F312" t="n">
        <v/>
      </c>
      <c r="G312" t="n">
        <v/>
      </c>
      <c r="H312" t="n">
        <v/>
      </c>
      <c r="I312" t="n">
        <v/>
      </c>
      <c r="J312" t="n">
        <v/>
      </c>
      <c r="K312" t="n">
        <v/>
      </c>
      <c r="L312" t="n">
        <v>0</v>
      </c>
      <c r="M312" t="n">
        <v>0</v>
      </c>
    </row>
    <row r="313">
      <c r="A313" s="148" t="n">
        <v>30682</v>
      </c>
      <c r="B313" t="n">
        <v/>
      </c>
      <c r="C313" t="n">
        <v/>
      </c>
      <c r="D313" t="n">
        <v/>
      </c>
      <c r="E313" t="n">
        <v/>
      </c>
      <c r="F313" t="n">
        <v/>
      </c>
      <c r="G313" t="n">
        <v/>
      </c>
      <c r="H313" t="n">
        <v/>
      </c>
      <c r="I313" t="n">
        <v/>
      </c>
      <c r="J313" t="n">
        <v/>
      </c>
      <c r="K313" t="n">
        <v/>
      </c>
      <c r="L313" t="n">
        <v>0</v>
      </c>
      <c r="M313" t="n">
        <v>0</v>
      </c>
    </row>
    <row r="314">
      <c r="A314" s="148" t="n">
        <v>30713</v>
      </c>
      <c r="B314" t="n">
        <v/>
      </c>
      <c r="C314" t="n">
        <v/>
      </c>
      <c r="D314" t="n">
        <v/>
      </c>
      <c r="E314" t="n">
        <v/>
      </c>
      <c r="F314" t="n">
        <v/>
      </c>
      <c r="G314" t="n">
        <v/>
      </c>
      <c r="H314" t="n">
        <v/>
      </c>
      <c r="I314" t="n">
        <v/>
      </c>
      <c r="J314" t="n">
        <v/>
      </c>
      <c r="K314" t="n">
        <v/>
      </c>
      <c r="L314" t="n">
        <v>0</v>
      </c>
      <c r="M314" t="n">
        <v>0</v>
      </c>
    </row>
    <row r="315">
      <c r="A315" s="148" t="n">
        <v>30742</v>
      </c>
      <c r="B315" t="n">
        <v/>
      </c>
      <c r="C315" t="n">
        <v/>
      </c>
      <c r="D315" t="n">
        <v/>
      </c>
      <c r="E315" t="n">
        <v/>
      </c>
      <c r="F315" t="n">
        <v/>
      </c>
      <c r="G315" t="n">
        <v/>
      </c>
      <c r="H315" t="n">
        <v/>
      </c>
      <c r="I315" t="n">
        <v/>
      </c>
      <c r="J315" t="n">
        <v/>
      </c>
      <c r="K315" t="n">
        <v/>
      </c>
      <c r="L315" t="n">
        <v>0</v>
      </c>
      <c r="M315" t="n">
        <v>0</v>
      </c>
    </row>
    <row r="316">
      <c r="A316" s="148" t="n">
        <v>30773</v>
      </c>
      <c r="B316" t="n">
        <v/>
      </c>
      <c r="C316" t="n">
        <v/>
      </c>
      <c r="D316" t="n">
        <v/>
      </c>
      <c r="E316" t="n">
        <v/>
      </c>
      <c r="F316" t="n">
        <v/>
      </c>
      <c r="G316" t="n">
        <v/>
      </c>
      <c r="H316" t="n">
        <v/>
      </c>
      <c r="I316" t="n">
        <v/>
      </c>
      <c r="J316" t="n">
        <v/>
      </c>
      <c r="K316" t="n">
        <v/>
      </c>
      <c r="L316" t="n">
        <v>0</v>
      </c>
      <c r="M316" t="n">
        <v>0</v>
      </c>
    </row>
    <row r="317">
      <c r="A317" s="148" t="n">
        <v>30803</v>
      </c>
      <c r="B317" t="n">
        <v/>
      </c>
      <c r="C317" t="n">
        <v/>
      </c>
      <c r="D317" t="n">
        <v/>
      </c>
      <c r="E317" t="n">
        <v/>
      </c>
      <c r="F317" t="n">
        <v/>
      </c>
      <c r="G317" t="n">
        <v/>
      </c>
      <c r="H317" t="n">
        <v/>
      </c>
      <c r="I317" t="n">
        <v/>
      </c>
      <c r="J317" t="n">
        <v/>
      </c>
      <c r="K317" t="n">
        <v/>
      </c>
      <c r="L317" t="n">
        <v>0</v>
      </c>
      <c r="M317" t="n">
        <v>0</v>
      </c>
    </row>
    <row r="318">
      <c r="A318" s="148" t="n">
        <v>30834</v>
      </c>
      <c r="B318" t="n">
        <v/>
      </c>
      <c r="C318" t="n">
        <v/>
      </c>
      <c r="D318" t="n">
        <v/>
      </c>
      <c r="E318" t="n">
        <v/>
      </c>
      <c r="F318" t="n">
        <v/>
      </c>
      <c r="G318" t="n">
        <v/>
      </c>
      <c r="H318" t="n">
        <v/>
      </c>
      <c r="I318" t="n">
        <v/>
      </c>
      <c r="J318" t="n">
        <v/>
      </c>
      <c r="K318" t="n">
        <v/>
      </c>
      <c r="L318" t="n">
        <v>0</v>
      </c>
      <c r="M318" t="n">
        <v>0</v>
      </c>
    </row>
    <row r="319">
      <c r="A319" s="148" t="n">
        <v>30864</v>
      </c>
      <c r="B319" t="n">
        <v/>
      </c>
      <c r="C319" t="n">
        <v/>
      </c>
      <c r="D319" t="n">
        <v/>
      </c>
      <c r="E319" t="n">
        <v/>
      </c>
      <c r="F319" t="n">
        <v/>
      </c>
      <c r="G319" t="n">
        <v/>
      </c>
      <c r="H319" t="n">
        <v/>
      </c>
      <c r="I319" t="n">
        <v/>
      </c>
      <c r="J319" t="n">
        <v/>
      </c>
      <c r="K319" t="n">
        <v/>
      </c>
      <c r="L319" t="n">
        <v>0</v>
      </c>
      <c r="M319" t="n">
        <v>0</v>
      </c>
    </row>
    <row r="320">
      <c r="A320" s="148" t="n">
        <v>30895</v>
      </c>
      <c r="B320" t="n">
        <v/>
      </c>
      <c r="C320" t="n">
        <v/>
      </c>
      <c r="D320" t="n">
        <v/>
      </c>
      <c r="E320" t="n">
        <v/>
      </c>
      <c r="F320" t="n">
        <v/>
      </c>
      <c r="G320" t="n">
        <v/>
      </c>
      <c r="H320" t="n">
        <v/>
      </c>
      <c r="I320" t="n">
        <v/>
      </c>
      <c r="J320" t="n">
        <v/>
      </c>
      <c r="K320" t="n">
        <v/>
      </c>
      <c r="L320" t="n">
        <v>0</v>
      </c>
      <c r="M320" t="n">
        <v>0</v>
      </c>
    </row>
    <row r="321">
      <c r="A321" s="148" t="n">
        <v>30926</v>
      </c>
      <c r="B321" t="n">
        <v/>
      </c>
      <c r="C321" t="n">
        <v/>
      </c>
      <c r="D321" t="n">
        <v/>
      </c>
      <c r="E321" t="n">
        <v/>
      </c>
      <c r="F321" t="n">
        <v/>
      </c>
      <c r="G321" t="n">
        <v/>
      </c>
      <c r="H321" t="n">
        <v/>
      </c>
      <c r="I321" t="n">
        <v/>
      </c>
      <c r="J321" t="n">
        <v/>
      </c>
      <c r="K321" t="n">
        <v/>
      </c>
      <c r="L321" t="n">
        <v>0</v>
      </c>
      <c r="M321" t="n">
        <v>0</v>
      </c>
    </row>
    <row r="322">
      <c r="A322" s="148" t="n">
        <v>30956</v>
      </c>
      <c r="B322" t="n">
        <v/>
      </c>
      <c r="C322" t="n">
        <v/>
      </c>
      <c r="D322" t="n">
        <v/>
      </c>
      <c r="E322" t="n">
        <v/>
      </c>
      <c r="F322" t="n">
        <v/>
      </c>
      <c r="G322" t="n">
        <v/>
      </c>
      <c r="H322" t="n">
        <v/>
      </c>
      <c r="I322" t="n">
        <v/>
      </c>
      <c r="J322" t="n">
        <v/>
      </c>
      <c r="K322" t="n">
        <v/>
      </c>
      <c r="L322" t="n">
        <v>0</v>
      </c>
      <c r="M322" t="n">
        <v>0</v>
      </c>
    </row>
    <row r="323">
      <c r="A323" s="148" t="n">
        <v>30987</v>
      </c>
      <c r="B323" t="n">
        <v/>
      </c>
      <c r="C323" t="n">
        <v/>
      </c>
      <c r="D323" t="n">
        <v/>
      </c>
      <c r="E323" t="n">
        <v/>
      </c>
      <c r="F323" t="n">
        <v/>
      </c>
      <c r="G323" t="n">
        <v/>
      </c>
      <c r="H323" t="n">
        <v/>
      </c>
      <c r="I323" t="n">
        <v/>
      </c>
      <c r="J323" t="n">
        <v/>
      </c>
      <c r="K323" t="n">
        <v/>
      </c>
      <c r="L323" t="n">
        <v>0</v>
      </c>
      <c r="M323" t="n">
        <v>0</v>
      </c>
    </row>
    <row r="324">
      <c r="A324" s="148" t="n">
        <v>31017</v>
      </c>
      <c r="B324" t="n">
        <v/>
      </c>
      <c r="C324" t="n">
        <v/>
      </c>
      <c r="D324" t="n">
        <v/>
      </c>
      <c r="E324" t="n">
        <v/>
      </c>
      <c r="F324" t="n">
        <v/>
      </c>
      <c r="G324" t="n">
        <v/>
      </c>
      <c r="H324" t="n">
        <v/>
      </c>
      <c r="I324" t="n">
        <v/>
      </c>
      <c r="J324" t="n">
        <v/>
      </c>
      <c r="K324" t="n">
        <v/>
      </c>
      <c r="L324" t="n">
        <v>0</v>
      </c>
      <c r="M324" t="n">
        <v>0</v>
      </c>
    </row>
    <row r="325">
      <c r="A325" s="148" t="n">
        <v>31048</v>
      </c>
      <c r="B325" t="n">
        <v/>
      </c>
      <c r="C325" t="n">
        <v/>
      </c>
      <c r="D325" t="n">
        <v/>
      </c>
      <c r="E325" t="n">
        <v/>
      </c>
      <c r="F325" t="n">
        <v/>
      </c>
      <c r="G325" t="n">
        <v/>
      </c>
      <c r="H325" t="n">
        <v/>
      </c>
      <c r="I325" t="n">
        <v/>
      </c>
      <c r="J325" t="n">
        <v/>
      </c>
      <c r="K325" t="n">
        <v/>
      </c>
      <c r="L325" t="n">
        <v>0</v>
      </c>
      <c r="M325" t="n">
        <v>0</v>
      </c>
    </row>
    <row r="326">
      <c r="A326" s="148" t="n">
        <v>31079</v>
      </c>
      <c r="B326" t="n">
        <v/>
      </c>
      <c r="C326" t="n">
        <v/>
      </c>
      <c r="D326" t="n">
        <v/>
      </c>
      <c r="E326" t="n">
        <v/>
      </c>
      <c r="F326" t="n">
        <v/>
      </c>
      <c r="G326" t="n">
        <v/>
      </c>
      <c r="H326" t="n">
        <v/>
      </c>
      <c r="I326" t="n">
        <v/>
      </c>
      <c r="J326" t="n">
        <v/>
      </c>
      <c r="K326" t="n">
        <v/>
      </c>
      <c r="L326" t="n">
        <v>0</v>
      </c>
      <c r="M326" t="n">
        <v>0</v>
      </c>
    </row>
    <row r="327">
      <c r="A327" s="148" t="n">
        <v>31107</v>
      </c>
      <c r="B327" t="n">
        <v/>
      </c>
      <c r="C327" t="n">
        <v/>
      </c>
      <c r="D327" t="n">
        <v/>
      </c>
      <c r="E327" t="n">
        <v/>
      </c>
      <c r="F327" t="n">
        <v/>
      </c>
      <c r="G327" t="n">
        <v/>
      </c>
      <c r="H327" t="n">
        <v/>
      </c>
      <c r="I327" t="n">
        <v/>
      </c>
      <c r="J327" t="n">
        <v/>
      </c>
      <c r="K327" t="n">
        <v/>
      </c>
      <c r="L327" t="n">
        <v>0</v>
      </c>
      <c r="M327" t="n">
        <v>0</v>
      </c>
    </row>
    <row r="328">
      <c r="A328" s="148" t="n">
        <v>31138</v>
      </c>
      <c r="B328" t="n">
        <v/>
      </c>
      <c r="C328" t="n">
        <v/>
      </c>
      <c r="D328" t="n">
        <v/>
      </c>
      <c r="E328" t="n">
        <v/>
      </c>
      <c r="F328" t="n">
        <v/>
      </c>
      <c r="G328" t="n">
        <v/>
      </c>
      <c r="H328" t="n">
        <v/>
      </c>
      <c r="I328" t="n">
        <v/>
      </c>
      <c r="J328" t="n">
        <v/>
      </c>
      <c r="K328" t="n">
        <v/>
      </c>
      <c r="L328" t="n">
        <v>0</v>
      </c>
      <c r="M328" t="n">
        <v>0</v>
      </c>
    </row>
    <row r="329">
      <c r="A329" s="148" t="n">
        <v>31168</v>
      </c>
      <c r="B329" t="n">
        <v/>
      </c>
      <c r="C329" t="n">
        <v/>
      </c>
      <c r="D329" t="n">
        <v/>
      </c>
      <c r="E329" t="n">
        <v/>
      </c>
      <c r="F329" t="n">
        <v/>
      </c>
      <c r="G329" t="n">
        <v/>
      </c>
      <c r="H329" t="n">
        <v/>
      </c>
      <c r="I329" t="n">
        <v/>
      </c>
      <c r="J329" t="n">
        <v/>
      </c>
      <c r="K329" t="n">
        <v/>
      </c>
      <c r="L329" t="n">
        <v>0</v>
      </c>
      <c r="M329" t="n">
        <v>0</v>
      </c>
    </row>
    <row r="330">
      <c r="A330" s="148" t="n">
        <v>31199</v>
      </c>
      <c r="B330" t="n">
        <v/>
      </c>
      <c r="C330" t="n">
        <v/>
      </c>
      <c r="D330" t="n">
        <v/>
      </c>
      <c r="E330" t="n">
        <v/>
      </c>
      <c r="F330" t="n">
        <v/>
      </c>
      <c r="G330" t="n">
        <v/>
      </c>
      <c r="H330" t="n">
        <v/>
      </c>
      <c r="I330" t="n">
        <v/>
      </c>
      <c r="J330" t="n">
        <v/>
      </c>
      <c r="K330" t="n">
        <v/>
      </c>
      <c r="L330" t="n">
        <v>0</v>
      </c>
      <c r="M330" t="n">
        <v>0</v>
      </c>
    </row>
    <row r="331">
      <c r="A331" s="148" t="n">
        <v>31229</v>
      </c>
      <c r="B331" t="n">
        <v/>
      </c>
      <c r="C331" t="n">
        <v/>
      </c>
      <c r="D331" t="n">
        <v/>
      </c>
      <c r="E331" t="n">
        <v/>
      </c>
      <c r="F331" t="n">
        <v/>
      </c>
      <c r="G331" t="n">
        <v/>
      </c>
      <c r="H331" t="n">
        <v/>
      </c>
      <c r="I331" t="n">
        <v/>
      </c>
      <c r="J331" t="n">
        <v/>
      </c>
      <c r="K331" t="n">
        <v/>
      </c>
      <c r="L331" t="n">
        <v>0</v>
      </c>
      <c r="M331" t="n">
        <v>0</v>
      </c>
    </row>
    <row r="332">
      <c r="A332" s="148" t="n">
        <v>31260</v>
      </c>
      <c r="B332" t="n">
        <v/>
      </c>
      <c r="C332" t="n">
        <v/>
      </c>
      <c r="D332" t="n">
        <v/>
      </c>
      <c r="E332" t="n">
        <v/>
      </c>
      <c r="F332" t="n">
        <v/>
      </c>
      <c r="G332" t="n">
        <v/>
      </c>
      <c r="H332" t="n">
        <v/>
      </c>
      <c r="I332" t="n">
        <v/>
      </c>
      <c r="J332" t="n">
        <v/>
      </c>
      <c r="K332" t="n">
        <v/>
      </c>
      <c r="L332" t="n">
        <v>0</v>
      </c>
      <c r="M332" t="n">
        <v>0</v>
      </c>
    </row>
    <row r="333">
      <c r="A333" s="148" t="n">
        <v>31291</v>
      </c>
      <c r="B333" t="n">
        <v/>
      </c>
      <c r="C333" t="n">
        <v/>
      </c>
      <c r="D333" t="n">
        <v/>
      </c>
      <c r="E333" t="n">
        <v/>
      </c>
      <c r="F333" t="n">
        <v/>
      </c>
      <c r="G333" t="n">
        <v/>
      </c>
      <c r="H333" t="n">
        <v/>
      </c>
      <c r="I333" t="n">
        <v/>
      </c>
      <c r="J333" t="n">
        <v/>
      </c>
      <c r="K333" t="n">
        <v/>
      </c>
      <c r="L333" t="n">
        <v>0</v>
      </c>
      <c r="M333" t="n">
        <v>0</v>
      </c>
    </row>
    <row r="334">
      <c r="A334" s="148" t="n">
        <v>31321</v>
      </c>
      <c r="B334" t="n">
        <v/>
      </c>
      <c r="C334" t="n">
        <v/>
      </c>
      <c r="D334" t="n">
        <v/>
      </c>
      <c r="E334" t="n">
        <v/>
      </c>
      <c r="F334" t="n">
        <v/>
      </c>
      <c r="G334" t="n">
        <v/>
      </c>
      <c r="H334" t="n">
        <v/>
      </c>
      <c r="I334" t="n">
        <v/>
      </c>
      <c r="J334" t="n">
        <v/>
      </c>
      <c r="K334" t="n">
        <v/>
      </c>
      <c r="L334" t="n">
        <v>0</v>
      </c>
      <c r="M334" t="n">
        <v>0</v>
      </c>
    </row>
    <row r="335">
      <c r="A335" s="148" t="n">
        <v>31352</v>
      </c>
      <c r="B335" t="n">
        <v/>
      </c>
      <c r="C335" t="n">
        <v/>
      </c>
      <c r="D335" t="n">
        <v/>
      </c>
      <c r="E335" t="n">
        <v/>
      </c>
      <c r="F335" t="n">
        <v/>
      </c>
      <c r="G335" t="n">
        <v/>
      </c>
      <c r="H335" t="n">
        <v/>
      </c>
      <c r="I335" t="n">
        <v/>
      </c>
      <c r="J335" t="n">
        <v/>
      </c>
      <c r="K335" t="n">
        <v/>
      </c>
      <c r="L335" t="n">
        <v>0</v>
      </c>
      <c r="M335" t="n">
        <v>0</v>
      </c>
    </row>
    <row r="336">
      <c r="A336" s="148" t="n">
        <v>31382</v>
      </c>
      <c r="B336" t="n">
        <v/>
      </c>
      <c r="C336" t="n">
        <v/>
      </c>
      <c r="D336" t="n">
        <v/>
      </c>
      <c r="E336" t="n">
        <v/>
      </c>
      <c r="F336" t="n">
        <v/>
      </c>
      <c r="G336" t="n">
        <v/>
      </c>
      <c r="H336" t="n">
        <v/>
      </c>
      <c r="I336" t="n">
        <v/>
      </c>
      <c r="J336" t="n">
        <v/>
      </c>
      <c r="K336" t="n">
        <v/>
      </c>
      <c r="L336" t="n">
        <v>0</v>
      </c>
      <c r="M336" t="n">
        <v>0</v>
      </c>
    </row>
    <row r="337">
      <c r="A337" s="148" t="n">
        <v>31413</v>
      </c>
      <c r="B337" t="n">
        <v/>
      </c>
      <c r="C337" t="n">
        <v/>
      </c>
      <c r="D337" t="n">
        <v/>
      </c>
      <c r="E337" t="n">
        <v/>
      </c>
      <c r="F337" t="n">
        <v/>
      </c>
      <c r="G337" t="n">
        <v/>
      </c>
      <c r="H337" t="n">
        <v/>
      </c>
      <c r="I337" t="n">
        <v/>
      </c>
      <c r="J337" t="n">
        <v/>
      </c>
      <c r="K337" t="n">
        <v/>
      </c>
      <c r="L337" t="n">
        <v>0</v>
      </c>
      <c r="M337" t="n">
        <v>0</v>
      </c>
    </row>
    <row r="338">
      <c r="A338" s="148" t="n">
        <v>31444</v>
      </c>
      <c r="B338" t="n">
        <v/>
      </c>
      <c r="C338" t="n">
        <v/>
      </c>
      <c r="D338" t="n">
        <v/>
      </c>
      <c r="E338" t="n">
        <v/>
      </c>
      <c r="F338" t="n">
        <v/>
      </c>
      <c r="G338" t="n">
        <v/>
      </c>
      <c r="H338" t="n">
        <v/>
      </c>
      <c r="I338" t="n">
        <v/>
      </c>
      <c r="J338" t="n">
        <v/>
      </c>
      <c r="K338" t="n">
        <v/>
      </c>
      <c r="L338" t="n">
        <v>0</v>
      </c>
      <c r="M338" t="n">
        <v>0</v>
      </c>
    </row>
    <row r="339">
      <c r="A339" s="148" t="n">
        <v>31472</v>
      </c>
      <c r="B339" t="n">
        <v/>
      </c>
      <c r="C339" t="n">
        <v/>
      </c>
      <c r="D339" t="n">
        <v/>
      </c>
      <c r="E339" t="n">
        <v/>
      </c>
      <c r="F339" t="n">
        <v/>
      </c>
      <c r="G339" t="n">
        <v/>
      </c>
      <c r="H339" t="n">
        <v/>
      </c>
      <c r="I339" t="n">
        <v/>
      </c>
      <c r="J339" t="n">
        <v/>
      </c>
      <c r="K339" t="n">
        <v/>
      </c>
      <c r="L339" t="n">
        <v>0</v>
      </c>
      <c r="M339" t="n">
        <v>0</v>
      </c>
    </row>
    <row r="340">
      <c r="A340" s="148" t="n">
        <v>31503</v>
      </c>
      <c r="B340" t="n">
        <v/>
      </c>
      <c r="C340" t="n">
        <v/>
      </c>
      <c r="D340" t="n">
        <v/>
      </c>
      <c r="E340" t="n">
        <v/>
      </c>
      <c r="F340" t="n">
        <v/>
      </c>
      <c r="G340" t="n">
        <v/>
      </c>
      <c r="H340" t="n">
        <v/>
      </c>
      <c r="I340" t="n">
        <v/>
      </c>
      <c r="J340" t="n">
        <v/>
      </c>
      <c r="K340" t="n">
        <v/>
      </c>
      <c r="L340" t="n">
        <v>0</v>
      </c>
      <c r="M340" t="n">
        <v>0</v>
      </c>
    </row>
    <row r="341">
      <c r="A341" s="148" t="n">
        <v>31533</v>
      </c>
      <c r="B341" t="n">
        <v/>
      </c>
      <c r="C341" t="n">
        <v/>
      </c>
      <c r="D341" t="n">
        <v/>
      </c>
      <c r="E341" t="n">
        <v/>
      </c>
      <c r="F341" t="n">
        <v/>
      </c>
      <c r="G341" t="n">
        <v/>
      </c>
      <c r="H341" t="n">
        <v/>
      </c>
      <c r="I341" t="n">
        <v/>
      </c>
      <c r="J341" t="n">
        <v/>
      </c>
      <c r="K341" t="n">
        <v/>
      </c>
      <c r="L341" t="n">
        <v>0</v>
      </c>
      <c r="M341" t="n">
        <v>0</v>
      </c>
    </row>
    <row r="342">
      <c r="A342" s="148" t="n">
        <v>31564</v>
      </c>
      <c r="B342" t="n">
        <v/>
      </c>
      <c r="C342" t="n">
        <v/>
      </c>
      <c r="D342" t="n">
        <v/>
      </c>
      <c r="E342" t="n">
        <v/>
      </c>
      <c r="F342" t="n">
        <v/>
      </c>
      <c r="G342" t="n">
        <v/>
      </c>
      <c r="H342" t="n">
        <v/>
      </c>
      <c r="I342" t="n">
        <v/>
      </c>
      <c r="J342" t="n">
        <v/>
      </c>
      <c r="K342" t="n">
        <v/>
      </c>
      <c r="L342" t="n">
        <v>0</v>
      </c>
      <c r="M342" t="n">
        <v>0</v>
      </c>
    </row>
    <row r="343">
      <c r="A343" s="148" t="n">
        <v>31594</v>
      </c>
      <c r="B343" t="n">
        <v/>
      </c>
      <c r="C343" t="n">
        <v/>
      </c>
      <c r="D343" t="n">
        <v/>
      </c>
      <c r="E343" t="n">
        <v/>
      </c>
      <c r="F343" t="n">
        <v/>
      </c>
      <c r="G343" t="n">
        <v/>
      </c>
      <c r="H343" t="n">
        <v/>
      </c>
      <c r="I343" t="n">
        <v/>
      </c>
      <c r="J343" t="n">
        <v/>
      </c>
      <c r="K343" t="n">
        <v/>
      </c>
      <c r="L343" t="n">
        <v>0</v>
      </c>
      <c r="M343" t="n">
        <v>0</v>
      </c>
    </row>
    <row r="344">
      <c r="A344" s="148" t="n">
        <v>31625</v>
      </c>
      <c r="B344" t="n">
        <v/>
      </c>
      <c r="C344" t="n">
        <v/>
      </c>
      <c r="D344" t="n">
        <v/>
      </c>
      <c r="E344" t="n">
        <v/>
      </c>
      <c r="F344" t="n">
        <v/>
      </c>
      <c r="G344" t="n">
        <v/>
      </c>
      <c r="H344" t="n">
        <v/>
      </c>
      <c r="I344" t="n">
        <v/>
      </c>
      <c r="J344" t="n">
        <v/>
      </c>
      <c r="K344" t="n">
        <v/>
      </c>
      <c r="L344" t="n">
        <v>0</v>
      </c>
      <c r="M344" t="n">
        <v>0</v>
      </c>
    </row>
    <row r="345">
      <c r="A345" s="148" t="n">
        <v>31656</v>
      </c>
      <c r="B345" t="n">
        <v/>
      </c>
      <c r="C345" t="n">
        <v/>
      </c>
      <c r="D345" t="n">
        <v/>
      </c>
      <c r="E345" t="n">
        <v/>
      </c>
      <c r="F345" t="n">
        <v/>
      </c>
      <c r="G345" t="n">
        <v/>
      </c>
      <c r="H345" t="n">
        <v/>
      </c>
      <c r="I345" t="n">
        <v/>
      </c>
      <c r="J345" t="n">
        <v/>
      </c>
      <c r="K345" t="n">
        <v/>
      </c>
      <c r="L345" t="n">
        <v>0</v>
      </c>
      <c r="M345" t="n">
        <v>0</v>
      </c>
    </row>
    <row r="346">
      <c r="A346" s="148" t="n">
        <v>31686</v>
      </c>
      <c r="B346" t="n">
        <v/>
      </c>
      <c r="C346" t="n">
        <v/>
      </c>
      <c r="D346" t="n">
        <v/>
      </c>
      <c r="E346" t="n">
        <v/>
      </c>
      <c r="F346" t="n">
        <v/>
      </c>
      <c r="G346" t="n">
        <v/>
      </c>
      <c r="H346" t="n">
        <v/>
      </c>
      <c r="I346" t="n">
        <v/>
      </c>
      <c r="J346" t="n">
        <v/>
      </c>
      <c r="K346" t="n">
        <v/>
      </c>
      <c r="L346" t="n">
        <v>0</v>
      </c>
      <c r="M346" t="n">
        <v>0</v>
      </c>
    </row>
    <row r="347">
      <c r="A347" s="148" t="n">
        <v>31717</v>
      </c>
      <c r="B347" t="n">
        <v/>
      </c>
      <c r="C347" t="n">
        <v/>
      </c>
      <c r="D347" t="n">
        <v/>
      </c>
      <c r="E347" t="n">
        <v/>
      </c>
      <c r="F347" t="n">
        <v/>
      </c>
      <c r="G347" t="n">
        <v/>
      </c>
      <c r="H347" t="n">
        <v/>
      </c>
      <c r="I347" t="n">
        <v/>
      </c>
      <c r="J347" t="n">
        <v/>
      </c>
      <c r="K347" t="n">
        <v/>
      </c>
      <c r="L347" t="n">
        <v>0</v>
      </c>
      <c r="M347" t="n">
        <v>0</v>
      </c>
    </row>
    <row r="348">
      <c r="A348" s="148" t="n">
        <v>31747</v>
      </c>
      <c r="B348" t="n">
        <v/>
      </c>
      <c r="C348" t="n">
        <v/>
      </c>
      <c r="D348" t="n">
        <v/>
      </c>
      <c r="E348" t="n">
        <v/>
      </c>
      <c r="F348" t="n">
        <v/>
      </c>
      <c r="G348" t="n">
        <v/>
      </c>
      <c r="H348" t="n">
        <v/>
      </c>
      <c r="I348" t="n">
        <v/>
      </c>
      <c r="J348" t="n">
        <v/>
      </c>
      <c r="K348" t="n">
        <v/>
      </c>
      <c r="L348" t="n">
        <v>0</v>
      </c>
      <c r="M348" t="n">
        <v>0</v>
      </c>
    </row>
    <row r="349">
      <c r="A349" s="148" t="n">
        <v>31778</v>
      </c>
      <c r="B349" t="n">
        <v/>
      </c>
      <c r="C349" t="n">
        <v/>
      </c>
      <c r="D349" t="n">
        <v/>
      </c>
      <c r="E349" t="n">
        <v/>
      </c>
      <c r="F349" t="n">
        <v/>
      </c>
      <c r="G349" t="n">
        <v/>
      </c>
      <c r="H349" t="n">
        <v/>
      </c>
      <c r="I349" t="n">
        <v/>
      </c>
      <c r="J349" t="n">
        <v/>
      </c>
      <c r="K349" t="n">
        <v/>
      </c>
      <c r="L349" t="n">
        <v>0</v>
      </c>
      <c r="M349" t="n">
        <v>0</v>
      </c>
    </row>
    <row r="350">
      <c r="A350" s="148" t="n">
        <v>31809</v>
      </c>
      <c r="B350" t="n">
        <v/>
      </c>
      <c r="C350" t="n">
        <v/>
      </c>
      <c r="D350" t="n">
        <v/>
      </c>
      <c r="E350" t="n">
        <v/>
      </c>
      <c r="F350" t="n">
        <v/>
      </c>
      <c r="G350" t="n">
        <v/>
      </c>
      <c r="H350" t="n">
        <v/>
      </c>
      <c r="I350" t="n">
        <v/>
      </c>
      <c r="J350" t="n">
        <v/>
      </c>
      <c r="K350" t="n">
        <v/>
      </c>
      <c r="L350" t="n">
        <v>0</v>
      </c>
      <c r="M350" t="n">
        <v>0</v>
      </c>
    </row>
    <row r="351">
      <c r="A351" s="148" t="n">
        <v>31837</v>
      </c>
      <c r="B351" t="n">
        <v/>
      </c>
      <c r="C351" t="n">
        <v/>
      </c>
      <c r="D351" t="n">
        <v/>
      </c>
      <c r="E351" t="n">
        <v/>
      </c>
      <c r="F351" t="n">
        <v/>
      </c>
      <c r="G351" t="n">
        <v/>
      </c>
      <c r="H351" t="n">
        <v/>
      </c>
      <c r="I351" t="n">
        <v/>
      </c>
      <c r="J351" t="n">
        <v/>
      </c>
      <c r="K351" t="n">
        <v/>
      </c>
      <c r="L351" t="n">
        <v>0</v>
      </c>
      <c r="M351" t="n">
        <v>0</v>
      </c>
    </row>
    <row r="352">
      <c r="A352" s="148" t="n">
        <v>31868</v>
      </c>
      <c r="B352" t="n">
        <v/>
      </c>
      <c r="C352" t="n">
        <v/>
      </c>
      <c r="D352" t="n">
        <v/>
      </c>
      <c r="E352" t="n">
        <v/>
      </c>
      <c r="F352" t="n">
        <v/>
      </c>
      <c r="G352" t="n">
        <v/>
      </c>
      <c r="H352" t="n">
        <v/>
      </c>
      <c r="I352" t="n">
        <v/>
      </c>
      <c r="J352" t="n">
        <v/>
      </c>
      <c r="K352" t="n">
        <v/>
      </c>
      <c r="L352" t="n">
        <v>0</v>
      </c>
      <c r="M352" t="n">
        <v>0</v>
      </c>
    </row>
    <row r="353">
      <c r="A353" s="148" t="n">
        <v>31898</v>
      </c>
      <c r="B353" t="n">
        <v/>
      </c>
      <c r="C353" t="n">
        <v/>
      </c>
      <c r="D353" t="n">
        <v/>
      </c>
      <c r="E353" t="n">
        <v/>
      </c>
      <c r="F353" t="n">
        <v/>
      </c>
      <c r="G353" t="n">
        <v/>
      </c>
      <c r="H353" t="n">
        <v/>
      </c>
      <c r="I353" t="n">
        <v/>
      </c>
      <c r="J353" t="n">
        <v/>
      </c>
      <c r="K353" t="n">
        <v/>
      </c>
      <c r="L353" t="n">
        <v>0</v>
      </c>
      <c r="M353" t="n">
        <v>0</v>
      </c>
    </row>
    <row r="354">
      <c r="A354" s="148" t="n">
        <v>31929</v>
      </c>
      <c r="B354" t="n">
        <v/>
      </c>
      <c r="C354" t="n">
        <v/>
      </c>
      <c r="D354" t="n">
        <v/>
      </c>
      <c r="E354" t="n">
        <v/>
      </c>
      <c r="F354" t="n">
        <v/>
      </c>
      <c r="G354" t="n">
        <v/>
      </c>
      <c r="H354" t="n">
        <v/>
      </c>
      <c r="I354" t="n">
        <v/>
      </c>
      <c r="J354" t="n">
        <v/>
      </c>
      <c r="K354" t="n">
        <v/>
      </c>
      <c r="L354" t="n">
        <v>0</v>
      </c>
      <c r="M354" t="n">
        <v>0</v>
      </c>
    </row>
    <row r="355">
      <c r="A355" s="148" t="n">
        <v>31959</v>
      </c>
      <c r="B355" t="n">
        <v/>
      </c>
      <c r="C355" t="n">
        <v/>
      </c>
      <c r="D355" t="n">
        <v/>
      </c>
      <c r="E355" t="n">
        <v/>
      </c>
      <c r="F355" t="n">
        <v/>
      </c>
      <c r="G355" t="n">
        <v/>
      </c>
      <c r="H355" t="n">
        <v/>
      </c>
      <c r="I355" t="n">
        <v/>
      </c>
      <c r="J355" t="n">
        <v/>
      </c>
      <c r="K355" t="n">
        <v/>
      </c>
      <c r="L355" t="n">
        <v>0</v>
      </c>
      <c r="M355" t="n">
        <v>0</v>
      </c>
    </row>
    <row r="356">
      <c r="A356" s="148" t="n">
        <v>31990</v>
      </c>
      <c r="B356" t="n">
        <v/>
      </c>
      <c r="C356" t="n">
        <v/>
      </c>
      <c r="D356" t="n">
        <v/>
      </c>
      <c r="E356" t="n">
        <v/>
      </c>
      <c r="F356" t="n">
        <v/>
      </c>
      <c r="G356" t="n">
        <v/>
      </c>
      <c r="H356" t="n">
        <v/>
      </c>
      <c r="I356" t="n">
        <v/>
      </c>
      <c r="J356" t="n">
        <v/>
      </c>
      <c r="K356" t="n">
        <v/>
      </c>
      <c r="L356" t="n">
        <v>0</v>
      </c>
      <c r="M356" t="n">
        <v>0</v>
      </c>
    </row>
    <row r="357">
      <c r="A357" s="148" t="n">
        <v>32021</v>
      </c>
      <c r="B357" t="n">
        <v/>
      </c>
      <c r="C357" t="n">
        <v/>
      </c>
      <c r="D357" t="n">
        <v/>
      </c>
      <c r="E357" t="n">
        <v/>
      </c>
      <c r="F357" t="n">
        <v/>
      </c>
      <c r="G357" t="n">
        <v/>
      </c>
      <c r="H357" t="n">
        <v/>
      </c>
      <c r="I357" t="n">
        <v/>
      </c>
      <c r="J357" t="n">
        <v/>
      </c>
      <c r="K357" t="n">
        <v/>
      </c>
      <c r="L357" t="n">
        <v>0</v>
      </c>
      <c r="M357" t="n">
        <v>0</v>
      </c>
    </row>
    <row r="358">
      <c r="A358" s="148" t="n">
        <v>32051</v>
      </c>
      <c r="B358" t="n">
        <v/>
      </c>
      <c r="C358" t="n">
        <v/>
      </c>
      <c r="D358" t="n">
        <v/>
      </c>
      <c r="E358" t="n">
        <v/>
      </c>
      <c r="F358" t="n">
        <v/>
      </c>
      <c r="G358" t="n">
        <v/>
      </c>
      <c r="H358" t="n">
        <v/>
      </c>
      <c r="I358" t="n">
        <v/>
      </c>
      <c r="J358" t="n">
        <v/>
      </c>
      <c r="K358" t="n">
        <v/>
      </c>
      <c r="L358" t="n">
        <v>0</v>
      </c>
      <c r="M358" t="n">
        <v>0</v>
      </c>
    </row>
    <row r="359">
      <c r="A359" s="148" t="n">
        <v>32082</v>
      </c>
      <c r="B359" t="n">
        <v/>
      </c>
      <c r="C359" t="n">
        <v/>
      </c>
      <c r="D359" t="n">
        <v/>
      </c>
      <c r="E359" t="n">
        <v/>
      </c>
      <c r="F359" t="n">
        <v/>
      </c>
      <c r="G359" t="n">
        <v/>
      </c>
      <c r="H359" t="n">
        <v/>
      </c>
      <c r="I359" t="n">
        <v/>
      </c>
      <c r="J359" t="n">
        <v/>
      </c>
      <c r="K359" t="n">
        <v/>
      </c>
      <c r="L359" t="n">
        <v>0</v>
      </c>
      <c r="M359" t="n">
        <v>0</v>
      </c>
    </row>
    <row r="360">
      <c r="A360" s="148" t="n">
        <v>32112</v>
      </c>
      <c r="B360" t="n">
        <v/>
      </c>
      <c r="C360" t="n">
        <v/>
      </c>
      <c r="D360" t="n">
        <v/>
      </c>
      <c r="E360" t="n">
        <v/>
      </c>
      <c r="F360" t="n">
        <v/>
      </c>
      <c r="G360" t="n">
        <v/>
      </c>
      <c r="H360" t="n">
        <v/>
      </c>
      <c r="I360" t="n">
        <v/>
      </c>
      <c r="J360" t="n">
        <v/>
      </c>
      <c r="K360" t="n">
        <v/>
      </c>
      <c r="L360" t="n">
        <v>0</v>
      </c>
      <c r="M360" t="n">
        <v>0</v>
      </c>
    </row>
    <row r="361">
      <c r="A361" s="148" t="n">
        <v>32143</v>
      </c>
      <c r="B361" t="n">
        <v/>
      </c>
      <c r="C361" t="n">
        <v/>
      </c>
      <c r="D361" t="n">
        <v/>
      </c>
      <c r="E361" t="n">
        <v/>
      </c>
      <c r="F361" t="n">
        <v/>
      </c>
      <c r="G361" t="n">
        <v/>
      </c>
      <c r="H361" t="n">
        <v/>
      </c>
      <c r="I361" t="n">
        <v/>
      </c>
      <c r="J361" t="n">
        <v/>
      </c>
      <c r="K361" t="n">
        <v/>
      </c>
      <c r="L361" t="n">
        <v>0</v>
      </c>
      <c r="M361" t="n">
        <v>0</v>
      </c>
    </row>
    <row r="362">
      <c r="A362" s="148" t="n">
        <v>32174</v>
      </c>
      <c r="B362" t="n">
        <v/>
      </c>
      <c r="C362" t="n">
        <v/>
      </c>
      <c r="D362" t="n">
        <v/>
      </c>
      <c r="E362" t="n">
        <v/>
      </c>
      <c r="F362" t="n">
        <v/>
      </c>
      <c r="G362" t="n">
        <v/>
      </c>
      <c r="H362" t="n">
        <v/>
      </c>
      <c r="I362" t="n">
        <v/>
      </c>
      <c r="J362" t="n">
        <v/>
      </c>
      <c r="K362" t="n">
        <v/>
      </c>
      <c r="L362" t="n">
        <v>0</v>
      </c>
      <c r="M362" t="n">
        <v>0</v>
      </c>
    </row>
    <row r="363">
      <c r="A363" s="148" t="n">
        <v>32203</v>
      </c>
      <c r="B363" t="n">
        <v/>
      </c>
      <c r="C363" t="n">
        <v/>
      </c>
      <c r="D363" t="n">
        <v/>
      </c>
      <c r="E363" t="n">
        <v/>
      </c>
      <c r="F363" t="n">
        <v/>
      </c>
      <c r="G363" t="n">
        <v/>
      </c>
      <c r="H363" t="n">
        <v/>
      </c>
      <c r="I363" t="n">
        <v/>
      </c>
      <c r="J363" t="n">
        <v/>
      </c>
      <c r="K363" t="n">
        <v/>
      </c>
      <c r="L363" t="n">
        <v>0</v>
      </c>
      <c r="M363" t="n">
        <v>0</v>
      </c>
    </row>
    <row r="364">
      <c r="A364" s="148" t="n">
        <v>32234</v>
      </c>
      <c r="B364" t="n">
        <v/>
      </c>
      <c r="C364" t="n">
        <v/>
      </c>
      <c r="D364" t="n">
        <v/>
      </c>
      <c r="E364" t="n">
        <v/>
      </c>
      <c r="F364" t="n">
        <v/>
      </c>
      <c r="G364" t="n">
        <v/>
      </c>
      <c r="H364" t="n">
        <v/>
      </c>
      <c r="I364" t="n">
        <v/>
      </c>
      <c r="J364" t="n">
        <v/>
      </c>
      <c r="K364" t="n">
        <v/>
      </c>
      <c r="L364" t="n">
        <v>0</v>
      </c>
      <c r="M364" t="n">
        <v>0</v>
      </c>
    </row>
    <row r="365">
      <c r="A365" s="148" t="n">
        <v>32264</v>
      </c>
      <c r="B365" t="n">
        <v/>
      </c>
      <c r="C365" t="n">
        <v/>
      </c>
      <c r="D365" t="n">
        <v/>
      </c>
      <c r="E365" t="n">
        <v/>
      </c>
      <c r="F365" t="n">
        <v/>
      </c>
      <c r="G365" t="n">
        <v/>
      </c>
      <c r="H365" t="n">
        <v/>
      </c>
      <c r="I365" t="n">
        <v/>
      </c>
      <c r="J365" t="n">
        <v/>
      </c>
      <c r="K365" t="n">
        <v/>
      </c>
      <c r="L365" t="n">
        <v>0</v>
      </c>
      <c r="M365" t="n">
        <v>0</v>
      </c>
    </row>
    <row r="366">
      <c r="A366" s="148" t="n">
        <v>32295</v>
      </c>
      <c r="B366" t="n">
        <v/>
      </c>
      <c r="C366" t="n">
        <v/>
      </c>
      <c r="D366" t="n">
        <v/>
      </c>
      <c r="E366" t="n">
        <v/>
      </c>
      <c r="F366" t="n">
        <v/>
      </c>
      <c r="G366" t="n">
        <v/>
      </c>
      <c r="H366" t="n">
        <v/>
      </c>
      <c r="I366" t="n">
        <v/>
      </c>
      <c r="J366" t="n">
        <v/>
      </c>
      <c r="K366" t="n">
        <v/>
      </c>
      <c r="L366" t="n">
        <v>0</v>
      </c>
      <c r="M366" t="n">
        <v>0</v>
      </c>
    </row>
    <row r="367">
      <c r="A367" s="148" t="n">
        <v>32325</v>
      </c>
      <c r="B367" t="n">
        <v/>
      </c>
      <c r="C367" t="n">
        <v/>
      </c>
      <c r="D367" t="n">
        <v/>
      </c>
      <c r="E367" t="n">
        <v/>
      </c>
      <c r="F367" t="n">
        <v/>
      </c>
      <c r="G367" t="n">
        <v/>
      </c>
      <c r="H367" t="n">
        <v/>
      </c>
      <c r="I367" t="n">
        <v/>
      </c>
      <c r="J367" t="n">
        <v/>
      </c>
      <c r="K367" t="n">
        <v/>
      </c>
      <c r="L367" t="n">
        <v>0</v>
      </c>
      <c r="M367" t="n">
        <v>0</v>
      </c>
    </row>
    <row r="368">
      <c r="A368" s="148" t="n">
        <v>32356</v>
      </c>
      <c r="B368" t="n">
        <v/>
      </c>
      <c r="C368" t="n">
        <v/>
      </c>
      <c r="D368" t="n">
        <v/>
      </c>
      <c r="E368" t="n">
        <v/>
      </c>
      <c r="F368" t="n">
        <v/>
      </c>
      <c r="G368" t="n">
        <v/>
      </c>
      <c r="H368" t="n">
        <v/>
      </c>
      <c r="I368" t="n">
        <v/>
      </c>
      <c r="J368" t="n">
        <v/>
      </c>
      <c r="K368" t="n">
        <v/>
      </c>
      <c r="L368" t="n">
        <v>0</v>
      </c>
      <c r="M368" t="n">
        <v>0</v>
      </c>
    </row>
    <row r="369">
      <c r="A369" s="148" t="n">
        <v>32387</v>
      </c>
      <c r="B369" t="n">
        <v/>
      </c>
      <c r="C369" t="n">
        <v/>
      </c>
      <c r="D369" t="n">
        <v/>
      </c>
      <c r="E369" t="n">
        <v/>
      </c>
      <c r="F369" t="n">
        <v/>
      </c>
      <c r="G369" t="n">
        <v/>
      </c>
      <c r="H369" t="n">
        <v/>
      </c>
      <c r="I369" t="n">
        <v/>
      </c>
      <c r="J369" t="n">
        <v/>
      </c>
      <c r="K369" t="n">
        <v/>
      </c>
      <c r="L369" t="n">
        <v>0</v>
      </c>
      <c r="M369" t="n">
        <v>0</v>
      </c>
    </row>
    <row r="370">
      <c r="A370" s="148" t="n">
        <v>32417</v>
      </c>
      <c r="B370" t="n">
        <v/>
      </c>
      <c r="C370" t="n">
        <v/>
      </c>
      <c r="D370" t="n">
        <v/>
      </c>
      <c r="E370" t="n">
        <v/>
      </c>
      <c r="F370" t="n">
        <v/>
      </c>
      <c r="G370" t="n">
        <v/>
      </c>
      <c r="H370" t="n">
        <v/>
      </c>
      <c r="I370" t="n">
        <v/>
      </c>
      <c r="J370" t="n">
        <v/>
      </c>
      <c r="K370" t="n">
        <v/>
      </c>
      <c r="L370" t="n">
        <v>0</v>
      </c>
      <c r="M370" t="n">
        <v>0</v>
      </c>
    </row>
    <row r="371">
      <c r="A371" s="148" t="n">
        <v>32448</v>
      </c>
      <c r="B371" t="n">
        <v/>
      </c>
      <c r="C371" t="n">
        <v/>
      </c>
      <c r="D371" t="n">
        <v/>
      </c>
      <c r="E371" t="n">
        <v/>
      </c>
      <c r="F371" t="n">
        <v/>
      </c>
      <c r="G371" t="n">
        <v/>
      </c>
      <c r="H371" t="n">
        <v/>
      </c>
      <c r="I371" t="n">
        <v/>
      </c>
      <c r="J371" t="n">
        <v/>
      </c>
      <c r="K371" t="n">
        <v/>
      </c>
      <c r="L371" t="n">
        <v>0</v>
      </c>
      <c r="M371" t="n">
        <v>0</v>
      </c>
    </row>
    <row r="372">
      <c r="A372" s="148" t="n">
        <v>32478</v>
      </c>
      <c r="B372" t="n">
        <v/>
      </c>
      <c r="C372" t="n">
        <v/>
      </c>
      <c r="D372" t="n">
        <v/>
      </c>
      <c r="E372" t="n">
        <v/>
      </c>
      <c r="F372" t="n">
        <v/>
      </c>
      <c r="G372" t="n">
        <v/>
      </c>
      <c r="H372" t="n">
        <v/>
      </c>
      <c r="I372" t="n">
        <v/>
      </c>
      <c r="J372" t="n">
        <v/>
      </c>
      <c r="K372" t="n">
        <v/>
      </c>
      <c r="L372" t="n">
        <v>0</v>
      </c>
      <c r="M372" t="n">
        <v>0</v>
      </c>
    </row>
    <row r="373">
      <c r="A373" s="148" t="n">
        <v>32509</v>
      </c>
      <c r="B373" t="n">
        <v/>
      </c>
      <c r="C373" t="n">
        <v/>
      </c>
      <c r="D373" t="n">
        <v/>
      </c>
      <c r="E373" t="n">
        <v/>
      </c>
      <c r="F373" t="n">
        <v/>
      </c>
      <c r="G373" t="n">
        <v/>
      </c>
      <c r="H373" t="n">
        <v/>
      </c>
      <c r="I373" t="n">
        <v/>
      </c>
      <c r="J373" t="n">
        <v/>
      </c>
      <c r="K373" t="n">
        <v/>
      </c>
      <c r="L373" t="n">
        <v>0</v>
      </c>
      <c r="M373" t="n">
        <v>0</v>
      </c>
    </row>
    <row r="374">
      <c r="A374" s="148" t="n">
        <v>32540</v>
      </c>
      <c r="B374" t="n">
        <v/>
      </c>
      <c r="C374" t="n">
        <v/>
      </c>
      <c r="D374" t="n">
        <v/>
      </c>
      <c r="E374" t="n">
        <v/>
      </c>
      <c r="F374" t="n">
        <v/>
      </c>
      <c r="G374" t="n">
        <v/>
      </c>
      <c r="H374" t="n">
        <v/>
      </c>
      <c r="I374" t="n">
        <v/>
      </c>
      <c r="J374" t="n">
        <v/>
      </c>
      <c r="K374" t="n">
        <v/>
      </c>
      <c r="L374" t="n">
        <v>0</v>
      </c>
      <c r="M374" t="n">
        <v>0</v>
      </c>
    </row>
    <row r="375">
      <c r="A375" s="148" t="n">
        <v>32568</v>
      </c>
      <c r="B375" t="n">
        <v/>
      </c>
      <c r="C375" t="n">
        <v/>
      </c>
      <c r="D375" t="n">
        <v/>
      </c>
      <c r="E375" t="n">
        <v/>
      </c>
      <c r="F375" t="n">
        <v/>
      </c>
      <c r="G375" t="n">
        <v/>
      </c>
      <c r="H375" t="n">
        <v/>
      </c>
      <c r="I375" t="n">
        <v/>
      </c>
      <c r="J375" t="n">
        <v/>
      </c>
      <c r="K375" t="n">
        <v/>
      </c>
      <c r="L375" t="n">
        <v>0</v>
      </c>
      <c r="M375" t="n">
        <v>0</v>
      </c>
    </row>
    <row r="376">
      <c r="A376" s="148" t="n">
        <v>32599</v>
      </c>
      <c r="B376" t="n">
        <v/>
      </c>
      <c r="C376" t="n">
        <v/>
      </c>
      <c r="D376" t="n">
        <v/>
      </c>
      <c r="E376" t="n">
        <v/>
      </c>
      <c r="F376" t="n">
        <v/>
      </c>
      <c r="G376" t="n">
        <v/>
      </c>
      <c r="H376" t="n">
        <v/>
      </c>
      <c r="I376" t="n">
        <v/>
      </c>
      <c r="J376" t="n">
        <v/>
      </c>
      <c r="K376" t="n">
        <v/>
      </c>
      <c r="L376" t="n">
        <v>0</v>
      </c>
      <c r="M376" t="n">
        <v>0</v>
      </c>
    </row>
    <row r="377">
      <c r="A377" s="148" t="n">
        <v>32629</v>
      </c>
      <c r="B377" t="n">
        <v/>
      </c>
      <c r="C377" t="n">
        <v/>
      </c>
      <c r="D377" t="n">
        <v/>
      </c>
      <c r="E377" t="n">
        <v/>
      </c>
      <c r="F377" t="n">
        <v/>
      </c>
      <c r="G377" t="n">
        <v/>
      </c>
      <c r="H377" t="n">
        <v/>
      </c>
      <c r="I377" t="n">
        <v/>
      </c>
      <c r="J377" t="n">
        <v/>
      </c>
      <c r="K377" t="n">
        <v/>
      </c>
      <c r="L377" t="n">
        <v>0</v>
      </c>
      <c r="M377" t="n">
        <v>0</v>
      </c>
    </row>
    <row r="378">
      <c r="A378" s="148" t="n">
        <v>32660</v>
      </c>
      <c r="B378" t="n">
        <v/>
      </c>
      <c r="C378" t="n">
        <v/>
      </c>
      <c r="D378" t="n">
        <v/>
      </c>
      <c r="E378" t="n">
        <v/>
      </c>
      <c r="F378" t="n">
        <v/>
      </c>
      <c r="G378" t="n">
        <v/>
      </c>
      <c r="H378" t="n">
        <v/>
      </c>
      <c r="I378" t="n">
        <v/>
      </c>
      <c r="J378" t="n">
        <v/>
      </c>
      <c r="K378" t="n">
        <v/>
      </c>
      <c r="L378" t="n">
        <v>0</v>
      </c>
      <c r="M378" t="n">
        <v>0</v>
      </c>
    </row>
    <row r="379">
      <c r="A379" s="148" t="n">
        <v>32690</v>
      </c>
      <c r="B379" t="n">
        <v/>
      </c>
      <c r="C379" t="n">
        <v/>
      </c>
      <c r="D379" t="n">
        <v/>
      </c>
      <c r="E379" t="n">
        <v/>
      </c>
      <c r="F379" t="n">
        <v/>
      </c>
      <c r="G379" t="n">
        <v/>
      </c>
      <c r="H379" t="n">
        <v/>
      </c>
      <c r="I379" t="n">
        <v/>
      </c>
      <c r="J379" t="n">
        <v/>
      </c>
      <c r="K379" t="n">
        <v/>
      </c>
      <c r="L379" t="n">
        <v>0</v>
      </c>
      <c r="M379" t="n">
        <v>0</v>
      </c>
    </row>
    <row r="380">
      <c r="A380" s="148" t="n">
        <v>32721</v>
      </c>
      <c r="B380" t="n">
        <v/>
      </c>
      <c r="C380" t="n">
        <v/>
      </c>
      <c r="D380" t="n">
        <v/>
      </c>
      <c r="E380" t="n">
        <v/>
      </c>
      <c r="F380" t="n">
        <v/>
      </c>
      <c r="G380" t="n">
        <v/>
      </c>
      <c r="H380" t="n">
        <v/>
      </c>
      <c r="I380" t="n">
        <v/>
      </c>
      <c r="J380" t="n">
        <v/>
      </c>
      <c r="K380" t="n">
        <v/>
      </c>
      <c r="L380" t="n">
        <v>0</v>
      </c>
      <c r="M380" t="n">
        <v>0</v>
      </c>
    </row>
    <row r="381">
      <c r="A381" s="148" t="n">
        <v>32752</v>
      </c>
      <c r="B381" t="n">
        <v/>
      </c>
      <c r="C381" t="n">
        <v/>
      </c>
      <c r="D381" t="n">
        <v/>
      </c>
      <c r="E381" t="n">
        <v/>
      </c>
      <c r="F381" t="n">
        <v/>
      </c>
      <c r="G381" t="n">
        <v/>
      </c>
      <c r="H381" t="n">
        <v/>
      </c>
      <c r="I381" t="n">
        <v/>
      </c>
      <c r="J381" t="n">
        <v/>
      </c>
      <c r="K381" t="n">
        <v/>
      </c>
      <c r="L381" t="n">
        <v>0</v>
      </c>
      <c r="M381" t="n">
        <v>0</v>
      </c>
    </row>
    <row r="382">
      <c r="A382" s="148" t="n">
        <v>32782</v>
      </c>
      <c r="B382" t="n">
        <v/>
      </c>
      <c r="C382" t="n">
        <v/>
      </c>
      <c r="D382" t="n">
        <v/>
      </c>
      <c r="E382" t="n">
        <v/>
      </c>
      <c r="F382" t="n">
        <v/>
      </c>
      <c r="G382" t="n">
        <v/>
      </c>
      <c r="H382" t="n">
        <v/>
      </c>
      <c r="I382" t="n">
        <v/>
      </c>
      <c r="J382" t="n">
        <v/>
      </c>
      <c r="K382" t="n">
        <v/>
      </c>
      <c r="L382" t="n">
        <v>0</v>
      </c>
      <c r="M382" t="n">
        <v>0</v>
      </c>
    </row>
    <row r="383">
      <c r="A383" s="148" t="n">
        <v>32813</v>
      </c>
      <c r="B383" t="n">
        <v/>
      </c>
      <c r="C383" t="n">
        <v/>
      </c>
      <c r="D383" t="n">
        <v/>
      </c>
      <c r="E383" t="n">
        <v/>
      </c>
      <c r="F383" t="n">
        <v/>
      </c>
      <c r="G383" t="n">
        <v/>
      </c>
      <c r="H383" t="n">
        <v/>
      </c>
      <c r="I383" t="n">
        <v/>
      </c>
      <c r="J383" t="n">
        <v/>
      </c>
      <c r="K383" t="n">
        <v/>
      </c>
      <c r="L383" t="n">
        <v>0</v>
      </c>
      <c r="M383" t="n">
        <v>0</v>
      </c>
    </row>
    <row r="384">
      <c r="A384" s="148" t="n">
        <v>32843</v>
      </c>
      <c r="B384" t="n">
        <v/>
      </c>
      <c r="C384" t="n">
        <v/>
      </c>
      <c r="D384" t="n">
        <v/>
      </c>
      <c r="E384" t="n">
        <v/>
      </c>
      <c r="F384" t="n">
        <v/>
      </c>
      <c r="G384" t="n">
        <v/>
      </c>
      <c r="H384" t="n">
        <v/>
      </c>
      <c r="I384" t="n">
        <v/>
      </c>
      <c r="J384" t="n">
        <v/>
      </c>
      <c r="K384" t="n">
        <v/>
      </c>
      <c r="L384" t="n">
        <v>0</v>
      </c>
      <c r="M384" t="n">
        <v>0</v>
      </c>
    </row>
    <row r="385">
      <c r="A385" s="148" t="n">
        <v>32874</v>
      </c>
      <c r="B385" t="n">
        <v/>
      </c>
      <c r="C385" t="n">
        <v/>
      </c>
      <c r="D385" t="n">
        <v/>
      </c>
      <c r="E385" t="n">
        <v/>
      </c>
      <c r="F385" t="n">
        <v/>
      </c>
      <c r="G385" t="n">
        <v/>
      </c>
      <c r="H385" t="n">
        <v/>
      </c>
      <c r="I385" t="n">
        <v/>
      </c>
      <c r="J385" t="n">
        <v/>
      </c>
      <c r="K385" t="n">
        <v/>
      </c>
      <c r="L385" t="n">
        <v>0</v>
      </c>
      <c r="M385" t="n">
        <v>0</v>
      </c>
    </row>
    <row r="386">
      <c r="A386" s="148" t="n">
        <v>32905</v>
      </c>
      <c r="B386" t="n">
        <v/>
      </c>
      <c r="C386" t="n">
        <v/>
      </c>
      <c r="D386" t="n">
        <v/>
      </c>
      <c r="E386" t="n">
        <v/>
      </c>
      <c r="F386" t="n">
        <v/>
      </c>
      <c r="G386" t="n">
        <v/>
      </c>
      <c r="H386" t="n">
        <v/>
      </c>
      <c r="I386" t="n">
        <v/>
      </c>
      <c r="J386" t="n">
        <v/>
      </c>
      <c r="K386" t="n">
        <v/>
      </c>
      <c r="L386" t="n">
        <v>0</v>
      </c>
      <c r="M386" t="n">
        <v>0</v>
      </c>
    </row>
    <row r="387">
      <c r="A387" s="148" t="n">
        <v>32933</v>
      </c>
      <c r="B387" t="n">
        <v/>
      </c>
      <c r="C387" t="n">
        <v/>
      </c>
      <c r="D387" t="n">
        <v/>
      </c>
      <c r="E387" t="n">
        <v/>
      </c>
      <c r="F387" t="n">
        <v/>
      </c>
      <c r="G387" t="n">
        <v/>
      </c>
      <c r="H387" t="n">
        <v/>
      </c>
      <c r="I387" t="n">
        <v/>
      </c>
      <c r="J387" t="n">
        <v/>
      </c>
      <c r="K387" t="n">
        <v/>
      </c>
      <c r="L387" t="n">
        <v>0</v>
      </c>
      <c r="M387" t="n">
        <v>0</v>
      </c>
    </row>
    <row r="388">
      <c r="A388" s="148" t="n">
        <v>32964</v>
      </c>
      <c r="B388" t="n">
        <v/>
      </c>
      <c r="C388" t="n">
        <v/>
      </c>
      <c r="D388" t="n">
        <v/>
      </c>
      <c r="E388" t="n">
        <v/>
      </c>
      <c r="F388" t="n">
        <v/>
      </c>
      <c r="G388" t="n">
        <v/>
      </c>
      <c r="H388" t="n">
        <v/>
      </c>
      <c r="I388" t="n">
        <v/>
      </c>
      <c r="J388" t="n">
        <v/>
      </c>
      <c r="K388" t="n">
        <v/>
      </c>
      <c r="L388" t="n">
        <v>0</v>
      </c>
      <c r="M388" t="n">
        <v>0</v>
      </c>
    </row>
    <row r="389">
      <c r="A389" s="148" t="n">
        <v>32994</v>
      </c>
      <c r="B389" t="n">
        <v/>
      </c>
      <c r="C389" t="n">
        <v/>
      </c>
      <c r="D389" t="n">
        <v/>
      </c>
      <c r="E389" t="n">
        <v/>
      </c>
      <c r="F389" t="n">
        <v/>
      </c>
      <c r="G389" t="n">
        <v/>
      </c>
      <c r="H389" t="n">
        <v/>
      </c>
      <c r="I389" t="n">
        <v/>
      </c>
      <c r="J389" t="n">
        <v/>
      </c>
      <c r="K389" t="n">
        <v/>
      </c>
      <c r="L389" t="n">
        <v>0</v>
      </c>
      <c r="M389" t="n">
        <v>0</v>
      </c>
    </row>
    <row r="390">
      <c r="A390" s="148" t="n">
        <v>33025</v>
      </c>
      <c r="B390" t="n">
        <v/>
      </c>
      <c r="C390" t="n">
        <v/>
      </c>
      <c r="D390" t="n">
        <v/>
      </c>
      <c r="E390" t="n">
        <v/>
      </c>
      <c r="F390" t="n">
        <v/>
      </c>
      <c r="G390" t="n">
        <v/>
      </c>
      <c r="H390" t="n">
        <v/>
      </c>
      <c r="I390" t="n">
        <v/>
      </c>
      <c r="J390" t="n">
        <v/>
      </c>
      <c r="K390" t="n">
        <v/>
      </c>
      <c r="L390" t="n">
        <v>0</v>
      </c>
      <c r="M390" t="n">
        <v>0</v>
      </c>
    </row>
    <row r="391">
      <c r="A391" s="148" t="n">
        <v>33055</v>
      </c>
      <c r="B391" t="n">
        <v/>
      </c>
      <c r="C391" t="n">
        <v/>
      </c>
      <c r="D391" t="n">
        <v/>
      </c>
      <c r="E391" t="n">
        <v/>
      </c>
      <c r="F391" t="n">
        <v/>
      </c>
      <c r="G391" t="n">
        <v/>
      </c>
      <c r="H391" t="n">
        <v/>
      </c>
      <c r="I391" t="n">
        <v/>
      </c>
      <c r="J391" t="n">
        <v/>
      </c>
      <c r="K391" t="n">
        <v/>
      </c>
      <c r="L391" t="n">
        <v>0</v>
      </c>
      <c r="M391" t="n">
        <v>0</v>
      </c>
    </row>
    <row r="392">
      <c r="A392" s="148" t="n">
        <v>33086</v>
      </c>
      <c r="B392" t="n">
        <v/>
      </c>
      <c r="C392" t="n">
        <v/>
      </c>
      <c r="D392" t="n">
        <v/>
      </c>
      <c r="E392" t="n">
        <v/>
      </c>
      <c r="F392" t="n">
        <v/>
      </c>
      <c r="G392" t="n">
        <v/>
      </c>
      <c r="H392" t="n">
        <v/>
      </c>
      <c r="I392" t="n">
        <v/>
      </c>
      <c r="J392" t="n">
        <v/>
      </c>
      <c r="K392" t="n">
        <v/>
      </c>
      <c r="L392" t="n">
        <v>0</v>
      </c>
      <c r="M392" t="n">
        <v>0</v>
      </c>
    </row>
    <row r="393">
      <c r="A393" s="148" t="n">
        <v>33117</v>
      </c>
      <c r="B393" t="n">
        <v/>
      </c>
      <c r="C393" t="n">
        <v/>
      </c>
      <c r="D393" t="n">
        <v/>
      </c>
      <c r="E393" t="n">
        <v/>
      </c>
      <c r="F393" t="n">
        <v/>
      </c>
      <c r="G393" t="n">
        <v/>
      </c>
      <c r="H393" t="n">
        <v/>
      </c>
      <c r="I393" t="n">
        <v/>
      </c>
      <c r="J393" t="n">
        <v/>
      </c>
      <c r="K393" t="n">
        <v/>
      </c>
      <c r="L393" t="n">
        <v>0</v>
      </c>
      <c r="M393" t="n">
        <v>0</v>
      </c>
    </row>
    <row r="394">
      <c r="A394" s="148" t="n">
        <v>33147</v>
      </c>
      <c r="B394" t="n">
        <v/>
      </c>
      <c r="C394" t="n">
        <v/>
      </c>
      <c r="D394" t="n">
        <v/>
      </c>
      <c r="E394" t="n">
        <v/>
      </c>
      <c r="F394" t="n">
        <v/>
      </c>
      <c r="G394" t="n">
        <v/>
      </c>
      <c r="H394" t="n">
        <v/>
      </c>
      <c r="I394" t="n">
        <v/>
      </c>
      <c r="J394" t="n">
        <v/>
      </c>
      <c r="K394" t="n">
        <v/>
      </c>
      <c r="L394" t="n">
        <v>0</v>
      </c>
      <c r="M394" t="n">
        <v>0</v>
      </c>
    </row>
    <row r="395">
      <c r="A395" s="148" t="n">
        <v>33178</v>
      </c>
      <c r="B395" t="n">
        <v/>
      </c>
      <c r="C395" t="n">
        <v/>
      </c>
      <c r="D395" t="n">
        <v/>
      </c>
      <c r="E395" t="n">
        <v/>
      </c>
      <c r="F395" t="n">
        <v/>
      </c>
      <c r="G395" t="n">
        <v/>
      </c>
      <c r="H395" t="n">
        <v/>
      </c>
      <c r="I395" t="n">
        <v/>
      </c>
      <c r="J395" t="n">
        <v/>
      </c>
      <c r="K395" t="n">
        <v/>
      </c>
      <c r="L395" t="n">
        <v>0</v>
      </c>
      <c r="M395" t="n">
        <v>0</v>
      </c>
    </row>
    <row r="396">
      <c r="A396" s="148" t="n">
        <v>33208</v>
      </c>
      <c r="B396" t="n">
        <v/>
      </c>
      <c r="C396" t="n">
        <v/>
      </c>
      <c r="D396" t="n">
        <v/>
      </c>
      <c r="E396" t="n">
        <v/>
      </c>
      <c r="F396" t="n">
        <v/>
      </c>
      <c r="G396" t="n">
        <v/>
      </c>
      <c r="H396" t="n">
        <v/>
      </c>
      <c r="I396" t="n">
        <v/>
      </c>
      <c r="J396" t="n">
        <v/>
      </c>
      <c r="K396" t="n">
        <v/>
      </c>
      <c r="L396" t="n">
        <v>0</v>
      </c>
      <c r="M396" t="n">
        <v>0</v>
      </c>
    </row>
    <row r="397">
      <c r="A397" s="148" t="n">
        <v>33239</v>
      </c>
      <c r="B397" t="n">
        <v/>
      </c>
      <c r="C397" t="n">
        <v/>
      </c>
      <c r="D397" t="n">
        <v/>
      </c>
      <c r="E397" t="n">
        <v/>
      </c>
      <c r="F397" t="n">
        <v/>
      </c>
      <c r="G397" t="n">
        <v/>
      </c>
      <c r="H397" t="n">
        <v/>
      </c>
      <c r="I397" t="n">
        <v/>
      </c>
      <c r="J397" t="n">
        <v/>
      </c>
      <c r="K397" t="n">
        <v/>
      </c>
      <c r="L397" t="n">
        <v>0</v>
      </c>
      <c r="M397" t="n">
        <v>0</v>
      </c>
    </row>
    <row r="398">
      <c r="A398" s="148" t="n">
        <v>33270</v>
      </c>
      <c r="B398" t="n">
        <v/>
      </c>
      <c r="C398" t="n">
        <v/>
      </c>
      <c r="D398" t="n">
        <v/>
      </c>
      <c r="E398" t="n">
        <v/>
      </c>
      <c r="F398" t="n">
        <v/>
      </c>
      <c r="G398" t="n">
        <v/>
      </c>
      <c r="H398" t="n">
        <v/>
      </c>
      <c r="I398" t="n">
        <v/>
      </c>
      <c r="J398" t="n">
        <v/>
      </c>
      <c r="K398" t="n">
        <v/>
      </c>
      <c r="L398" t="n">
        <v>0</v>
      </c>
      <c r="M398" t="n">
        <v>0</v>
      </c>
    </row>
    <row r="399">
      <c r="A399" s="148" t="n">
        <v>33298</v>
      </c>
      <c r="B399" t="n">
        <v/>
      </c>
      <c r="C399" t="n">
        <v/>
      </c>
      <c r="D399" t="n">
        <v/>
      </c>
      <c r="E399" t="n">
        <v/>
      </c>
      <c r="F399" t="n">
        <v/>
      </c>
      <c r="G399" t="n">
        <v/>
      </c>
      <c r="H399" t="n">
        <v/>
      </c>
      <c r="I399" t="n">
        <v/>
      </c>
      <c r="J399" t="n">
        <v/>
      </c>
      <c r="K399" t="n">
        <v/>
      </c>
      <c r="L399" t="n">
        <v>0</v>
      </c>
      <c r="M399" t="n">
        <v>0</v>
      </c>
    </row>
    <row r="400">
      <c r="A400" s="148" t="n">
        <v>33329</v>
      </c>
      <c r="B400" t="n">
        <v/>
      </c>
      <c r="C400" t="n">
        <v/>
      </c>
      <c r="D400" t="n">
        <v/>
      </c>
      <c r="E400" t="n">
        <v/>
      </c>
      <c r="F400" t="n">
        <v/>
      </c>
      <c r="G400" t="n">
        <v/>
      </c>
      <c r="H400" t="n">
        <v/>
      </c>
      <c r="I400" t="n">
        <v/>
      </c>
      <c r="J400" t="n">
        <v/>
      </c>
      <c r="K400" t="n">
        <v/>
      </c>
      <c r="L400" t="n">
        <v>0</v>
      </c>
      <c r="M400" t="n">
        <v>0</v>
      </c>
    </row>
    <row r="401">
      <c r="A401" s="148" t="n">
        <v>33359</v>
      </c>
      <c r="B401" t="n">
        <v/>
      </c>
      <c r="C401" t="n">
        <v/>
      </c>
      <c r="D401" t="n">
        <v/>
      </c>
      <c r="E401" t="n">
        <v/>
      </c>
      <c r="F401" t="n">
        <v/>
      </c>
      <c r="G401" t="n">
        <v/>
      </c>
      <c r="H401" t="n">
        <v/>
      </c>
      <c r="I401" t="n">
        <v/>
      </c>
      <c r="J401" t="n">
        <v/>
      </c>
      <c r="K401" t="n">
        <v/>
      </c>
      <c r="L401" t="n">
        <v>0</v>
      </c>
      <c r="M401" t="n">
        <v>0</v>
      </c>
    </row>
    <row r="402">
      <c r="A402" s="148" t="n">
        <v>33390</v>
      </c>
      <c r="B402" t="n">
        <v/>
      </c>
      <c r="C402" t="n">
        <v/>
      </c>
      <c r="D402" t="n">
        <v/>
      </c>
      <c r="E402" t="n">
        <v/>
      </c>
      <c r="F402" t="n">
        <v/>
      </c>
      <c r="G402" t="n">
        <v/>
      </c>
      <c r="H402" t="n">
        <v/>
      </c>
      <c r="I402" t="n">
        <v/>
      </c>
      <c r="J402" t="n">
        <v/>
      </c>
      <c r="K402" t="n">
        <v/>
      </c>
      <c r="L402" t="n">
        <v>0</v>
      </c>
      <c r="M402" t="n">
        <v>0</v>
      </c>
    </row>
    <row r="403">
      <c r="A403" s="148" t="n">
        <v>33420</v>
      </c>
      <c r="B403" t="n">
        <v/>
      </c>
      <c r="C403" t="n">
        <v/>
      </c>
      <c r="D403" t="n">
        <v/>
      </c>
      <c r="E403" t="n">
        <v/>
      </c>
      <c r="F403" t="n">
        <v/>
      </c>
      <c r="G403" t="n">
        <v/>
      </c>
      <c r="H403" t="n">
        <v/>
      </c>
      <c r="I403" t="n">
        <v/>
      </c>
      <c r="J403" t="n">
        <v/>
      </c>
      <c r="K403" t="n">
        <v/>
      </c>
      <c r="L403" t="n">
        <v>0</v>
      </c>
      <c r="M403" t="n">
        <v>0</v>
      </c>
    </row>
    <row r="404">
      <c r="A404" s="148" t="n">
        <v>33451</v>
      </c>
      <c r="B404" t="n">
        <v/>
      </c>
      <c r="C404" t="n">
        <v/>
      </c>
      <c r="D404" t="n">
        <v/>
      </c>
      <c r="E404" t="n">
        <v/>
      </c>
      <c r="F404" t="n">
        <v/>
      </c>
      <c r="G404" t="n">
        <v/>
      </c>
      <c r="H404" t="n">
        <v/>
      </c>
      <c r="I404" t="n">
        <v/>
      </c>
      <c r="J404" t="n">
        <v/>
      </c>
      <c r="K404" t="n">
        <v/>
      </c>
      <c r="L404" t="n">
        <v>0</v>
      </c>
      <c r="M404" t="n">
        <v>0</v>
      </c>
    </row>
    <row r="405">
      <c r="A405" s="148" t="n">
        <v>33482</v>
      </c>
      <c r="B405" t="n">
        <v/>
      </c>
      <c r="C405" t="n">
        <v/>
      </c>
      <c r="D405" t="n">
        <v/>
      </c>
      <c r="E405" t="n">
        <v/>
      </c>
      <c r="F405" t="n">
        <v/>
      </c>
      <c r="G405" t="n">
        <v/>
      </c>
      <c r="H405" t="n">
        <v/>
      </c>
      <c r="I405" t="n">
        <v/>
      </c>
      <c r="J405" t="n">
        <v/>
      </c>
      <c r="K405" t="n">
        <v/>
      </c>
      <c r="L405" t="n">
        <v>0</v>
      </c>
      <c r="M405" t="n">
        <v>0</v>
      </c>
    </row>
    <row r="406">
      <c r="A406" s="148" t="n">
        <v>33512</v>
      </c>
      <c r="B406" t="n">
        <v/>
      </c>
      <c r="C406" t="n">
        <v/>
      </c>
      <c r="D406" t="n">
        <v/>
      </c>
      <c r="E406" t="n">
        <v/>
      </c>
      <c r="F406" t="n">
        <v/>
      </c>
      <c r="G406" t="n">
        <v/>
      </c>
      <c r="H406" t="n">
        <v/>
      </c>
      <c r="I406" t="n">
        <v/>
      </c>
      <c r="J406" t="n">
        <v/>
      </c>
      <c r="K406" t="n">
        <v/>
      </c>
      <c r="L406" t="n">
        <v>0</v>
      </c>
      <c r="M406" t="n">
        <v>0</v>
      </c>
    </row>
    <row r="407">
      <c r="A407" s="148" t="n">
        <v>33543</v>
      </c>
      <c r="B407" t="n">
        <v/>
      </c>
      <c r="C407" t="n">
        <v/>
      </c>
      <c r="D407" t="n">
        <v/>
      </c>
      <c r="E407" t="n">
        <v/>
      </c>
      <c r="F407" t="n">
        <v/>
      </c>
      <c r="G407" t="n">
        <v/>
      </c>
      <c r="H407" t="n">
        <v/>
      </c>
      <c r="I407" t="n">
        <v/>
      </c>
      <c r="J407" t="n">
        <v/>
      </c>
      <c r="K407" t="n">
        <v/>
      </c>
      <c r="L407" t="n">
        <v>0</v>
      </c>
      <c r="M407" t="n">
        <v>0</v>
      </c>
    </row>
    <row r="408">
      <c r="A408" s="148" t="n">
        <v>33573</v>
      </c>
      <c r="B408" t="n">
        <v/>
      </c>
      <c r="C408" t="n">
        <v/>
      </c>
      <c r="D408" t="n">
        <v/>
      </c>
      <c r="E408" t="n">
        <v/>
      </c>
      <c r="F408" t="n">
        <v/>
      </c>
      <c r="G408" t="n">
        <v/>
      </c>
      <c r="H408" t="n">
        <v/>
      </c>
      <c r="I408" t="n">
        <v/>
      </c>
      <c r="J408" t="n">
        <v/>
      </c>
      <c r="K408" t="n">
        <v/>
      </c>
      <c r="L408" t="n">
        <v>0</v>
      </c>
      <c r="M408" t="n">
        <v>0</v>
      </c>
    </row>
    <row r="409">
      <c r="A409" s="148" t="n">
        <v>33604</v>
      </c>
      <c r="B409" t="n">
        <v/>
      </c>
      <c r="C409" t="n">
        <v/>
      </c>
      <c r="D409" t="n">
        <v/>
      </c>
      <c r="E409" t="n">
        <v/>
      </c>
      <c r="F409" t="n">
        <v/>
      </c>
      <c r="G409" t="n">
        <v/>
      </c>
      <c r="H409" t="n">
        <v/>
      </c>
      <c r="I409" t="n">
        <v/>
      </c>
      <c r="J409" t="n">
        <v/>
      </c>
      <c r="K409" t="n">
        <v>35110</v>
      </c>
      <c r="L409" t="n">
        <v>0</v>
      </c>
      <c r="M409" t="n">
        <v>0</v>
      </c>
    </row>
    <row r="410">
      <c r="A410" s="148"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8"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8"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8"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8"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8"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8"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8"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8"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8"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8"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8"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8"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8"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8"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8"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8"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8"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8"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8"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8"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8"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8"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8"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8"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8"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8"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8"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8"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8"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8"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8"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8"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8"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8"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8"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8"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8"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8"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8"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8"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8"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8"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8"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8"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8"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8"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8"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8"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8"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8"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8"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8"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8"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8"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8"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8"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8"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8"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8"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8"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8"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8"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8"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8"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8"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8"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8"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8"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8"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8"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8"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8"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8"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8"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8"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8"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8"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8"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8"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8"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8"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8"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8"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8"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8"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8"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8"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8"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8"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8"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8"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8"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8"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8"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8"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8"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8"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8"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8"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8"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8"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8"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8"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8"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8"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8"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8"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8"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8"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8"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8"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8"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8"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8"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8"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8"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8"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8"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8"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8"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8"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8"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8"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8"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8"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8"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8"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8"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8"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8"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8"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8"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8"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8"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8"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8"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8"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8"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8"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8"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8"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8"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8"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8"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8"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8"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8"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8"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8"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8"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8"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8"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8"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8"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8"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8"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8"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8"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8"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8"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8"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8"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8"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8"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8"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8"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8"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8"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8"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8"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8"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8"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8"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8"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8"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8"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8"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8"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8"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8"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8"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8"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8"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8"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8"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8"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8"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8"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8"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8"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8"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8"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8"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8"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8"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8"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8"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8"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8"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8"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8"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8"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8"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8"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8"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8"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8"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8"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8"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8"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8"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8"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8"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8"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8"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8"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8"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8"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8"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8"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8"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8"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8"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8"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8"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8"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8"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8"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8"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8"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8"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8"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8"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8"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8"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8"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8"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8"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8" t="n">
        <v>40909</v>
      </c>
      <c r="B649" t="n">
        <v>24176</v>
      </c>
      <c r="C649" t="n">
        <v>29123</v>
      </c>
      <c r="D649" t="n">
        <v>32837</v>
      </c>
      <c r="E649" t="n">
        <v>23017</v>
      </c>
      <c r="F649" t="n">
        <v>10625</v>
      </c>
      <c r="G649" t="n">
        <v>73187</v>
      </c>
      <c r="H649" t="n">
        <v>213798</v>
      </c>
      <c r="I649" t="n">
        <v>151995</v>
      </c>
      <c r="J649" t="n">
        <v>170545</v>
      </c>
      <c r="K649" t="n">
        <v>64937</v>
      </c>
      <c r="L649" t="n">
        <v>225182</v>
      </c>
      <c r="M649" t="n">
        <v>67658</v>
      </c>
    </row>
    <row r="650">
      <c r="A650" s="148" t="n">
        <v>40940</v>
      </c>
      <c r="B650" t="n">
        <v>23289</v>
      </c>
      <c r="C650" t="n">
        <v>29473</v>
      </c>
      <c r="D650" t="n">
        <v>34704</v>
      </c>
      <c r="E650" t="n">
        <v>23903</v>
      </c>
      <c r="F650" t="n">
        <v>10467</v>
      </c>
      <c r="G650" t="n">
        <v>73756</v>
      </c>
      <c r="H650" t="n">
        <v>215027</v>
      </c>
      <c r="I650" t="n">
        <v>153841</v>
      </c>
      <c r="J650" t="n">
        <v>172690</v>
      </c>
      <c r="K650" t="n">
        <v>66132</v>
      </c>
      <c r="L650" t="n">
        <v>227597</v>
      </c>
      <c r="M650" t="n">
        <v>69902</v>
      </c>
    </row>
    <row r="651">
      <c r="A651" s="148" t="n">
        <v>40969</v>
      </c>
      <c r="B651" t="n">
        <v>22901</v>
      </c>
      <c r="C651" t="n">
        <v>30000</v>
      </c>
      <c r="D651" t="n">
        <v>34893</v>
      </c>
      <c r="E651" t="n">
        <v>22737</v>
      </c>
      <c r="F651" t="n">
        <v>10589</v>
      </c>
      <c r="G651" t="n">
        <v>66552</v>
      </c>
      <c r="H651" t="n">
        <v>207437</v>
      </c>
      <c r="I651" t="n">
        <v>153408</v>
      </c>
      <c r="J651" t="n">
        <v>164744</v>
      </c>
      <c r="K651" t="n">
        <v>67944</v>
      </c>
      <c r="L651" t="n">
        <v>219960</v>
      </c>
      <c r="M651" t="n">
        <v>69522</v>
      </c>
    </row>
    <row r="652">
      <c r="A652" s="148" t="n">
        <v>41000</v>
      </c>
      <c r="B652" t="n">
        <v>23215</v>
      </c>
      <c r="C652" t="n">
        <v>29052</v>
      </c>
      <c r="D652" t="n">
        <v>33076</v>
      </c>
      <c r="E652" t="n">
        <v>23232</v>
      </c>
      <c r="F652" t="n">
        <v>10468</v>
      </c>
      <c r="G652" t="n">
        <v>67031</v>
      </c>
      <c r="H652" t="n">
        <v>208556</v>
      </c>
      <c r="I652" t="n">
        <v>151383</v>
      </c>
      <c r="J652" t="n">
        <v>161383</v>
      </c>
      <c r="K652" t="n">
        <v>66849</v>
      </c>
      <c r="L652" t="n">
        <v>218414</v>
      </c>
      <c r="M652" t="n">
        <v>67518</v>
      </c>
    </row>
    <row r="653">
      <c r="A653" s="148" t="n">
        <v>41030</v>
      </c>
      <c r="B653" t="n">
        <v>21368</v>
      </c>
      <c r="C653" t="n">
        <v>28379</v>
      </c>
      <c r="D653" t="n">
        <v>34189</v>
      </c>
      <c r="E653" t="n">
        <v>23445</v>
      </c>
      <c r="F653" t="n">
        <v>10789</v>
      </c>
      <c r="G653" t="n">
        <v>68256</v>
      </c>
      <c r="H653" t="n">
        <v>209652</v>
      </c>
      <c r="I653" t="n">
        <v>150820</v>
      </c>
      <c r="J653" t="n">
        <v>162004</v>
      </c>
      <c r="K653" t="n">
        <v>67240</v>
      </c>
      <c r="L653" t="n">
        <v>219076</v>
      </c>
      <c r="M653" t="n">
        <v>69183</v>
      </c>
    </row>
    <row r="654">
      <c r="A654" s="148" t="n">
        <v>41061</v>
      </c>
      <c r="B654" t="n">
        <v>20823</v>
      </c>
      <c r="C654" t="n">
        <v>28480</v>
      </c>
      <c r="D654" t="n">
        <v>33738</v>
      </c>
      <c r="E654" t="n">
        <v>21345</v>
      </c>
      <c r="F654" t="n">
        <v>10147</v>
      </c>
      <c r="G654" t="n">
        <v>71743</v>
      </c>
      <c r="H654" t="n">
        <v>201871</v>
      </c>
      <c r="I654" t="n">
        <v>147012</v>
      </c>
      <c r="J654" t="n">
        <v>162286</v>
      </c>
      <c r="K654" t="n">
        <v>67691</v>
      </c>
      <c r="L654" t="n">
        <v>218755</v>
      </c>
      <c r="M654" t="n">
        <v>67129</v>
      </c>
    </row>
    <row r="655">
      <c r="A655" s="148" t="n">
        <v>41091</v>
      </c>
      <c r="B655" t="n">
        <v>20921</v>
      </c>
      <c r="C655" t="n">
        <v>28529</v>
      </c>
      <c r="D655" t="n">
        <v>32536</v>
      </c>
      <c r="E655" t="n">
        <v>21585</v>
      </c>
      <c r="F655" t="n">
        <v>10258</v>
      </c>
      <c r="G655" t="n">
        <v>78853</v>
      </c>
      <c r="H655" t="n">
        <v>210138</v>
      </c>
      <c r="I655" t="n">
        <v>146370</v>
      </c>
      <c r="J655" t="n">
        <v>168204</v>
      </c>
      <c r="K655" t="n">
        <v>66900</v>
      </c>
      <c r="L655" t="n">
        <v>225223</v>
      </c>
      <c r="M655" t="n">
        <v>65294</v>
      </c>
    </row>
    <row r="656">
      <c r="A656" s="148" t="n">
        <v>41122</v>
      </c>
      <c r="B656" t="n">
        <v>20565</v>
      </c>
      <c r="C656" t="n">
        <v>28324</v>
      </c>
      <c r="D656" t="n">
        <v>29903</v>
      </c>
      <c r="E656" t="n">
        <v>21016</v>
      </c>
      <c r="F656" t="n">
        <v>10312</v>
      </c>
      <c r="G656" t="n">
        <v>57614</v>
      </c>
      <c r="H656" t="n">
        <v>192404</v>
      </c>
      <c r="I656" t="n">
        <v>142809</v>
      </c>
      <c r="J656" t="n">
        <v>144973</v>
      </c>
      <c r="K656" t="n">
        <v>65497</v>
      </c>
      <c r="L656" t="n">
        <v>200423</v>
      </c>
      <c r="M656" t="n">
        <v>63721</v>
      </c>
    </row>
    <row r="657">
      <c r="A657" s="148" t="n">
        <v>41153</v>
      </c>
      <c r="B657" t="n">
        <v>20959</v>
      </c>
      <c r="C657" t="n">
        <v>28211</v>
      </c>
      <c r="D657" t="n">
        <v>31354</v>
      </c>
      <c r="E657" t="n">
        <v>20898</v>
      </c>
      <c r="F657" t="n">
        <v>9944</v>
      </c>
      <c r="G657" t="n">
        <v>72843</v>
      </c>
      <c r="H657" t="n">
        <v>205808</v>
      </c>
      <c r="I657" t="n">
        <v>144398</v>
      </c>
      <c r="J657" t="n">
        <v>161598</v>
      </c>
      <c r="K657" t="n">
        <v>65411</v>
      </c>
      <c r="L657" t="n">
        <v>217241</v>
      </c>
      <c r="M657" t="n">
        <v>63976</v>
      </c>
    </row>
    <row r="658">
      <c r="A658" s="148" t="n">
        <v>41183</v>
      </c>
      <c r="B658" t="n">
        <v>21510</v>
      </c>
      <c r="C658" t="n">
        <v>28260</v>
      </c>
      <c r="D658" t="n">
        <v>32889</v>
      </c>
      <c r="E658" t="n">
        <v>21154</v>
      </c>
      <c r="F658" t="n">
        <v>10451</v>
      </c>
      <c r="G658" t="n">
        <v>71461</v>
      </c>
      <c r="H658" t="n">
        <v>206576</v>
      </c>
      <c r="I658" t="n">
        <v>147556</v>
      </c>
      <c r="J658" t="n">
        <v>163841</v>
      </c>
      <c r="K658" t="n">
        <v>65637</v>
      </c>
      <c r="L658" t="n">
        <v>219017</v>
      </c>
      <c r="M658" t="n">
        <v>65937</v>
      </c>
    </row>
    <row r="659">
      <c r="A659" s="148" t="n">
        <v>41214</v>
      </c>
      <c r="B659" t="n">
        <v>21301</v>
      </c>
      <c r="C659" t="n">
        <v>28582</v>
      </c>
      <c r="D659" t="n">
        <v>32635</v>
      </c>
      <c r="E659" t="n">
        <v>21097</v>
      </c>
      <c r="F659" t="n">
        <v>10795</v>
      </c>
      <c r="G659" t="n">
        <v>67114</v>
      </c>
      <c r="H659" t="n">
        <v>203305</v>
      </c>
      <c r="I659" t="n">
        <v>147575</v>
      </c>
      <c r="J659" t="n">
        <v>157882</v>
      </c>
      <c r="K659" t="n">
        <v>67449</v>
      </c>
      <c r="L659" t="n">
        <v>214689</v>
      </c>
      <c r="M659" t="n">
        <v>66473</v>
      </c>
    </row>
    <row r="660">
      <c r="A660" s="148" t="n">
        <v>41244</v>
      </c>
      <c r="B660" t="n">
        <v>21865</v>
      </c>
      <c r="C660" t="n">
        <v>26972</v>
      </c>
      <c r="D660" t="n">
        <v>31683</v>
      </c>
      <c r="E660" t="n">
        <v>21992</v>
      </c>
      <c r="F660" t="n">
        <v>10058</v>
      </c>
      <c r="G660" t="n">
        <v>84903</v>
      </c>
      <c r="H660" t="n">
        <v>211264</v>
      </c>
      <c r="I660" t="n">
        <v>146089</v>
      </c>
      <c r="J660" t="n">
        <v>173564</v>
      </c>
      <c r="K660" t="n">
        <v>67154</v>
      </c>
      <c r="L660" t="n">
        <v>230992</v>
      </c>
      <c r="M660" t="n">
        <v>66630</v>
      </c>
    </row>
    <row r="661">
      <c r="A661" s="148" t="n">
        <v>41275</v>
      </c>
      <c r="B661" t="n">
        <v>22119</v>
      </c>
      <c r="C661" t="n">
        <v>30191</v>
      </c>
      <c r="D661" t="n">
        <v>34079</v>
      </c>
      <c r="E661" t="n">
        <v>21143</v>
      </c>
      <c r="F661" t="n">
        <v>10028</v>
      </c>
      <c r="G661" t="n">
        <v>71038</v>
      </c>
      <c r="H661" t="n">
        <v>213298</v>
      </c>
      <c r="I661" t="n">
        <v>151759</v>
      </c>
      <c r="J661" t="n">
        <v>164003</v>
      </c>
      <c r="K661" t="n">
        <v>66841</v>
      </c>
      <c r="L661" t="n">
        <v>222797</v>
      </c>
      <c r="M661" t="n">
        <v>69758</v>
      </c>
    </row>
    <row r="662">
      <c r="A662" s="148" t="n">
        <v>41306</v>
      </c>
      <c r="B662" t="n">
        <v>22358</v>
      </c>
      <c r="C662" t="n">
        <v>29128</v>
      </c>
      <c r="D662" t="n">
        <v>32520</v>
      </c>
      <c r="E662" t="n">
        <v>20277</v>
      </c>
      <c r="F662" t="n">
        <v>10363</v>
      </c>
      <c r="G662" t="n">
        <v>86577</v>
      </c>
      <c r="H662" t="n">
        <v>220700</v>
      </c>
      <c r="I662" t="n">
        <v>149375</v>
      </c>
      <c r="J662" t="n">
        <v>175371</v>
      </c>
      <c r="K662" t="n">
        <v>67781</v>
      </c>
      <c r="L662" t="n">
        <v>235952</v>
      </c>
      <c r="M662" t="n">
        <v>66190</v>
      </c>
    </row>
    <row r="663">
      <c r="A663" s="148" t="n">
        <v>41334</v>
      </c>
      <c r="B663" t="n">
        <v>21083</v>
      </c>
      <c r="C663" t="n">
        <v>29704</v>
      </c>
      <c r="D663" t="n">
        <v>31260</v>
      </c>
      <c r="E663" t="n">
        <v>19532</v>
      </c>
      <c r="F663" t="n">
        <v>10084</v>
      </c>
      <c r="G663" t="n">
        <v>69240</v>
      </c>
      <c r="H663" t="n">
        <v>210080</v>
      </c>
      <c r="I663" t="n">
        <v>145948</v>
      </c>
      <c r="J663" t="n">
        <v>155905</v>
      </c>
      <c r="K663" t="n">
        <v>67952</v>
      </c>
      <c r="L663" t="n">
        <v>215188</v>
      </c>
      <c r="M663" t="n">
        <v>66275</v>
      </c>
    </row>
    <row r="664">
      <c r="A664" s="148" t="n">
        <v>41365</v>
      </c>
      <c r="B664" t="n">
        <v>22030</v>
      </c>
      <c r="C664" t="n">
        <v>29325</v>
      </c>
      <c r="D664" t="n">
        <v>31928</v>
      </c>
      <c r="E664" t="n">
        <v>21385</v>
      </c>
      <c r="F664" t="n">
        <v>10130</v>
      </c>
      <c r="G664" t="n">
        <v>76992</v>
      </c>
      <c r="H664" t="n">
        <v>216982</v>
      </c>
      <c r="I664" t="n">
        <v>149549</v>
      </c>
      <c r="J664" t="n">
        <v>166628</v>
      </c>
      <c r="K664" t="n">
        <v>66418</v>
      </c>
      <c r="L664" t="n">
        <v>226541</v>
      </c>
      <c r="M664" t="n">
        <v>67553</v>
      </c>
    </row>
    <row r="665">
      <c r="A665" s="148" t="n">
        <v>41395</v>
      </c>
      <c r="B665" t="n">
        <v>21548</v>
      </c>
      <c r="C665" t="n">
        <v>28923</v>
      </c>
      <c r="D665" t="n">
        <v>32205</v>
      </c>
      <c r="E665" t="n">
        <v>21808</v>
      </c>
      <c r="F665" t="n">
        <v>10804</v>
      </c>
      <c r="G665" t="n">
        <v>84921</v>
      </c>
      <c r="H665" t="n">
        <v>224465</v>
      </c>
      <c r="I665" t="n">
        <v>150337</v>
      </c>
      <c r="J665" t="n">
        <v>175118</v>
      </c>
      <c r="K665" t="n">
        <v>67597</v>
      </c>
      <c r="L665" t="n">
        <v>235258</v>
      </c>
      <c r="M665" t="n">
        <v>69186</v>
      </c>
    </row>
    <row r="666">
      <c r="A666" s="148" t="n">
        <v>41426</v>
      </c>
      <c r="B666" t="n">
        <v>22140</v>
      </c>
      <c r="C666" t="n">
        <v>28953</v>
      </c>
      <c r="D666" t="n">
        <v>32202</v>
      </c>
      <c r="E666" t="n">
        <v>21642</v>
      </c>
      <c r="F666" t="n">
        <v>10349</v>
      </c>
      <c r="G666" t="n">
        <v>97375</v>
      </c>
      <c r="H666" t="n">
        <v>235211</v>
      </c>
      <c r="I666" t="n">
        <v>150635</v>
      </c>
      <c r="J666" t="n">
        <v>187849</v>
      </c>
      <c r="K666" t="n">
        <v>66735</v>
      </c>
      <c r="L666" t="n">
        <v>248010</v>
      </c>
      <c r="M666" t="n">
        <v>69443</v>
      </c>
    </row>
    <row r="667">
      <c r="A667" s="148" t="n">
        <v>41456</v>
      </c>
      <c r="B667" t="n">
        <v>21401</v>
      </c>
      <c r="C667" t="n">
        <v>28800</v>
      </c>
      <c r="D667" t="n">
        <v>32495</v>
      </c>
      <c r="E667" t="n">
        <v>21054</v>
      </c>
      <c r="F667" t="n">
        <v>9957</v>
      </c>
      <c r="G667" t="n">
        <v>75015</v>
      </c>
      <c r="H667" t="n">
        <v>209913</v>
      </c>
      <c r="I667" t="n">
        <v>148765</v>
      </c>
      <c r="J667" t="n">
        <v>164784</v>
      </c>
      <c r="K667" t="n">
        <v>65819</v>
      </c>
      <c r="L667" t="n">
        <v>223780</v>
      </c>
      <c r="M667" t="n">
        <v>66557</v>
      </c>
    </row>
    <row r="668">
      <c r="A668" s="148" t="n">
        <v>41487</v>
      </c>
      <c r="B668" t="n">
        <v>21572</v>
      </c>
      <c r="C668" t="n">
        <v>29075</v>
      </c>
      <c r="D668" t="n">
        <v>30890</v>
      </c>
      <c r="E668" t="n">
        <v>20137</v>
      </c>
      <c r="F668" t="n">
        <v>10077</v>
      </c>
      <c r="G668" t="n">
        <v>77447</v>
      </c>
      <c r="H668" t="n">
        <v>211847</v>
      </c>
      <c r="I668" t="n">
        <v>147563</v>
      </c>
      <c r="J668" t="n">
        <v>164894</v>
      </c>
      <c r="K668" t="n">
        <v>66036</v>
      </c>
      <c r="L668" t="n">
        <v>225010</v>
      </c>
      <c r="M668" t="n">
        <v>65935</v>
      </c>
    </row>
    <row r="669">
      <c r="A669" s="148" t="n">
        <v>41518</v>
      </c>
      <c r="B669" t="n">
        <v>21690</v>
      </c>
      <c r="C669" t="n">
        <v>28873</v>
      </c>
      <c r="D669" t="n">
        <v>31453</v>
      </c>
      <c r="E669" t="n">
        <v>20975</v>
      </c>
      <c r="F669" t="n">
        <v>10228</v>
      </c>
      <c r="G669" t="n">
        <v>90219</v>
      </c>
      <c r="H669" t="n">
        <v>225775</v>
      </c>
      <c r="I669" t="n">
        <v>148413</v>
      </c>
      <c r="J669" t="n">
        <v>178351</v>
      </c>
      <c r="K669" t="n">
        <v>65417</v>
      </c>
      <c r="L669" t="n">
        <v>238632</v>
      </c>
      <c r="M669" t="n">
        <v>66636</v>
      </c>
    </row>
    <row r="670">
      <c r="A670" s="148" t="n">
        <v>41548</v>
      </c>
      <c r="B670" t="n">
        <v>22296</v>
      </c>
      <c r="C670" t="n">
        <v>28460</v>
      </c>
      <c r="D670" t="n">
        <v>31358</v>
      </c>
      <c r="E670" t="n">
        <v>21461</v>
      </c>
      <c r="F670" t="n">
        <v>10332</v>
      </c>
      <c r="G670" t="n">
        <v>82965</v>
      </c>
      <c r="H670" t="n">
        <v>223139</v>
      </c>
      <c r="I670" t="n">
        <v>148997</v>
      </c>
      <c r="J670" t="n">
        <v>171007</v>
      </c>
      <c r="K670" t="n">
        <v>65186</v>
      </c>
      <c r="L670" t="n">
        <v>231962</v>
      </c>
      <c r="M670" t="n">
        <v>64799</v>
      </c>
    </row>
    <row r="671">
      <c r="A671" s="148" t="n">
        <v>41579</v>
      </c>
      <c r="B671" t="n">
        <v>21935</v>
      </c>
      <c r="C671" t="n">
        <v>28851</v>
      </c>
      <c r="D671" t="n">
        <v>33588</v>
      </c>
      <c r="E671" t="n">
        <v>21633</v>
      </c>
      <c r="F671" t="n">
        <v>9447</v>
      </c>
      <c r="G671" t="n">
        <v>90138</v>
      </c>
      <c r="H671" t="n">
        <v>232225</v>
      </c>
      <c r="I671" t="n">
        <v>151251</v>
      </c>
      <c r="J671" t="n">
        <v>176395</v>
      </c>
      <c r="K671" t="n">
        <v>68009</v>
      </c>
      <c r="L671" t="n">
        <v>241389</v>
      </c>
      <c r="M671" t="n">
        <v>68592</v>
      </c>
    </row>
    <row r="672">
      <c r="A672" s="148" t="n">
        <v>41609</v>
      </c>
      <c r="B672" t="n">
        <v>21042</v>
      </c>
      <c r="C672" t="n">
        <v>26863</v>
      </c>
      <c r="D672" t="n">
        <v>34380</v>
      </c>
      <c r="E672" t="n">
        <v>20173</v>
      </c>
      <c r="F672" t="n">
        <v>10126</v>
      </c>
      <c r="G672" t="n">
        <v>90482</v>
      </c>
      <c r="H672" t="n">
        <v>227537</v>
      </c>
      <c r="I672" t="n">
        <v>147895</v>
      </c>
      <c r="J672" t="n">
        <v>176574</v>
      </c>
      <c r="K672" t="n">
        <v>67503</v>
      </c>
      <c r="L672" t="n">
        <v>238377</v>
      </c>
      <c r="M672" t="n">
        <v>67496</v>
      </c>
    </row>
    <row r="673">
      <c r="A673" s="148" t="n">
        <v>41640</v>
      </c>
      <c r="B673" t="n">
        <v>21464</v>
      </c>
      <c r="C673" t="n">
        <v>29145</v>
      </c>
      <c r="D673" t="n">
        <v>33899</v>
      </c>
      <c r="E673" t="n">
        <v>21527</v>
      </c>
      <c r="F673" t="n">
        <v>10451</v>
      </c>
      <c r="G673" t="n">
        <v>72176</v>
      </c>
      <c r="H673" t="n">
        <v>216655</v>
      </c>
      <c r="I673" t="n">
        <v>150968</v>
      </c>
      <c r="J673" t="n">
        <v>163285</v>
      </c>
      <c r="K673" t="n">
        <v>66205</v>
      </c>
      <c r="L673" t="n">
        <v>223144</v>
      </c>
      <c r="M673" t="n">
        <v>68106</v>
      </c>
    </row>
    <row r="674">
      <c r="A674" s="148" t="n">
        <v>41671</v>
      </c>
      <c r="B674" t="n">
        <v>21626</v>
      </c>
      <c r="C674" t="n">
        <v>29156</v>
      </c>
      <c r="D674" t="n">
        <v>34151</v>
      </c>
      <c r="E674" t="n">
        <v>21232</v>
      </c>
      <c r="F674" t="n">
        <v>10257</v>
      </c>
      <c r="G674" t="n">
        <v>81622</v>
      </c>
      <c r="H674" t="n">
        <v>219545</v>
      </c>
      <c r="I674" t="n">
        <v>151089</v>
      </c>
      <c r="J674" t="n">
        <v>171097</v>
      </c>
      <c r="K674" t="n">
        <v>67120</v>
      </c>
      <c r="L674" t="n">
        <v>232711</v>
      </c>
      <c r="M674" t="n">
        <v>67227</v>
      </c>
    </row>
    <row r="675">
      <c r="A675" s="148" t="n">
        <v>41699</v>
      </c>
      <c r="B675" t="n">
        <v>22190</v>
      </c>
      <c r="C675" t="n">
        <v>29456</v>
      </c>
      <c r="D675" t="n">
        <v>34226</v>
      </c>
      <c r="E675" t="n">
        <v>21491</v>
      </c>
      <c r="F675" t="n">
        <v>10665</v>
      </c>
      <c r="G675" t="n">
        <v>79821</v>
      </c>
      <c r="H675" t="n">
        <v>223009</v>
      </c>
      <c r="I675" t="n">
        <v>153332</v>
      </c>
      <c r="J675" t="n">
        <v>170947</v>
      </c>
      <c r="K675" t="n">
        <v>68135</v>
      </c>
      <c r="L675" t="n">
        <v>233153</v>
      </c>
      <c r="M675" t="n">
        <v>68502</v>
      </c>
    </row>
    <row r="676">
      <c r="A676" s="148" t="n">
        <v>41730</v>
      </c>
      <c r="B676" t="n">
        <v>21864</v>
      </c>
      <c r="C676" t="n">
        <v>29180</v>
      </c>
      <c r="D676" t="n">
        <v>32905</v>
      </c>
      <c r="E676" t="n">
        <v>21631</v>
      </c>
      <c r="F676" t="n">
        <v>10676</v>
      </c>
      <c r="G676" t="n">
        <v>85413</v>
      </c>
      <c r="H676" t="n">
        <v>216304</v>
      </c>
      <c r="I676" t="n">
        <v>151959</v>
      </c>
      <c r="J676" t="n">
        <v>175956</v>
      </c>
      <c r="K676" t="n">
        <v>66704</v>
      </c>
      <c r="L676" t="n">
        <v>237372</v>
      </c>
      <c r="M676" t="n">
        <v>66341</v>
      </c>
    </row>
    <row r="677">
      <c r="A677" s="148" t="n">
        <v>41760</v>
      </c>
      <c r="B677" t="n">
        <v>22063</v>
      </c>
      <c r="C677" t="n">
        <v>30175</v>
      </c>
      <c r="D677" t="n">
        <v>32699</v>
      </c>
      <c r="E677" t="n">
        <v>20753</v>
      </c>
      <c r="F677" t="n">
        <v>10467</v>
      </c>
      <c r="G677" t="n">
        <v>80832</v>
      </c>
      <c r="H677" t="n">
        <v>217466</v>
      </c>
      <c r="I677" t="n">
        <v>152127</v>
      </c>
      <c r="J677" t="n">
        <v>169649</v>
      </c>
      <c r="K677" t="n">
        <v>67233</v>
      </c>
      <c r="L677" t="n">
        <v>232959</v>
      </c>
      <c r="M677" t="n">
        <v>65817</v>
      </c>
    </row>
    <row r="678">
      <c r="A678" s="148" t="n">
        <v>41791</v>
      </c>
      <c r="B678" t="n">
        <v>22511</v>
      </c>
      <c r="C678" t="n">
        <v>29874</v>
      </c>
      <c r="D678" t="n">
        <v>35026</v>
      </c>
      <c r="E678" t="n">
        <v>21947</v>
      </c>
      <c r="F678" t="n">
        <v>10944</v>
      </c>
      <c r="G678" t="n">
        <v>83596</v>
      </c>
      <c r="H678" t="n">
        <v>226627</v>
      </c>
      <c r="I678" t="n">
        <v>156585</v>
      </c>
      <c r="J678" t="n">
        <v>177769</v>
      </c>
      <c r="K678" t="n">
        <v>67210</v>
      </c>
      <c r="L678" t="n">
        <v>240181</v>
      </c>
      <c r="M678" t="n">
        <v>69872</v>
      </c>
    </row>
    <row r="679">
      <c r="A679" s="148" t="n">
        <v>41821</v>
      </c>
      <c r="B679" t="n">
        <v>22759</v>
      </c>
      <c r="C679" t="n">
        <v>29982</v>
      </c>
      <c r="D679" t="n">
        <v>32975</v>
      </c>
      <c r="E679" t="n">
        <v>21247</v>
      </c>
      <c r="F679" t="n">
        <v>10701</v>
      </c>
      <c r="G679" t="n">
        <v>149460</v>
      </c>
      <c r="H679" t="n">
        <v>293790</v>
      </c>
      <c r="I679" t="n">
        <v>153702</v>
      </c>
      <c r="J679" t="n">
        <v>238245</v>
      </c>
      <c r="K679" t="n">
        <v>67196</v>
      </c>
      <c r="L679" t="n">
        <v>303162</v>
      </c>
      <c r="M679" t="n">
        <v>67931</v>
      </c>
    </row>
    <row r="680">
      <c r="A680" s="148" t="n">
        <v>41852</v>
      </c>
      <c r="B680" t="n">
        <v>22044</v>
      </c>
      <c r="C680" t="n">
        <v>30248</v>
      </c>
      <c r="D680" t="n">
        <v>34336</v>
      </c>
      <c r="E680" t="n">
        <v>21650</v>
      </c>
      <c r="F680" t="n">
        <v>10721</v>
      </c>
      <c r="G680" t="n">
        <v>81455</v>
      </c>
      <c r="H680" t="n">
        <v>224569</v>
      </c>
      <c r="I680" t="n">
        <v>155211</v>
      </c>
      <c r="J680" t="n">
        <v>172226</v>
      </c>
      <c r="K680" t="n">
        <v>69173</v>
      </c>
      <c r="L680" t="n">
        <v>236666</v>
      </c>
      <c r="M680" t="n">
        <v>68554</v>
      </c>
    </row>
    <row r="681">
      <c r="A681" s="148" t="n">
        <v>41883</v>
      </c>
      <c r="B681" t="n">
        <v>22866</v>
      </c>
      <c r="C681" t="n">
        <v>30230</v>
      </c>
      <c r="D681" t="n">
        <v>34716</v>
      </c>
      <c r="E681" t="n">
        <v>21281</v>
      </c>
      <c r="F681" t="n">
        <v>11088</v>
      </c>
      <c r="G681" t="n">
        <v>80552</v>
      </c>
      <c r="H681" t="n">
        <v>229338</v>
      </c>
      <c r="I681" t="n">
        <v>156982</v>
      </c>
      <c r="J681" t="n">
        <v>172718</v>
      </c>
      <c r="K681" t="n">
        <v>69236</v>
      </c>
      <c r="L681" t="n">
        <v>237534</v>
      </c>
      <c r="M681" t="n">
        <v>69426</v>
      </c>
    </row>
    <row r="682">
      <c r="A682" s="148" t="n">
        <v>41913</v>
      </c>
      <c r="B682" t="n">
        <v>21973</v>
      </c>
      <c r="C682" t="n">
        <v>30380</v>
      </c>
      <c r="D682" t="n">
        <v>32346</v>
      </c>
      <c r="E682" t="n">
        <v>20681</v>
      </c>
      <c r="F682" t="n">
        <v>10888</v>
      </c>
      <c r="G682" t="n">
        <v>79328</v>
      </c>
      <c r="H682" t="n">
        <v>219533</v>
      </c>
      <c r="I682" t="n">
        <v>152761</v>
      </c>
      <c r="J682" t="n">
        <v>167104</v>
      </c>
      <c r="K682" t="n">
        <v>66959</v>
      </c>
      <c r="L682" t="n">
        <v>232089</v>
      </c>
      <c r="M682" t="n">
        <v>65645</v>
      </c>
    </row>
    <row r="683">
      <c r="A683" s="148" t="n">
        <v>41944</v>
      </c>
      <c r="B683" t="n">
        <v>21289</v>
      </c>
      <c r="C683" t="n">
        <v>29980</v>
      </c>
      <c r="D683" t="n">
        <v>31136</v>
      </c>
      <c r="E683" t="n">
        <v>19745</v>
      </c>
      <c r="F683" t="n">
        <v>10773</v>
      </c>
      <c r="G683" t="n">
        <v>76884</v>
      </c>
      <c r="H683" t="n">
        <v>221162</v>
      </c>
      <c r="I683" t="n">
        <v>149271</v>
      </c>
      <c r="J683" t="n">
        <v>162866</v>
      </c>
      <c r="K683" t="n">
        <v>65797</v>
      </c>
      <c r="L683" t="n">
        <v>226155</v>
      </c>
      <c r="M683" t="n">
        <v>63854</v>
      </c>
    </row>
    <row r="684">
      <c r="A684" s="148" t="n">
        <v>41974</v>
      </c>
      <c r="B684" t="n">
        <v>21320</v>
      </c>
      <c r="C684" t="n">
        <v>30051</v>
      </c>
      <c r="D684" t="n">
        <v>30990</v>
      </c>
      <c r="E684" t="n">
        <v>19890</v>
      </c>
      <c r="F684" t="n">
        <v>11055</v>
      </c>
      <c r="G684" t="n">
        <v>75614</v>
      </c>
      <c r="H684" t="n">
        <v>213860</v>
      </c>
      <c r="I684" t="n">
        <v>150221</v>
      </c>
      <c r="J684" t="n">
        <v>160616</v>
      </c>
      <c r="K684" t="n">
        <v>67092</v>
      </c>
      <c r="L684" t="n">
        <v>225835</v>
      </c>
      <c r="M684" t="n">
        <v>65875</v>
      </c>
    </row>
    <row r="685">
      <c r="A685" s="148" t="n">
        <v>42005</v>
      </c>
      <c r="B685" t="n">
        <v>20643</v>
      </c>
      <c r="C685" t="n">
        <v>28236</v>
      </c>
      <c r="D685" t="n">
        <v>31714</v>
      </c>
      <c r="E685" t="n">
        <v>19611</v>
      </c>
      <c r="F685" t="n">
        <v>10496</v>
      </c>
      <c r="G685" t="n">
        <v>76525</v>
      </c>
      <c r="H685" t="n">
        <v>211466</v>
      </c>
      <c r="I685" t="n">
        <v>147536</v>
      </c>
      <c r="J685" t="n">
        <v>161061</v>
      </c>
      <c r="K685" t="n">
        <v>65491</v>
      </c>
      <c r="L685" t="n">
        <v>224061</v>
      </c>
      <c r="M685" t="n">
        <v>64666</v>
      </c>
    </row>
    <row r="686">
      <c r="A686" s="148" t="n">
        <v>42036</v>
      </c>
      <c r="B686" t="n">
        <v>20216</v>
      </c>
      <c r="C686" t="n">
        <v>28254</v>
      </c>
      <c r="D686" t="n">
        <v>31395</v>
      </c>
      <c r="E686" t="n">
        <v>19500</v>
      </c>
      <c r="F686" t="n">
        <v>10690</v>
      </c>
      <c r="G686" t="n">
        <v>72526</v>
      </c>
      <c r="H686" t="n">
        <v>209406</v>
      </c>
      <c r="I686" t="n">
        <v>146440</v>
      </c>
      <c r="J686" t="n">
        <v>155869</v>
      </c>
      <c r="K686" t="n">
        <v>65735</v>
      </c>
      <c r="L686" t="n">
        <v>218966</v>
      </c>
      <c r="M686" t="n">
        <v>64257</v>
      </c>
    </row>
    <row r="687">
      <c r="A687" s="148" t="n">
        <v>42064</v>
      </c>
      <c r="B687" t="n">
        <v>19079</v>
      </c>
      <c r="C687" t="n">
        <v>28358</v>
      </c>
      <c r="D687" t="n">
        <v>31197</v>
      </c>
      <c r="E687" t="n">
        <v>21158</v>
      </c>
      <c r="F687" t="n">
        <v>10856</v>
      </c>
      <c r="G687" t="n">
        <v>80461</v>
      </c>
      <c r="H687" t="n">
        <v>217526</v>
      </c>
      <c r="I687" t="n">
        <v>147112</v>
      </c>
      <c r="J687" t="n">
        <v>161664</v>
      </c>
      <c r="K687" t="n">
        <v>66307</v>
      </c>
      <c r="L687" t="n">
        <v>227573</v>
      </c>
      <c r="M687" t="n">
        <v>64721</v>
      </c>
    </row>
    <row r="688">
      <c r="A688" s="148" t="n">
        <v>42095</v>
      </c>
      <c r="B688" t="n">
        <v>19341</v>
      </c>
      <c r="C688" t="n">
        <v>28043</v>
      </c>
      <c r="D688" t="n">
        <v>31040</v>
      </c>
      <c r="E688" t="n">
        <v>20550</v>
      </c>
      <c r="F688" t="n">
        <v>10775</v>
      </c>
      <c r="G688" t="n">
        <v>77746</v>
      </c>
      <c r="H688" t="n">
        <v>215883</v>
      </c>
      <c r="I688" t="n">
        <v>146593</v>
      </c>
      <c r="J688" t="n">
        <v>159682</v>
      </c>
      <c r="K688" t="n">
        <v>65722</v>
      </c>
      <c r="L688" t="n">
        <v>224339</v>
      </c>
      <c r="M688" t="n">
        <v>64152</v>
      </c>
    </row>
    <row r="689">
      <c r="A689" s="148" t="n">
        <v>42125</v>
      </c>
      <c r="B689" t="n">
        <v>19271</v>
      </c>
      <c r="C689" t="n">
        <v>28082</v>
      </c>
      <c r="D689" t="n">
        <v>30714</v>
      </c>
      <c r="E689" t="n">
        <v>20094</v>
      </c>
      <c r="F689" t="n">
        <v>10299</v>
      </c>
      <c r="G689" t="n">
        <v>72558</v>
      </c>
      <c r="H689" t="n">
        <v>204127</v>
      </c>
      <c r="I689" t="n">
        <v>144774</v>
      </c>
      <c r="J689" t="n">
        <v>152625</v>
      </c>
      <c r="K689" t="n">
        <v>64884</v>
      </c>
      <c r="L689" t="n">
        <v>217332</v>
      </c>
      <c r="M689" t="n">
        <v>62533</v>
      </c>
    </row>
    <row r="690">
      <c r="A690" s="148" t="n">
        <v>42156</v>
      </c>
      <c r="B690" t="n">
        <v>19256</v>
      </c>
      <c r="C690" t="n">
        <v>28774</v>
      </c>
      <c r="D690" t="n">
        <v>31321</v>
      </c>
      <c r="E690" t="n">
        <v>20834</v>
      </c>
      <c r="F690" t="n">
        <v>10653</v>
      </c>
      <c r="G690" t="n">
        <v>84951</v>
      </c>
      <c r="H690" t="n">
        <v>222452</v>
      </c>
      <c r="I690" t="n">
        <v>147815</v>
      </c>
      <c r="J690" t="n">
        <v>166657</v>
      </c>
      <c r="K690" t="n">
        <v>65496</v>
      </c>
      <c r="L690" t="n">
        <v>232766</v>
      </c>
      <c r="M690" t="n">
        <v>63930</v>
      </c>
    </row>
    <row r="691">
      <c r="A691" s="148" t="n">
        <v>42186</v>
      </c>
      <c r="B691" t="n">
        <v>17847</v>
      </c>
      <c r="C691" t="n">
        <v>28632</v>
      </c>
      <c r="D691" t="n">
        <v>30953</v>
      </c>
      <c r="E691" t="n">
        <v>20857</v>
      </c>
      <c r="F691" t="n">
        <v>10615</v>
      </c>
      <c r="G691" t="n">
        <v>84093</v>
      </c>
      <c r="H691" t="n">
        <v>216416</v>
      </c>
      <c r="I691" t="n">
        <v>146096</v>
      </c>
      <c r="J691" t="n">
        <v>163038</v>
      </c>
      <c r="K691" t="n">
        <v>64938</v>
      </c>
      <c r="L691" t="n">
        <v>230189</v>
      </c>
      <c r="M691" t="n">
        <v>63774</v>
      </c>
    </row>
    <row r="692">
      <c r="A692" s="148" t="n">
        <v>42217</v>
      </c>
      <c r="B692" t="n">
        <v>18300</v>
      </c>
      <c r="C692" t="n">
        <v>27775</v>
      </c>
      <c r="D692" t="n">
        <v>31791</v>
      </c>
      <c r="E692" t="n">
        <v>20550</v>
      </c>
      <c r="F692" t="n">
        <v>10552</v>
      </c>
      <c r="G692" t="n">
        <v>76454</v>
      </c>
      <c r="H692" t="n">
        <v>215447</v>
      </c>
      <c r="I692" t="n">
        <v>146193</v>
      </c>
      <c r="J692" t="n">
        <v>156470</v>
      </c>
      <c r="K692" t="n">
        <v>64879</v>
      </c>
      <c r="L692" t="n">
        <v>222647</v>
      </c>
      <c r="M692" t="n">
        <v>63370</v>
      </c>
    </row>
    <row r="693">
      <c r="A693" s="148" t="n">
        <v>42248</v>
      </c>
      <c r="B693" t="n">
        <v>18084</v>
      </c>
      <c r="C693" t="n">
        <v>28353</v>
      </c>
      <c r="D693" t="n">
        <v>31251</v>
      </c>
      <c r="E693" t="n">
        <v>20457</v>
      </c>
      <c r="F693" t="n">
        <v>10459</v>
      </c>
      <c r="G693" t="n">
        <v>72809</v>
      </c>
      <c r="H693" t="n">
        <v>209174</v>
      </c>
      <c r="I693" t="n">
        <v>145929</v>
      </c>
      <c r="J693" t="n">
        <v>151752</v>
      </c>
      <c r="K693" t="n">
        <v>64821</v>
      </c>
      <c r="L693" t="n">
        <v>218738</v>
      </c>
      <c r="M693" t="n">
        <v>63318</v>
      </c>
    </row>
    <row r="694">
      <c r="A694" s="148" t="n">
        <v>42278</v>
      </c>
      <c r="B694" t="n">
        <v>17862</v>
      </c>
      <c r="C694" t="n">
        <v>27557</v>
      </c>
      <c r="D694" t="n">
        <v>31235</v>
      </c>
      <c r="E694" t="n">
        <v>20227</v>
      </c>
      <c r="F694" t="n">
        <v>10206</v>
      </c>
      <c r="G694" t="n">
        <v>81614</v>
      </c>
      <c r="H694" t="n">
        <v>210661</v>
      </c>
      <c r="I694" t="n">
        <v>144418</v>
      </c>
      <c r="J694" t="n">
        <v>160554</v>
      </c>
      <c r="K694" t="n">
        <v>64110</v>
      </c>
      <c r="L694" t="n">
        <v>226032</v>
      </c>
      <c r="M694" t="n">
        <v>63051</v>
      </c>
    </row>
    <row r="695">
      <c r="A695" s="148" t="n">
        <v>42309</v>
      </c>
      <c r="B695" t="n">
        <v>17588</v>
      </c>
      <c r="C695" t="n">
        <v>27724</v>
      </c>
      <c r="D695" t="n">
        <v>30575</v>
      </c>
      <c r="E695" t="n">
        <v>20043</v>
      </c>
      <c r="F695" t="n">
        <v>10378</v>
      </c>
      <c r="G695" t="n">
        <v>79457</v>
      </c>
      <c r="H695" t="n">
        <v>212466</v>
      </c>
      <c r="I695" t="n">
        <v>143766</v>
      </c>
      <c r="J695" t="n">
        <v>156779</v>
      </c>
      <c r="K695" t="n">
        <v>63224</v>
      </c>
      <c r="L695" t="n">
        <v>223223</v>
      </c>
      <c r="M695" t="n">
        <v>62049</v>
      </c>
    </row>
    <row r="696">
      <c r="A696" s="148" t="n">
        <v>42339</v>
      </c>
      <c r="B696" t="n">
        <v>17240</v>
      </c>
      <c r="C696" t="n">
        <v>27858</v>
      </c>
      <c r="D696" t="n">
        <v>28354</v>
      </c>
      <c r="E696" t="n">
        <v>20481</v>
      </c>
      <c r="F696" t="n">
        <v>10539</v>
      </c>
      <c r="G696" t="n">
        <v>75599</v>
      </c>
      <c r="H696" t="n">
        <v>209769</v>
      </c>
      <c r="I696" t="n">
        <v>141875</v>
      </c>
      <c r="J696" t="n">
        <v>151640</v>
      </c>
      <c r="K696" t="n">
        <v>63244</v>
      </c>
      <c r="L696" t="n">
        <v>217474</v>
      </c>
      <c r="M696" t="n">
        <v>60165</v>
      </c>
    </row>
    <row r="697">
      <c r="A697" s="148" t="n">
        <v>42370</v>
      </c>
      <c r="B697" t="n">
        <v>17011</v>
      </c>
      <c r="C697" t="n">
        <v>28435</v>
      </c>
      <c r="D697" t="n">
        <v>29997</v>
      </c>
      <c r="E697" t="n">
        <v>20923</v>
      </c>
      <c r="F697" t="n">
        <v>10606</v>
      </c>
      <c r="G697" t="n">
        <v>82719</v>
      </c>
      <c r="H697" t="n">
        <v>212421</v>
      </c>
      <c r="I697" t="n">
        <v>144186</v>
      </c>
      <c r="J697" t="n">
        <v>160531</v>
      </c>
      <c r="K697" t="n">
        <v>62116</v>
      </c>
      <c r="L697" t="n">
        <v>226905</v>
      </c>
      <c r="M697" t="n">
        <v>61709</v>
      </c>
    </row>
    <row r="698">
      <c r="A698" s="148" t="n">
        <v>42401</v>
      </c>
      <c r="B698" t="n">
        <v>16639</v>
      </c>
      <c r="C698" t="n">
        <v>28134</v>
      </c>
      <c r="D698" t="n">
        <v>29290</v>
      </c>
      <c r="E698" t="n">
        <v>21269</v>
      </c>
      <c r="F698" t="n">
        <v>10196</v>
      </c>
      <c r="G698" t="n">
        <v>74774</v>
      </c>
      <c r="H698" t="n">
        <v>208470</v>
      </c>
      <c r="I698" t="n">
        <v>142597</v>
      </c>
      <c r="J698" t="n">
        <v>150402</v>
      </c>
      <c r="K698" t="n">
        <v>61521</v>
      </c>
      <c r="L698" t="n">
        <v>217371</v>
      </c>
      <c r="M698" t="n">
        <v>61077</v>
      </c>
    </row>
    <row r="699">
      <c r="A699" s="148" t="n">
        <v>42430</v>
      </c>
      <c r="B699" t="n">
        <v>16511</v>
      </c>
      <c r="C699" t="n">
        <v>27255</v>
      </c>
      <c r="D699" t="n">
        <v>28934</v>
      </c>
      <c r="E699" t="n">
        <v>21052</v>
      </c>
      <c r="F699" t="n">
        <v>9828</v>
      </c>
      <c r="G699" t="n">
        <v>75647</v>
      </c>
      <c r="H699" t="n">
        <v>201996</v>
      </c>
      <c r="I699" t="n">
        <v>141252</v>
      </c>
      <c r="J699" t="n">
        <v>151329</v>
      </c>
      <c r="K699" t="n">
        <v>61133</v>
      </c>
      <c r="L699" t="n">
        <v>216899</v>
      </c>
      <c r="M699" t="n">
        <v>60564</v>
      </c>
    </row>
    <row r="700">
      <c r="A700" s="148" t="n">
        <v>42461</v>
      </c>
      <c r="B700" t="n">
        <v>16638</v>
      </c>
      <c r="C700" t="n">
        <v>28268</v>
      </c>
      <c r="D700" t="n">
        <v>28675</v>
      </c>
      <c r="E700" t="n">
        <v>21719</v>
      </c>
      <c r="F700" t="n">
        <v>9959</v>
      </c>
      <c r="G700" t="n">
        <v>86087</v>
      </c>
      <c r="H700" t="n">
        <v>211258</v>
      </c>
      <c r="I700" t="n">
        <v>142498</v>
      </c>
      <c r="J700" t="n">
        <v>162910</v>
      </c>
      <c r="K700" t="n">
        <v>61671</v>
      </c>
      <c r="L700" t="n">
        <v>228585</v>
      </c>
      <c r="M700" t="n">
        <v>60970</v>
      </c>
    </row>
    <row r="701">
      <c r="A701" s="148" t="n">
        <v>42491</v>
      </c>
      <c r="B701" t="n">
        <v>16645</v>
      </c>
      <c r="C701" t="n">
        <v>28052</v>
      </c>
      <c r="D701" t="n">
        <v>28160</v>
      </c>
      <c r="E701" t="n">
        <v>21631</v>
      </c>
      <c r="F701" t="n">
        <v>9890</v>
      </c>
      <c r="G701" t="n">
        <v>80406</v>
      </c>
      <c r="H701" t="n">
        <v>211188</v>
      </c>
      <c r="I701" t="n">
        <v>141585</v>
      </c>
      <c r="J701" t="n">
        <v>157751</v>
      </c>
      <c r="K701" t="n">
        <v>61126</v>
      </c>
      <c r="L701" t="n">
        <v>221991</v>
      </c>
      <c r="M701" t="n">
        <v>59565</v>
      </c>
    </row>
    <row r="702">
      <c r="A702" s="148" t="n">
        <v>42522</v>
      </c>
      <c r="B702" t="n">
        <v>16323</v>
      </c>
      <c r="C702" t="n">
        <v>27601</v>
      </c>
      <c r="D702" t="n">
        <v>28238</v>
      </c>
      <c r="E702" t="n">
        <v>21515</v>
      </c>
      <c r="F702" t="n">
        <v>9890</v>
      </c>
      <c r="G702" t="n">
        <v>68834</v>
      </c>
      <c r="H702" t="n">
        <v>202807</v>
      </c>
      <c r="I702" t="n">
        <v>140522</v>
      </c>
      <c r="J702" t="n">
        <v>144277</v>
      </c>
      <c r="K702" t="n">
        <v>60609</v>
      </c>
      <c r="L702" t="n">
        <v>209356</v>
      </c>
      <c r="M702" t="n">
        <v>59505</v>
      </c>
    </row>
    <row r="703">
      <c r="A703" s="148" t="n">
        <v>42552</v>
      </c>
      <c r="B703" t="n">
        <v>16746</v>
      </c>
      <c r="C703" t="n">
        <v>27758</v>
      </c>
      <c r="D703" t="n">
        <v>28904</v>
      </c>
      <c r="E703" t="n">
        <v>21556</v>
      </c>
      <c r="F703" t="n">
        <v>10246</v>
      </c>
      <c r="G703" t="n">
        <v>76197</v>
      </c>
      <c r="H703" t="n">
        <v>204914</v>
      </c>
      <c r="I703" t="n">
        <v>141800</v>
      </c>
      <c r="J703" t="n">
        <v>153759</v>
      </c>
      <c r="K703" t="n">
        <v>59441</v>
      </c>
      <c r="L703" t="n">
        <v>217997</v>
      </c>
      <c r="M703" t="n">
        <v>59899</v>
      </c>
    </row>
    <row r="704">
      <c r="A704" s="148" t="n">
        <v>42583</v>
      </c>
      <c r="B704" t="n">
        <v>16654</v>
      </c>
      <c r="C704" t="n">
        <v>27540</v>
      </c>
      <c r="D704" t="n">
        <v>29462</v>
      </c>
      <c r="E704" t="n">
        <v>21449</v>
      </c>
      <c r="F704" t="n">
        <v>10082</v>
      </c>
      <c r="G704" t="n">
        <v>77102</v>
      </c>
      <c r="H704" t="n">
        <v>209179</v>
      </c>
      <c r="I704" t="n">
        <v>142038</v>
      </c>
      <c r="J704" t="n">
        <v>154680</v>
      </c>
      <c r="K704" t="n">
        <v>59905</v>
      </c>
      <c r="L704" t="n">
        <v>219140</v>
      </c>
      <c r="M704" t="n">
        <v>61743</v>
      </c>
    </row>
    <row r="705">
      <c r="A705" s="148" t="n">
        <v>42614</v>
      </c>
      <c r="B705" t="n">
        <v>16647</v>
      </c>
      <c r="C705" t="n">
        <v>27262</v>
      </c>
      <c r="D705" t="n">
        <v>28943</v>
      </c>
      <c r="E705" t="n">
        <v>21152</v>
      </c>
      <c r="F705" t="n">
        <v>10144</v>
      </c>
      <c r="G705" t="n">
        <v>75136</v>
      </c>
      <c r="H705" t="n">
        <v>201229</v>
      </c>
      <c r="I705" t="n">
        <v>140922</v>
      </c>
      <c r="J705" t="n">
        <v>151551</v>
      </c>
      <c r="K705" t="n">
        <v>59991</v>
      </c>
      <c r="L705" t="n">
        <v>216058</v>
      </c>
      <c r="M705" t="n">
        <v>59290</v>
      </c>
    </row>
    <row r="706">
      <c r="A706" s="148" t="n">
        <v>42644</v>
      </c>
      <c r="B706" t="n">
        <v>16783</v>
      </c>
      <c r="C706" t="n">
        <v>28280</v>
      </c>
      <c r="D706" t="n">
        <v>28991</v>
      </c>
      <c r="E706" t="n">
        <v>20980</v>
      </c>
      <c r="F706" t="n">
        <v>10113</v>
      </c>
      <c r="G706" t="n">
        <v>92159</v>
      </c>
      <c r="H706" t="n">
        <v>225358</v>
      </c>
      <c r="I706" t="n">
        <v>142058</v>
      </c>
      <c r="J706" t="n">
        <v>170179</v>
      </c>
      <c r="K706" t="n">
        <v>59411</v>
      </c>
      <c r="L706" t="n">
        <v>234217</v>
      </c>
      <c r="M706" t="n">
        <v>59413</v>
      </c>
    </row>
    <row r="707">
      <c r="A707" s="148" t="n">
        <v>42675</v>
      </c>
      <c r="B707" t="n">
        <v>17302</v>
      </c>
      <c r="C707" t="n">
        <v>28236</v>
      </c>
      <c r="D707" t="n">
        <v>28877</v>
      </c>
      <c r="E707" t="n">
        <v>20797</v>
      </c>
      <c r="F707" t="n">
        <v>10277</v>
      </c>
      <c r="G707" t="n">
        <v>74289</v>
      </c>
      <c r="H707" t="n">
        <v>202565</v>
      </c>
      <c r="I707" t="n">
        <v>142414</v>
      </c>
      <c r="J707" t="n">
        <v>153082</v>
      </c>
      <c r="K707" t="n">
        <v>59487</v>
      </c>
      <c r="L707" t="n">
        <v>216703</v>
      </c>
      <c r="M707" t="n">
        <v>59262</v>
      </c>
    </row>
    <row r="708">
      <c r="A708" s="148" t="n">
        <v>42705</v>
      </c>
      <c r="B708" t="n">
        <v>17445</v>
      </c>
      <c r="C708" t="n">
        <v>27438</v>
      </c>
      <c r="D708" t="n">
        <v>28893</v>
      </c>
      <c r="E708" t="n">
        <v>21338</v>
      </c>
      <c r="F708" t="n">
        <v>10577</v>
      </c>
      <c r="G708" t="n">
        <v>75917</v>
      </c>
      <c r="H708" t="n">
        <v>201103</v>
      </c>
      <c r="I708" t="n">
        <v>142533</v>
      </c>
      <c r="J708" t="n">
        <v>153879</v>
      </c>
      <c r="K708" t="n">
        <v>60013</v>
      </c>
      <c r="L708" t="n">
        <v>218450</v>
      </c>
      <c r="M708" t="n">
        <v>59355</v>
      </c>
    </row>
    <row r="709">
      <c r="A709" s="148" t="n">
        <v>42736</v>
      </c>
      <c r="B709" t="n">
        <v>17785</v>
      </c>
      <c r="C709" t="n">
        <v>28057</v>
      </c>
      <c r="D709" t="n">
        <v>29753</v>
      </c>
      <c r="E709" t="n">
        <v>21297</v>
      </c>
      <c r="F709" t="n">
        <v>10584</v>
      </c>
      <c r="G709" t="n">
        <v>72833</v>
      </c>
      <c r="H709" t="n">
        <v>206243</v>
      </c>
      <c r="I709" t="n">
        <v>145178</v>
      </c>
      <c r="J709" t="n">
        <v>153356</v>
      </c>
      <c r="K709" t="n">
        <v>59778</v>
      </c>
      <c r="L709" t="n">
        <v>218011</v>
      </c>
      <c r="M709" t="n">
        <v>60689</v>
      </c>
    </row>
    <row r="710">
      <c r="A710" s="148" t="n">
        <v>42767</v>
      </c>
      <c r="B710" t="n">
        <v>18209</v>
      </c>
      <c r="C710" t="n">
        <v>27454</v>
      </c>
      <c r="D710" t="n">
        <v>29511</v>
      </c>
      <c r="E710" t="n">
        <v>21660</v>
      </c>
      <c r="F710" t="n">
        <v>10550</v>
      </c>
      <c r="G710" t="n">
        <v>76601</v>
      </c>
      <c r="H710" t="n">
        <v>210003</v>
      </c>
      <c r="I710" t="n">
        <v>145214</v>
      </c>
      <c r="J710" t="n">
        <v>157903</v>
      </c>
      <c r="K710" t="n">
        <v>59987</v>
      </c>
      <c r="L710" t="n">
        <v>221815</v>
      </c>
      <c r="M710" t="n">
        <v>60752</v>
      </c>
    </row>
    <row r="711">
      <c r="A711" s="148" t="n">
        <v>42795</v>
      </c>
      <c r="B711" t="n">
        <v>18314</v>
      </c>
      <c r="C711" t="n">
        <v>29044</v>
      </c>
      <c r="D711" t="n">
        <v>30307</v>
      </c>
      <c r="E711" t="n">
        <v>21015</v>
      </c>
      <c r="F711" t="n">
        <v>10590</v>
      </c>
      <c r="G711" t="n">
        <v>75141</v>
      </c>
      <c r="H711" t="n">
        <v>210478</v>
      </c>
      <c r="I711" t="n">
        <v>146824</v>
      </c>
      <c r="J711" t="n">
        <v>158150</v>
      </c>
      <c r="K711" t="n">
        <v>60681</v>
      </c>
      <c r="L711" t="n">
        <v>221965</v>
      </c>
      <c r="M711" t="n">
        <v>61176</v>
      </c>
    </row>
    <row r="712">
      <c r="A712" s="148" t="n">
        <v>42826</v>
      </c>
      <c r="B712" t="n">
        <v>18370</v>
      </c>
      <c r="C712" t="n">
        <v>28180</v>
      </c>
      <c r="D712" t="n">
        <v>30463</v>
      </c>
      <c r="E712" t="n">
        <v>21311</v>
      </c>
      <c r="F712" t="n">
        <v>10322</v>
      </c>
      <c r="G712" t="n">
        <v>75845</v>
      </c>
      <c r="H712" t="n">
        <v>211179</v>
      </c>
      <c r="I712" t="n">
        <v>146180</v>
      </c>
      <c r="J712" t="n">
        <v>159159</v>
      </c>
      <c r="K712" t="n">
        <v>60445</v>
      </c>
      <c r="L712" t="n">
        <v>222025</v>
      </c>
      <c r="M712" t="n">
        <v>61339</v>
      </c>
    </row>
    <row r="713">
      <c r="A713" s="148" t="n">
        <v>42856</v>
      </c>
      <c r="B713" t="n">
        <v>18455</v>
      </c>
      <c r="C713" t="n">
        <v>28710</v>
      </c>
      <c r="D713" t="n">
        <v>30809</v>
      </c>
      <c r="E713" t="n">
        <v>21260</v>
      </c>
      <c r="F713" t="n">
        <v>10524</v>
      </c>
      <c r="G713" t="n">
        <v>75022</v>
      </c>
      <c r="H713" t="n">
        <v>209836</v>
      </c>
      <c r="I713" t="n">
        <v>147376</v>
      </c>
      <c r="J713" t="n">
        <v>157793</v>
      </c>
      <c r="K713" t="n">
        <v>61109</v>
      </c>
      <c r="L713" t="n">
        <v>222398</v>
      </c>
      <c r="M713" t="n">
        <v>61398</v>
      </c>
    </row>
    <row r="714">
      <c r="A714" s="148" t="n">
        <v>42887</v>
      </c>
      <c r="B714" t="n">
        <v>18416</v>
      </c>
      <c r="C714" t="n">
        <v>28506</v>
      </c>
      <c r="D714" t="n">
        <v>30402</v>
      </c>
      <c r="E714" t="n">
        <v>20951</v>
      </c>
      <c r="F714" t="n">
        <v>10039</v>
      </c>
      <c r="G714" t="n">
        <v>92514</v>
      </c>
      <c r="H714" t="n">
        <v>226112</v>
      </c>
      <c r="I714" t="n">
        <v>145833</v>
      </c>
      <c r="J714" t="n">
        <v>174423</v>
      </c>
      <c r="K714" t="n">
        <v>60720</v>
      </c>
      <c r="L714" t="n">
        <v>238347</v>
      </c>
      <c r="M714" t="n">
        <v>60227</v>
      </c>
    </row>
    <row r="715">
      <c r="A715" s="148" t="n">
        <v>42917</v>
      </c>
      <c r="B715" t="n">
        <v>18833</v>
      </c>
      <c r="C715" t="n">
        <v>28800</v>
      </c>
      <c r="D715" t="n">
        <v>30500</v>
      </c>
      <c r="E715" t="n">
        <v>21871</v>
      </c>
      <c r="F715" t="n">
        <v>10014</v>
      </c>
      <c r="G715" t="n">
        <v>71135</v>
      </c>
      <c r="H715" t="n">
        <v>208934</v>
      </c>
      <c r="I715" t="n">
        <v>147843</v>
      </c>
      <c r="J715" t="n">
        <v>156286</v>
      </c>
      <c r="K715" t="n">
        <v>60854</v>
      </c>
      <c r="L715" t="n">
        <v>218978</v>
      </c>
      <c r="M715" t="n">
        <v>61403</v>
      </c>
    </row>
    <row r="716">
      <c r="A716" s="148" t="n">
        <v>42948</v>
      </c>
      <c r="B716" t="n">
        <v>19416</v>
      </c>
      <c r="C716" t="n">
        <v>29060</v>
      </c>
      <c r="D716" t="n">
        <v>30449</v>
      </c>
      <c r="E716" t="n">
        <v>21755</v>
      </c>
      <c r="F716" t="n">
        <v>10290</v>
      </c>
      <c r="G716" t="n">
        <v>74748</v>
      </c>
      <c r="H716" t="n">
        <v>211561</v>
      </c>
      <c r="I716" t="n">
        <v>148854</v>
      </c>
      <c r="J716" t="n">
        <v>159269</v>
      </c>
      <c r="K716" t="n">
        <v>61707</v>
      </c>
      <c r="L716" t="n">
        <v>223602</v>
      </c>
      <c r="M716" t="n">
        <v>61643</v>
      </c>
    </row>
    <row r="717">
      <c r="A717" s="148" t="n">
        <v>42979</v>
      </c>
      <c r="B717" t="n">
        <v>18611</v>
      </c>
      <c r="C717" t="n">
        <v>29718</v>
      </c>
      <c r="D717" t="n">
        <v>30739</v>
      </c>
      <c r="E717" t="n">
        <v>22538</v>
      </c>
      <c r="F717" t="n">
        <v>10615</v>
      </c>
      <c r="G717" t="n">
        <v>77827</v>
      </c>
      <c r="H717" t="n">
        <v>214530</v>
      </c>
      <c r="I717" t="n">
        <v>150371</v>
      </c>
      <c r="J717" t="n">
        <v>164280</v>
      </c>
      <c r="K717" t="n">
        <v>62405</v>
      </c>
      <c r="L717" t="n">
        <v>228198</v>
      </c>
      <c r="M717" t="n">
        <v>63497</v>
      </c>
    </row>
    <row r="718">
      <c r="A718" s="148" t="n">
        <v>43009</v>
      </c>
      <c r="B718" t="n">
        <v>19797</v>
      </c>
      <c r="C718" t="n">
        <v>29627</v>
      </c>
      <c r="D718" t="n">
        <v>32125</v>
      </c>
      <c r="E718" t="n">
        <v>22284</v>
      </c>
      <c r="F718" t="n">
        <v>10630</v>
      </c>
      <c r="G718" t="n">
        <v>76611</v>
      </c>
      <c r="H718" t="n">
        <v>218187</v>
      </c>
      <c r="I718" t="n">
        <v>153146</v>
      </c>
      <c r="J718" t="n">
        <v>164181</v>
      </c>
      <c r="K718" t="n">
        <v>62741</v>
      </c>
      <c r="L718" t="n">
        <v>229757</v>
      </c>
      <c r="M718" t="n">
        <v>63980</v>
      </c>
    </row>
    <row r="719">
      <c r="A719" s="148" t="n">
        <v>43040</v>
      </c>
      <c r="B719" t="n">
        <v>19666</v>
      </c>
      <c r="C719" t="n">
        <v>30050</v>
      </c>
      <c r="D719" t="n">
        <v>30879</v>
      </c>
      <c r="E719" t="n">
        <v>22679</v>
      </c>
      <c r="F719" t="n">
        <v>10708</v>
      </c>
      <c r="G719" t="n">
        <v>76348</v>
      </c>
      <c r="H719" t="n">
        <v>223365</v>
      </c>
      <c r="I719" t="n">
        <v>153298</v>
      </c>
      <c r="J719" t="n">
        <v>163221</v>
      </c>
      <c r="K719" t="n">
        <v>63498</v>
      </c>
      <c r="L719" t="n">
        <v>229646</v>
      </c>
      <c r="M719" t="n">
        <v>63558</v>
      </c>
    </row>
    <row r="720">
      <c r="A720" s="148" t="n">
        <v>43070</v>
      </c>
      <c r="B720" t="n">
        <v>19760</v>
      </c>
      <c r="C720" t="n">
        <v>30336</v>
      </c>
      <c r="D720" t="n">
        <v>31951</v>
      </c>
      <c r="E720" t="n">
        <v>21932</v>
      </c>
      <c r="F720" t="n">
        <v>10759</v>
      </c>
      <c r="G720" t="n">
        <v>85563</v>
      </c>
      <c r="H720" t="n">
        <v>226348</v>
      </c>
      <c r="I720" t="n">
        <v>154340</v>
      </c>
      <c r="J720" t="n">
        <v>174213</v>
      </c>
      <c r="K720" t="n">
        <v>63977</v>
      </c>
      <c r="L720" t="n">
        <v>239903</v>
      </c>
      <c r="M720" t="n">
        <v>63745</v>
      </c>
    </row>
    <row r="721">
      <c r="A721" s="148" t="n">
        <v>43101</v>
      </c>
      <c r="B721" t="n">
        <v>19773</v>
      </c>
      <c r="C721" t="n">
        <v>31125</v>
      </c>
      <c r="D721" t="n">
        <v>32097</v>
      </c>
      <c r="E721" t="n">
        <v>21754</v>
      </c>
      <c r="F721" t="n">
        <v>10527</v>
      </c>
      <c r="G721" t="n">
        <v>71371</v>
      </c>
      <c r="H721" t="n">
        <v>215201</v>
      </c>
      <c r="I721" t="n">
        <v>154535</v>
      </c>
      <c r="J721" t="n">
        <v>159357</v>
      </c>
      <c r="K721" t="n">
        <v>63556</v>
      </c>
      <c r="L721" t="n">
        <v>225906</v>
      </c>
      <c r="M721" t="n">
        <v>63816</v>
      </c>
    </row>
    <row r="722">
      <c r="A722" s="148" t="n">
        <v>43132</v>
      </c>
      <c r="B722" t="n">
        <v>20456</v>
      </c>
      <c r="C722" t="n">
        <v>31427</v>
      </c>
      <c r="D722" t="n">
        <v>32983</v>
      </c>
      <c r="E722" t="n">
        <v>21881</v>
      </c>
      <c r="F722" t="n">
        <v>10779</v>
      </c>
      <c r="G722" t="n">
        <v>77056</v>
      </c>
      <c r="H722" t="n">
        <v>216508</v>
      </c>
      <c r="I722" t="n">
        <v>157084</v>
      </c>
      <c r="J722" t="n">
        <v>166790</v>
      </c>
      <c r="K722" t="n">
        <v>64012</v>
      </c>
      <c r="L722" t="n">
        <v>234140</v>
      </c>
      <c r="M722" t="n">
        <v>65257</v>
      </c>
    </row>
    <row r="723">
      <c r="A723" s="148" t="n">
        <v>43160</v>
      </c>
      <c r="B723" t="n">
        <v>20883</v>
      </c>
      <c r="C723" t="n">
        <v>32302</v>
      </c>
      <c r="D723" t="n">
        <v>32138</v>
      </c>
      <c r="E723" t="n">
        <v>21657</v>
      </c>
      <c r="F723" t="n">
        <v>10820</v>
      </c>
      <c r="G723" t="n">
        <v>85175</v>
      </c>
      <c r="H723" t="n">
        <v>228341</v>
      </c>
      <c r="I723" t="n">
        <v>157483</v>
      </c>
      <c r="J723" t="n">
        <v>175504</v>
      </c>
      <c r="K723" t="n">
        <v>63867</v>
      </c>
      <c r="L723" t="n">
        <v>242658</v>
      </c>
      <c r="M723" t="n">
        <v>64073</v>
      </c>
    </row>
    <row r="724">
      <c r="A724" s="148" t="n">
        <v>43191</v>
      </c>
      <c r="B724" t="n">
        <v>21693</v>
      </c>
      <c r="C724" t="n">
        <v>32525</v>
      </c>
      <c r="D724" t="n">
        <v>32717</v>
      </c>
      <c r="E724" t="n">
        <v>22149</v>
      </c>
      <c r="F724" t="n">
        <v>10909</v>
      </c>
      <c r="G724" t="n">
        <v>79501</v>
      </c>
      <c r="H724" t="n">
        <v>228749</v>
      </c>
      <c r="I724" t="n">
        <v>159991</v>
      </c>
      <c r="J724" t="n">
        <v>170410</v>
      </c>
      <c r="K724" t="n">
        <v>65011</v>
      </c>
      <c r="L724" t="n">
        <v>239492</v>
      </c>
      <c r="M724" t="n">
        <v>65444</v>
      </c>
    </row>
    <row r="725">
      <c r="A725" s="148" t="n">
        <v>43221</v>
      </c>
      <c r="B725" t="n">
        <v>21731</v>
      </c>
      <c r="C725" t="n">
        <v>32636</v>
      </c>
      <c r="D725" t="n">
        <v>33745</v>
      </c>
      <c r="E725" t="n">
        <v>22405</v>
      </c>
      <c r="F725" t="n">
        <v>10979</v>
      </c>
      <c r="G725" t="n">
        <v>79001</v>
      </c>
      <c r="H725" t="n">
        <v>226554</v>
      </c>
      <c r="I725" t="n">
        <v>161607</v>
      </c>
      <c r="J725" t="n">
        <v>174641</v>
      </c>
      <c r="K725" t="n">
        <v>65092</v>
      </c>
      <c r="L725" t="n">
        <v>240608</v>
      </c>
      <c r="M725" t="n">
        <v>66748</v>
      </c>
    </row>
    <row r="726">
      <c r="A726" s="148" t="n">
        <v>43252</v>
      </c>
      <c r="B726" t="n">
        <v>21585</v>
      </c>
      <c r="C726" t="n">
        <v>32698</v>
      </c>
      <c r="D726" t="n">
        <v>34015</v>
      </c>
      <c r="E726" t="n">
        <v>22443</v>
      </c>
      <c r="F726" t="n">
        <v>11076</v>
      </c>
      <c r="G726" t="n">
        <v>81343</v>
      </c>
      <c r="H726" t="n">
        <v>226427</v>
      </c>
      <c r="I726" t="n">
        <v>161931</v>
      </c>
      <c r="J726" t="n">
        <v>175588</v>
      </c>
      <c r="K726" t="n">
        <v>65980</v>
      </c>
      <c r="L726" t="n">
        <v>243274</v>
      </c>
      <c r="M726" t="n">
        <v>67678</v>
      </c>
    </row>
    <row r="727">
      <c r="A727" s="148" t="n">
        <v>43282</v>
      </c>
      <c r="B727" t="n">
        <v>21843</v>
      </c>
      <c r="C727" t="n">
        <v>32643</v>
      </c>
      <c r="D727" t="n">
        <v>34593</v>
      </c>
      <c r="E727" t="n">
        <v>22670</v>
      </c>
      <c r="F727" t="n">
        <v>11078</v>
      </c>
      <c r="G727" t="n">
        <v>71692</v>
      </c>
      <c r="H727" t="n">
        <v>222741</v>
      </c>
      <c r="I727" t="n">
        <v>162893</v>
      </c>
      <c r="J727" t="n">
        <v>165654</v>
      </c>
      <c r="K727" t="n">
        <v>66517</v>
      </c>
      <c r="L727" t="n">
        <v>234585</v>
      </c>
      <c r="M727" t="n">
        <v>68406</v>
      </c>
    </row>
    <row r="728">
      <c r="A728" s="148" t="n">
        <v>43313</v>
      </c>
      <c r="B728" t="n">
        <v>21486</v>
      </c>
      <c r="C728" t="n">
        <v>32294</v>
      </c>
      <c r="D728" t="n">
        <v>33695</v>
      </c>
      <c r="E728" t="n">
        <v>22403</v>
      </c>
      <c r="F728" t="n">
        <v>11178</v>
      </c>
      <c r="G728" t="n">
        <v>83286</v>
      </c>
      <c r="H728" t="n">
        <v>230514</v>
      </c>
      <c r="I728" t="n">
        <v>160822</v>
      </c>
      <c r="J728" t="n">
        <v>175671</v>
      </c>
      <c r="K728" t="n">
        <v>66126</v>
      </c>
      <c r="L728" t="n">
        <v>244108</v>
      </c>
      <c r="M728" t="n">
        <v>67270</v>
      </c>
    </row>
    <row r="729">
      <c r="A729" s="148" t="n">
        <v>43344</v>
      </c>
      <c r="B729" t="n">
        <v>21522</v>
      </c>
      <c r="C729" t="n">
        <v>31651</v>
      </c>
      <c r="D729" t="n">
        <v>34056</v>
      </c>
      <c r="E729" t="n">
        <v>22058</v>
      </c>
      <c r="F729" t="n">
        <v>10971</v>
      </c>
      <c r="G729" t="n">
        <v>84714</v>
      </c>
      <c r="H729" t="n">
        <v>225632</v>
      </c>
      <c r="I729" t="n">
        <v>160120</v>
      </c>
      <c r="J729" t="n">
        <v>176060</v>
      </c>
      <c r="K729" t="n">
        <v>65978</v>
      </c>
      <c r="L729" t="n">
        <v>244834</v>
      </c>
      <c r="M729" t="n">
        <v>67127</v>
      </c>
    </row>
    <row r="730">
      <c r="A730" s="148" t="n">
        <v>43374</v>
      </c>
      <c r="B730" t="n">
        <v>21524</v>
      </c>
      <c r="C730" t="n">
        <v>32024</v>
      </c>
      <c r="D730" t="n">
        <v>34780</v>
      </c>
      <c r="E730" t="n">
        <v>22841</v>
      </c>
      <c r="F730" t="n">
        <v>11184</v>
      </c>
      <c r="G730" t="n">
        <v>77729</v>
      </c>
      <c r="H730" t="n">
        <v>224668</v>
      </c>
      <c r="I730" t="n">
        <v>161994</v>
      </c>
      <c r="J730" t="n">
        <v>170432</v>
      </c>
      <c r="K730" t="n">
        <v>66450</v>
      </c>
      <c r="L730" t="n">
        <v>239723</v>
      </c>
      <c r="M730" t="n">
        <v>67931</v>
      </c>
    </row>
    <row r="731">
      <c r="A731" s="148" t="n">
        <v>43405</v>
      </c>
      <c r="B731" t="n">
        <v>21029</v>
      </c>
      <c r="C731" t="n">
        <v>32563</v>
      </c>
      <c r="D731" t="n">
        <v>31989</v>
      </c>
      <c r="E731" t="n">
        <v>22799</v>
      </c>
      <c r="F731" t="n">
        <v>10882</v>
      </c>
      <c r="G731" t="n">
        <v>73276</v>
      </c>
      <c r="H731" t="n">
        <v>214673</v>
      </c>
      <c r="I731" t="n">
        <v>158377</v>
      </c>
      <c r="J731" t="n">
        <v>163293</v>
      </c>
      <c r="K731" t="n">
        <v>65739</v>
      </c>
      <c r="L731" t="n">
        <v>231653</v>
      </c>
      <c r="M731" t="n">
        <v>65255</v>
      </c>
    </row>
    <row r="732">
      <c r="A732" s="148" t="n">
        <v>43435</v>
      </c>
      <c r="B732" t="n">
        <v>21491</v>
      </c>
      <c r="C732" t="n">
        <v>32491</v>
      </c>
      <c r="D732" t="n">
        <v>32879</v>
      </c>
      <c r="E732" t="n">
        <v>22696</v>
      </c>
      <c r="F732" t="n">
        <v>10761</v>
      </c>
      <c r="G732" t="n">
        <v>78859</v>
      </c>
      <c r="H732" t="n">
        <v>230978</v>
      </c>
      <c r="I732" t="n">
        <v>159589</v>
      </c>
      <c r="J732" t="n">
        <v>169731</v>
      </c>
      <c r="K732" t="n">
        <v>66066</v>
      </c>
      <c r="L732" t="n">
        <v>238448</v>
      </c>
      <c r="M732" t="n">
        <v>65773</v>
      </c>
    </row>
    <row r="733">
      <c r="A733" s="148" t="n">
        <v>43466</v>
      </c>
      <c r="B733" t="n">
        <v>19959</v>
      </c>
      <c r="C733" t="n">
        <v>32335</v>
      </c>
      <c r="D733" t="n">
        <v>34032</v>
      </c>
      <c r="E733" t="n">
        <v>22888</v>
      </c>
      <c r="F733" t="n">
        <v>11039</v>
      </c>
      <c r="G733" t="n">
        <v>69650</v>
      </c>
      <c r="H733" t="n">
        <v>239654</v>
      </c>
      <c r="I733" t="n">
        <v>159378</v>
      </c>
      <c r="J733" t="n">
        <v>160516</v>
      </c>
      <c r="K733" t="n">
        <v>65825</v>
      </c>
      <c r="L733" t="n">
        <v>229028</v>
      </c>
      <c r="M733" t="n">
        <v>67110</v>
      </c>
    </row>
    <row r="734">
      <c r="A734" s="148" t="n">
        <v>43497</v>
      </c>
      <c r="B734" t="n">
        <v>20725</v>
      </c>
      <c r="C734" t="n">
        <v>32420</v>
      </c>
      <c r="D734" t="n">
        <v>33242</v>
      </c>
      <c r="E734" t="n">
        <v>22732</v>
      </c>
      <c r="F734" t="n">
        <v>11011</v>
      </c>
      <c r="G734" t="n">
        <v>64136</v>
      </c>
      <c r="H734" t="n">
        <v>230943</v>
      </c>
      <c r="I734" t="n">
        <v>159319</v>
      </c>
      <c r="J734" t="n">
        <v>154698</v>
      </c>
      <c r="K734" t="n">
        <v>65952</v>
      </c>
      <c r="L734" t="n">
        <v>223455</v>
      </c>
      <c r="M734" t="n">
        <v>66772</v>
      </c>
    </row>
    <row r="735">
      <c r="A735" s="148" t="n">
        <v>43525</v>
      </c>
      <c r="B735" t="n">
        <v>20269</v>
      </c>
      <c r="C735" t="n">
        <v>31790</v>
      </c>
      <c r="D735" t="n">
        <v>33165</v>
      </c>
      <c r="E735" t="n">
        <v>23076</v>
      </c>
      <c r="F735" t="n">
        <v>11244</v>
      </c>
      <c r="G735" t="n">
        <v>74257</v>
      </c>
      <c r="H735" t="n">
        <v>239381</v>
      </c>
      <c r="I735" t="n">
        <v>158787</v>
      </c>
      <c r="J735" t="n">
        <v>164517</v>
      </c>
      <c r="K735" t="n">
        <v>65892</v>
      </c>
      <c r="L735" t="n">
        <v>233044</v>
      </c>
      <c r="M735" t="n">
        <v>67615</v>
      </c>
    </row>
    <row r="736">
      <c r="A736" s="148" t="n">
        <v>43556</v>
      </c>
      <c r="B736" t="n">
        <v>20308</v>
      </c>
      <c r="C736" t="n">
        <v>32339</v>
      </c>
      <c r="D736" t="n">
        <v>33273</v>
      </c>
      <c r="E736" t="n">
        <v>23425</v>
      </c>
      <c r="F736" t="n">
        <v>11249</v>
      </c>
      <c r="G736" t="n">
        <v>64243</v>
      </c>
      <c r="H736" t="n">
        <v>237159</v>
      </c>
      <c r="I736" t="n">
        <v>159686</v>
      </c>
      <c r="J736" t="n">
        <v>157216</v>
      </c>
      <c r="K736" t="n">
        <v>66315</v>
      </c>
      <c r="L736" t="n">
        <v>223929</v>
      </c>
      <c r="M736" t="n">
        <v>67038</v>
      </c>
    </row>
    <row r="737">
      <c r="A737" s="148" t="n">
        <v>43586</v>
      </c>
      <c r="B737" t="n">
        <v>19556</v>
      </c>
      <c r="C737" t="n">
        <v>32218</v>
      </c>
      <c r="D737" t="n">
        <v>33097</v>
      </c>
      <c r="E737" t="n">
        <v>23172</v>
      </c>
      <c r="F737" t="n">
        <v>11327</v>
      </c>
      <c r="G737" t="n">
        <v>58733</v>
      </c>
      <c r="H737" t="n">
        <v>225087</v>
      </c>
      <c r="I737" t="n">
        <v>158746</v>
      </c>
      <c r="J737" t="n">
        <v>149783</v>
      </c>
      <c r="K737" t="n">
        <v>66597</v>
      </c>
      <c r="L737" t="n">
        <v>217479</v>
      </c>
      <c r="M737" t="n">
        <v>66680</v>
      </c>
    </row>
    <row r="738">
      <c r="A738" s="148" t="n">
        <v>43617</v>
      </c>
      <c r="B738" t="n">
        <v>20157</v>
      </c>
      <c r="C738" t="n">
        <v>32670</v>
      </c>
      <c r="D738" t="n">
        <v>33181</v>
      </c>
      <c r="E738" t="n">
        <v>22952</v>
      </c>
      <c r="F738" t="n">
        <v>11444</v>
      </c>
      <c r="G738" t="n">
        <v>59741</v>
      </c>
      <c r="H738" t="n">
        <v>236096</v>
      </c>
      <c r="I738" t="n">
        <v>159812</v>
      </c>
      <c r="J738" t="n">
        <v>150374</v>
      </c>
      <c r="K738" t="n">
        <v>66297</v>
      </c>
      <c r="L738" t="n">
        <v>219553</v>
      </c>
      <c r="M738" t="n">
        <v>66243</v>
      </c>
    </row>
    <row r="739">
      <c r="A739" s="148" t="n">
        <v>43647</v>
      </c>
      <c r="B739" t="n">
        <v>19434</v>
      </c>
      <c r="C739" t="n">
        <v>32458</v>
      </c>
      <c r="D739" t="n">
        <v>32324</v>
      </c>
      <c r="E739" t="n">
        <v>22899</v>
      </c>
      <c r="F739" t="n">
        <v>11583</v>
      </c>
      <c r="G739" t="n">
        <v>67410</v>
      </c>
      <c r="H739" t="n">
        <v>236007</v>
      </c>
      <c r="I739" t="n">
        <v>157829</v>
      </c>
      <c r="J739" t="n">
        <v>157455</v>
      </c>
      <c r="K739" t="n">
        <v>65881</v>
      </c>
      <c r="L739" t="n">
        <v>225239</v>
      </c>
      <c r="M739" t="n">
        <v>65872</v>
      </c>
    </row>
    <row r="740">
      <c r="A740" s="148" t="n">
        <v>43678</v>
      </c>
      <c r="B740" t="n">
        <v>19402</v>
      </c>
      <c r="C740" t="n">
        <v>32597</v>
      </c>
      <c r="D740" t="n">
        <v>32661</v>
      </c>
      <c r="E740" t="n">
        <v>22607</v>
      </c>
      <c r="F740" t="n">
        <v>11297</v>
      </c>
      <c r="G740" t="n">
        <v>66936</v>
      </c>
      <c r="H740" t="n">
        <v>230663</v>
      </c>
      <c r="I740" t="n">
        <v>157610</v>
      </c>
      <c r="J740" t="n">
        <v>156670</v>
      </c>
      <c r="K740" t="n">
        <v>65847</v>
      </c>
      <c r="L740" t="n">
        <v>224546</v>
      </c>
      <c r="M740" t="n">
        <v>65829</v>
      </c>
    </row>
    <row r="741">
      <c r="A741" s="148" t="n">
        <v>43709</v>
      </c>
      <c r="B741" t="n">
        <v>19000</v>
      </c>
      <c r="C741" t="n">
        <v>31528</v>
      </c>
      <c r="D741" t="n">
        <v>32881</v>
      </c>
      <c r="E741" t="n">
        <v>22561</v>
      </c>
      <c r="F741" t="n">
        <v>11306</v>
      </c>
      <c r="G741" t="n">
        <v>65765</v>
      </c>
      <c r="H741" t="n">
        <v>228583</v>
      </c>
      <c r="I741" t="n">
        <v>156184</v>
      </c>
      <c r="J741" t="n">
        <v>154428</v>
      </c>
      <c r="K741" t="n">
        <v>65250</v>
      </c>
      <c r="L741" t="n">
        <v>221949</v>
      </c>
      <c r="M741" t="n">
        <v>65203</v>
      </c>
    </row>
    <row r="742">
      <c r="A742" s="148" t="n">
        <v>43739</v>
      </c>
      <c r="B742" t="n">
        <v>18609</v>
      </c>
      <c r="C742" t="n">
        <v>31956</v>
      </c>
      <c r="D742" t="n">
        <v>33049</v>
      </c>
      <c r="E742" t="n">
        <v>22249</v>
      </c>
      <c r="F742" t="n">
        <v>11091</v>
      </c>
      <c r="G742" t="n">
        <v>67217</v>
      </c>
      <c r="H742" t="n">
        <v>231646</v>
      </c>
      <c r="I742" t="n">
        <v>155758</v>
      </c>
      <c r="J742" t="n">
        <v>156626</v>
      </c>
      <c r="K742" t="n">
        <v>65403</v>
      </c>
      <c r="L742" t="n">
        <v>222975</v>
      </c>
      <c r="M742" t="n">
        <v>65207</v>
      </c>
    </row>
    <row r="743">
      <c r="A743" s="148" t="n">
        <v>43770</v>
      </c>
      <c r="B743" t="n">
        <v>18878</v>
      </c>
      <c r="C743" t="n">
        <v>32043</v>
      </c>
      <c r="D743" t="n">
        <v>32028</v>
      </c>
      <c r="E743" t="n">
        <v>21985</v>
      </c>
      <c r="F743" t="n">
        <v>11350</v>
      </c>
      <c r="G743" t="n">
        <v>58027</v>
      </c>
      <c r="H743" t="n">
        <v>223422</v>
      </c>
      <c r="I743" t="n">
        <v>154752</v>
      </c>
      <c r="J743" t="n">
        <v>147226</v>
      </c>
      <c r="K743" t="n">
        <v>65034</v>
      </c>
      <c r="L743" t="n">
        <v>212779</v>
      </c>
      <c r="M743" t="n">
        <v>63805</v>
      </c>
    </row>
    <row r="744">
      <c r="A744" s="148" t="n">
        <v>43800</v>
      </c>
      <c r="B744" t="n">
        <v>18382</v>
      </c>
      <c r="C744" t="n">
        <v>31281</v>
      </c>
      <c r="D744" t="n">
        <v>31161</v>
      </c>
      <c r="E744" t="n">
        <v>22114</v>
      </c>
      <c r="F744" t="n">
        <v>11331</v>
      </c>
      <c r="G744" t="n">
        <v>62816</v>
      </c>
      <c r="H744" t="n">
        <v>220138</v>
      </c>
      <c r="I744" t="n">
        <v>152508</v>
      </c>
      <c r="J744" t="n">
        <v>150665</v>
      </c>
      <c r="K744" t="n">
        <v>65223</v>
      </c>
      <c r="L744" t="n">
        <v>215324</v>
      </c>
      <c r="M744" t="n">
        <v>62950</v>
      </c>
    </row>
    <row r="745">
      <c r="A745" s="148" t="n">
        <v>43831</v>
      </c>
      <c r="B745" t="n">
        <v>17802</v>
      </c>
      <c r="C745" t="n">
        <v>30656</v>
      </c>
      <c r="D745" t="n">
        <v>31324</v>
      </c>
      <c r="E745" t="n">
        <v>21947</v>
      </c>
      <c r="F745" t="n">
        <v>11151</v>
      </c>
      <c r="G745" t="n">
        <v>74563</v>
      </c>
      <c r="H745" t="n">
        <v>216266</v>
      </c>
      <c r="I745" t="n">
        <v>150988</v>
      </c>
      <c r="J745" t="n">
        <v>161215</v>
      </c>
      <c r="K745" t="n">
        <v>65297</v>
      </c>
      <c r="L745" t="n">
        <v>225551</v>
      </c>
      <c r="M745" t="n">
        <v>62298</v>
      </c>
    </row>
    <row r="746">
      <c r="A746" s="148" t="n">
        <v>43862</v>
      </c>
      <c r="B746" t="n">
        <v>18239</v>
      </c>
      <c r="C746" t="n">
        <v>30209</v>
      </c>
      <c r="D746" t="n">
        <v>30624</v>
      </c>
      <c r="E746" t="n">
        <v>21817</v>
      </c>
      <c r="F746" t="n">
        <v>11238</v>
      </c>
      <c r="G746" t="n">
        <v>81387</v>
      </c>
      <c r="H746" t="n">
        <v>214429</v>
      </c>
      <c r="I746" t="n">
        <v>150101</v>
      </c>
      <c r="J746" t="n">
        <v>165264</v>
      </c>
      <c r="K746" t="n">
        <v>64967</v>
      </c>
      <c r="L746" t="n">
        <v>231488</v>
      </c>
      <c r="M746" t="n">
        <v>61245</v>
      </c>
    </row>
    <row r="747">
      <c r="A747" s="148" t="n">
        <v>43891</v>
      </c>
      <c r="B747" t="n">
        <v>16278</v>
      </c>
      <c r="C747" t="n">
        <v>28432</v>
      </c>
      <c r="D747" t="n">
        <v>30522</v>
      </c>
      <c r="E747" t="n">
        <v>21641</v>
      </c>
      <c r="F747" t="n">
        <v>11463</v>
      </c>
      <c r="G747" t="n">
        <v>54120</v>
      </c>
      <c r="H747" t="n">
        <v>166862</v>
      </c>
      <c r="I747" t="n">
        <v>145999</v>
      </c>
      <c r="J747" t="n">
        <v>143089</v>
      </c>
      <c r="K747" t="n">
        <v>64064</v>
      </c>
      <c r="L747" t="n">
        <v>200119</v>
      </c>
      <c r="M747" t="n">
        <v>60715</v>
      </c>
    </row>
    <row r="748">
      <c r="A748" s="148" t="n">
        <v>43922</v>
      </c>
      <c r="B748" t="n">
        <v>13624</v>
      </c>
      <c r="C748" t="n">
        <v>24370</v>
      </c>
      <c r="D748" t="n">
        <v>27186</v>
      </c>
      <c r="E748" t="n">
        <v>21522</v>
      </c>
      <c r="F748" t="n">
        <v>10051</v>
      </c>
      <c r="G748" t="n">
        <v>27326</v>
      </c>
      <c r="H748" t="n">
        <v>149372</v>
      </c>
      <c r="I748" t="n">
        <v>131804</v>
      </c>
      <c r="J748" t="n">
        <v>120811</v>
      </c>
      <c r="K748" t="n">
        <v>59402</v>
      </c>
      <c r="L748" t="n">
        <v>159130</v>
      </c>
      <c r="M748" t="n">
        <v>55545</v>
      </c>
    </row>
    <row r="749">
      <c r="A749" s="148" t="n">
        <v>43952</v>
      </c>
      <c r="B749" t="n">
        <v>14523</v>
      </c>
      <c r="C749" t="n">
        <v>25987</v>
      </c>
      <c r="D749" t="n">
        <v>28015</v>
      </c>
      <c r="E749" t="n">
        <v>21374</v>
      </c>
      <c r="F749" t="n">
        <v>10303</v>
      </c>
      <c r="G749" t="n">
        <v>42928</v>
      </c>
      <c r="H749" t="n">
        <v>166186</v>
      </c>
      <c r="I749" t="n">
        <v>136456</v>
      </c>
      <c r="J749" t="n">
        <v>136257</v>
      </c>
      <c r="K749" t="n">
        <v>60874</v>
      </c>
      <c r="L749" t="n">
        <v>179384</v>
      </c>
      <c r="M749" t="n">
        <v>56463</v>
      </c>
    </row>
    <row r="750">
      <c r="A750" s="148" t="n">
        <v>43983</v>
      </c>
      <c r="B750" t="n">
        <v>15668</v>
      </c>
      <c r="C750" t="n">
        <v>28472</v>
      </c>
      <c r="D750" t="n">
        <v>29131</v>
      </c>
      <c r="E750" t="n">
        <v>21599</v>
      </c>
      <c r="F750" t="n">
        <v>10430</v>
      </c>
      <c r="G750" t="n">
        <v>55267</v>
      </c>
      <c r="H750" t="n">
        <v>187472</v>
      </c>
      <c r="I750" t="n">
        <v>143507</v>
      </c>
      <c r="J750" t="n">
        <v>135460</v>
      </c>
      <c r="K750" t="n">
        <v>63672</v>
      </c>
      <c r="L750" t="n">
        <v>198774</v>
      </c>
      <c r="M750" t="n">
        <v>58548</v>
      </c>
    </row>
    <row r="751">
      <c r="A751" s="148" t="n">
        <v>44013</v>
      </c>
      <c r="B751" t="n">
        <v>15569</v>
      </c>
      <c r="C751" t="n">
        <v>29659</v>
      </c>
      <c r="D751" t="n">
        <v>29808</v>
      </c>
      <c r="E751" t="n">
        <v>21918</v>
      </c>
      <c r="F751" t="n">
        <v>11210</v>
      </c>
      <c r="G751" t="n">
        <v>70460</v>
      </c>
      <c r="H751" t="n">
        <v>205339</v>
      </c>
      <c r="I751" t="n">
        <v>147581</v>
      </c>
      <c r="J751" t="n">
        <v>145739</v>
      </c>
      <c r="K751" t="n">
        <v>65681</v>
      </c>
      <c r="L751" t="n">
        <v>218041</v>
      </c>
      <c r="M751" t="n">
        <v>60095</v>
      </c>
    </row>
    <row r="752">
      <c r="A752" s="148" t="n">
        <v>44044</v>
      </c>
      <c r="B752" t="n">
        <v>16712</v>
      </c>
      <c r="C752" t="n">
        <v>29300</v>
      </c>
      <c r="D752" t="n">
        <v>30191</v>
      </c>
      <c r="E752" t="n">
        <v>22021</v>
      </c>
      <c r="F752" t="n">
        <v>11046</v>
      </c>
      <c r="G752" t="n">
        <v>71916</v>
      </c>
      <c r="H752" t="n">
        <v>210181</v>
      </c>
      <c r="I752" t="n">
        <v>149170</v>
      </c>
      <c r="J752" t="n">
        <v>149382</v>
      </c>
      <c r="K752" t="n">
        <v>67055</v>
      </c>
      <c r="L752" t="n">
        <v>221086</v>
      </c>
      <c r="M752" t="n">
        <v>60687</v>
      </c>
    </row>
    <row r="753">
      <c r="A753" s="148" t="n">
        <v>44075</v>
      </c>
      <c r="B753" t="n">
        <v>17164</v>
      </c>
      <c r="C753" t="n">
        <v>31043</v>
      </c>
      <c r="D753" t="n">
        <v>30863</v>
      </c>
      <c r="E753" t="n">
        <v>22111</v>
      </c>
      <c r="F753" t="n">
        <v>11284</v>
      </c>
      <c r="G753" t="n">
        <v>72869</v>
      </c>
      <c r="H753" t="n">
        <v>215572</v>
      </c>
      <c r="I753" t="n">
        <v>152724</v>
      </c>
      <c r="J753" t="n">
        <v>152915</v>
      </c>
      <c r="K753" t="n">
        <v>67319</v>
      </c>
      <c r="L753" t="n">
        <v>225593</v>
      </c>
      <c r="M753" t="n">
        <v>62159</v>
      </c>
    </row>
    <row r="754">
      <c r="A754" s="148" t="n">
        <v>44105</v>
      </c>
      <c r="B754" t="n">
        <v>17354</v>
      </c>
      <c r="C754" t="n">
        <v>30927</v>
      </c>
      <c r="D754" t="n">
        <v>31082</v>
      </c>
      <c r="E754" t="n">
        <v>22950</v>
      </c>
      <c r="F754" t="n">
        <v>11227</v>
      </c>
      <c r="G754" t="n">
        <v>75535</v>
      </c>
      <c r="H754" t="n">
        <v>215790</v>
      </c>
      <c r="I754" t="n">
        <v>154200</v>
      </c>
      <c r="J754" t="n">
        <v>157980</v>
      </c>
      <c r="K754" t="n">
        <v>68790</v>
      </c>
      <c r="L754" t="n">
        <v>229735</v>
      </c>
      <c r="M754" t="n">
        <v>62801</v>
      </c>
    </row>
    <row r="755">
      <c r="A755" s="148" t="n">
        <v>44136</v>
      </c>
      <c r="B755" t="n">
        <v>17897</v>
      </c>
      <c r="C755" t="n">
        <v>30962</v>
      </c>
      <c r="D755" t="n">
        <v>31006</v>
      </c>
      <c r="E755" t="n">
        <v>22765</v>
      </c>
      <c r="F755" t="n">
        <v>11507</v>
      </c>
      <c r="G755" t="n">
        <v>73303</v>
      </c>
      <c r="H755" t="n">
        <v>220355</v>
      </c>
      <c r="I755" t="n">
        <v>155167</v>
      </c>
      <c r="J755" t="n">
        <v>155771</v>
      </c>
      <c r="K755" t="n">
        <v>69601</v>
      </c>
      <c r="L755" t="n">
        <v>228470</v>
      </c>
      <c r="M755" t="n">
        <v>62967</v>
      </c>
    </row>
    <row r="756">
      <c r="A756" s="148" t="n">
        <v>44166</v>
      </c>
      <c r="B756" t="n">
        <v>18544</v>
      </c>
      <c r="C756" t="n">
        <v>31867</v>
      </c>
      <c r="D756" t="n">
        <v>32511</v>
      </c>
      <c r="E756" t="n">
        <v>22660</v>
      </c>
      <c r="F756" t="n">
        <v>12026</v>
      </c>
      <c r="G756" t="n">
        <v>72368</v>
      </c>
      <c r="H756" t="n">
        <v>226260</v>
      </c>
      <c r="I756" t="n">
        <v>159092</v>
      </c>
      <c r="J756" t="n">
        <v>158387</v>
      </c>
      <c r="K756" t="n">
        <v>70042</v>
      </c>
      <c r="L756" t="n">
        <v>231460</v>
      </c>
      <c r="M756" t="n">
        <v>63944</v>
      </c>
    </row>
    <row r="757">
      <c r="A757" s="148" t="n">
        <v>44197</v>
      </c>
      <c r="B757" t="n">
        <v>18908</v>
      </c>
      <c r="C757" t="n">
        <v>33041</v>
      </c>
      <c r="D757" t="n">
        <v>31999</v>
      </c>
      <c r="E757" t="n">
        <v>22652</v>
      </c>
      <c r="F757" t="n">
        <v>12121</v>
      </c>
      <c r="G757" t="n">
        <v>76361</v>
      </c>
      <c r="H757" t="n">
        <v>227501</v>
      </c>
      <c r="I757" t="n">
        <v>160923</v>
      </c>
      <c r="J757" t="n">
        <v>163476</v>
      </c>
      <c r="K757" t="n">
        <v>71414</v>
      </c>
      <c r="L757" t="n">
        <v>237284</v>
      </c>
      <c r="M757" t="n">
        <v>64750</v>
      </c>
    </row>
    <row r="758">
      <c r="A758" s="148" t="n">
        <v>44228</v>
      </c>
      <c r="B758" t="n">
        <v>19094</v>
      </c>
      <c r="C758" t="n">
        <v>33479</v>
      </c>
      <c r="D758" t="n">
        <v>32339</v>
      </c>
      <c r="E758" t="n">
        <v>22483</v>
      </c>
      <c r="F758" t="n">
        <v>12367</v>
      </c>
      <c r="G758" t="n">
        <v>76440</v>
      </c>
      <c r="H758" t="n">
        <v>230452</v>
      </c>
      <c r="I758" t="n">
        <v>161039</v>
      </c>
      <c r="J758" t="n">
        <v>167920</v>
      </c>
      <c r="K758" t="n">
        <v>70785</v>
      </c>
      <c r="L758" t="n">
        <v>237479</v>
      </c>
      <c r="M758" t="n">
        <v>64562</v>
      </c>
    </row>
    <row r="759">
      <c r="A759" s="148" t="n">
        <v>44256</v>
      </c>
      <c r="B759" t="n">
        <v>17215</v>
      </c>
      <c r="C759" t="n">
        <v>35343</v>
      </c>
      <c r="D759" t="n">
        <v>33661</v>
      </c>
      <c r="E759" t="n">
        <v>22558</v>
      </c>
      <c r="F759" t="n">
        <v>11992</v>
      </c>
      <c r="G759" t="n">
        <v>78011</v>
      </c>
      <c r="H759" t="n">
        <v>235711</v>
      </c>
      <c r="I759" t="n">
        <v>163381</v>
      </c>
      <c r="J759" t="n">
        <v>170436</v>
      </c>
      <c r="K759" t="n">
        <v>71883</v>
      </c>
      <c r="L759" t="n">
        <v>241392</v>
      </c>
      <c r="M759" t="n">
        <v>65886</v>
      </c>
    </row>
    <row r="760">
      <c r="A760" s="148" t="n">
        <v>44287</v>
      </c>
      <c r="B760" t="n">
        <v>17812</v>
      </c>
      <c r="C760" t="n">
        <v>35926</v>
      </c>
      <c r="D760" t="n">
        <v>34346</v>
      </c>
      <c r="E760" t="n">
        <v>22775</v>
      </c>
      <c r="F760" t="n">
        <v>12153</v>
      </c>
      <c r="G760" t="n">
        <v>70523</v>
      </c>
      <c r="H760" t="n">
        <v>236886</v>
      </c>
      <c r="I760" t="n">
        <v>166043</v>
      </c>
      <c r="J760" t="n">
        <v>169097</v>
      </c>
      <c r="K760" t="n">
        <v>72559</v>
      </c>
      <c r="L760" t="n">
        <v>236566</v>
      </c>
      <c r="M760" t="n">
        <v>67955</v>
      </c>
    </row>
    <row r="761">
      <c r="A761" s="148" t="n">
        <v>44317</v>
      </c>
      <c r="B761" t="n">
        <v>19048</v>
      </c>
      <c r="C761" t="n">
        <v>34072</v>
      </c>
      <c r="D761" t="n">
        <v>34548</v>
      </c>
      <c r="E761" t="n">
        <v>22546</v>
      </c>
      <c r="F761" t="n">
        <v>12532</v>
      </c>
      <c r="G761" t="n">
        <v>75335</v>
      </c>
      <c r="H761" t="n">
        <v>243568</v>
      </c>
      <c r="I761" t="n">
        <v>166210</v>
      </c>
      <c r="J761" t="n">
        <v>171996</v>
      </c>
      <c r="K761" t="n">
        <v>73260</v>
      </c>
      <c r="L761" t="n">
        <v>241545</v>
      </c>
      <c r="M761" t="n">
        <v>66882</v>
      </c>
    </row>
    <row r="762">
      <c r="A762" s="148" t="n">
        <v>44348</v>
      </c>
      <c r="B762" t="n">
        <v>19083</v>
      </c>
      <c r="C762" t="n">
        <v>34768</v>
      </c>
      <c r="D762" t="n">
        <v>34954</v>
      </c>
      <c r="E762" t="n">
        <v>22791</v>
      </c>
      <c r="F762" t="n">
        <v>12751</v>
      </c>
      <c r="G762" t="n">
        <v>77990</v>
      </c>
      <c r="H762" t="n">
        <v>245971</v>
      </c>
      <c r="I762" t="n">
        <v>167836</v>
      </c>
      <c r="J762" t="n">
        <v>176392</v>
      </c>
      <c r="K762" t="n">
        <v>73732</v>
      </c>
      <c r="L762" t="n">
        <v>245826</v>
      </c>
      <c r="M762" t="n">
        <v>68158</v>
      </c>
    </row>
    <row r="763">
      <c r="A763" s="148" t="n">
        <v>44378</v>
      </c>
      <c r="B763" t="n">
        <v>19778</v>
      </c>
      <c r="C763" t="n">
        <v>34185</v>
      </c>
      <c r="D763" t="n">
        <v>36029</v>
      </c>
      <c r="E763" t="n">
        <v>22720</v>
      </c>
      <c r="F763" t="n">
        <v>12493</v>
      </c>
      <c r="G763" t="n">
        <v>78213</v>
      </c>
      <c r="H763" t="n">
        <v>244787</v>
      </c>
      <c r="I763" t="n">
        <v>168528</v>
      </c>
      <c r="J763" t="n">
        <v>174579</v>
      </c>
      <c r="K763" t="n">
        <v>74393</v>
      </c>
      <c r="L763" t="n">
        <v>246741</v>
      </c>
      <c r="M763" t="n">
        <v>68660</v>
      </c>
    </row>
    <row r="764">
      <c r="A764" s="148" t="n">
        <v>44409</v>
      </c>
      <c r="B764" t="n">
        <v>19502</v>
      </c>
      <c r="C764" t="n">
        <v>35620</v>
      </c>
      <c r="D764" t="n">
        <v>36105</v>
      </c>
      <c r="E764" t="n">
        <v>23271</v>
      </c>
      <c r="F764" t="n">
        <v>12732</v>
      </c>
      <c r="G764" t="n">
        <v>80220</v>
      </c>
      <c r="H764" t="n">
        <v>250697</v>
      </c>
      <c r="I764" t="n">
        <v>170357</v>
      </c>
      <c r="J764" t="n">
        <v>179913</v>
      </c>
      <c r="K764" t="n">
        <v>74956</v>
      </c>
      <c r="L764" t="n">
        <v>250577</v>
      </c>
      <c r="M764" t="n">
        <v>69530</v>
      </c>
    </row>
    <row r="765">
      <c r="A765" s="148" t="n">
        <v>44440</v>
      </c>
      <c r="B765" t="n">
        <v>19441</v>
      </c>
      <c r="C765" t="n">
        <v>35821</v>
      </c>
      <c r="D765" t="n">
        <v>36108</v>
      </c>
      <c r="E765" t="n">
        <v>22970</v>
      </c>
      <c r="F765" t="n">
        <v>12871</v>
      </c>
      <c r="G765" t="n">
        <v>76223</v>
      </c>
      <c r="H765" t="n">
        <v/>
      </c>
      <c r="I765" t="n">
        <v>170626</v>
      </c>
      <c r="J765" t="n">
        <v>177267</v>
      </c>
      <c r="K765" t="n">
        <v/>
      </c>
      <c r="L765" t="n">
        <v>246849</v>
      </c>
      <c r="M765" t="n">
        <v>69298</v>
      </c>
    </row>
    <row r="766">
      <c r="A766" s="148" t="n">
        <v>44470</v>
      </c>
      <c r="B766" t="n">
        <v>19823</v>
      </c>
      <c r="C766" t="n">
        <v>35491</v>
      </c>
      <c r="D766" t="n">
        <v>36711</v>
      </c>
      <c r="E766" t="n">
        <v>22931</v>
      </c>
      <c r="F766" t="n">
        <v>12931</v>
      </c>
      <c r="G766" t="n">
        <v>79361</v>
      </c>
      <c r="H766" t="n">
        <v/>
      </c>
      <c r="I766" t="n">
        <v>171142</v>
      </c>
      <c r="J766" t="n">
        <v>178531</v>
      </c>
      <c r="K766" t="n">
        <v/>
      </c>
      <c r="L766" t="n">
        <v>250503</v>
      </c>
      <c r="M766" t="n">
        <v>70632</v>
      </c>
    </row>
    <row r="767">
      <c r="A767" s="148" t="n">
        <v>44501</v>
      </c>
      <c r="B767" t="n">
        <v>19634</v>
      </c>
      <c r="C767" t="n">
        <v>35429</v>
      </c>
      <c r="D767" t="n">
        <v>37145</v>
      </c>
      <c r="E767" t="n">
        <v>23936</v>
      </c>
      <c r="F767" t="n">
        <v>13120</v>
      </c>
      <c r="G767" t="n">
        <v>80645</v>
      </c>
      <c r="H767" t="n">
        <v/>
      </c>
      <c r="I767" t="n">
        <v>173429</v>
      </c>
      <c r="J767" t="n">
        <v>180712</v>
      </c>
      <c r="K767" t="n">
        <v/>
      </c>
      <c r="L767" t="n">
        <v>254074</v>
      </c>
      <c r="M767" t="n">
        <v>71135</v>
      </c>
    </row>
    <row r="768">
      <c r="A768" s="148" t="n">
        <v>44531</v>
      </c>
      <c r="B768" t="n">
        <v>20083</v>
      </c>
      <c r="C768" t="n">
        <v>36782</v>
      </c>
      <c r="D768" t="n">
        <v>36707</v>
      </c>
      <c r="E768" t="n">
        <v>23611</v>
      </c>
      <c r="F768" t="n">
        <v>13251</v>
      </c>
      <c r="G768" t="n">
        <v>81378</v>
      </c>
      <c r="H768" t="n">
        <v/>
      </c>
      <c r="I768" t="n">
        <v>175086</v>
      </c>
      <c r="J768" t="n">
        <v>181268</v>
      </c>
      <c r="K768" t="n">
        <v/>
      </c>
      <c r="L768" t="n">
        <v>256464</v>
      </c>
      <c r="M768" t="n">
        <v>71199</v>
      </c>
    </row>
    <row r="769">
      <c r="A769" s="148" t="n">
        <v>44562</v>
      </c>
      <c r="B769" t="n">
        <v>20519</v>
      </c>
      <c r="C769" t="n">
        <v>36442</v>
      </c>
      <c r="D769" t="n">
        <v>37908</v>
      </c>
      <c r="E769" t="n">
        <v>23746</v>
      </c>
      <c r="F769" t="n">
        <v>12855</v>
      </c>
      <c r="G769" t="n">
        <v>87764</v>
      </c>
      <c r="H769" t="n">
        <v/>
      </c>
      <c r="I769" t="n">
        <v>176592</v>
      </c>
      <c r="J769" t="n">
        <v>189468</v>
      </c>
      <c r="K769" t="n">
        <v/>
      </c>
      <c r="L769" t="n">
        <v>264356</v>
      </c>
      <c r="M769" t="n">
        <v>72217</v>
      </c>
    </row>
    <row r="770">
      <c r="A770" s="148" t="n">
        <v>44593</v>
      </c>
      <c r="B770" t="n">
        <v>20120</v>
      </c>
      <c r="C770" t="n">
        <v>36534</v>
      </c>
      <c r="D770" t="n">
        <v>37155</v>
      </c>
      <c r="E770" t="n">
        <v>23325</v>
      </c>
      <c r="F770" t="n">
        <v>13250</v>
      </c>
      <c r="G770" t="n">
        <v>86479</v>
      </c>
      <c r="H770" t="n">
        <v/>
      </c>
      <c r="I770" t="n">
        <v>176015</v>
      </c>
      <c r="J770" t="n">
        <v>187611</v>
      </c>
      <c r="K770" t="n">
        <v/>
      </c>
      <c r="L770" t="n">
        <v>262494</v>
      </c>
      <c r="M770" t="n">
        <v>72038</v>
      </c>
    </row>
    <row r="771">
      <c r="A771" s="148" t="n">
        <v>44621</v>
      </c>
      <c r="B771" t="n">
        <v>20783</v>
      </c>
      <c r="C771" t="n">
        <v>36986</v>
      </c>
      <c r="D771" t="n">
        <v>37379</v>
      </c>
      <c r="E771" t="n">
        <v>23742</v>
      </c>
      <c r="F771" t="n">
        <v>13593</v>
      </c>
      <c r="G771" t="n">
        <v>86220</v>
      </c>
      <c r="H771" t="n">
        <v/>
      </c>
      <c r="I771" t="n">
        <v>178038</v>
      </c>
      <c r="J771" t="n">
        <v>186907</v>
      </c>
      <c r="K771" t="n">
        <v/>
      </c>
      <c r="L771" t="n">
        <v>264258</v>
      </c>
      <c r="M771" t="n">
        <v>72857</v>
      </c>
    </row>
    <row r="772">
      <c r="A772" s="148" t="n">
        <v>44652</v>
      </c>
      <c r="B772" t="n">
        <v>20962</v>
      </c>
      <c r="C772" t="n">
        <v>36891</v>
      </c>
      <c r="D772" t="n">
        <v>37763</v>
      </c>
      <c r="E772" t="n">
        <v>23741</v>
      </c>
      <c r="F772" t="n">
        <v>13464</v>
      </c>
      <c r="G772" t="n">
        <v>86909</v>
      </c>
      <c r="H772" t="n">
        <v/>
      </c>
      <c r="I772" t="n">
        <v>178467</v>
      </c>
      <c r="J772" t="n">
        <v>188269</v>
      </c>
      <c r="K772" t="n">
        <v/>
      </c>
      <c r="L772" t="n">
        <v>265376</v>
      </c>
      <c r="M772" t="n">
        <v>73115</v>
      </c>
    </row>
    <row r="773">
      <c r="A773" s="148" t="n">
        <v>44682</v>
      </c>
      <c r="B773" t="n">
        <v>21350</v>
      </c>
      <c r="C773" t="n">
        <v>36810</v>
      </c>
      <c r="D773" t="n">
        <v>38242</v>
      </c>
      <c r="E773" t="n">
        <v>23787</v>
      </c>
      <c r="F773" t="n">
        <v>13353</v>
      </c>
      <c r="G773" t="n">
        <v>88275</v>
      </c>
      <c r="H773" t="n">
        <v/>
      </c>
      <c r="I773" t="n">
        <v>179258</v>
      </c>
      <c r="J773" t="n">
        <v>189296</v>
      </c>
      <c r="K773" t="n">
        <v/>
      </c>
      <c r="L773" t="n">
        <v>267533</v>
      </c>
      <c r="M773" t="n">
        <v>73477</v>
      </c>
    </row>
    <row r="774">
      <c r="A774" s="148" t="n">
        <v>44713</v>
      </c>
      <c r="B774" t="n">
        <v>21050</v>
      </c>
      <c r="C774" t="n">
        <v>36922</v>
      </c>
      <c r="D774" t="n">
        <v>38434</v>
      </c>
      <c r="E774" t="n">
        <v>24211</v>
      </c>
      <c r="F774" t="n">
        <v>13717</v>
      </c>
      <c r="G774" t="n">
        <v>93626</v>
      </c>
      <c r="H774" t="n">
        <v/>
      </c>
      <c r="I774" t="n">
        <v>179945</v>
      </c>
      <c r="J774" t="n">
        <v>194488</v>
      </c>
      <c r="K774" t="n">
        <v/>
      </c>
      <c r="L774" t="n">
        <v>273571</v>
      </c>
      <c r="M774" t="n">
        <v>74190</v>
      </c>
    </row>
    <row r="775">
      <c r="A775" s="148" t="n">
        <v>44743</v>
      </c>
      <c r="B775" t="n">
        <v>20649</v>
      </c>
      <c r="C775" t="n">
        <v>37195</v>
      </c>
      <c r="D775" t="n">
        <v>38622</v>
      </c>
      <c r="E775" t="n">
        <v>24547</v>
      </c>
      <c r="F775" t="n">
        <v>13661</v>
      </c>
      <c r="G775" t="n">
        <v>92987</v>
      </c>
      <c r="H775" t="n">
        <v/>
      </c>
      <c r="I775" t="n">
        <v>180216</v>
      </c>
      <c r="J775" t="n">
        <v>194332</v>
      </c>
      <c r="K775" t="n">
        <v/>
      </c>
      <c r="L775" t="n">
        <v>273203</v>
      </c>
      <c r="M775" t="n">
        <v>74709</v>
      </c>
    </row>
    <row r="776">
      <c r="A776" s="148" t="n">
        <v>44774</v>
      </c>
      <c r="B776" t="n">
        <v>20738</v>
      </c>
      <c r="C776" t="n">
        <v>36860</v>
      </c>
      <c r="D776" t="n">
        <v>38888</v>
      </c>
      <c r="E776" t="n">
        <v>24519</v>
      </c>
      <c r="F776" t="n">
        <v>13851</v>
      </c>
      <c r="G776" t="n">
        <v>93483</v>
      </c>
      <c r="H776" t="n">
        <v/>
      </c>
      <c r="I776" t="n">
        <v>180358</v>
      </c>
      <c r="J776" t="n">
        <v>194542</v>
      </c>
      <c r="K776" t="n">
        <v/>
      </c>
      <c r="L776" t="n">
        <v>273841</v>
      </c>
      <c r="M776" t="n">
        <v>75379</v>
      </c>
    </row>
    <row r="777">
      <c r="A777" s="148" t="n">
        <v>44805</v>
      </c>
      <c r="B777" t="n">
        <v>20241</v>
      </c>
      <c r="C777" t="n">
        <v>36444</v>
      </c>
      <c r="D777" t="n">
        <v>38633</v>
      </c>
      <c r="E777" t="n">
        <v>24239</v>
      </c>
      <c r="F777" t="n">
        <v>13701</v>
      </c>
      <c r="G777" t="n">
        <v>95676</v>
      </c>
      <c r="H777" t="n">
        <v/>
      </c>
      <c r="I777" t="n">
        <v>178723</v>
      </c>
      <c r="J777" t="n">
        <v>193704</v>
      </c>
      <c r="K777" t="n">
        <v/>
      </c>
      <c r="L777" t="n">
        <v>274399</v>
      </c>
      <c r="M777" t="n">
        <v>74819</v>
      </c>
    </row>
    <row r="778">
      <c r="A778" s="148" t="n">
        <v>44835</v>
      </c>
      <c r="B778" t="n">
        <v>20125</v>
      </c>
      <c r="C778" t="n">
        <v>36382</v>
      </c>
      <c r="D778" t="n">
        <v>39199</v>
      </c>
      <c r="E778" t="n">
        <v>24188</v>
      </c>
      <c r="F778" t="n">
        <v>13678</v>
      </c>
      <c r="G778" t="n">
        <v>97452</v>
      </c>
      <c r="H778" t="n">
        <v/>
      </c>
      <c r="I778" t="n">
        <v>178914</v>
      </c>
      <c r="J778" t="n">
        <v>195690</v>
      </c>
      <c r="K778" t="n">
        <v/>
      </c>
      <c r="L778" t="n">
        <v>276366</v>
      </c>
      <c r="M778" t="n">
        <v>75055</v>
      </c>
    </row>
    <row r="779">
      <c r="A779" s="148" t="n">
        <v>44866</v>
      </c>
      <c r="B779" t="n">
        <v>20004</v>
      </c>
      <c r="C779" t="n">
        <v>36426</v>
      </c>
      <c r="D779" t="n">
        <v>39248</v>
      </c>
      <c r="E779" t="n">
        <v>24338</v>
      </c>
      <c r="F779" t="n">
        <v>13695</v>
      </c>
      <c r="G779" t="n">
        <v>91325</v>
      </c>
      <c r="H779" t="n">
        <v/>
      </c>
      <c r="I779" t="n">
        <v>179148</v>
      </c>
      <c r="J779" t="n">
        <v>189826</v>
      </c>
      <c r="K779" t="n">
        <v/>
      </c>
      <c r="L779" t="n">
        <v>270473</v>
      </c>
      <c r="M779" t="n">
        <v>75124</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89"/>
  <sheetViews>
    <sheetView zoomScale="120" zoomScaleNormal="120" workbookViewId="0">
      <pane xSplit="2" ySplit="6" topLeftCell="C55" activePane="bottomRight" state="frozen"/>
      <selection activeCell="Q21" sqref="Q21"/>
      <selection pane="topRight" activeCell="Q21" sqref="Q21"/>
      <selection pane="bottomLeft" activeCell="Q21" sqref="Q21"/>
      <selection pane="bottomRight" activeCell="AB85" sqref="AB85"/>
    </sheetView>
  </sheetViews>
  <sheetFormatPr baseColWidth="8" defaultColWidth="9.1796875" defaultRowHeight="14.5"/>
  <cols>
    <col width="9.1796875" customWidth="1" style="128" min="1" max="1"/>
    <col width="10.6328125" bestFit="1" customWidth="1" style="128" min="2" max="2"/>
    <col width="9.1796875" customWidth="1" style="128" min="3" max="12"/>
    <col width="9.1796875" customWidth="1" style="128" min="13" max="16384"/>
  </cols>
  <sheetData>
    <row r="3" ht="16" customHeight="1" s="141" thickBot="1"/>
    <row r="4" ht="19" customHeight="1" s="141">
      <c r="C4" s="143" t="inlineStr">
        <is>
          <t>New Orders</t>
        </is>
      </c>
      <c r="D4" s="144" t="n"/>
      <c r="E4" s="143" t="inlineStr">
        <is>
          <t>New Orders ex Transport</t>
        </is>
      </c>
      <c r="F4" s="144" t="n"/>
      <c r="G4" s="145" t="inlineStr">
        <is>
          <t>New Orders Nondefense = Core</t>
        </is>
      </c>
      <c r="H4" s="144" t="n"/>
      <c r="I4" s="143" t="inlineStr">
        <is>
          <t>Manufacturing</t>
        </is>
      </c>
      <c r="J4" s="144" t="n"/>
      <c r="K4" s="143" t="inlineStr">
        <is>
          <t>Transportation Equipment</t>
        </is>
      </c>
      <c r="L4" s="144" t="n"/>
      <c r="M4" s="143" t="inlineStr">
        <is>
          <t>Fabricated Metal Products</t>
        </is>
      </c>
      <c r="N4" s="144" t="n"/>
      <c r="O4" s="143" t="inlineStr">
        <is>
          <t xml:space="preserve"> Machinery</t>
        </is>
      </c>
      <c r="P4" s="144" t="n"/>
      <c r="Q4" s="143" t="inlineStr">
        <is>
          <t>Computers</t>
        </is>
      </c>
      <c r="R4" s="144" t="n"/>
      <c r="S4" s="143" t="inlineStr">
        <is>
          <t>Primary Metals</t>
        </is>
      </c>
      <c r="T4" s="144" t="n"/>
      <c r="U4" s="143" t="inlineStr">
        <is>
          <t>Electrical Equipment</t>
        </is>
      </c>
      <c r="V4" s="144" t="n"/>
    </row>
    <row r="5" ht="15.75" customHeight="1" s="141"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row r="81">
      <c r="B81" s="93" t="n">
        <v>44621</v>
      </c>
      <c r="C81" s="94">
        <f>VLOOKUP(B81,Database!$A:$M,MATCH(Recap!$C$5,Database!$A$1:$M$1,),)</f>
        <v/>
      </c>
      <c r="D81" s="96">
        <f>(C81-C80)/C80</f>
        <v/>
      </c>
      <c r="E81" s="94">
        <f>VLOOKUP(B81,Database!$A:$M,MATCH(Recap!$E$5,Database!$A$1:$M$1,),)</f>
        <v/>
      </c>
      <c r="F81" s="96">
        <f>(E81-E80)/E80</f>
        <v/>
      </c>
      <c r="G81" s="94">
        <f>VLOOKUP(B81,Database!$A:$M,MATCH(Recap!$G$5,Database!$A$1:$M$1,),)</f>
        <v/>
      </c>
      <c r="H81" s="96">
        <f>(G81-G80)/G80</f>
        <v/>
      </c>
      <c r="I81" s="94">
        <f>VLOOKUP(B81,Database!$A:$M,MATCH(Recap!$I$5,Database!$A$1:$M$1,),)</f>
        <v/>
      </c>
      <c r="J81" s="96">
        <f>(I81-I80)/I80</f>
        <v/>
      </c>
      <c r="K81" s="94">
        <f>VLOOKUP(B81,Database!$A:$M,MATCH(Recap!$K$5,Database!$A$1:$M$1,),)</f>
        <v/>
      </c>
      <c r="L81" s="96">
        <f>(K81-K80)/K80</f>
        <v/>
      </c>
      <c r="M81" s="94">
        <f>VLOOKUP(B81,Database!$A:$M,MATCH(Recap!$M$5,Database!$A$1:$M$1,),)</f>
        <v/>
      </c>
      <c r="N81" s="96">
        <f>(M81-M80)/M80</f>
        <v/>
      </c>
      <c r="O81" s="94">
        <f>VLOOKUP(B81,Database!$A:$M,MATCH(Recap!$O$5,Database!$A$1:$M$1,),)</f>
        <v/>
      </c>
      <c r="P81" s="96">
        <f>(O81-O80)/O80</f>
        <v/>
      </c>
      <c r="Q81" s="94">
        <f>VLOOKUP(B81,Database!$A:$M,MATCH(Recap!$Q$5,Database!$A$1:$M$1,),)</f>
        <v/>
      </c>
      <c r="R81" s="96">
        <f>(Q81-Q80)/Q80</f>
        <v/>
      </c>
      <c r="S81" s="94">
        <f>VLOOKUP(B81,Database!$A:$M,MATCH(Recap!$S$5,Database!$A$1:$M$1,),)</f>
        <v/>
      </c>
      <c r="T81" s="96">
        <f>(S81-S80)/S80</f>
        <v/>
      </c>
      <c r="U81" s="94">
        <f>VLOOKUP(B81,Database!$A:$M,MATCH(Recap!$U$5,Database!$A$1:$M$1,),)</f>
        <v/>
      </c>
      <c r="V81" s="96">
        <f>(U81-U80)/U80</f>
        <v/>
      </c>
    </row>
    <row r="82">
      <c r="B82" s="93" t="n">
        <v>44652</v>
      </c>
      <c r="C82" s="94">
        <f>VLOOKUP(B82,Database!$A:$M,MATCH(Recap!$C$5,Database!$A$1:$M$1,),)</f>
        <v/>
      </c>
      <c r="D82" s="96">
        <f>(C82-C81)/C81</f>
        <v/>
      </c>
      <c r="E82" s="94">
        <f>VLOOKUP(B82,Database!$A:$M,MATCH(Recap!$E$5,Database!$A$1:$M$1,),)</f>
        <v/>
      </c>
      <c r="F82" s="96">
        <f>(E82-E81)/E81</f>
        <v/>
      </c>
      <c r="G82" s="94">
        <f>VLOOKUP(B82,Database!$A:$M,MATCH(Recap!$G$5,Database!$A$1:$M$1,),)</f>
        <v/>
      </c>
      <c r="H82" s="96">
        <f>(G82-G81)/G81</f>
        <v/>
      </c>
      <c r="I82" s="94">
        <f>VLOOKUP(B82,Database!$A:$M,MATCH(Recap!$I$5,Database!$A$1:$M$1,),)</f>
        <v/>
      </c>
      <c r="J82" s="96">
        <f>(I82-I81)/I81</f>
        <v/>
      </c>
      <c r="K82" s="94">
        <f>VLOOKUP(B82,Database!$A:$M,MATCH(Recap!$K$5,Database!$A$1:$M$1,),)</f>
        <v/>
      </c>
      <c r="L82" s="96">
        <f>(K82-K81)/K81</f>
        <v/>
      </c>
      <c r="M82" s="94">
        <f>VLOOKUP(B82,Database!$A:$M,MATCH(Recap!$M$5,Database!$A$1:$M$1,),)</f>
        <v/>
      </c>
      <c r="N82" s="96">
        <f>(M82-M81)/M81</f>
        <v/>
      </c>
      <c r="O82" s="94">
        <f>VLOOKUP(B82,Database!$A:$M,MATCH(Recap!$O$5,Database!$A$1:$M$1,),)</f>
        <v/>
      </c>
      <c r="P82" s="96">
        <f>(O82-O81)/O81</f>
        <v/>
      </c>
      <c r="Q82" s="94">
        <f>VLOOKUP(B82,Database!$A:$M,MATCH(Recap!$Q$5,Database!$A$1:$M$1,),)</f>
        <v/>
      </c>
      <c r="R82" s="96">
        <f>(Q82-Q81)/Q81</f>
        <v/>
      </c>
      <c r="S82" s="94">
        <f>VLOOKUP(B82,Database!$A:$M,MATCH(Recap!$S$5,Database!$A$1:$M$1,),)</f>
        <v/>
      </c>
      <c r="T82" s="96">
        <f>(S82-S81)/S81</f>
        <v/>
      </c>
      <c r="U82" s="94">
        <f>VLOOKUP(B82,Database!$A:$M,MATCH(Recap!$U$5,Database!$A$1:$M$1,),)</f>
        <v/>
      </c>
      <c r="V82" s="96">
        <f>(U82-U81)/U81</f>
        <v/>
      </c>
    </row>
    <row r="83">
      <c r="B83" s="93" t="n">
        <v>44682</v>
      </c>
      <c r="C83" s="94">
        <f>VLOOKUP(B83,Database!$A:$M,MATCH(Recap!$C$5,Database!$A$1:$M$1,),)</f>
        <v/>
      </c>
      <c r="D83" s="96">
        <f>(C83-C82)/C82</f>
        <v/>
      </c>
      <c r="E83" s="94">
        <f>VLOOKUP(B83,Database!$A:$M,MATCH(Recap!$E$5,Database!$A$1:$M$1,),)</f>
        <v/>
      </c>
      <c r="F83" s="96">
        <f>(E83-E82)/E82</f>
        <v/>
      </c>
      <c r="G83" s="94">
        <f>VLOOKUP(B83,Database!$A:$M,MATCH(Recap!$G$5,Database!$A$1:$M$1,),)</f>
        <v/>
      </c>
      <c r="H83" s="96">
        <f>(G83-G82)/G82</f>
        <v/>
      </c>
      <c r="I83" s="94">
        <f>VLOOKUP(B83,Database!$A:$M,MATCH(Recap!$I$5,Database!$A$1:$M$1,),)</f>
        <v/>
      </c>
      <c r="J83" s="96">
        <f>(I83-I82)/I82</f>
        <v/>
      </c>
      <c r="K83" s="94">
        <f>VLOOKUP(B83,Database!$A:$M,MATCH(Recap!$K$5,Database!$A$1:$M$1,),)</f>
        <v/>
      </c>
      <c r="L83" s="96">
        <f>(K83-K82)/K82</f>
        <v/>
      </c>
      <c r="M83" s="94">
        <f>VLOOKUP(B83,Database!$A:$M,MATCH(Recap!$M$5,Database!$A$1:$M$1,),)</f>
        <v/>
      </c>
      <c r="N83" s="96">
        <f>(M83-M82)/M82</f>
        <v/>
      </c>
      <c r="O83" s="94">
        <f>VLOOKUP(B83,Database!$A:$M,MATCH(Recap!$O$5,Database!$A$1:$M$1,),)</f>
        <v/>
      </c>
      <c r="P83" s="96">
        <f>(O83-O82)/O82</f>
        <v/>
      </c>
      <c r="Q83" s="94">
        <f>VLOOKUP(B83,Database!$A:$M,MATCH(Recap!$Q$5,Database!$A$1:$M$1,),)</f>
        <v/>
      </c>
      <c r="R83" s="96">
        <f>(Q83-Q82)/Q82</f>
        <v/>
      </c>
      <c r="S83" s="94">
        <f>VLOOKUP(B83,Database!$A:$M,MATCH(Recap!$S$5,Database!$A$1:$M$1,),)</f>
        <v/>
      </c>
      <c r="T83" s="96">
        <f>(S83-S82)/S82</f>
        <v/>
      </c>
      <c r="U83" s="94">
        <f>VLOOKUP(B83,Database!$A:$M,MATCH(Recap!$U$5,Database!$A$1:$M$1,),)</f>
        <v/>
      </c>
      <c r="V83" s="96">
        <f>(U83-U82)/U82</f>
        <v/>
      </c>
    </row>
    <row r="84">
      <c r="B84" s="93" t="n">
        <v>44713</v>
      </c>
      <c r="C84" s="94">
        <f>VLOOKUP(B84,Database!$A:$M,MATCH(Recap!$C$5,Database!$A$1:$M$1,),)</f>
        <v/>
      </c>
      <c r="D84" s="96">
        <f>(C84-C83)/C83</f>
        <v/>
      </c>
      <c r="E84" s="94">
        <f>VLOOKUP(B84,Database!$A:$M,MATCH(Recap!$E$5,Database!$A$1:$M$1,),)</f>
        <v/>
      </c>
      <c r="F84" s="96">
        <f>(E84-E83)/E83</f>
        <v/>
      </c>
      <c r="G84" s="94">
        <f>VLOOKUP(B84,Database!$A:$M,MATCH(Recap!$G$5,Database!$A$1:$M$1,),)</f>
        <v/>
      </c>
      <c r="H84" s="96">
        <f>(G84-G83)/G83</f>
        <v/>
      </c>
      <c r="I84" s="94">
        <f>VLOOKUP(B84,Database!$A:$M,MATCH(Recap!$I$5,Database!$A$1:$M$1,),)</f>
        <v/>
      </c>
      <c r="J84" s="96">
        <f>(I84-I83)/I83</f>
        <v/>
      </c>
      <c r="K84" s="94">
        <f>VLOOKUP(B84,Database!$A:$M,MATCH(Recap!$K$5,Database!$A$1:$M$1,),)</f>
        <v/>
      </c>
      <c r="L84" s="96">
        <f>(K84-K83)/K83</f>
        <v/>
      </c>
      <c r="M84" s="94">
        <f>VLOOKUP(B84,Database!$A:$M,MATCH(Recap!$M$5,Database!$A$1:$M$1,),)</f>
        <v/>
      </c>
      <c r="N84" s="96">
        <f>(M84-M83)/M83</f>
        <v/>
      </c>
      <c r="O84" s="94">
        <f>VLOOKUP(B84,Database!$A:$M,MATCH(Recap!$O$5,Database!$A$1:$M$1,),)</f>
        <v/>
      </c>
      <c r="P84" s="96">
        <f>(O84-O83)/O83</f>
        <v/>
      </c>
      <c r="Q84" s="94">
        <f>VLOOKUP(B84,Database!$A:$M,MATCH(Recap!$Q$5,Database!$A$1:$M$1,),)</f>
        <v/>
      </c>
      <c r="R84" s="96">
        <f>(Q84-Q83)/Q83</f>
        <v/>
      </c>
      <c r="S84" s="94">
        <f>VLOOKUP(B84,Database!$A:$M,MATCH(Recap!$S$5,Database!$A$1:$M$1,),)</f>
        <v/>
      </c>
      <c r="T84" s="96">
        <f>(S84-S83)/S83</f>
        <v/>
      </c>
      <c r="U84" s="94">
        <f>VLOOKUP(B84,Database!$A:$M,MATCH(Recap!$U$5,Database!$A$1:$M$1,),)</f>
        <v/>
      </c>
      <c r="V84" s="96">
        <f>(U84-U83)/U83</f>
        <v/>
      </c>
    </row>
    <row r="85">
      <c r="B85" s="93" t="n">
        <v>44743</v>
      </c>
      <c r="C85" s="94">
        <f>VLOOKUP(B85,Database!$A:$M,MATCH(Recap!$C$5,Database!$A$1:$M$1,),)</f>
        <v/>
      </c>
      <c r="D85" s="96">
        <f>(C85-C84)/C84</f>
        <v/>
      </c>
      <c r="E85" s="94">
        <f>VLOOKUP(B85,Database!$A:$M,MATCH(Recap!$E$5,Database!$A$1:$M$1,),)</f>
        <v/>
      </c>
      <c r="F85" s="96">
        <f>(E85-E84)/E84</f>
        <v/>
      </c>
      <c r="G85" s="94">
        <f>VLOOKUP(B85,Database!$A:$M,MATCH(Recap!$G$5,Database!$A$1:$M$1,),)</f>
        <v/>
      </c>
      <c r="H85" s="96">
        <f>(G85-G84)/G84</f>
        <v/>
      </c>
      <c r="I85" s="94">
        <f>VLOOKUP(B85,Database!$A:$M,MATCH(Recap!$I$5,Database!$A$1:$M$1,),)</f>
        <v/>
      </c>
      <c r="J85" s="96">
        <f>(I85-I84)/I84</f>
        <v/>
      </c>
      <c r="K85" s="94">
        <f>VLOOKUP(B85,Database!$A:$M,MATCH(Recap!$K$5,Database!$A$1:$M$1,),)</f>
        <v/>
      </c>
      <c r="L85" s="96">
        <f>(K85-K84)/K84</f>
        <v/>
      </c>
      <c r="M85" s="94">
        <f>VLOOKUP(B85,Database!$A:$M,MATCH(Recap!$M$5,Database!$A$1:$M$1,),)</f>
        <v/>
      </c>
      <c r="N85" s="96">
        <f>(M85-M84)/M84</f>
        <v/>
      </c>
      <c r="O85" s="94">
        <f>VLOOKUP(B85,Database!$A:$M,MATCH(Recap!$O$5,Database!$A$1:$M$1,),)</f>
        <v/>
      </c>
      <c r="P85" s="96">
        <f>(O85-O84)/O84</f>
        <v/>
      </c>
      <c r="Q85" s="94">
        <f>VLOOKUP(B85,Database!$A:$M,MATCH(Recap!$Q$5,Database!$A$1:$M$1,),)</f>
        <v/>
      </c>
      <c r="R85" s="96">
        <f>(Q85-Q84)/Q84</f>
        <v/>
      </c>
      <c r="S85" s="94">
        <f>VLOOKUP(B85,Database!$A:$M,MATCH(Recap!$S$5,Database!$A$1:$M$1,),)</f>
        <v/>
      </c>
      <c r="T85" s="96">
        <f>(S85-S84)/S84</f>
        <v/>
      </c>
      <c r="U85" s="94">
        <f>VLOOKUP(B85,Database!$A:$M,MATCH(Recap!$U$5,Database!$A$1:$M$1,),)</f>
        <v/>
      </c>
      <c r="V85" s="96">
        <f>(U85-U84)/U84</f>
        <v/>
      </c>
    </row>
    <row r="86">
      <c r="B86" s="93" t="n">
        <v>44774</v>
      </c>
      <c r="C86" s="94">
        <f>VLOOKUP(B86,Database!$A:$M,MATCH(Recap!$C$5,Database!$A$1:$M$1,),)</f>
        <v/>
      </c>
      <c r="D86" s="96">
        <f>(C86-C85)/C85</f>
        <v/>
      </c>
      <c r="E86" s="94">
        <f>VLOOKUP(B86,Database!$A:$M,MATCH(Recap!$E$5,Database!$A$1:$M$1,),)</f>
        <v/>
      </c>
      <c r="F86" s="96">
        <f>(E86-E85)/E85</f>
        <v/>
      </c>
      <c r="G86" s="94">
        <f>VLOOKUP(B86,Database!$A:$M,MATCH(Recap!$G$5,Database!$A$1:$M$1,),)</f>
        <v/>
      </c>
      <c r="H86" s="96">
        <f>(G86-G85)/G85</f>
        <v/>
      </c>
      <c r="I86" s="94">
        <f>VLOOKUP(B86,Database!$A:$M,MATCH(Recap!$I$5,Database!$A$1:$M$1,),)</f>
        <v/>
      </c>
      <c r="J86" s="96">
        <f>(I86-I85)/I85</f>
        <v/>
      </c>
      <c r="K86" s="94">
        <f>VLOOKUP(B86,Database!$A:$M,MATCH(Recap!$K$5,Database!$A$1:$M$1,),)</f>
        <v/>
      </c>
      <c r="L86" s="96">
        <f>(K86-K85)/K85</f>
        <v/>
      </c>
      <c r="M86" s="94">
        <f>VLOOKUP(B86,Database!$A:$M,MATCH(Recap!$M$5,Database!$A$1:$M$1,),)</f>
        <v/>
      </c>
      <c r="N86" s="96">
        <f>(M86-M85)/M85</f>
        <v/>
      </c>
      <c r="O86" s="94">
        <f>VLOOKUP(B86,Database!$A:$M,MATCH(Recap!$O$5,Database!$A$1:$M$1,),)</f>
        <v/>
      </c>
      <c r="P86" s="96">
        <f>(O86-O85)/O85</f>
        <v/>
      </c>
      <c r="Q86" s="94">
        <f>VLOOKUP(B86,Database!$A:$M,MATCH(Recap!$Q$5,Database!$A$1:$M$1,),)</f>
        <v/>
      </c>
      <c r="R86" s="96">
        <f>(Q86-Q85)/Q85</f>
        <v/>
      </c>
      <c r="S86" s="94">
        <f>VLOOKUP(B86,Database!$A:$M,MATCH(Recap!$S$5,Database!$A$1:$M$1,),)</f>
        <v/>
      </c>
      <c r="T86" s="96">
        <f>(S86-S85)/S85</f>
        <v/>
      </c>
      <c r="U86" s="94">
        <f>VLOOKUP(B86,Database!$A:$M,MATCH(Recap!$U$5,Database!$A$1:$M$1,),)</f>
        <v/>
      </c>
      <c r="V86" s="96">
        <f>(U86-U85)/U85</f>
        <v/>
      </c>
    </row>
    <row r="87">
      <c r="B87" s="93" t="n">
        <v>44805</v>
      </c>
      <c r="C87" s="94">
        <f>VLOOKUP(B87,Database!$A:$M,MATCH(Recap!$C$5,Database!$A$1:$M$1,),)</f>
        <v/>
      </c>
      <c r="D87" s="96">
        <f>(C87-C86)/C86</f>
        <v/>
      </c>
      <c r="E87" s="94">
        <f>VLOOKUP(B87,Database!$A:$M,MATCH(Recap!$E$5,Database!$A$1:$M$1,),)</f>
        <v/>
      </c>
      <c r="F87" s="96">
        <f>(E87-E86)/E86</f>
        <v/>
      </c>
      <c r="G87" s="94">
        <f>VLOOKUP(B87,Database!$A:$M,MATCH(Recap!$G$5,Database!$A$1:$M$1,),)</f>
        <v/>
      </c>
      <c r="H87" s="96">
        <f>(G87-G86)/G86</f>
        <v/>
      </c>
      <c r="I87" s="94">
        <f>VLOOKUP(B87,Database!$A:$M,MATCH(Recap!$I$5,Database!$A$1:$M$1,),)</f>
        <v/>
      </c>
      <c r="J87" s="96">
        <f>(I87-I86)/I86</f>
        <v/>
      </c>
      <c r="K87" s="94">
        <f>VLOOKUP(B87,Database!$A:$M,MATCH(Recap!$K$5,Database!$A$1:$M$1,),)</f>
        <v/>
      </c>
      <c r="L87" s="96">
        <f>(K87-K86)/K86</f>
        <v/>
      </c>
      <c r="M87" s="94">
        <f>VLOOKUP(B87,Database!$A:$M,MATCH(Recap!$M$5,Database!$A$1:$M$1,),)</f>
        <v/>
      </c>
      <c r="N87" s="96">
        <f>(M87-M86)/M86</f>
        <v/>
      </c>
      <c r="O87" s="94">
        <f>VLOOKUP(B87,Database!$A:$M,MATCH(Recap!$O$5,Database!$A$1:$M$1,),)</f>
        <v/>
      </c>
      <c r="P87" s="96">
        <f>(O87-O86)/O86</f>
        <v/>
      </c>
      <c r="Q87" s="94">
        <f>VLOOKUP(B87,Database!$A:$M,MATCH(Recap!$Q$5,Database!$A$1:$M$1,),)</f>
        <v/>
      </c>
      <c r="R87" s="96">
        <f>(Q87-Q86)/Q86</f>
        <v/>
      </c>
      <c r="S87" s="94">
        <f>VLOOKUP(B87,Database!$A:$M,MATCH(Recap!$S$5,Database!$A$1:$M$1,),)</f>
        <v/>
      </c>
      <c r="T87" s="96">
        <f>(S87-S86)/S86</f>
        <v/>
      </c>
      <c r="U87" s="94">
        <f>VLOOKUP(B87,Database!$A:$M,MATCH(Recap!$U$5,Database!$A$1:$M$1,),)</f>
        <v/>
      </c>
      <c r="V87" s="96">
        <f>(U87-U86)/U86</f>
        <v/>
      </c>
    </row>
    <row r="88">
      <c r="B88" s="93" t="n">
        <v>44835</v>
      </c>
      <c r="C88" s="94">
        <f>VLOOKUP(B88,Database!$A:$M,MATCH(Recap!$C$5,Database!$A$1:$M$1,),)</f>
        <v/>
      </c>
      <c r="D88" s="96">
        <f>(C88-C87)/C87</f>
        <v/>
      </c>
      <c r="E88" s="94">
        <f>VLOOKUP(B88,Database!$A:$M,MATCH(Recap!$E$5,Database!$A$1:$M$1,),)</f>
        <v/>
      </c>
      <c r="F88" s="96">
        <f>(E88-E87)/E87</f>
        <v/>
      </c>
      <c r="G88" s="94">
        <f>VLOOKUP(B88,Database!$A:$M,MATCH(Recap!$G$5,Database!$A$1:$M$1,),)</f>
        <v/>
      </c>
      <c r="H88" s="96">
        <f>(G88-G87)/G87</f>
        <v/>
      </c>
      <c r="I88" s="94">
        <f>VLOOKUP(B88,Database!$A:$M,MATCH(Recap!$I$5,Database!$A$1:$M$1,),)</f>
        <v/>
      </c>
      <c r="J88" s="96">
        <f>(I88-I87)/I87</f>
        <v/>
      </c>
      <c r="K88" s="94">
        <f>VLOOKUP(B88,Database!$A:$M,MATCH(Recap!$K$5,Database!$A$1:$M$1,),)</f>
        <v/>
      </c>
      <c r="L88" s="96">
        <f>(K88-K87)/K87</f>
        <v/>
      </c>
      <c r="M88" s="94">
        <f>VLOOKUP(B88,Database!$A:$M,MATCH(Recap!$M$5,Database!$A$1:$M$1,),)</f>
        <v/>
      </c>
      <c r="N88" s="96">
        <f>(M88-M87)/M87</f>
        <v/>
      </c>
      <c r="O88" s="94">
        <f>VLOOKUP(B88,Database!$A:$M,MATCH(Recap!$O$5,Database!$A$1:$M$1,),)</f>
        <v/>
      </c>
      <c r="P88" s="96">
        <f>(O88-O87)/O87</f>
        <v/>
      </c>
      <c r="Q88" s="94">
        <f>VLOOKUP(B88,Database!$A:$M,MATCH(Recap!$Q$5,Database!$A$1:$M$1,),)</f>
        <v/>
      </c>
      <c r="R88" s="96">
        <f>(Q88-Q87)/Q87</f>
        <v/>
      </c>
      <c r="S88" s="94">
        <f>VLOOKUP(B88,Database!$A:$M,MATCH(Recap!$S$5,Database!$A$1:$M$1,),)</f>
        <v/>
      </c>
      <c r="T88" s="96">
        <f>(S88-S87)/S87</f>
        <v/>
      </c>
      <c r="U88" s="94">
        <f>VLOOKUP(B88,Database!$A:$M,MATCH(Recap!$U$5,Database!$A$1:$M$1,),)</f>
        <v/>
      </c>
      <c r="V88" s="96">
        <f>(U88-U87)/U87</f>
        <v/>
      </c>
    </row>
    <row r="89">
      <c r="B89" s="93" t="n">
        <v>44866</v>
      </c>
      <c r="C89" s="94">
        <f>VLOOKUP(B89,Database!$A:$M,MATCH(Recap!$C$5,Database!$A$1:$M$1,),)</f>
        <v/>
      </c>
      <c r="D89" s="96">
        <f>(C89-C88)/C88</f>
        <v/>
      </c>
      <c r="E89" s="94">
        <f>VLOOKUP(B89,Database!$A:$M,MATCH(Recap!$E$5,Database!$A$1:$M$1,),)</f>
        <v/>
      </c>
      <c r="F89" s="96">
        <f>(E89-E88)/E88</f>
        <v/>
      </c>
      <c r="G89" s="94">
        <f>VLOOKUP(B89,Database!$A:$M,MATCH(Recap!$G$5,Database!$A$1:$M$1,),)</f>
        <v/>
      </c>
      <c r="H89" s="96">
        <f>(G89-G88)/G88</f>
        <v/>
      </c>
      <c r="I89" s="94">
        <f>VLOOKUP(B89,Database!$A:$M,MATCH(Recap!$I$5,Database!$A$1:$M$1,),)</f>
        <v/>
      </c>
      <c r="J89" s="96">
        <f>(I89-I88)/I88</f>
        <v/>
      </c>
      <c r="K89" s="94">
        <f>VLOOKUP(B89,Database!$A:$M,MATCH(Recap!$K$5,Database!$A$1:$M$1,),)</f>
        <v/>
      </c>
      <c r="L89" s="96">
        <f>(K89-K88)/K88</f>
        <v/>
      </c>
      <c r="M89" s="94">
        <f>VLOOKUP(B89,Database!$A:$M,MATCH(Recap!$M$5,Database!$A$1:$M$1,),)</f>
        <v/>
      </c>
      <c r="N89" s="96">
        <f>(M89-M88)/M88</f>
        <v/>
      </c>
      <c r="O89" s="94">
        <f>VLOOKUP(B89,Database!$A:$M,MATCH(Recap!$O$5,Database!$A$1:$M$1,),)</f>
        <v/>
      </c>
      <c r="P89" s="96">
        <f>(O89-O88)/O88</f>
        <v/>
      </c>
      <c r="Q89" s="94">
        <f>VLOOKUP(B89,Database!$A:$M,MATCH(Recap!$Q$5,Database!$A$1:$M$1,),)</f>
        <v/>
      </c>
      <c r="R89" s="96">
        <f>(Q89-Q88)/Q88</f>
        <v/>
      </c>
      <c r="S89" s="94">
        <f>VLOOKUP(B89,Database!$A:$M,MATCH(Recap!$S$5,Database!$A$1:$M$1,),)</f>
        <v/>
      </c>
      <c r="T89" s="96">
        <f>(S89-S88)/S88</f>
        <v/>
      </c>
      <c r="U89" s="94">
        <f>VLOOKUP(B89,Database!$A:$M,MATCH(Recap!$U$5,Database!$A$1:$M$1,),)</f>
        <v/>
      </c>
      <c r="V89" s="96">
        <f>(U89-U88)/U88</f>
        <v/>
      </c>
    </row>
  </sheetData>
  <mergeCells count="10">
    <mergeCell ref="C4:D4"/>
    <mergeCell ref="E4:F4"/>
    <mergeCell ref="G4:H4"/>
    <mergeCell ref="I4:J4"/>
    <mergeCell ref="K4:L4"/>
    <mergeCell ref="M4:N4"/>
    <mergeCell ref="O4:P4"/>
    <mergeCell ref="Q4:R4"/>
    <mergeCell ref="S4:T4"/>
    <mergeCell ref="U4:V4"/>
  </mergeCells>
  <conditionalFormatting sqref="D8:D89">
    <cfRule type="colorScale" priority="11">
      <colorScale>
        <cfvo type="min"/>
        <cfvo type="percentile" val="50"/>
        <cfvo type="max"/>
        <color rgb="FFF8696B"/>
        <color rgb="FFFFEB84"/>
        <color rgb="FF63BE7B"/>
      </colorScale>
    </cfRule>
  </conditionalFormatting>
  <conditionalFormatting sqref="F8:F89">
    <cfRule type="colorScale" priority="12">
      <colorScale>
        <cfvo type="min"/>
        <cfvo type="percentile" val="50"/>
        <cfvo type="max"/>
        <color rgb="FFF8696B"/>
        <color rgb="FFFFEB84"/>
        <color rgb="FF63BE7B"/>
      </colorScale>
    </cfRule>
  </conditionalFormatting>
  <conditionalFormatting sqref="H8:H89">
    <cfRule type="colorScale" priority="13">
      <colorScale>
        <cfvo type="min"/>
        <cfvo type="percentile" val="50"/>
        <cfvo type="max"/>
        <color rgb="FFF8696B"/>
        <color rgb="FFFFEB84"/>
        <color rgb="FF63BE7B"/>
      </colorScale>
    </cfRule>
  </conditionalFormatting>
  <conditionalFormatting sqref="J8:J89">
    <cfRule type="colorScale" priority="14">
      <colorScale>
        <cfvo type="min"/>
        <cfvo type="percentile" val="50"/>
        <cfvo type="max"/>
        <color rgb="FFF8696B"/>
        <color rgb="FFFFEB84"/>
        <color rgb="FF63BE7B"/>
      </colorScale>
    </cfRule>
  </conditionalFormatting>
  <conditionalFormatting sqref="L8:L89">
    <cfRule type="colorScale" priority="15">
      <colorScale>
        <cfvo type="min"/>
        <cfvo type="percentile" val="50"/>
        <cfvo type="max"/>
        <color rgb="FFF8696B"/>
        <color rgb="FFFFEB84"/>
        <color rgb="FF63BE7B"/>
      </colorScale>
    </cfRule>
  </conditionalFormatting>
  <conditionalFormatting sqref="N8:N89">
    <cfRule type="colorScale" priority="16">
      <colorScale>
        <cfvo type="min"/>
        <cfvo type="percentile" val="50"/>
        <cfvo type="max"/>
        <color rgb="FFF8696B"/>
        <color rgb="FFFFEB84"/>
        <color rgb="FF63BE7B"/>
      </colorScale>
    </cfRule>
  </conditionalFormatting>
  <conditionalFormatting sqref="P8:P89">
    <cfRule type="colorScale" priority="17">
      <colorScale>
        <cfvo type="min"/>
        <cfvo type="percentile" val="50"/>
        <cfvo type="max"/>
        <color rgb="FFF8696B"/>
        <color rgb="FFFFEB84"/>
        <color rgb="FF63BE7B"/>
      </colorScale>
    </cfRule>
  </conditionalFormatting>
  <conditionalFormatting sqref="R8:R89">
    <cfRule type="colorScale" priority="18">
      <colorScale>
        <cfvo type="min"/>
        <cfvo type="percentile" val="50"/>
        <cfvo type="max"/>
        <color rgb="FFF8696B"/>
        <color rgb="FFFFEB84"/>
        <color rgb="FF63BE7B"/>
      </colorScale>
    </cfRule>
  </conditionalFormatting>
  <conditionalFormatting sqref="T8:T89">
    <cfRule type="colorScale" priority="19">
      <colorScale>
        <cfvo type="min"/>
        <cfvo type="percentile" val="50"/>
        <cfvo type="max"/>
        <color rgb="FFF8696B"/>
        <color rgb="FFFFEB84"/>
        <color rgb="FF63BE7B"/>
      </colorScale>
    </cfRule>
  </conditionalFormatting>
  <conditionalFormatting sqref="V8:V89">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C375"/>
  <sheetViews>
    <sheetView zoomScale="130" zoomScaleNormal="130" workbookViewId="0">
      <pane ySplit="5" topLeftCell="A345" activePane="bottomLeft" state="frozen"/>
      <selection pane="bottomLeft" activeCell="AA361" sqref="AA361"/>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8" min="4" max="240"/>
    <col width="10.81640625" customWidth="1" style="128" min="241" max="241"/>
    <col width="18.1796875" customWidth="1" style="128" min="242" max="242"/>
    <col width="15" customWidth="1" style="128" min="243" max="243"/>
    <col width="13" customWidth="1" style="128" min="244" max="247"/>
    <col width="17.453125" customWidth="1" style="128" min="248" max="248"/>
    <col width="9.1796875" customWidth="1" style="128" min="249" max="496"/>
    <col width="10.81640625" customWidth="1" style="128" min="497" max="497"/>
    <col width="18.1796875" customWidth="1" style="128" min="498" max="498"/>
    <col width="15" customWidth="1" style="128" min="499" max="499"/>
    <col width="13" customWidth="1" style="128" min="500" max="503"/>
    <col width="17.453125" customWidth="1" style="128" min="504" max="504"/>
    <col width="9.1796875" customWidth="1" style="128" min="505" max="752"/>
    <col width="10.81640625" customWidth="1" style="128" min="753" max="753"/>
    <col width="18.1796875" customWidth="1" style="128" min="754" max="754"/>
    <col width="15" customWidth="1" style="128" min="755" max="755"/>
    <col width="13" customWidth="1" style="128" min="756" max="759"/>
    <col width="17.453125" customWidth="1" style="128" min="760" max="760"/>
    <col width="9.1796875" customWidth="1" style="128" min="761" max="1008"/>
    <col width="10.81640625" customWidth="1" style="128" min="1009" max="1009"/>
    <col width="18.1796875" customWidth="1" style="128" min="1010" max="1010"/>
    <col width="15" customWidth="1" style="128" min="1011" max="1011"/>
    <col width="13" customWidth="1" style="128" min="1012" max="1015"/>
    <col width="17.453125" customWidth="1" style="128" min="1016" max="1016"/>
    <col width="9.1796875" customWidth="1" style="128" min="1017" max="1264"/>
    <col width="10.81640625" customWidth="1" style="128" min="1265" max="1265"/>
    <col width="18.1796875" customWidth="1" style="128" min="1266" max="1266"/>
    <col width="15" customWidth="1" style="128" min="1267" max="1267"/>
    <col width="13" customWidth="1" style="128" min="1268" max="1271"/>
    <col width="17.453125" customWidth="1" style="128" min="1272" max="1272"/>
    <col width="9.1796875" customWidth="1" style="128" min="1273" max="1520"/>
    <col width="10.81640625" customWidth="1" style="128" min="1521" max="1521"/>
    <col width="18.1796875" customWidth="1" style="128" min="1522" max="1522"/>
    <col width="15" customWidth="1" style="128" min="1523" max="1523"/>
    <col width="13" customWidth="1" style="128" min="1524" max="1527"/>
    <col width="17.453125" customWidth="1" style="128" min="1528" max="1528"/>
    <col width="9.1796875" customWidth="1" style="128" min="1529" max="1776"/>
    <col width="10.81640625" customWidth="1" style="128" min="1777" max="1777"/>
    <col width="18.1796875" customWidth="1" style="128" min="1778" max="1778"/>
    <col width="15" customWidth="1" style="128" min="1779" max="1779"/>
    <col width="13" customWidth="1" style="128" min="1780" max="1783"/>
    <col width="17.453125" customWidth="1" style="128" min="1784" max="1784"/>
    <col width="9.1796875" customWidth="1" style="128" min="1785" max="2032"/>
    <col width="10.81640625" customWidth="1" style="128" min="2033" max="2033"/>
    <col width="18.1796875" customWidth="1" style="128" min="2034" max="2034"/>
    <col width="15" customWidth="1" style="128" min="2035" max="2035"/>
    <col width="13" customWidth="1" style="128" min="2036" max="2039"/>
    <col width="17.453125" customWidth="1" style="128" min="2040" max="2040"/>
    <col width="9.1796875" customWidth="1" style="128" min="2041" max="2288"/>
    <col width="10.81640625" customWidth="1" style="128" min="2289" max="2289"/>
    <col width="18.1796875" customWidth="1" style="128" min="2290" max="2290"/>
    <col width="15" customWidth="1" style="128" min="2291" max="2291"/>
    <col width="13" customWidth="1" style="128" min="2292" max="2295"/>
    <col width="17.453125" customWidth="1" style="128" min="2296" max="2296"/>
    <col width="9.1796875" customWidth="1" style="128" min="2297" max="2544"/>
    <col width="10.81640625" customWidth="1" style="128" min="2545" max="2545"/>
    <col width="18.1796875" customWidth="1" style="128" min="2546" max="2546"/>
    <col width="15" customWidth="1" style="128" min="2547" max="2547"/>
    <col width="13" customWidth="1" style="128" min="2548" max="2551"/>
    <col width="17.453125" customWidth="1" style="128" min="2552" max="2552"/>
    <col width="9.1796875" customWidth="1" style="128" min="2553" max="2800"/>
    <col width="10.81640625" customWidth="1" style="128" min="2801" max="2801"/>
    <col width="18.1796875" customWidth="1" style="128" min="2802" max="2802"/>
    <col width="15" customWidth="1" style="128" min="2803" max="2803"/>
    <col width="13" customWidth="1" style="128" min="2804" max="2807"/>
    <col width="17.453125" customWidth="1" style="128" min="2808" max="2808"/>
    <col width="9.1796875" customWidth="1" style="128" min="2809" max="3056"/>
    <col width="10.81640625" customWidth="1" style="128" min="3057" max="3057"/>
    <col width="18.1796875" customWidth="1" style="128" min="3058" max="3058"/>
    <col width="15" customWidth="1" style="128" min="3059" max="3059"/>
    <col width="13" customWidth="1" style="128" min="3060" max="3063"/>
    <col width="17.453125" customWidth="1" style="128" min="3064" max="3064"/>
    <col width="9.1796875" customWidth="1" style="128" min="3065" max="3312"/>
    <col width="10.81640625" customWidth="1" style="128" min="3313" max="3313"/>
    <col width="18.1796875" customWidth="1" style="128" min="3314" max="3314"/>
    <col width="15" customWidth="1" style="128" min="3315" max="3315"/>
    <col width="13" customWidth="1" style="128" min="3316" max="3319"/>
    <col width="17.453125" customWidth="1" style="128" min="3320" max="3320"/>
    <col width="9.1796875" customWidth="1" style="128" min="3321" max="3568"/>
    <col width="10.81640625" customWidth="1" style="128" min="3569" max="3569"/>
    <col width="18.1796875" customWidth="1" style="128" min="3570" max="3570"/>
    <col width="15" customWidth="1" style="128" min="3571" max="3571"/>
    <col width="13" customWidth="1" style="128" min="3572" max="3575"/>
    <col width="17.453125" customWidth="1" style="128" min="3576" max="3576"/>
    <col width="9.1796875" customWidth="1" style="128" min="3577" max="3824"/>
    <col width="10.81640625" customWidth="1" style="128" min="3825" max="3825"/>
    <col width="18.1796875" customWidth="1" style="128" min="3826" max="3826"/>
    <col width="15" customWidth="1" style="128" min="3827" max="3827"/>
    <col width="13" customWidth="1" style="128" min="3828" max="3831"/>
    <col width="17.453125" customWidth="1" style="128" min="3832" max="3832"/>
    <col width="9.1796875" customWidth="1" style="128" min="3833" max="4080"/>
    <col width="10.81640625" customWidth="1" style="128" min="4081" max="4081"/>
    <col width="18.1796875" customWidth="1" style="128" min="4082" max="4082"/>
    <col width="15" customWidth="1" style="128" min="4083" max="4083"/>
    <col width="13" customWidth="1" style="128" min="4084" max="4087"/>
    <col width="17.453125" customWidth="1" style="128" min="4088" max="4088"/>
    <col width="9.1796875" customWidth="1" style="128" min="4089" max="4336"/>
    <col width="10.81640625" customWidth="1" style="128" min="4337" max="4337"/>
    <col width="18.1796875" customWidth="1" style="128" min="4338" max="4338"/>
    <col width="15" customWidth="1" style="128" min="4339" max="4339"/>
    <col width="13" customWidth="1" style="128" min="4340" max="4343"/>
    <col width="17.453125" customWidth="1" style="128" min="4344" max="4344"/>
    <col width="9.1796875" customWidth="1" style="128" min="4345" max="4592"/>
    <col width="10.81640625" customWidth="1" style="128" min="4593" max="4593"/>
    <col width="18.1796875" customWidth="1" style="128" min="4594" max="4594"/>
    <col width="15" customWidth="1" style="128" min="4595" max="4595"/>
    <col width="13" customWidth="1" style="128" min="4596" max="4599"/>
    <col width="17.453125" customWidth="1" style="128" min="4600" max="4600"/>
    <col width="9.1796875" customWidth="1" style="128" min="4601" max="4848"/>
    <col width="10.81640625" customWidth="1" style="128" min="4849" max="4849"/>
    <col width="18.1796875" customWidth="1" style="128" min="4850" max="4850"/>
    <col width="15" customWidth="1" style="128" min="4851" max="4851"/>
    <col width="13" customWidth="1" style="128" min="4852" max="4855"/>
    <col width="17.453125" customWidth="1" style="128" min="4856" max="4856"/>
    <col width="9.1796875" customWidth="1" style="128" min="4857" max="5104"/>
    <col width="10.81640625" customWidth="1" style="128" min="5105" max="5105"/>
    <col width="18.1796875" customWidth="1" style="128" min="5106" max="5106"/>
    <col width="15" customWidth="1" style="128" min="5107" max="5107"/>
    <col width="13" customWidth="1" style="128" min="5108" max="5111"/>
    <col width="17.453125" customWidth="1" style="128" min="5112" max="5112"/>
    <col width="9.1796875" customWidth="1" style="128" min="5113" max="5360"/>
    <col width="10.81640625" customWidth="1" style="128" min="5361" max="5361"/>
    <col width="18.1796875" customWidth="1" style="128" min="5362" max="5362"/>
    <col width="15" customWidth="1" style="128" min="5363" max="5363"/>
    <col width="13" customWidth="1" style="128" min="5364" max="5367"/>
    <col width="17.453125" customWidth="1" style="128" min="5368" max="5368"/>
    <col width="9.1796875" customWidth="1" style="128" min="5369" max="5616"/>
    <col width="10.81640625" customWidth="1" style="128" min="5617" max="5617"/>
    <col width="18.1796875" customWidth="1" style="128" min="5618" max="5618"/>
    <col width="15" customWidth="1" style="128" min="5619" max="5619"/>
    <col width="13" customWidth="1" style="128" min="5620" max="5623"/>
    <col width="17.453125" customWidth="1" style="128" min="5624" max="5624"/>
    <col width="9.1796875" customWidth="1" style="128" min="5625" max="5872"/>
    <col width="10.81640625" customWidth="1" style="128" min="5873" max="5873"/>
    <col width="18.1796875" customWidth="1" style="128" min="5874" max="5874"/>
    <col width="15" customWidth="1" style="128" min="5875" max="5875"/>
    <col width="13" customWidth="1" style="128" min="5876" max="5879"/>
    <col width="17.453125" customWidth="1" style="128" min="5880" max="5880"/>
    <col width="9.1796875" customWidth="1" style="128" min="5881" max="6128"/>
    <col width="10.81640625" customWidth="1" style="128" min="6129" max="6129"/>
    <col width="18.1796875" customWidth="1" style="128" min="6130" max="6130"/>
    <col width="15" customWidth="1" style="128" min="6131" max="6131"/>
    <col width="13" customWidth="1" style="128" min="6132" max="6135"/>
    <col width="17.453125" customWidth="1" style="128" min="6136" max="6136"/>
    <col width="9.1796875" customWidth="1" style="128" min="6137" max="6384"/>
    <col width="10.81640625" customWidth="1" style="128" min="6385" max="6385"/>
    <col width="18.1796875" customWidth="1" style="128" min="6386" max="6386"/>
    <col width="15" customWidth="1" style="128" min="6387" max="6387"/>
    <col width="13" customWidth="1" style="128" min="6388" max="6391"/>
    <col width="17.453125" customWidth="1" style="128" min="6392" max="6392"/>
    <col width="9.1796875" customWidth="1" style="128" min="6393" max="6640"/>
    <col width="10.81640625" customWidth="1" style="128" min="6641" max="6641"/>
    <col width="18.1796875" customWidth="1" style="128" min="6642" max="6642"/>
    <col width="15" customWidth="1" style="128" min="6643" max="6643"/>
    <col width="13" customWidth="1" style="128" min="6644" max="6647"/>
    <col width="17.453125" customWidth="1" style="128" min="6648" max="6648"/>
    <col width="9.1796875" customWidth="1" style="128" min="6649" max="6896"/>
    <col width="10.81640625" customWidth="1" style="128" min="6897" max="6897"/>
    <col width="18.1796875" customWidth="1" style="128" min="6898" max="6898"/>
    <col width="15" customWidth="1" style="128" min="6899" max="6899"/>
    <col width="13" customWidth="1" style="128" min="6900" max="6903"/>
    <col width="17.453125" customWidth="1" style="128" min="6904" max="6904"/>
    <col width="9.1796875" customWidth="1" style="128" min="6905" max="7152"/>
    <col width="10.81640625" customWidth="1" style="128" min="7153" max="7153"/>
    <col width="18.1796875" customWidth="1" style="128" min="7154" max="7154"/>
    <col width="15" customWidth="1" style="128" min="7155" max="7155"/>
    <col width="13" customWidth="1" style="128" min="7156" max="7159"/>
    <col width="17.453125" customWidth="1" style="128" min="7160" max="7160"/>
    <col width="9.1796875" customWidth="1" style="128" min="7161" max="7408"/>
    <col width="10.81640625" customWidth="1" style="128" min="7409" max="7409"/>
    <col width="18.1796875" customWidth="1" style="128" min="7410" max="7410"/>
    <col width="15" customWidth="1" style="128" min="7411" max="7411"/>
    <col width="13" customWidth="1" style="128" min="7412" max="7415"/>
    <col width="17.453125" customWidth="1" style="128" min="7416" max="7416"/>
    <col width="9.1796875" customWidth="1" style="128" min="7417" max="7664"/>
    <col width="10.81640625" customWidth="1" style="128" min="7665" max="7665"/>
    <col width="18.1796875" customWidth="1" style="128" min="7666" max="7666"/>
    <col width="15" customWidth="1" style="128" min="7667" max="7667"/>
    <col width="13" customWidth="1" style="128" min="7668" max="7671"/>
    <col width="17.453125" customWidth="1" style="128" min="7672" max="7672"/>
    <col width="9.1796875" customWidth="1" style="128" min="7673" max="7920"/>
    <col width="10.81640625" customWidth="1" style="128" min="7921" max="7921"/>
    <col width="18.1796875" customWidth="1" style="128" min="7922" max="7922"/>
    <col width="15" customWidth="1" style="128" min="7923" max="7923"/>
    <col width="13" customWidth="1" style="128" min="7924" max="7927"/>
    <col width="17.453125" customWidth="1" style="128" min="7928" max="7928"/>
    <col width="9.1796875" customWidth="1" style="128" min="7929" max="8176"/>
    <col width="10.81640625" customWidth="1" style="128" min="8177" max="8177"/>
    <col width="18.1796875" customWidth="1" style="128" min="8178" max="8178"/>
    <col width="15" customWidth="1" style="128" min="8179" max="8179"/>
    <col width="13" customWidth="1" style="128" min="8180" max="8183"/>
    <col width="17.453125" customWidth="1" style="128" min="8184" max="8184"/>
    <col width="9.1796875" customWidth="1" style="128" min="8185" max="8432"/>
    <col width="10.81640625" customWidth="1" style="128" min="8433" max="8433"/>
    <col width="18.1796875" customWidth="1" style="128" min="8434" max="8434"/>
    <col width="15" customWidth="1" style="128" min="8435" max="8435"/>
    <col width="13" customWidth="1" style="128" min="8436" max="8439"/>
    <col width="17.453125" customWidth="1" style="128" min="8440" max="8440"/>
    <col width="9.1796875" customWidth="1" style="128" min="8441" max="8688"/>
    <col width="10.81640625" customWidth="1" style="128" min="8689" max="8689"/>
    <col width="18.1796875" customWidth="1" style="128" min="8690" max="8690"/>
    <col width="15" customWidth="1" style="128" min="8691" max="8691"/>
    <col width="13" customWidth="1" style="128" min="8692" max="8695"/>
    <col width="17.453125" customWidth="1" style="128" min="8696" max="8696"/>
    <col width="9.1796875" customWidth="1" style="128" min="8697" max="8944"/>
    <col width="10.81640625" customWidth="1" style="128" min="8945" max="8945"/>
    <col width="18.1796875" customWidth="1" style="128" min="8946" max="8946"/>
    <col width="15" customWidth="1" style="128" min="8947" max="8947"/>
    <col width="13" customWidth="1" style="128" min="8948" max="8951"/>
    <col width="17.453125" customWidth="1" style="128" min="8952" max="8952"/>
    <col width="9.1796875" customWidth="1" style="128" min="8953" max="9200"/>
    <col width="10.81640625" customWidth="1" style="128" min="9201" max="9201"/>
    <col width="18.1796875" customWidth="1" style="128" min="9202" max="9202"/>
    <col width="15" customWidth="1" style="128" min="9203" max="9203"/>
    <col width="13" customWidth="1" style="128" min="9204" max="9207"/>
    <col width="17.453125" customWidth="1" style="128" min="9208" max="9208"/>
    <col width="9.1796875" customWidth="1" style="128" min="9209" max="9456"/>
    <col width="10.81640625" customWidth="1" style="128" min="9457" max="9457"/>
    <col width="18.1796875" customWidth="1" style="128" min="9458" max="9458"/>
    <col width="15" customWidth="1" style="128" min="9459" max="9459"/>
    <col width="13" customWidth="1" style="128" min="9460" max="9463"/>
    <col width="17.453125" customWidth="1" style="128" min="9464" max="9464"/>
    <col width="9.1796875" customWidth="1" style="128" min="9465" max="9712"/>
    <col width="10.81640625" customWidth="1" style="128" min="9713" max="9713"/>
    <col width="18.1796875" customWidth="1" style="128" min="9714" max="9714"/>
    <col width="15" customWidth="1" style="128" min="9715" max="9715"/>
    <col width="13" customWidth="1" style="128" min="9716" max="9719"/>
    <col width="17.453125" customWidth="1" style="128" min="9720" max="9720"/>
    <col width="9.1796875" customWidth="1" style="128" min="9721" max="9968"/>
    <col width="10.81640625" customWidth="1" style="128" min="9969" max="9969"/>
    <col width="18.1796875" customWidth="1" style="128" min="9970" max="9970"/>
    <col width="15" customWidth="1" style="128" min="9971" max="9971"/>
    <col width="13" customWidth="1" style="128" min="9972" max="9975"/>
    <col width="17.453125" customWidth="1" style="128" min="9976" max="9976"/>
    <col width="9.1796875" customWidth="1" style="128" min="9977" max="10224"/>
    <col width="10.81640625" customWidth="1" style="128" min="10225" max="10225"/>
    <col width="18.1796875" customWidth="1" style="128" min="10226" max="10226"/>
    <col width="15" customWidth="1" style="128" min="10227" max="10227"/>
    <col width="13" customWidth="1" style="128" min="10228" max="10231"/>
    <col width="17.453125" customWidth="1" style="128" min="10232" max="10232"/>
    <col width="9.1796875" customWidth="1" style="128" min="10233" max="10480"/>
    <col width="10.81640625" customWidth="1" style="128" min="10481" max="10481"/>
    <col width="18.1796875" customWidth="1" style="128" min="10482" max="10482"/>
    <col width="15" customWidth="1" style="128" min="10483" max="10483"/>
    <col width="13" customWidth="1" style="128" min="10484" max="10487"/>
    <col width="17.453125" customWidth="1" style="128" min="10488" max="10488"/>
    <col width="9.1796875" customWidth="1" style="128" min="10489" max="10736"/>
    <col width="10.81640625" customWidth="1" style="128" min="10737" max="10737"/>
    <col width="18.1796875" customWidth="1" style="128" min="10738" max="10738"/>
    <col width="15" customWidth="1" style="128" min="10739" max="10739"/>
    <col width="13" customWidth="1" style="128" min="10740" max="10743"/>
    <col width="17.453125" customWidth="1" style="128" min="10744" max="10744"/>
    <col width="9.1796875" customWidth="1" style="128" min="10745" max="10992"/>
    <col width="10.81640625" customWidth="1" style="128" min="10993" max="10993"/>
    <col width="18.1796875" customWidth="1" style="128" min="10994" max="10994"/>
    <col width="15" customWidth="1" style="128" min="10995" max="10995"/>
    <col width="13" customWidth="1" style="128" min="10996" max="10999"/>
    <col width="17.453125" customWidth="1" style="128" min="11000" max="11000"/>
    <col width="9.1796875" customWidth="1" style="128" min="11001" max="11248"/>
    <col width="10.81640625" customWidth="1" style="128" min="11249" max="11249"/>
    <col width="18.1796875" customWidth="1" style="128" min="11250" max="11250"/>
    <col width="15" customWidth="1" style="128" min="11251" max="11251"/>
    <col width="13" customWidth="1" style="128" min="11252" max="11255"/>
    <col width="17.453125" customWidth="1" style="128" min="11256" max="11256"/>
    <col width="9.1796875" customWidth="1" style="128" min="11257" max="11504"/>
    <col width="10.81640625" customWidth="1" style="128" min="11505" max="11505"/>
    <col width="18.1796875" customWidth="1" style="128" min="11506" max="11506"/>
    <col width="15" customWidth="1" style="128" min="11507" max="11507"/>
    <col width="13" customWidth="1" style="128" min="11508" max="11511"/>
    <col width="17.453125" customWidth="1" style="128" min="11512" max="11512"/>
    <col width="9.1796875" customWidth="1" style="128" min="11513" max="11760"/>
    <col width="10.81640625" customWidth="1" style="128" min="11761" max="11761"/>
    <col width="18.1796875" customWidth="1" style="128" min="11762" max="11762"/>
    <col width="15" customWidth="1" style="128" min="11763" max="11763"/>
    <col width="13" customWidth="1" style="128" min="11764" max="11767"/>
    <col width="17.453125" customWidth="1" style="128" min="11768" max="11768"/>
    <col width="9.1796875" customWidth="1" style="128" min="11769" max="12016"/>
    <col width="10.81640625" customWidth="1" style="128" min="12017" max="12017"/>
    <col width="18.1796875" customWidth="1" style="128" min="12018" max="12018"/>
    <col width="15" customWidth="1" style="128" min="12019" max="12019"/>
    <col width="13" customWidth="1" style="128" min="12020" max="12023"/>
    <col width="17.453125" customWidth="1" style="128" min="12024" max="12024"/>
    <col width="9.1796875" customWidth="1" style="128" min="12025" max="12272"/>
    <col width="10.81640625" customWidth="1" style="128" min="12273" max="12273"/>
    <col width="18.1796875" customWidth="1" style="128" min="12274" max="12274"/>
    <col width="15" customWidth="1" style="128" min="12275" max="12275"/>
    <col width="13" customWidth="1" style="128" min="12276" max="12279"/>
    <col width="17.453125" customWidth="1" style="128" min="12280" max="12280"/>
    <col width="9.1796875" customWidth="1" style="128" min="12281" max="12528"/>
    <col width="10.81640625" customWidth="1" style="128" min="12529" max="12529"/>
    <col width="18.1796875" customWidth="1" style="128" min="12530" max="12530"/>
    <col width="15" customWidth="1" style="128" min="12531" max="12531"/>
    <col width="13" customWidth="1" style="128" min="12532" max="12535"/>
    <col width="17.453125" customWidth="1" style="128" min="12536" max="12536"/>
    <col width="9.1796875" customWidth="1" style="128" min="12537" max="12784"/>
    <col width="10.81640625" customWidth="1" style="128" min="12785" max="12785"/>
    <col width="18.1796875" customWidth="1" style="128" min="12786" max="12786"/>
    <col width="15" customWidth="1" style="128" min="12787" max="12787"/>
    <col width="13" customWidth="1" style="128" min="12788" max="12791"/>
    <col width="17.453125" customWidth="1" style="128" min="12792" max="12792"/>
    <col width="9.1796875" customWidth="1" style="128" min="12793" max="13040"/>
    <col width="10.81640625" customWidth="1" style="128" min="13041" max="13041"/>
    <col width="18.1796875" customWidth="1" style="128" min="13042" max="13042"/>
    <col width="15" customWidth="1" style="128" min="13043" max="13043"/>
    <col width="13" customWidth="1" style="128" min="13044" max="13047"/>
    <col width="17.453125" customWidth="1" style="128" min="13048" max="13048"/>
    <col width="9.1796875" customWidth="1" style="128" min="13049" max="13296"/>
    <col width="10.81640625" customWidth="1" style="128" min="13297" max="13297"/>
    <col width="18.1796875" customWidth="1" style="128" min="13298" max="13298"/>
    <col width="15" customWidth="1" style="128" min="13299" max="13299"/>
    <col width="13" customWidth="1" style="128" min="13300" max="13303"/>
    <col width="17.453125" customWidth="1" style="128" min="13304" max="13304"/>
    <col width="9.1796875" customWidth="1" style="128" min="13305" max="13552"/>
    <col width="10.81640625" customWidth="1" style="128" min="13553" max="13553"/>
    <col width="18.1796875" customWidth="1" style="128" min="13554" max="13554"/>
    <col width="15" customWidth="1" style="128" min="13555" max="13555"/>
    <col width="13" customWidth="1" style="128" min="13556" max="13559"/>
    <col width="17.453125" customWidth="1" style="128" min="13560" max="13560"/>
    <col width="9.1796875" customWidth="1" style="128" min="13561" max="13808"/>
    <col width="10.81640625" customWidth="1" style="128" min="13809" max="13809"/>
    <col width="18.1796875" customWidth="1" style="128" min="13810" max="13810"/>
    <col width="15" customWidth="1" style="128" min="13811" max="13811"/>
    <col width="13" customWidth="1" style="128" min="13812" max="13815"/>
    <col width="17.453125" customWidth="1" style="128" min="13816" max="13816"/>
    <col width="9.1796875" customWidth="1" style="128" min="13817" max="14064"/>
    <col width="10.81640625" customWidth="1" style="128" min="14065" max="14065"/>
    <col width="18.1796875" customWidth="1" style="128" min="14066" max="14066"/>
    <col width="15" customWidth="1" style="128" min="14067" max="14067"/>
    <col width="13" customWidth="1" style="128" min="14068" max="14071"/>
    <col width="17.453125" customWidth="1" style="128" min="14072" max="14072"/>
    <col width="9.1796875" customWidth="1" style="128" min="14073" max="14320"/>
    <col width="10.81640625" customWidth="1" style="128" min="14321" max="14321"/>
    <col width="18.1796875" customWidth="1" style="128" min="14322" max="14322"/>
    <col width="15" customWidth="1" style="128" min="14323" max="14323"/>
    <col width="13" customWidth="1" style="128" min="14324" max="14327"/>
    <col width="17.453125" customWidth="1" style="128" min="14328" max="14328"/>
    <col width="9.1796875" customWidth="1" style="128" min="14329" max="14576"/>
    <col width="10.81640625" customWidth="1" style="128" min="14577" max="14577"/>
    <col width="18.1796875" customWidth="1" style="128" min="14578" max="14578"/>
    <col width="15" customWidth="1" style="128" min="14579" max="14579"/>
    <col width="13" customWidth="1" style="128" min="14580" max="14583"/>
    <col width="17.453125" customWidth="1" style="128" min="14584" max="14584"/>
    <col width="9.1796875" customWidth="1" style="128" min="14585" max="14832"/>
    <col width="10.81640625" customWidth="1" style="128" min="14833" max="14833"/>
    <col width="18.1796875" customWidth="1" style="128" min="14834" max="14834"/>
    <col width="15" customWidth="1" style="128" min="14835" max="14835"/>
    <col width="13" customWidth="1" style="128" min="14836" max="14839"/>
    <col width="17.453125" customWidth="1" style="128" min="14840" max="14840"/>
    <col width="9.1796875" customWidth="1" style="128" min="14841" max="15088"/>
    <col width="10.81640625" customWidth="1" style="128" min="15089" max="15089"/>
    <col width="18.1796875" customWidth="1" style="128" min="15090" max="15090"/>
    <col width="15" customWidth="1" style="128" min="15091" max="15091"/>
    <col width="13" customWidth="1" style="128" min="15092" max="15095"/>
    <col width="17.453125" customWidth="1" style="128" min="15096" max="15096"/>
    <col width="9.1796875" customWidth="1" style="128" min="15097" max="15344"/>
    <col width="10.81640625" customWidth="1" style="128" min="15345" max="15345"/>
    <col width="18.1796875" customWidth="1" style="128" min="15346" max="15346"/>
    <col width="15" customWidth="1" style="128" min="15347" max="15347"/>
    <col width="13" customWidth="1" style="128" min="15348" max="15351"/>
    <col width="17.453125" customWidth="1" style="128" min="15352" max="15352"/>
    <col width="9.1796875" customWidth="1" style="128" min="15353" max="15600"/>
    <col width="10.81640625" customWidth="1" style="128" min="15601" max="15601"/>
    <col width="18.1796875" customWidth="1" style="128" min="15602" max="15602"/>
    <col width="15" customWidth="1" style="128" min="15603" max="15603"/>
    <col width="13" customWidth="1" style="128" min="15604" max="15607"/>
    <col width="17.453125" customWidth="1" style="128" min="15608" max="15608"/>
    <col width="9.1796875" customWidth="1" style="128" min="15609" max="15856"/>
    <col width="10.81640625" customWidth="1" style="128" min="15857" max="15857"/>
    <col width="18.1796875" customWidth="1" style="128" min="15858" max="15858"/>
    <col width="15" customWidth="1" style="128" min="15859" max="15859"/>
    <col width="13" customWidth="1" style="128" min="15860" max="15863"/>
    <col width="17.453125" customWidth="1" style="128" min="15864" max="15864"/>
    <col width="9.1796875" customWidth="1" style="128" min="15865" max="16112"/>
    <col width="10.81640625" customWidth="1" style="128" min="16113" max="16113"/>
    <col width="18.1796875" customWidth="1" style="128" min="16114" max="16114"/>
    <col width="15" customWidth="1" style="128" min="16115" max="16115"/>
    <col width="13" customWidth="1" style="128" min="16116" max="16119"/>
    <col width="17.453125" customWidth="1" style="128" min="16120" max="16120"/>
    <col width="9.1796875" customWidth="1" style="128" min="16121" max="16384"/>
  </cols>
  <sheetData>
    <row r="1">
      <c r="A1" s="1" t="inlineStr">
        <is>
          <t>DGORDER</t>
        </is>
      </c>
      <c r="C1" s="70" t="n"/>
    </row>
    <row r="2">
      <c r="A2" s="71" t="inlineStr">
        <is>
          <t>Manufacturers' New Orders: Durable Goods</t>
        </is>
      </c>
      <c r="B2" s="68" t="n"/>
      <c r="C2" s="69" t="n"/>
    </row>
    <row r="3">
      <c r="B3" s="68" t="n"/>
      <c r="C3" s="69" t="n"/>
    </row>
    <row r="4" ht="16" customHeight="1" s="141" thickBot="1"/>
    <row r="5" ht="68.25" customHeight="1" s="141">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row r="367">
      <c r="A367" s="74" t="n">
        <v>44621</v>
      </c>
      <c r="B367" s="75">
        <f>VLOOKUP(A367,Database!A:M,MATCH($A$1,Database!$A$1:$M$1,),)</f>
        <v/>
      </c>
      <c r="C367" s="113">
        <f>(Table53514[[#This Row],[Manufacturers'' New Orders: Durable Goods]]-B366)/B366</f>
        <v/>
      </c>
    </row>
    <row r="368">
      <c r="A368" s="74" t="n">
        <v>44652</v>
      </c>
      <c r="B368" s="75">
        <f>VLOOKUP(A368,Database!A:M,MATCH($A$1,Database!$A$1:$M$1,),)</f>
        <v/>
      </c>
      <c r="C368" s="113">
        <f>(Table53514[[#This Row],[Manufacturers'' New Orders: Durable Goods]]-B367)/B367</f>
        <v/>
      </c>
    </row>
    <row r="369">
      <c r="A369" s="74" t="n">
        <v>44682</v>
      </c>
      <c r="B369" s="75">
        <f>VLOOKUP(A369,Database!A:M,MATCH($A$1,Database!$A$1:$M$1,),)</f>
        <v/>
      </c>
      <c r="C369" s="113">
        <f>(Table53514[[#This Row],[Manufacturers'' New Orders: Durable Goods]]-B368)/B368</f>
        <v/>
      </c>
    </row>
    <row r="370">
      <c r="A370" s="74" t="n">
        <v>44713</v>
      </c>
      <c r="B370" s="75">
        <f>VLOOKUP(A370,Database!A:M,MATCH($A$1,Database!$A$1:$M$1,),)</f>
        <v/>
      </c>
      <c r="C370" s="113">
        <f>(Table53514[[#This Row],[Manufacturers'' New Orders: Durable Goods]]-B369)/B369</f>
        <v/>
      </c>
    </row>
    <row r="371">
      <c r="A371" s="74" t="n">
        <v>44743</v>
      </c>
      <c r="B371" s="75">
        <f>VLOOKUP(A371,Database!A:M,MATCH($A$1,Database!$A$1:$M$1,),)</f>
        <v/>
      </c>
      <c r="C371" s="113">
        <f>(Table53514[[#This Row],[Manufacturers'' New Orders: Durable Goods]]-B370)/B370</f>
        <v/>
      </c>
    </row>
    <row r="372">
      <c r="A372" s="74" t="n">
        <v>44774</v>
      </c>
      <c r="B372" s="75">
        <f>VLOOKUP(A372,Database!A:M,MATCH($A$1,Database!$A$1:$M$1,),)</f>
        <v/>
      </c>
      <c r="C372" s="113">
        <f>(Table53514[[#This Row],[Manufacturers'' New Orders: Durable Goods]]-B371)/B371</f>
        <v/>
      </c>
    </row>
    <row r="373">
      <c r="A373" s="74" t="n">
        <v>44805</v>
      </c>
      <c r="B373" s="75">
        <f>VLOOKUP(A373,Database!A:M,MATCH($A$1,Database!$A$1:$M$1,),)</f>
        <v/>
      </c>
      <c r="C373" s="113">
        <f>(Table53514[[#This Row],[Manufacturers'' New Orders: Durable Goods]]-B372)/B372</f>
        <v/>
      </c>
    </row>
    <row r="374">
      <c r="A374" s="74" t="n">
        <v>44835</v>
      </c>
      <c r="B374" s="75">
        <f>VLOOKUP(A374,Database!A:M,MATCH($A$1,Database!$A$1:$M$1,),)</f>
        <v/>
      </c>
      <c r="C374" s="113">
        <f>(Table53514[[#This Row],[Manufacturers'' New Orders: Durable Goods]]-B373)/B373</f>
        <v/>
      </c>
    </row>
    <row r="375">
      <c r="A375" s="74" t="n">
        <v>44866</v>
      </c>
      <c r="B375" s="75">
        <f>VLOOKUP(A375,Database!A:M,MATCH($A$1,Database!$A$1:$M$1,),)</f>
        <v/>
      </c>
      <c r="C375" s="113">
        <f>(Table53514[[#This Row],[Manufacturers'' New Orders: Durable Goods]]-B374)/B374</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tabColor rgb="FFFF0000"/>
    <outlinePr summaryBelow="1" summaryRight="1"/>
    <pageSetUpPr/>
  </sheetPr>
  <dimension ref="A1:C375"/>
  <sheetViews>
    <sheetView zoomScale="150" zoomScaleNormal="150" workbookViewId="0">
      <pane ySplit="5" topLeftCell="A356" activePane="bottomLeft" state="frozen"/>
      <selection pane="bottomLeft" activeCell="AC347" sqref="AC347"/>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8" min="4" max="240"/>
    <col width="10.81640625" customWidth="1" style="128" min="241" max="241"/>
    <col width="18.1796875" customWidth="1" style="128" min="242" max="242"/>
    <col width="15" customWidth="1" style="128" min="243" max="243"/>
    <col width="13" customWidth="1" style="128" min="244" max="247"/>
    <col width="17.453125" customWidth="1" style="128" min="248" max="248"/>
    <col width="9.1796875" customWidth="1" style="128" min="249" max="496"/>
    <col width="10.81640625" customWidth="1" style="128" min="497" max="497"/>
    <col width="18.1796875" customWidth="1" style="128" min="498" max="498"/>
    <col width="15" customWidth="1" style="128" min="499" max="499"/>
    <col width="13" customWidth="1" style="128" min="500" max="503"/>
    <col width="17.453125" customWidth="1" style="128" min="504" max="504"/>
    <col width="9.1796875" customWidth="1" style="128" min="505" max="752"/>
    <col width="10.81640625" customWidth="1" style="128" min="753" max="753"/>
    <col width="18.1796875" customWidth="1" style="128" min="754" max="754"/>
    <col width="15" customWidth="1" style="128" min="755" max="755"/>
    <col width="13" customWidth="1" style="128" min="756" max="759"/>
    <col width="17.453125" customWidth="1" style="128" min="760" max="760"/>
    <col width="9.1796875" customWidth="1" style="128" min="761" max="1008"/>
    <col width="10.81640625" customWidth="1" style="128" min="1009" max="1009"/>
    <col width="18.1796875" customWidth="1" style="128" min="1010" max="1010"/>
    <col width="15" customWidth="1" style="128" min="1011" max="1011"/>
    <col width="13" customWidth="1" style="128" min="1012" max="1015"/>
    <col width="17.453125" customWidth="1" style="128" min="1016" max="1016"/>
    <col width="9.1796875" customWidth="1" style="128" min="1017" max="1264"/>
    <col width="10.81640625" customWidth="1" style="128" min="1265" max="1265"/>
    <col width="18.1796875" customWidth="1" style="128" min="1266" max="1266"/>
    <col width="15" customWidth="1" style="128" min="1267" max="1267"/>
    <col width="13" customWidth="1" style="128" min="1268" max="1271"/>
    <col width="17.453125" customWidth="1" style="128" min="1272" max="1272"/>
    <col width="9.1796875" customWidth="1" style="128" min="1273" max="1520"/>
    <col width="10.81640625" customWidth="1" style="128" min="1521" max="1521"/>
    <col width="18.1796875" customWidth="1" style="128" min="1522" max="1522"/>
    <col width="15" customWidth="1" style="128" min="1523" max="1523"/>
    <col width="13" customWidth="1" style="128" min="1524" max="1527"/>
    <col width="17.453125" customWidth="1" style="128" min="1528" max="1528"/>
    <col width="9.1796875" customWidth="1" style="128" min="1529" max="1776"/>
    <col width="10.81640625" customWidth="1" style="128" min="1777" max="1777"/>
    <col width="18.1796875" customWidth="1" style="128" min="1778" max="1778"/>
    <col width="15" customWidth="1" style="128" min="1779" max="1779"/>
    <col width="13" customWidth="1" style="128" min="1780" max="1783"/>
    <col width="17.453125" customWidth="1" style="128" min="1784" max="1784"/>
    <col width="9.1796875" customWidth="1" style="128" min="1785" max="2032"/>
    <col width="10.81640625" customWidth="1" style="128" min="2033" max="2033"/>
    <col width="18.1796875" customWidth="1" style="128" min="2034" max="2034"/>
    <col width="15" customWidth="1" style="128" min="2035" max="2035"/>
    <col width="13" customWidth="1" style="128" min="2036" max="2039"/>
    <col width="17.453125" customWidth="1" style="128" min="2040" max="2040"/>
    <col width="9.1796875" customWidth="1" style="128" min="2041" max="2288"/>
    <col width="10.81640625" customWidth="1" style="128" min="2289" max="2289"/>
    <col width="18.1796875" customWidth="1" style="128" min="2290" max="2290"/>
    <col width="15" customWidth="1" style="128" min="2291" max="2291"/>
    <col width="13" customWidth="1" style="128" min="2292" max="2295"/>
    <col width="17.453125" customWidth="1" style="128" min="2296" max="2296"/>
    <col width="9.1796875" customWidth="1" style="128" min="2297" max="2544"/>
    <col width="10.81640625" customWidth="1" style="128" min="2545" max="2545"/>
    <col width="18.1796875" customWidth="1" style="128" min="2546" max="2546"/>
    <col width="15" customWidth="1" style="128" min="2547" max="2547"/>
    <col width="13" customWidth="1" style="128" min="2548" max="2551"/>
    <col width="17.453125" customWidth="1" style="128" min="2552" max="2552"/>
    <col width="9.1796875" customWidth="1" style="128" min="2553" max="2800"/>
    <col width="10.81640625" customWidth="1" style="128" min="2801" max="2801"/>
    <col width="18.1796875" customWidth="1" style="128" min="2802" max="2802"/>
    <col width="15" customWidth="1" style="128" min="2803" max="2803"/>
    <col width="13" customWidth="1" style="128" min="2804" max="2807"/>
    <col width="17.453125" customWidth="1" style="128" min="2808" max="2808"/>
    <col width="9.1796875" customWidth="1" style="128" min="2809" max="3056"/>
    <col width="10.81640625" customWidth="1" style="128" min="3057" max="3057"/>
    <col width="18.1796875" customWidth="1" style="128" min="3058" max="3058"/>
    <col width="15" customWidth="1" style="128" min="3059" max="3059"/>
    <col width="13" customWidth="1" style="128" min="3060" max="3063"/>
    <col width="17.453125" customWidth="1" style="128" min="3064" max="3064"/>
    <col width="9.1796875" customWidth="1" style="128" min="3065" max="3312"/>
    <col width="10.81640625" customWidth="1" style="128" min="3313" max="3313"/>
    <col width="18.1796875" customWidth="1" style="128" min="3314" max="3314"/>
    <col width="15" customWidth="1" style="128" min="3315" max="3315"/>
    <col width="13" customWidth="1" style="128" min="3316" max="3319"/>
    <col width="17.453125" customWidth="1" style="128" min="3320" max="3320"/>
    <col width="9.1796875" customWidth="1" style="128" min="3321" max="3568"/>
    <col width="10.81640625" customWidth="1" style="128" min="3569" max="3569"/>
    <col width="18.1796875" customWidth="1" style="128" min="3570" max="3570"/>
    <col width="15" customWidth="1" style="128" min="3571" max="3571"/>
    <col width="13" customWidth="1" style="128" min="3572" max="3575"/>
    <col width="17.453125" customWidth="1" style="128" min="3576" max="3576"/>
    <col width="9.1796875" customWidth="1" style="128" min="3577" max="3824"/>
    <col width="10.81640625" customWidth="1" style="128" min="3825" max="3825"/>
    <col width="18.1796875" customWidth="1" style="128" min="3826" max="3826"/>
    <col width="15" customWidth="1" style="128" min="3827" max="3827"/>
    <col width="13" customWidth="1" style="128" min="3828" max="3831"/>
    <col width="17.453125" customWidth="1" style="128" min="3832" max="3832"/>
    <col width="9.1796875" customWidth="1" style="128" min="3833" max="4080"/>
    <col width="10.81640625" customWidth="1" style="128" min="4081" max="4081"/>
    <col width="18.1796875" customWidth="1" style="128" min="4082" max="4082"/>
    <col width="15" customWidth="1" style="128" min="4083" max="4083"/>
    <col width="13" customWidth="1" style="128" min="4084" max="4087"/>
    <col width="17.453125" customWidth="1" style="128" min="4088" max="4088"/>
    <col width="9.1796875" customWidth="1" style="128" min="4089" max="4336"/>
    <col width="10.81640625" customWidth="1" style="128" min="4337" max="4337"/>
    <col width="18.1796875" customWidth="1" style="128" min="4338" max="4338"/>
    <col width="15" customWidth="1" style="128" min="4339" max="4339"/>
    <col width="13" customWidth="1" style="128" min="4340" max="4343"/>
    <col width="17.453125" customWidth="1" style="128" min="4344" max="4344"/>
    <col width="9.1796875" customWidth="1" style="128" min="4345" max="4592"/>
    <col width="10.81640625" customWidth="1" style="128" min="4593" max="4593"/>
    <col width="18.1796875" customWidth="1" style="128" min="4594" max="4594"/>
    <col width="15" customWidth="1" style="128" min="4595" max="4595"/>
    <col width="13" customWidth="1" style="128" min="4596" max="4599"/>
    <col width="17.453125" customWidth="1" style="128" min="4600" max="4600"/>
    <col width="9.1796875" customWidth="1" style="128" min="4601" max="4848"/>
    <col width="10.81640625" customWidth="1" style="128" min="4849" max="4849"/>
    <col width="18.1796875" customWidth="1" style="128" min="4850" max="4850"/>
    <col width="15" customWidth="1" style="128" min="4851" max="4851"/>
    <col width="13" customWidth="1" style="128" min="4852" max="4855"/>
    <col width="17.453125" customWidth="1" style="128" min="4856" max="4856"/>
    <col width="9.1796875" customWidth="1" style="128" min="4857" max="5104"/>
    <col width="10.81640625" customWidth="1" style="128" min="5105" max="5105"/>
    <col width="18.1796875" customWidth="1" style="128" min="5106" max="5106"/>
    <col width="15" customWidth="1" style="128" min="5107" max="5107"/>
    <col width="13" customWidth="1" style="128" min="5108" max="5111"/>
    <col width="17.453125" customWidth="1" style="128" min="5112" max="5112"/>
    <col width="9.1796875" customWidth="1" style="128" min="5113" max="5360"/>
    <col width="10.81640625" customWidth="1" style="128" min="5361" max="5361"/>
    <col width="18.1796875" customWidth="1" style="128" min="5362" max="5362"/>
    <col width="15" customWidth="1" style="128" min="5363" max="5363"/>
    <col width="13" customWidth="1" style="128" min="5364" max="5367"/>
    <col width="17.453125" customWidth="1" style="128" min="5368" max="5368"/>
    <col width="9.1796875" customWidth="1" style="128" min="5369" max="5616"/>
    <col width="10.81640625" customWidth="1" style="128" min="5617" max="5617"/>
    <col width="18.1796875" customWidth="1" style="128" min="5618" max="5618"/>
    <col width="15" customWidth="1" style="128" min="5619" max="5619"/>
    <col width="13" customWidth="1" style="128" min="5620" max="5623"/>
    <col width="17.453125" customWidth="1" style="128" min="5624" max="5624"/>
    <col width="9.1796875" customWidth="1" style="128" min="5625" max="5872"/>
    <col width="10.81640625" customWidth="1" style="128" min="5873" max="5873"/>
    <col width="18.1796875" customWidth="1" style="128" min="5874" max="5874"/>
    <col width="15" customWidth="1" style="128" min="5875" max="5875"/>
    <col width="13" customWidth="1" style="128" min="5876" max="5879"/>
    <col width="17.453125" customWidth="1" style="128" min="5880" max="5880"/>
    <col width="9.1796875" customWidth="1" style="128" min="5881" max="6128"/>
    <col width="10.81640625" customWidth="1" style="128" min="6129" max="6129"/>
    <col width="18.1796875" customWidth="1" style="128" min="6130" max="6130"/>
    <col width="15" customWidth="1" style="128" min="6131" max="6131"/>
    <col width="13" customWidth="1" style="128" min="6132" max="6135"/>
    <col width="17.453125" customWidth="1" style="128" min="6136" max="6136"/>
    <col width="9.1796875" customWidth="1" style="128" min="6137" max="6384"/>
    <col width="10.81640625" customWidth="1" style="128" min="6385" max="6385"/>
    <col width="18.1796875" customWidth="1" style="128" min="6386" max="6386"/>
    <col width="15" customWidth="1" style="128" min="6387" max="6387"/>
    <col width="13" customWidth="1" style="128" min="6388" max="6391"/>
    <col width="17.453125" customWidth="1" style="128" min="6392" max="6392"/>
    <col width="9.1796875" customWidth="1" style="128" min="6393" max="6640"/>
    <col width="10.81640625" customWidth="1" style="128" min="6641" max="6641"/>
    <col width="18.1796875" customWidth="1" style="128" min="6642" max="6642"/>
    <col width="15" customWidth="1" style="128" min="6643" max="6643"/>
    <col width="13" customWidth="1" style="128" min="6644" max="6647"/>
    <col width="17.453125" customWidth="1" style="128" min="6648" max="6648"/>
    <col width="9.1796875" customWidth="1" style="128" min="6649" max="6896"/>
    <col width="10.81640625" customWidth="1" style="128" min="6897" max="6897"/>
    <col width="18.1796875" customWidth="1" style="128" min="6898" max="6898"/>
    <col width="15" customWidth="1" style="128" min="6899" max="6899"/>
    <col width="13" customWidth="1" style="128" min="6900" max="6903"/>
    <col width="17.453125" customWidth="1" style="128" min="6904" max="6904"/>
    <col width="9.1796875" customWidth="1" style="128" min="6905" max="7152"/>
    <col width="10.81640625" customWidth="1" style="128" min="7153" max="7153"/>
    <col width="18.1796875" customWidth="1" style="128" min="7154" max="7154"/>
    <col width="15" customWidth="1" style="128" min="7155" max="7155"/>
    <col width="13" customWidth="1" style="128" min="7156" max="7159"/>
    <col width="17.453125" customWidth="1" style="128" min="7160" max="7160"/>
    <col width="9.1796875" customWidth="1" style="128" min="7161" max="7408"/>
    <col width="10.81640625" customWidth="1" style="128" min="7409" max="7409"/>
    <col width="18.1796875" customWidth="1" style="128" min="7410" max="7410"/>
    <col width="15" customWidth="1" style="128" min="7411" max="7411"/>
    <col width="13" customWidth="1" style="128" min="7412" max="7415"/>
    <col width="17.453125" customWidth="1" style="128" min="7416" max="7416"/>
    <col width="9.1796875" customWidth="1" style="128" min="7417" max="7664"/>
    <col width="10.81640625" customWidth="1" style="128" min="7665" max="7665"/>
    <col width="18.1796875" customWidth="1" style="128" min="7666" max="7666"/>
    <col width="15" customWidth="1" style="128" min="7667" max="7667"/>
    <col width="13" customWidth="1" style="128" min="7668" max="7671"/>
    <col width="17.453125" customWidth="1" style="128" min="7672" max="7672"/>
    <col width="9.1796875" customWidth="1" style="128" min="7673" max="7920"/>
    <col width="10.81640625" customWidth="1" style="128" min="7921" max="7921"/>
    <col width="18.1796875" customWidth="1" style="128" min="7922" max="7922"/>
    <col width="15" customWidth="1" style="128" min="7923" max="7923"/>
    <col width="13" customWidth="1" style="128" min="7924" max="7927"/>
    <col width="17.453125" customWidth="1" style="128" min="7928" max="7928"/>
    <col width="9.1796875" customWidth="1" style="128" min="7929" max="8176"/>
    <col width="10.81640625" customWidth="1" style="128" min="8177" max="8177"/>
    <col width="18.1796875" customWidth="1" style="128" min="8178" max="8178"/>
    <col width="15" customWidth="1" style="128" min="8179" max="8179"/>
    <col width="13" customWidth="1" style="128" min="8180" max="8183"/>
    <col width="17.453125" customWidth="1" style="128" min="8184" max="8184"/>
    <col width="9.1796875" customWidth="1" style="128" min="8185" max="8432"/>
    <col width="10.81640625" customWidth="1" style="128" min="8433" max="8433"/>
    <col width="18.1796875" customWidth="1" style="128" min="8434" max="8434"/>
    <col width="15" customWidth="1" style="128" min="8435" max="8435"/>
    <col width="13" customWidth="1" style="128" min="8436" max="8439"/>
    <col width="17.453125" customWidth="1" style="128" min="8440" max="8440"/>
    <col width="9.1796875" customWidth="1" style="128" min="8441" max="8688"/>
    <col width="10.81640625" customWidth="1" style="128" min="8689" max="8689"/>
    <col width="18.1796875" customWidth="1" style="128" min="8690" max="8690"/>
    <col width="15" customWidth="1" style="128" min="8691" max="8691"/>
    <col width="13" customWidth="1" style="128" min="8692" max="8695"/>
    <col width="17.453125" customWidth="1" style="128" min="8696" max="8696"/>
    <col width="9.1796875" customWidth="1" style="128" min="8697" max="8944"/>
    <col width="10.81640625" customWidth="1" style="128" min="8945" max="8945"/>
    <col width="18.1796875" customWidth="1" style="128" min="8946" max="8946"/>
    <col width="15" customWidth="1" style="128" min="8947" max="8947"/>
    <col width="13" customWidth="1" style="128" min="8948" max="8951"/>
    <col width="17.453125" customWidth="1" style="128" min="8952" max="8952"/>
    <col width="9.1796875" customWidth="1" style="128" min="8953" max="9200"/>
    <col width="10.81640625" customWidth="1" style="128" min="9201" max="9201"/>
    <col width="18.1796875" customWidth="1" style="128" min="9202" max="9202"/>
    <col width="15" customWidth="1" style="128" min="9203" max="9203"/>
    <col width="13" customWidth="1" style="128" min="9204" max="9207"/>
    <col width="17.453125" customWidth="1" style="128" min="9208" max="9208"/>
    <col width="9.1796875" customWidth="1" style="128" min="9209" max="9456"/>
    <col width="10.81640625" customWidth="1" style="128" min="9457" max="9457"/>
    <col width="18.1796875" customWidth="1" style="128" min="9458" max="9458"/>
    <col width="15" customWidth="1" style="128" min="9459" max="9459"/>
    <col width="13" customWidth="1" style="128" min="9460" max="9463"/>
    <col width="17.453125" customWidth="1" style="128" min="9464" max="9464"/>
    <col width="9.1796875" customWidth="1" style="128" min="9465" max="9712"/>
    <col width="10.81640625" customWidth="1" style="128" min="9713" max="9713"/>
    <col width="18.1796875" customWidth="1" style="128" min="9714" max="9714"/>
    <col width="15" customWidth="1" style="128" min="9715" max="9715"/>
    <col width="13" customWidth="1" style="128" min="9716" max="9719"/>
    <col width="17.453125" customWidth="1" style="128" min="9720" max="9720"/>
    <col width="9.1796875" customWidth="1" style="128" min="9721" max="9968"/>
    <col width="10.81640625" customWidth="1" style="128" min="9969" max="9969"/>
    <col width="18.1796875" customWidth="1" style="128" min="9970" max="9970"/>
    <col width="15" customWidth="1" style="128" min="9971" max="9971"/>
    <col width="13" customWidth="1" style="128" min="9972" max="9975"/>
    <col width="17.453125" customWidth="1" style="128" min="9976" max="9976"/>
    <col width="9.1796875" customWidth="1" style="128" min="9977" max="10224"/>
    <col width="10.81640625" customWidth="1" style="128" min="10225" max="10225"/>
    <col width="18.1796875" customWidth="1" style="128" min="10226" max="10226"/>
    <col width="15" customWidth="1" style="128" min="10227" max="10227"/>
    <col width="13" customWidth="1" style="128" min="10228" max="10231"/>
    <col width="17.453125" customWidth="1" style="128" min="10232" max="10232"/>
    <col width="9.1796875" customWidth="1" style="128" min="10233" max="10480"/>
    <col width="10.81640625" customWidth="1" style="128" min="10481" max="10481"/>
    <col width="18.1796875" customWidth="1" style="128" min="10482" max="10482"/>
    <col width="15" customWidth="1" style="128" min="10483" max="10483"/>
    <col width="13" customWidth="1" style="128" min="10484" max="10487"/>
    <col width="17.453125" customWidth="1" style="128" min="10488" max="10488"/>
    <col width="9.1796875" customWidth="1" style="128" min="10489" max="10736"/>
    <col width="10.81640625" customWidth="1" style="128" min="10737" max="10737"/>
    <col width="18.1796875" customWidth="1" style="128" min="10738" max="10738"/>
    <col width="15" customWidth="1" style="128" min="10739" max="10739"/>
    <col width="13" customWidth="1" style="128" min="10740" max="10743"/>
    <col width="17.453125" customWidth="1" style="128" min="10744" max="10744"/>
    <col width="9.1796875" customWidth="1" style="128" min="10745" max="10992"/>
    <col width="10.81640625" customWidth="1" style="128" min="10993" max="10993"/>
    <col width="18.1796875" customWidth="1" style="128" min="10994" max="10994"/>
    <col width="15" customWidth="1" style="128" min="10995" max="10995"/>
    <col width="13" customWidth="1" style="128" min="10996" max="10999"/>
    <col width="17.453125" customWidth="1" style="128" min="11000" max="11000"/>
    <col width="9.1796875" customWidth="1" style="128" min="11001" max="11248"/>
    <col width="10.81640625" customWidth="1" style="128" min="11249" max="11249"/>
    <col width="18.1796875" customWidth="1" style="128" min="11250" max="11250"/>
    <col width="15" customWidth="1" style="128" min="11251" max="11251"/>
    <col width="13" customWidth="1" style="128" min="11252" max="11255"/>
    <col width="17.453125" customWidth="1" style="128" min="11256" max="11256"/>
    <col width="9.1796875" customWidth="1" style="128" min="11257" max="11504"/>
    <col width="10.81640625" customWidth="1" style="128" min="11505" max="11505"/>
    <col width="18.1796875" customWidth="1" style="128" min="11506" max="11506"/>
    <col width="15" customWidth="1" style="128" min="11507" max="11507"/>
    <col width="13" customWidth="1" style="128" min="11508" max="11511"/>
    <col width="17.453125" customWidth="1" style="128" min="11512" max="11512"/>
    <col width="9.1796875" customWidth="1" style="128" min="11513" max="11760"/>
    <col width="10.81640625" customWidth="1" style="128" min="11761" max="11761"/>
    <col width="18.1796875" customWidth="1" style="128" min="11762" max="11762"/>
    <col width="15" customWidth="1" style="128" min="11763" max="11763"/>
    <col width="13" customWidth="1" style="128" min="11764" max="11767"/>
    <col width="17.453125" customWidth="1" style="128" min="11768" max="11768"/>
    <col width="9.1796875" customWidth="1" style="128" min="11769" max="12016"/>
    <col width="10.81640625" customWidth="1" style="128" min="12017" max="12017"/>
    <col width="18.1796875" customWidth="1" style="128" min="12018" max="12018"/>
    <col width="15" customWidth="1" style="128" min="12019" max="12019"/>
    <col width="13" customWidth="1" style="128" min="12020" max="12023"/>
    <col width="17.453125" customWidth="1" style="128" min="12024" max="12024"/>
    <col width="9.1796875" customWidth="1" style="128" min="12025" max="12272"/>
    <col width="10.81640625" customWidth="1" style="128" min="12273" max="12273"/>
    <col width="18.1796875" customWidth="1" style="128" min="12274" max="12274"/>
    <col width="15" customWidth="1" style="128" min="12275" max="12275"/>
    <col width="13" customWidth="1" style="128" min="12276" max="12279"/>
    <col width="17.453125" customWidth="1" style="128" min="12280" max="12280"/>
    <col width="9.1796875" customWidth="1" style="128" min="12281" max="12528"/>
    <col width="10.81640625" customWidth="1" style="128" min="12529" max="12529"/>
    <col width="18.1796875" customWidth="1" style="128" min="12530" max="12530"/>
    <col width="15" customWidth="1" style="128" min="12531" max="12531"/>
    <col width="13" customWidth="1" style="128" min="12532" max="12535"/>
    <col width="17.453125" customWidth="1" style="128" min="12536" max="12536"/>
    <col width="9.1796875" customWidth="1" style="128" min="12537" max="12784"/>
    <col width="10.81640625" customWidth="1" style="128" min="12785" max="12785"/>
    <col width="18.1796875" customWidth="1" style="128" min="12786" max="12786"/>
    <col width="15" customWidth="1" style="128" min="12787" max="12787"/>
    <col width="13" customWidth="1" style="128" min="12788" max="12791"/>
    <col width="17.453125" customWidth="1" style="128" min="12792" max="12792"/>
    <col width="9.1796875" customWidth="1" style="128" min="12793" max="13040"/>
    <col width="10.81640625" customWidth="1" style="128" min="13041" max="13041"/>
    <col width="18.1796875" customWidth="1" style="128" min="13042" max="13042"/>
    <col width="15" customWidth="1" style="128" min="13043" max="13043"/>
    <col width="13" customWidth="1" style="128" min="13044" max="13047"/>
    <col width="17.453125" customWidth="1" style="128" min="13048" max="13048"/>
    <col width="9.1796875" customWidth="1" style="128" min="13049" max="13296"/>
    <col width="10.81640625" customWidth="1" style="128" min="13297" max="13297"/>
    <col width="18.1796875" customWidth="1" style="128" min="13298" max="13298"/>
    <col width="15" customWidth="1" style="128" min="13299" max="13299"/>
    <col width="13" customWidth="1" style="128" min="13300" max="13303"/>
    <col width="17.453125" customWidth="1" style="128" min="13304" max="13304"/>
    <col width="9.1796875" customWidth="1" style="128" min="13305" max="13552"/>
    <col width="10.81640625" customWidth="1" style="128" min="13553" max="13553"/>
    <col width="18.1796875" customWidth="1" style="128" min="13554" max="13554"/>
    <col width="15" customWidth="1" style="128" min="13555" max="13555"/>
    <col width="13" customWidth="1" style="128" min="13556" max="13559"/>
    <col width="17.453125" customWidth="1" style="128" min="13560" max="13560"/>
    <col width="9.1796875" customWidth="1" style="128" min="13561" max="13808"/>
    <col width="10.81640625" customWidth="1" style="128" min="13809" max="13809"/>
    <col width="18.1796875" customWidth="1" style="128" min="13810" max="13810"/>
    <col width="15" customWidth="1" style="128" min="13811" max="13811"/>
    <col width="13" customWidth="1" style="128" min="13812" max="13815"/>
    <col width="17.453125" customWidth="1" style="128" min="13816" max="13816"/>
    <col width="9.1796875" customWidth="1" style="128" min="13817" max="14064"/>
    <col width="10.81640625" customWidth="1" style="128" min="14065" max="14065"/>
    <col width="18.1796875" customWidth="1" style="128" min="14066" max="14066"/>
    <col width="15" customWidth="1" style="128" min="14067" max="14067"/>
    <col width="13" customWidth="1" style="128" min="14068" max="14071"/>
    <col width="17.453125" customWidth="1" style="128" min="14072" max="14072"/>
    <col width="9.1796875" customWidth="1" style="128" min="14073" max="14320"/>
    <col width="10.81640625" customWidth="1" style="128" min="14321" max="14321"/>
    <col width="18.1796875" customWidth="1" style="128" min="14322" max="14322"/>
    <col width="15" customWidth="1" style="128" min="14323" max="14323"/>
    <col width="13" customWidth="1" style="128" min="14324" max="14327"/>
    <col width="17.453125" customWidth="1" style="128" min="14328" max="14328"/>
    <col width="9.1796875" customWidth="1" style="128" min="14329" max="14576"/>
    <col width="10.81640625" customWidth="1" style="128" min="14577" max="14577"/>
    <col width="18.1796875" customWidth="1" style="128" min="14578" max="14578"/>
    <col width="15" customWidth="1" style="128" min="14579" max="14579"/>
    <col width="13" customWidth="1" style="128" min="14580" max="14583"/>
    <col width="17.453125" customWidth="1" style="128" min="14584" max="14584"/>
    <col width="9.1796875" customWidth="1" style="128" min="14585" max="14832"/>
    <col width="10.81640625" customWidth="1" style="128" min="14833" max="14833"/>
    <col width="18.1796875" customWidth="1" style="128" min="14834" max="14834"/>
    <col width="15" customWidth="1" style="128" min="14835" max="14835"/>
    <col width="13" customWidth="1" style="128" min="14836" max="14839"/>
    <col width="17.453125" customWidth="1" style="128" min="14840" max="14840"/>
    <col width="9.1796875" customWidth="1" style="128" min="14841" max="15088"/>
    <col width="10.81640625" customWidth="1" style="128" min="15089" max="15089"/>
    <col width="18.1796875" customWidth="1" style="128" min="15090" max="15090"/>
    <col width="15" customWidth="1" style="128" min="15091" max="15091"/>
    <col width="13" customWidth="1" style="128" min="15092" max="15095"/>
    <col width="17.453125" customWidth="1" style="128" min="15096" max="15096"/>
    <col width="9.1796875" customWidth="1" style="128" min="15097" max="15344"/>
    <col width="10.81640625" customWidth="1" style="128" min="15345" max="15345"/>
    <col width="18.1796875" customWidth="1" style="128" min="15346" max="15346"/>
    <col width="15" customWidth="1" style="128" min="15347" max="15347"/>
    <col width="13" customWidth="1" style="128" min="15348" max="15351"/>
    <col width="17.453125" customWidth="1" style="128" min="15352" max="15352"/>
    <col width="9.1796875" customWidth="1" style="128" min="15353" max="15600"/>
    <col width="10.81640625" customWidth="1" style="128" min="15601" max="15601"/>
    <col width="18.1796875" customWidth="1" style="128" min="15602" max="15602"/>
    <col width="15" customWidth="1" style="128" min="15603" max="15603"/>
    <col width="13" customWidth="1" style="128" min="15604" max="15607"/>
    <col width="17.453125" customWidth="1" style="128" min="15608" max="15608"/>
    <col width="9.1796875" customWidth="1" style="128" min="15609" max="15856"/>
    <col width="10.81640625" customWidth="1" style="128" min="15857" max="15857"/>
    <col width="18.1796875" customWidth="1" style="128" min="15858" max="15858"/>
    <col width="15" customWidth="1" style="128" min="15859" max="15859"/>
    <col width="13" customWidth="1" style="128" min="15860" max="15863"/>
    <col width="17.453125" customWidth="1" style="128" min="15864" max="15864"/>
    <col width="9.1796875" customWidth="1" style="128" min="15865" max="16112"/>
    <col width="10.81640625" customWidth="1" style="128" min="16113" max="16113"/>
    <col width="18.1796875" customWidth="1" style="128" min="16114" max="16114"/>
    <col width="15" customWidth="1" style="128" min="16115" max="16115"/>
    <col width="13" customWidth="1" style="128" min="16116" max="16119"/>
    <col width="17.453125" customWidth="1" style="128" min="16120" max="16120"/>
    <col width="9.1796875" customWidth="1" style="128"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1" thickBot="1"/>
    <row r="5" ht="68.25" customHeight="1" s="141">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row r="367">
      <c r="A367" s="74" t="n">
        <v>44621</v>
      </c>
      <c r="B367" s="75">
        <f>VLOOKUP(A367,Database!A:M,MATCH($A$1,Database!$A$1:$M$1,),)</f>
        <v/>
      </c>
      <c r="C367" s="113">
        <f>(Table535[[#This Row],[New Orders - Nondefense Capital Goods Excluding Aircraft]]-B366)/B366</f>
        <v/>
      </c>
    </row>
    <row r="368">
      <c r="A368" s="74" t="n">
        <v>44652</v>
      </c>
      <c r="B368" s="75">
        <f>VLOOKUP(A368,Database!A:M,MATCH($A$1,Database!$A$1:$M$1,),)</f>
        <v/>
      </c>
      <c r="C368" s="113">
        <f>(Table535[[#This Row],[New Orders - Nondefense Capital Goods Excluding Aircraft]]-B367)/B367</f>
        <v/>
      </c>
    </row>
    <row r="369">
      <c r="A369" s="74" t="n">
        <v>44682</v>
      </c>
      <c r="B369" s="75">
        <f>VLOOKUP(A369,Database!A:M,MATCH($A$1,Database!$A$1:$M$1,),)</f>
        <v/>
      </c>
      <c r="C369" s="113">
        <f>(Table535[[#This Row],[New Orders - Nondefense Capital Goods Excluding Aircraft]]-B368)/B368</f>
        <v/>
      </c>
    </row>
    <row r="370">
      <c r="A370" s="74" t="n">
        <v>44713</v>
      </c>
      <c r="B370" s="75">
        <f>VLOOKUP(A370,Database!A:M,MATCH($A$1,Database!$A$1:$M$1,),)</f>
        <v/>
      </c>
      <c r="C370" s="113">
        <f>(Table535[[#This Row],[New Orders - Nondefense Capital Goods Excluding Aircraft]]-B369)/B369</f>
        <v/>
      </c>
    </row>
    <row r="371">
      <c r="A371" s="74" t="n">
        <v>44743</v>
      </c>
      <c r="B371" s="75">
        <f>VLOOKUP(A371,Database!A:M,MATCH($A$1,Database!$A$1:$M$1,),)</f>
        <v/>
      </c>
      <c r="C371" s="113">
        <f>(Table535[[#This Row],[New Orders - Nondefense Capital Goods Excluding Aircraft]]-B370)/B370</f>
        <v/>
      </c>
    </row>
    <row r="372">
      <c r="A372" s="74" t="n">
        <v>44774</v>
      </c>
      <c r="B372" s="75">
        <f>VLOOKUP(A372,Database!A:M,MATCH($A$1,Database!$A$1:$M$1,),)</f>
        <v/>
      </c>
      <c r="C372" s="113">
        <f>(Table535[[#This Row],[New Orders - Nondefense Capital Goods Excluding Aircraft]]-B371)/B371</f>
        <v/>
      </c>
    </row>
    <row r="373">
      <c r="A373" s="74" t="n">
        <v>44805</v>
      </c>
      <c r="B373" s="75">
        <f>VLOOKUP(A373,Database!A:M,MATCH($A$1,Database!$A$1:$M$1,),)</f>
        <v/>
      </c>
      <c r="C373" s="113">
        <f>(Table535[[#This Row],[New Orders - Nondefense Capital Goods Excluding Aircraft]]-B372)/B372</f>
        <v/>
      </c>
    </row>
    <row r="374">
      <c r="A374" s="74" t="n">
        <v>44835</v>
      </c>
      <c r="B374" s="75">
        <f>VLOOKUP(A374,Database!A:M,MATCH($A$1,Database!$A$1:$M$1,),)</f>
        <v/>
      </c>
      <c r="C374" s="113">
        <f>(Table535[[#This Row],[New Orders - Nondefense Capital Goods Excluding Aircraft]]-B373)/B373</f>
        <v/>
      </c>
    </row>
    <row r="375">
      <c r="A375" s="74" t="n">
        <v>44866</v>
      </c>
      <c r="B375" s="75">
        <f>VLOOKUP(A375,Database!A:M,MATCH($A$1,Database!$A$1:$M$1,),)</f>
        <v/>
      </c>
      <c r="C375" s="113">
        <f>(Table535[[#This Row],[New Orders - Nondefense Capital Goods Excluding Aircraft]]-B374)/B374</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75"/>
  <sheetViews>
    <sheetView zoomScale="130" zoomScaleNormal="130" workbookViewId="0">
      <pane ySplit="5" topLeftCell="A346" activePane="bottomLeft" state="frozen"/>
      <selection pane="bottomLeft" activeCell="AF366" sqref="AF366"/>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8" min="4" max="240"/>
    <col width="10.81640625" customWidth="1" style="128" min="241" max="241"/>
    <col width="18.1796875" customWidth="1" style="128" min="242" max="242"/>
    <col width="15" customWidth="1" style="128" min="243" max="243"/>
    <col width="13" customWidth="1" style="128" min="244" max="247"/>
    <col width="17.453125" customWidth="1" style="128" min="248" max="248"/>
    <col width="9.1796875" customWidth="1" style="128" min="249" max="496"/>
    <col width="10.81640625" customWidth="1" style="128" min="497" max="497"/>
    <col width="18.1796875" customWidth="1" style="128" min="498" max="498"/>
    <col width="15" customWidth="1" style="128" min="499" max="499"/>
    <col width="13" customWidth="1" style="128" min="500" max="503"/>
    <col width="17.453125" customWidth="1" style="128" min="504" max="504"/>
    <col width="9.1796875" customWidth="1" style="128" min="505" max="752"/>
    <col width="10.81640625" customWidth="1" style="128" min="753" max="753"/>
    <col width="18.1796875" customWidth="1" style="128" min="754" max="754"/>
    <col width="15" customWidth="1" style="128" min="755" max="755"/>
    <col width="13" customWidth="1" style="128" min="756" max="759"/>
    <col width="17.453125" customWidth="1" style="128" min="760" max="760"/>
    <col width="9.1796875" customWidth="1" style="128" min="761" max="1008"/>
    <col width="10.81640625" customWidth="1" style="128" min="1009" max="1009"/>
    <col width="18.1796875" customWidth="1" style="128" min="1010" max="1010"/>
    <col width="15" customWidth="1" style="128" min="1011" max="1011"/>
    <col width="13" customWidth="1" style="128" min="1012" max="1015"/>
    <col width="17.453125" customWidth="1" style="128" min="1016" max="1016"/>
    <col width="9.1796875" customWidth="1" style="128" min="1017" max="1264"/>
    <col width="10.81640625" customWidth="1" style="128" min="1265" max="1265"/>
    <col width="18.1796875" customWidth="1" style="128" min="1266" max="1266"/>
    <col width="15" customWidth="1" style="128" min="1267" max="1267"/>
    <col width="13" customWidth="1" style="128" min="1268" max="1271"/>
    <col width="17.453125" customWidth="1" style="128" min="1272" max="1272"/>
    <col width="9.1796875" customWidth="1" style="128" min="1273" max="1520"/>
    <col width="10.81640625" customWidth="1" style="128" min="1521" max="1521"/>
    <col width="18.1796875" customWidth="1" style="128" min="1522" max="1522"/>
    <col width="15" customWidth="1" style="128" min="1523" max="1523"/>
    <col width="13" customWidth="1" style="128" min="1524" max="1527"/>
    <col width="17.453125" customWidth="1" style="128" min="1528" max="1528"/>
    <col width="9.1796875" customWidth="1" style="128" min="1529" max="1776"/>
    <col width="10.81640625" customWidth="1" style="128" min="1777" max="1777"/>
    <col width="18.1796875" customWidth="1" style="128" min="1778" max="1778"/>
    <col width="15" customWidth="1" style="128" min="1779" max="1779"/>
    <col width="13" customWidth="1" style="128" min="1780" max="1783"/>
    <col width="17.453125" customWidth="1" style="128" min="1784" max="1784"/>
    <col width="9.1796875" customWidth="1" style="128" min="1785" max="2032"/>
    <col width="10.81640625" customWidth="1" style="128" min="2033" max="2033"/>
    <col width="18.1796875" customWidth="1" style="128" min="2034" max="2034"/>
    <col width="15" customWidth="1" style="128" min="2035" max="2035"/>
    <col width="13" customWidth="1" style="128" min="2036" max="2039"/>
    <col width="17.453125" customWidth="1" style="128" min="2040" max="2040"/>
    <col width="9.1796875" customWidth="1" style="128" min="2041" max="2288"/>
    <col width="10.81640625" customWidth="1" style="128" min="2289" max="2289"/>
    <col width="18.1796875" customWidth="1" style="128" min="2290" max="2290"/>
    <col width="15" customWidth="1" style="128" min="2291" max="2291"/>
    <col width="13" customWidth="1" style="128" min="2292" max="2295"/>
    <col width="17.453125" customWidth="1" style="128" min="2296" max="2296"/>
    <col width="9.1796875" customWidth="1" style="128" min="2297" max="2544"/>
    <col width="10.81640625" customWidth="1" style="128" min="2545" max="2545"/>
    <col width="18.1796875" customWidth="1" style="128" min="2546" max="2546"/>
    <col width="15" customWidth="1" style="128" min="2547" max="2547"/>
    <col width="13" customWidth="1" style="128" min="2548" max="2551"/>
    <col width="17.453125" customWidth="1" style="128" min="2552" max="2552"/>
    <col width="9.1796875" customWidth="1" style="128" min="2553" max="2800"/>
    <col width="10.81640625" customWidth="1" style="128" min="2801" max="2801"/>
    <col width="18.1796875" customWidth="1" style="128" min="2802" max="2802"/>
    <col width="15" customWidth="1" style="128" min="2803" max="2803"/>
    <col width="13" customWidth="1" style="128" min="2804" max="2807"/>
    <col width="17.453125" customWidth="1" style="128" min="2808" max="2808"/>
    <col width="9.1796875" customWidth="1" style="128" min="2809" max="3056"/>
    <col width="10.81640625" customWidth="1" style="128" min="3057" max="3057"/>
    <col width="18.1796875" customWidth="1" style="128" min="3058" max="3058"/>
    <col width="15" customWidth="1" style="128" min="3059" max="3059"/>
    <col width="13" customWidth="1" style="128" min="3060" max="3063"/>
    <col width="17.453125" customWidth="1" style="128" min="3064" max="3064"/>
    <col width="9.1796875" customWidth="1" style="128" min="3065" max="3312"/>
    <col width="10.81640625" customWidth="1" style="128" min="3313" max="3313"/>
    <col width="18.1796875" customWidth="1" style="128" min="3314" max="3314"/>
    <col width="15" customWidth="1" style="128" min="3315" max="3315"/>
    <col width="13" customWidth="1" style="128" min="3316" max="3319"/>
    <col width="17.453125" customWidth="1" style="128" min="3320" max="3320"/>
    <col width="9.1796875" customWidth="1" style="128" min="3321" max="3568"/>
    <col width="10.81640625" customWidth="1" style="128" min="3569" max="3569"/>
    <col width="18.1796875" customWidth="1" style="128" min="3570" max="3570"/>
    <col width="15" customWidth="1" style="128" min="3571" max="3571"/>
    <col width="13" customWidth="1" style="128" min="3572" max="3575"/>
    <col width="17.453125" customWidth="1" style="128" min="3576" max="3576"/>
    <col width="9.1796875" customWidth="1" style="128" min="3577" max="3824"/>
    <col width="10.81640625" customWidth="1" style="128" min="3825" max="3825"/>
    <col width="18.1796875" customWidth="1" style="128" min="3826" max="3826"/>
    <col width="15" customWidth="1" style="128" min="3827" max="3827"/>
    <col width="13" customWidth="1" style="128" min="3828" max="3831"/>
    <col width="17.453125" customWidth="1" style="128" min="3832" max="3832"/>
    <col width="9.1796875" customWidth="1" style="128" min="3833" max="4080"/>
    <col width="10.81640625" customWidth="1" style="128" min="4081" max="4081"/>
    <col width="18.1796875" customWidth="1" style="128" min="4082" max="4082"/>
    <col width="15" customWidth="1" style="128" min="4083" max="4083"/>
    <col width="13" customWidth="1" style="128" min="4084" max="4087"/>
    <col width="17.453125" customWidth="1" style="128" min="4088" max="4088"/>
    <col width="9.1796875" customWidth="1" style="128" min="4089" max="4336"/>
    <col width="10.81640625" customWidth="1" style="128" min="4337" max="4337"/>
    <col width="18.1796875" customWidth="1" style="128" min="4338" max="4338"/>
    <col width="15" customWidth="1" style="128" min="4339" max="4339"/>
    <col width="13" customWidth="1" style="128" min="4340" max="4343"/>
    <col width="17.453125" customWidth="1" style="128" min="4344" max="4344"/>
    <col width="9.1796875" customWidth="1" style="128" min="4345" max="4592"/>
    <col width="10.81640625" customWidth="1" style="128" min="4593" max="4593"/>
    <col width="18.1796875" customWidth="1" style="128" min="4594" max="4594"/>
    <col width="15" customWidth="1" style="128" min="4595" max="4595"/>
    <col width="13" customWidth="1" style="128" min="4596" max="4599"/>
    <col width="17.453125" customWidth="1" style="128" min="4600" max="4600"/>
    <col width="9.1796875" customWidth="1" style="128" min="4601" max="4848"/>
    <col width="10.81640625" customWidth="1" style="128" min="4849" max="4849"/>
    <col width="18.1796875" customWidth="1" style="128" min="4850" max="4850"/>
    <col width="15" customWidth="1" style="128" min="4851" max="4851"/>
    <col width="13" customWidth="1" style="128" min="4852" max="4855"/>
    <col width="17.453125" customWidth="1" style="128" min="4856" max="4856"/>
    <col width="9.1796875" customWidth="1" style="128" min="4857" max="5104"/>
    <col width="10.81640625" customWidth="1" style="128" min="5105" max="5105"/>
    <col width="18.1796875" customWidth="1" style="128" min="5106" max="5106"/>
    <col width="15" customWidth="1" style="128" min="5107" max="5107"/>
    <col width="13" customWidth="1" style="128" min="5108" max="5111"/>
    <col width="17.453125" customWidth="1" style="128" min="5112" max="5112"/>
    <col width="9.1796875" customWidth="1" style="128" min="5113" max="5360"/>
    <col width="10.81640625" customWidth="1" style="128" min="5361" max="5361"/>
    <col width="18.1796875" customWidth="1" style="128" min="5362" max="5362"/>
    <col width="15" customWidth="1" style="128" min="5363" max="5363"/>
    <col width="13" customWidth="1" style="128" min="5364" max="5367"/>
    <col width="17.453125" customWidth="1" style="128" min="5368" max="5368"/>
    <col width="9.1796875" customWidth="1" style="128" min="5369" max="5616"/>
    <col width="10.81640625" customWidth="1" style="128" min="5617" max="5617"/>
    <col width="18.1796875" customWidth="1" style="128" min="5618" max="5618"/>
    <col width="15" customWidth="1" style="128" min="5619" max="5619"/>
    <col width="13" customWidth="1" style="128" min="5620" max="5623"/>
    <col width="17.453125" customWidth="1" style="128" min="5624" max="5624"/>
    <col width="9.1796875" customWidth="1" style="128" min="5625" max="5872"/>
    <col width="10.81640625" customWidth="1" style="128" min="5873" max="5873"/>
    <col width="18.1796875" customWidth="1" style="128" min="5874" max="5874"/>
    <col width="15" customWidth="1" style="128" min="5875" max="5875"/>
    <col width="13" customWidth="1" style="128" min="5876" max="5879"/>
    <col width="17.453125" customWidth="1" style="128" min="5880" max="5880"/>
    <col width="9.1796875" customWidth="1" style="128" min="5881" max="6128"/>
    <col width="10.81640625" customWidth="1" style="128" min="6129" max="6129"/>
    <col width="18.1796875" customWidth="1" style="128" min="6130" max="6130"/>
    <col width="15" customWidth="1" style="128" min="6131" max="6131"/>
    <col width="13" customWidth="1" style="128" min="6132" max="6135"/>
    <col width="17.453125" customWidth="1" style="128" min="6136" max="6136"/>
    <col width="9.1796875" customWidth="1" style="128" min="6137" max="6384"/>
    <col width="10.81640625" customWidth="1" style="128" min="6385" max="6385"/>
    <col width="18.1796875" customWidth="1" style="128" min="6386" max="6386"/>
    <col width="15" customWidth="1" style="128" min="6387" max="6387"/>
    <col width="13" customWidth="1" style="128" min="6388" max="6391"/>
    <col width="17.453125" customWidth="1" style="128" min="6392" max="6392"/>
    <col width="9.1796875" customWidth="1" style="128" min="6393" max="6640"/>
    <col width="10.81640625" customWidth="1" style="128" min="6641" max="6641"/>
    <col width="18.1796875" customWidth="1" style="128" min="6642" max="6642"/>
    <col width="15" customWidth="1" style="128" min="6643" max="6643"/>
    <col width="13" customWidth="1" style="128" min="6644" max="6647"/>
    <col width="17.453125" customWidth="1" style="128" min="6648" max="6648"/>
    <col width="9.1796875" customWidth="1" style="128" min="6649" max="6896"/>
    <col width="10.81640625" customWidth="1" style="128" min="6897" max="6897"/>
    <col width="18.1796875" customWidth="1" style="128" min="6898" max="6898"/>
    <col width="15" customWidth="1" style="128" min="6899" max="6899"/>
    <col width="13" customWidth="1" style="128" min="6900" max="6903"/>
    <col width="17.453125" customWidth="1" style="128" min="6904" max="6904"/>
    <col width="9.1796875" customWidth="1" style="128" min="6905" max="7152"/>
    <col width="10.81640625" customWidth="1" style="128" min="7153" max="7153"/>
    <col width="18.1796875" customWidth="1" style="128" min="7154" max="7154"/>
    <col width="15" customWidth="1" style="128" min="7155" max="7155"/>
    <col width="13" customWidth="1" style="128" min="7156" max="7159"/>
    <col width="17.453125" customWidth="1" style="128" min="7160" max="7160"/>
    <col width="9.1796875" customWidth="1" style="128" min="7161" max="7408"/>
    <col width="10.81640625" customWidth="1" style="128" min="7409" max="7409"/>
    <col width="18.1796875" customWidth="1" style="128" min="7410" max="7410"/>
    <col width="15" customWidth="1" style="128" min="7411" max="7411"/>
    <col width="13" customWidth="1" style="128" min="7412" max="7415"/>
    <col width="17.453125" customWidth="1" style="128" min="7416" max="7416"/>
    <col width="9.1796875" customWidth="1" style="128" min="7417" max="7664"/>
    <col width="10.81640625" customWidth="1" style="128" min="7665" max="7665"/>
    <col width="18.1796875" customWidth="1" style="128" min="7666" max="7666"/>
    <col width="15" customWidth="1" style="128" min="7667" max="7667"/>
    <col width="13" customWidth="1" style="128" min="7668" max="7671"/>
    <col width="17.453125" customWidth="1" style="128" min="7672" max="7672"/>
    <col width="9.1796875" customWidth="1" style="128" min="7673" max="7920"/>
    <col width="10.81640625" customWidth="1" style="128" min="7921" max="7921"/>
    <col width="18.1796875" customWidth="1" style="128" min="7922" max="7922"/>
    <col width="15" customWidth="1" style="128" min="7923" max="7923"/>
    <col width="13" customWidth="1" style="128" min="7924" max="7927"/>
    <col width="17.453125" customWidth="1" style="128" min="7928" max="7928"/>
    <col width="9.1796875" customWidth="1" style="128" min="7929" max="8176"/>
    <col width="10.81640625" customWidth="1" style="128" min="8177" max="8177"/>
    <col width="18.1796875" customWidth="1" style="128" min="8178" max="8178"/>
    <col width="15" customWidth="1" style="128" min="8179" max="8179"/>
    <col width="13" customWidth="1" style="128" min="8180" max="8183"/>
    <col width="17.453125" customWidth="1" style="128" min="8184" max="8184"/>
    <col width="9.1796875" customWidth="1" style="128" min="8185" max="8432"/>
    <col width="10.81640625" customWidth="1" style="128" min="8433" max="8433"/>
    <col width="18.1796875" customWidth="1" style="128" min="8434" max="8434"/>
    <col width="15" customWidth="1" style="128" min="8435" max="8435"/>
    <col width="13" customWidth="1" style="128" min="8436" max="8439"/>
    <col width="17.453125" customWidth="1" style="128" min="8440" max="8440"/>
    <col width="9.1796875" customWidth="1" style="128" min="8441" max="8688"/>
    <col width="10.81640625" customWidth="1" style="128" min="8689" max="8689"/>
    <col width="18.1796875" customWidth="1" style="128" min="8690" max="8690"/>
    <col width="15" customWidth="1" style="128" min="8691" max="8691"/>
    <col width="13" customWidth="1" style="128" min="8692" max="8695"/>
    <col width="17.453125" customWidth="1" style="128" min="8696" max="8696"/>
    <col width="9.1796875" customWidth="1" style="128" min="8697" max="8944"/>
    <col width="10.81640625" customWidth="1" style="128" min="8945" max="8945"/>
    <col width="18.1796875" customWidth="1" style="128" min="8946" max="8946"/>
    <col width="15" customWidth="1" style="128" min="8947" max="8947"/>
    <col width="13" customWidth="1" style="128" min="8948" max="8951"/>
    <col width="17.453125" customWidth="1" style="128" min="8952" max="8952"/>
    <col width="9.1796875" customWidth="1" style="128" min="8953" max="9200"/>
    <col width="10.81640625" customWidth="1" style="128" min="9201" max="9201"/>
    <col width="18.1796875" customWidth="1" style="128" min="9202" max="9202"/>
    <col width="15" customWidth="1" style="128" min="9203" max="9203"/>
    <col width="13" customWidth="1" style="128" min="9204" max="9207"/>
    <col width="17.453125" customWidth="1" style="128" min="9208" max="9208"/>
    <col width="9.1796875" customWidth="1" style="128" min="9209" max="9456"/>
    <col width="10.81640625" customWidth="1" style="128" min="9457" max="9457"/>
    <col width="18.1796875" customWidth="1" style="128" min="9458" max="9458"/>
    <col width="15" customWidth="1" style="128" min="9459" max="9459"/>
    <col width="13" customWidth="1" style="128" min="9460" max="9463"/>
    <col width="17.453125" customWidth="1" style="128" min="9464" max="9464"/>
    <col width="9.1796875" customWidth="1" style="128" min="9465" max="9712"/>
    <col width="10.81640625" customWidth="1" style="128" min="9713" max="9713"/>
    <col width="18.1796875" customWidth="1" style="128" min="9714" max="9714"/>
    <col width="15" customWidth="1" style="128" min="9715" max="9715"/>
    <col width="13" customWidth="1" style="128" min="9716" max="9719"/>
    <col width="17.453125" customWidth="1" style="128" min="9720" max="9720"/>
    <col width="9.1796875" customWidth="1" style="128" min="9721" max="9968"/>
    <col width="10.81640625" customWidth="1" style="128" min="9969" max="9969"/>
    <col width="18.1796875" customWidth="1" style="128" min="9970" max="9970"/>
    <col width="15" customWidth="1" style="128" min="9971" max="9971"/>
    <col width="13" customWidth="1" style="128" min="9972" max="9975"/>
    <col width="17.453125" customWidth="1" style="128" min="9976" max="9976"/>
    <col width="9.1796875" customWidth="1" style="128" min="9977" max="10224"/>
    <col width="10.81640625" customWidth="1" style="128" min="10225" max="10225"/>
    <col width="18.1796875" customWidth="1" style="128" min="10226" max="10226"/>
    <col width="15" customWidth="1" style="128" min="10227" max="10227"/>
    <col width="13" customWidth="1" style="128" min="10228" max="10231"/>
    <col width="17.453125" customWidth="1" style="128" min="10232" max="10232"/>
    <col width="9.1796875" customWidth="1" style="128" min="10233" max="10480"/>
    <col width="10.81640625" customWidth="1" style="128" min="10481" max="10481"/>
    <col width="18.1796875" customWidth="1" style="128" min="10482" max="10482"/>
    <col width="15" customWidth="1" style="128" min="10483" max="10483"/>
    <col width="13" customWidth="1" style="128" min="10484" max="10487"/>
    <col width="17.453125" customWidth="1" style="128" min="10488" max="10488"/>
    <col width="9.1796875" customWidth="1" style="128" min="10489" max="10736"/>
    <col width="10.81640625" customWidth="1" style="128" min="10737" max="10737"/>
    <col width="18.1796875" customWidth="1" style="128" min="10738" max="10738"/>
    <col width="15" customWidth="1" style="128" min="10739" max="10739"/>
    <col width="13" customWidth="1" style="128" min="10740" max="10743"/>
    <col width="17.453125" customWidth="1" style="128" min="10744" max="10744"/>
    <col width="9.1796875" customWidth="1" style="128" min="10745" max="10992"/>
    <col width="10.81640625" customWidth="1" style="128" min="10993" max="10993"/>
    <col width="18.1796875" customWidth="1" style="128" min="10994" max="10994"/>
    <col width="15" customWidth="1" style="128" min="10995" max="10995"/>
    <col width="13" customWidth="1" style="128" min="10996" max="10999"/>
    <col width="17.453125" customWidth="1" style="128" min="11000" max="11000"/>
    <col width="9.1796875" customWidth="1" style="128" min="11001" max="11248"/>
    <col width="10.81640625" customWidth="1" style="128" min="11249" max="11249"/>
    <col width="18.1796875" customWidth="1" style="128" min="11250" max="11250"/>
    <col width="15" customWidth="1" style="128" min="11251" max="11251"/>
    <col width="13" customWidth="1" style="128" min="11252" max="11255"/>
    <col width="17.453125" customWidth="1" style="128" min="11256" max="11256"/>
    <col width="9.1796875" customWidth="1" style="128" min="11257" max="11504"/>
    <col width="10.81640625" customWidth="1" style="128" min="11505" max="11505"/>
    <col width="18.1796875" customWidth="1" style="128" min="11506" max="11506"/>
    <col width="15" customWidth="1" style="128" min="11507" max="11507"/>
    <col width="13" customWidth="1" style="128" min="11508" max="11511"/>
    <col width="17.453125" customWidth="1" style="128" min="11512" max="11512"/>
    <col width="9.1796875" customWidth="1" style="128" min="11513" max="11760"/>
    <col width="10.81640625" customWidth="1" style="128" min="11761" max="11761"/>
    <col width="18.1796875" customWidth="1" style="128" min="11762" max="11762"/>
    <col width="15" customWidth="1" style="128" min="11763" max="11763"/>
    <col width="13" customWidth="1" style="128" min="11764" max="11767"/>
    <col width="17.453125" customWidth="1" style="128" min="11768" max="11768"/>
    <col width="9.1796875" customWidth="1" style="128" min="11769" max="12016"/>
    <col width="10.81640625" customWidth="1" style="128" min="12017" max="12017"/>
    <col width="18.1796875" customWidth="1" style="128" min="12018" max="12018"/>
    <col width="15" customWidth="1" style="128" min="12019" max="12019"/>
    <col width="13" customWidth="1" style="128" min="12020" max="12023"/>
    <col width="17.453125" customWidth="1" style="128" min="12024" max="12024"/>
    <col width="9.1796875" customWidth="1" style="128" min="12025" max="12272"/>
    <col width="10.81640625" customWidth="1" style="128" min="12273" max="12273"/>
    <col width="18.1796875" customWidth="1" style="128" min="12274" max="12274"/>
    <col width="15" customWidth="1" style="128" min="12275" max="12275"/>
    <col width="13" customWidth="1" style="128" min="12276" max="12279"/>
    <col width="17.453125" customWidth="1" style="128" min="12280" max="12280"/>
    <col width="9.1796875" customWidth="1" style="128" min="12281" max="12528"/>
    <col width="10.81640625" customWidth="1" style="128" min="12529" max="12529"/>
    <col width="18.1796875" customWidth="1" style="128" min="12530" max="12530"/>
    <col width="15" customWidth="1" style="128" min="12531" max="12531"/>
    <col width="13" customWidth="1" style="128" min="12532" max="12535"/>
    <col width="17.453125" customWidth="1" style="128" min="12536" max="12536"/>
    <col width="9.1796875" customWidth="1" style="128" min="12537" max="12784"/>
    <col width="10.81640625" customWidth="1" style="128" min="12785" max="12785"/>
    <col width="18.1796875" customWidth="1" style="128" min="12786" max="12786"/>
    <col width="15" customWidth="1" style="128" min="12787" max="12787"/>
    <col width="13" customWidth="1" style="128" min="12788" max="12791"/>
    <col width="17.453125" customWidth="1" style="128" min="12792" max="12792"/>
    <col width="9.1796875" customWidth="1" style="128" min="12793" max="13040"/>
    <col width="10.81640625" customWidth="1" style="128" min="13041" max="13041"/>
    <col width="18.1796875" customWidth="1" style="128" min="13042" max="13042"/>
    <col width="15" customWidth="1" style="128" min="13043" max="13043"/>
    <col width="13" customWidth="1" style="128" min="13044" max="13047"/>
    <col width="17.453125" customWidth="1" style="128" min="13048" max="13048"/>
    <col width="9.1796875" customWidth="1" style="128" min="13049" max="13296"/>
    <col width="10.81640625" customWidth="1" style="128" min="13297" max="13297"/>
    <col width="18.1796875" customWidth="1" style="128" min="13298" max="13298"/>
    <col width="15" customWidth="1" style="128" min="13299" max="13299"/>
    <col width="13" customWidth="1" style="128" min="13300" max="13303"/>
    <col width="17.453125" customWidth="1" style="128" min="13304" max="13304"/>
    <col width="9.1796875" customWidth="1" style="128" min="13305" max="13552"/>
    <col width="10.81640625" customWidth="1" style="128" min="13553" max="13553"/>
    <col width="18.1796875" customWidth="1" style="128" min="13554" max="13554"/>
    <col width="15" customWidth="1" style="128" min="13555" max="13555"/>
    <col width="13" customWidth="1" style="128" min="13556" max="13559"/>
    <col width="17.453125" customWidth="1" style="128" min="13560" max="13560"/>
    <col width="9.1796875" customWidth="1" style="128" min="13561" max="13808"/>
    <col width="10.81640625" customWidth="1" style="128" min="13809" max="13809"/>
    <col width="18.1796875" customWidth="1" style="128" min="13810" max="13810"/>
    <col width="15" customWidth="1" style="128" min="13811" max="13811"/>
    <col width="13" customWidth="1" style="128" min="13812" max="13815"/>
    <col width="17.453125" customWidth="1" style="128" min="13816" max="13816"/>
    <col width="9.1796875" customWidth="1" style="128" min="13817" max="14064"/>
    <col width="10.81640625" customWidth="1" style="128" min="14065" max="14065"/>
    <col width="18.1796875" customWidth="1" style="128" min="14066" max="14066"/>
    <col width="15" customWidth="1" style="128" min="14067" max="14067"/>
    <col width="13" customWidth="1" style="128" min="14068" max="14071"/>
    <col width="17.453125" customWidth="1" style="128" min="14072" max="14072"/>
    <col width="9.1796875" customWidth="1" style="128" min="14073" max="14320"/>
    <col width="10.81640625" customWidth="1" style="128" min="14321" max="14321"/>
    <col width="18.1796875" customWidth="1" style="128" min="14322" max="14322"/>
    <col width="15" customWidth="1" style="128" min="14323" max="14323"/>
    <col width="13" customWidth="1" style="128" min="14324" max="14327"/>
    <col width="17.453125" customWidth="1" style="128" min="14328" max="14328"/>
    <col width="9.1796875" customWidth="1" style="128" min="14329" max="14576"/>
    <col width="10.81640625" customWidth="1" style="128" min="14577" max="14577"/>
    <col width="18.1796875" customWidth="1" style="128" min="14578" max="14578"/>
    <col width="15" customWidth="1" style="128" min="14579" max="14579"/>
    <col width="13" customWidth="1" style="128" min="14580" max="14583"/>
    <col width="17.453125" customWidth="1" style="128" min="14584" max="14584"/>
    <col width="9.1796875" customWidth="1" style="128" min="14585" max="14832"/>
    <col width="10.81640625" customWidth="1" style="128" min="14833" max="14833"/>
    <col width="18.1796875" customWidth="1" style="128" min="14834" max="14834"/>
    <col width="15" customWidth="1" style="128" min="14835" max="14835"/>
    <col width="13" customWidth="1" style="128" min="14836" max="14839"/>
    <col width="17.453125" customWidth="1" style="128" min="14840" max="14840"/>
    <col width="9.1796875" customWidth="1" style="128" min="14841" max="15088"/>
    <col width="10.81640625" customWidth="1" style="128" min="15089" max="15089"/>
    <col width="18.1796875" customWidth="1" style="128" min="15090" max="15090"/>
    <col width="15" customWidth="1" style="128" min="15091" max="15091"/>
    <col width="13" customWidth="1" style="128" min="15092" max="15095"/>
    <col width="17.453125" customWidth="1" style="128" min="15096" max="15096"/>
    <col width="9.1796875" customWidth="1" style="128" min="15097" max="15344"/>
    <col width="10.81640625" customWidth="1" style="128" min="15345" max="15345"/>
    <col width="18.1796875" customWidth="1" style="128" min="15346" max="15346"/>
    <col width="15" customWidth="1" style="128" min="15347" max="15347"/>
    <col width="13" customWidth="1" style="128" min="15348" max="15351"/>
    <col width="17.453125" customWidth="1" style="128" min="15352" max="15352"/>
    <col width="9.1796875" customWidth="1" style="128" min="15353" max="15600"/>
    <col width="10.81640625" customWidth="1" style="128" min="15601" max="15601"/>
    <col width="18.1796875" customWidth="1" style="128" min="15602" max="15602"/>
    <col width="15" customWidth="1" style="128" min="15603" max="15603"/>
    <col width="13" customWidth="1" style="128" min="15604" max="15607"/>
    <col width="17.453125" customWidth="1" style="128" min="15608" max="15608"/>
    <col width="9.1796875" customWidth="1" style="128" min="15609" max="15856"/>
    <col width="10.81640625" customWidth="1" style="128" min="15857" max="15857"/>
    <col width="18.1796875" customWidth="1" style="128" min="15858" max="15858"/>
    <col width="15" customWidth="1" style="128" min="15859" max="15859"/>
    <col width="13" customWidth="1" style="128" min="15860" max="15863"/>
    <col width="17.453125" customWidth="1" style="128" min="15864" max="15864"/>
    <col width="9.1796875" customWidth="1" style="128" min="15865" max="16112"/>
    <col width="10.81640625" customWidth="1" style="128" min="16113" max="16113"/>
    <col width="18.1796875" customWidth="1" style="128" min="16114" max="16114"/>
    <col width="15" customWidth="1" style="128" min="16115" max="16115"/>
    <col width="13" customWidth="1" style="128" min="16116" max="16119"/>
    <col width="17.453125" customWidth="1" style="128" min="16120" max="16120"/>
    <col width="9.1796875" customWidth="1" style="128" min="16121" max="16384"/>
  </cols>
  <sheetData>
    <row r="1">
      <c r="A1" s="1" t="inlineStr">
        <is>
          <t>ADXTNO</t>
        </is>
      </c>
      <c r="B1" s="139" t="inlineStr">
        <is>
          <t>New Orders ex Transport</t>
        </is>
      </c>
    </row>
    <row r="2" ht="15" customHeight="1" s="141">
      <c r="A2" s="71" t="n"/>
      <c r="B2" s="68" t="n"/>
      <c r="C2" s="69" t="n"/>
    </row>
    <row r="3">
      <c r="B3" s="68" t="n"/>
      <c r="C3" s="69" t="n"/>
    </row>
    <row r="4" ht="16" customHeight="1" s="141" thickBot="1"/>
    <row r="5" ht="68.25" customHeight="1" s="141">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row r="367">
      <c r="A367" s="74" t="n">
        <v>44621</v>
      </c>
      <c r="B367" s="75">
        <f>VLOOKUP(A367,Database!A:M,MATCH($A$1,Database!$A$1:$M$1,),)</f>
        <v/>
      </c>
      <c r="C367" s="113">
        <f>(Table5351415[[#This Row],[New Orders ex Transport]]-B366)/B366</f>
        <v/>
      </c>
    </row>
    <row r="368">
      <c r="A368" s="74" t="n">
        <v>44652</v>
      </c>
      <c r="B368" s="75">
        <f>VLOOKUP(A368,Database!A:M,MATCH($A$1,Database!$A$1:$M$1,),)</f>
        <v/>
      </c>
      <c r="C368" s="113">
        <f>(Table5351415[[#This Row],[New Orders ex Transport]]-B367)/B367</f>
        <v/>
      </c>
    </row>
    <row r="369">
      <c r="A369" s="74" t="n">
        <v>44682</v>
      </c>
      <c r="B369" s="75">
        <f>VLOOKUP(A369,Database!A:M,MATCH($A$1,Database!$A$1:$M$1,),)</f>
        <v/>
      </c>
      <c r="C369" s="113">
        <f>(Table5351415[[#This Row],[New Orders ex Transport]]-B368)/B368</f>
        <v/>
      </c>
    </row>
    <row r="370">
      <c r="A370" s="74" t="n">
        <v>44713</v>
      </c>
      <c r="B370" s="75">
        <f>VLOOKUP(A370,Database!A:M,MATCH($A$1,Database!$A$1:$M$1,),)</f>
        <v/>
      </c>
      <c r="C370" s="113">
        <f>(Table5351415[[#This Row],[New Orders ex Transport]]-B369)/B369</f>
        <v/>
      </c>
    </row>
    <row r="371">
      <c r="A371" s="74" t="n">
        <v>44743</v>
      </c>
      <c r="B371" s="75">
        <f>VLOOKUP(A371,Database!A:M,MATCH($A$1,Database!$A$1:$M$1,),)</f>
        <v/>
      </c>
      <c r="C371" s="113">
        <f>(Table5351415[[#This Row],[New Orders ex Transport]]-B370)/B370</f>
        <v/>
      </c>
    </row>
    <row r="372">
      <c r="A372" s="74" t="n">
        <v>44774</v>
      </c>
      <c r="B372" s="75">
        <f>VLOOKUP(A372,Database!A:M,MATCH($A$1,Database!$A$1:$M$1,),)</f>
        <v/>
      </c>
      <c r="C372" s="113">
        <f>(Table5351415[[#This Row],[New Orders ex Transport]]-B371)/B371</f>
        <v/>
      </c>
    </row>
    <row r="373">
      <c r="A373" s="74" t="n">
        <v>44805</v>
      </c>
      <c r="B373" s="75">
        <f>VLOOKUP(A373,Database!A:M,MATCH($A$1,Database!$A$1:$M$1,),)</f>
        <v/>
      </c>
      <c r="C373" s="113">
        <f>(Table5351415[[#This Row],[New Orders ex Transport]]-B372)/B372</f>
        <v/>
      </c>
    </row>
    <row r="374">
      <c r="A374" s="74" t="n">
        <v>44835</v>
      </c>
      <c r="B374" s="75">
        <f>VLOOKUP(A374,Database!A:M,MATCH($A$1,Database!$A$1:$M$1,),)</f>
        <v/>
      </c>
      <c r="C374" s="113">
        <f>(Table5351415[[#This Row],[New Orders ex Transport]]-B373)/B373</f>
        <v/>
      </c>
    </row>
    <row r="375">
      <c r="A375" s="74" t="n">
        <v>44866</v>
      </c>
      <c r="B375" s="75">
        <f>VLOOKUP(A375,Database!A:M,MATCH($A$1,Database!$A$1:$M$1,),)</f>
        <v/>
      </c>
      <c r="C375" s="113">
        <f>(Table5351415[[#This Row],[New Orders ex Transport]]-B374)/B374</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75"/>
  <sheetViews>
    <sheetView zoomScale="140" zoomScaleNormal="140" workbookViewId="0">
      <pane ySplit="5" topLeftCell="A353" activePane="bottomLeft" state="frozen"/>
      <selection activeCell="Q21" sqref="Q21"/>
      <selection pane="bottomLeft" activeCell="AD350" sqref="AD350"/>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8" min="4" max="240"/>
    <col width="10.81640625" customWidth="1" style="128" min="241" max="241"/>
    <col width="18.1796875" customWidth="1" style="128" min="242" max="242"/>
    <col width="15" customWidth="1" style="128" min="243" max="243"/>
    <col width="13" customWidth="1" style="128" min="244" max="247"/>
    <col width="17.453125" customWidth="1" style="128" min="248" max="248"/>
    <col width="9.1796875" customWidth="1" style="128" min="249" max="496"/>
    <col width="10.81640625" customWidth="1" style="128" min="497" max="497"/>
    <col width="18.1796875" customWidth="1" style="128" min="498" max="498"/>
    <col width="15" customWidth="1" style="128" min="499" max="499"/>
    <col width="13" customWidth="1" style="128" min="500" max="503"/>
    <col width="17.453125" customWidth="1" style="128" min="504" max="504"/>
    <col width="9.1796875" customWidth="1" style="128" min="505" max="752"/>
    <col width="10.81640625" customWidth="1" style="128" min="753" max="753"/>
    <col width="18.1796875" customWidth="1" style="128" min="754" max="754"/>
    <col width="15" customWidth="1" style="128" min="755" max="755"/>
    <col width="13" customWidth="1" style="128" min="756" max="759"/>
    <col width="17.453125" customWidth="1" style="128" min="760" max="760"/>
    <col width="9.1796875" customWidth="1" style="128" min="761" max="1008"/>
    <col width="10.81640625" customWidth="1" style="128" min="1009" max="1009"/>
    <col width="18.1796875" customWidth="1" style="128" min="1010" max="1010"/>
    <col width="15" customWidth="1" style="128" min="1011" max="1011"/>
    <col width="13" customWidth="1" style="128" min="1012" max="1015"/>
    <col width="17.453125" customWidth="1" style="128" min="1016" max="1016"/>
    <col width="9.1796875" customWidth="1" style="128" min="1017" max="1264"/>
    <col width="10.81640625" customWidth="1" style="128" min="1265" max="1265"/>
    <col width="18.1796875" customWidth="1" style="128" min="1266" max="1266"/>
    <col width="15" customWidth="1" style="128" min="1267" max="1267"/>
    <col width="13" customWidth="1" style="128" min="1268" max="1271"/>
    <col width="17.453125" customWidth="1" style="128" min="1272" max="1272"/>
    <col width="9.1796875" customWidth="1" style="128" min="1273" max="1520"/>
    <col width="10.81640625" customWidth="1" style="128" min="1521" max="1521"/>
    <col width="18.1796875" customWidth="1" style="128" min="1522" max="1522"/>
    <col width="15" customWidth="1" style="128" min="1523" max="1523"/>
    <col width="13" customWidth="1" style="128" min="1524" max="1527"/>
    <col width="17.453125" customWidth="1" style="128" min="1528" max="1528"/>
    <col width="9.1796875" customWidth="1" style="128" min="1529" max="1776"/>
    <col width="10.81640625" customWidth="1" style="128" min="1777" max="1777"/>
    <col width="18.1796875" customWidth="1" style="128" min="1778" max="1778"/>
    <col width="15" customWidth="1" style="128" min="1779" max="1779"/>
    <col width="13" customWidth="1" style="128" min="1780" max="1783"/>
    <col width="17.453125" customWidth="1" style="128" min="1784" max="1784"/>
    <col width="9.1796875" customWidth="1" style="128" min="1785" max="2032"/>
    <col width="10.81640625" customWidth="1" style="128" min="2033" max="2033"/>
    <col width="18.1796875" customWidth="1" style="128" min="2034" max="2034"/>
    <col width="15" customWidth="1" style="128" min="2035" max="2035"/>
    <col width="13" customWidth="1" style="128" min="2036" max="2039"/>
    <col width="17.453125" customWidth="1" style="128" min="2040" max="2040"/>
    <col width="9.1796875" customWidth="1" style="128" min="2041" max="2288"/>
    <col width="10.81640625" customWidth="1" style="128" min="2289" max="2289"/>
    <col width="18.1796875" customWidth="1" style="128" min="2290" max="2290"/>
    <col width="15" customWidth="1" style="128" min="2291" max="2291"/>
    <col width="13" customWidth="1" style="128" min="2292" max="2295"/>
    <col width="17.453125" customWidth="1" style="128" min="2296" max="2296"/>
    <col width="9.1796875" customWidth="1" style="128" min="2297" max="2544"/>
    <col width="10.81640625" customWidth="1" style="128" min="2545" max="2545"/>
    <col width="18.1796875" customWidth="1" style="128" min="2546" max="2546"/>
    <col width="15" customWidth="1" style="128" min="2547" max="2547"/>
    <col width="13" customWidth="1" style="128" min="2548" max="2551"/>
    <col width="17.453125" customWidth="1" style="128" min="2552" max="2552"/>
    <col width="9.1796875" customWidth="1" style="128" min="2553" max="2800"/>
    <col width="10.81640625" customWidth="1" style="128" min="2801" max="2801"/>
    <col width="18.1796875" customWidth="1" style="128" min="2802" max="2802"/>
    <col width="15" customWidth="1" style="128" min="2803" max="2803"/>
    <col width="13" customWidth="1" style="128" min="2804" max="2807"/>
    <col width="17.453125" customWidth="1" style="128" min="2808" max="2808"/>
    <col width="9.1796875" customWidth="1" style="128" min="2809" max="3056"/>
    <col width="10.81640625" customWidth="1" style="128" min="3057" max="3057"/>
    <col width="18.1796875" customWidth="1" style="128" min="3058" max="3058"/>
    <col width="15" customWidth="1" style="128" min="3059" max="3059"/>
    <col width="13" customWidth="1" style="128" min="3060" max="3063"/>
    <col width="17.453125" customWidth="1" style="128" min="3064" max="3064"/>
    <col width="9.1796875" customWidth="1" style="128" min="3065" max="3312"/>
    <col width="10.81640625" customWidth="1" style="128" min="3313" max="3313"/>
    <col width="18.1796875" customWidth="1" style="128" min="3314" max="3314"/>
    <col width="15" customWidth="1" style="128" min="3315" max="3315"/>
    <col width="13" customWidth="1" style="128" min="3316" max="3319"/>
    <col width="17.453125" customWidth="1" style="128" min="3320" max="3320"/>
    <col width="9.1796875" customWidth="1" style="128" min="3321" max="3568"/>
    <col width="10.81640625" customWidth="1" style="128" min="3569" max="3569"/>
    <col width="18.1796875" customWidth="1" style="128" min="3570" max="3570"/>
    <col width="15" customWidth="1" style="128" min="3571" max="3571"/>
    <col width="13" customWidth="1" style="128" min="3572" max="3575"/>
    <col width="17.453125" customWidth="1" style="128" min="3576" max="3576"/>
    <col width="9.1796875" customWidth="1" style="128" min="3577" max="3824"/>
    <col width="10.81640625" customWidth="1" style="128" min="3825" max="3825"/>
    <col width="18.1796875" customWidth="1" style="128" min="3826" max="3826"/>
    <col width="15" customWidth="1" style="128" min="3827" max="3827"/>
    <col width="13" customWidth="1" style="128" min="3828" max="3831"/>
    <col width="17.453125" customWidth="1" style="128" min="3832" max="3832"/>
    <col width="9.1796875" customWidth="1" style="128" min="3833" max="4080"/>
    <col width="10.81640625" customWidth="1" style="128" min="4081" max="4081"/>
    <col width="18.1796875" customWidth="1" style="128" min="4082" max="4082"/>
    <col width="15" customWidth="1" style="128" min="4083" max="4083"/>
    <col width="13" customWidth="1" style="128" min="4084" max="4087"/>
    <col width="17.453125" customWidth="1" style="128" min="4088" max="4088"/>
    <col width="9.1796875" customWidth="1" style="128" min="4089" max="4336"/>
    <col width="10.81640625" customWidth="1" style="128" min="4337" max="4337"/>
    <col width="18.1796875" customWidth="1" style="128" min="4338" max="4338"/>
    <col width="15" customWidth="1" style="128" min="4339" max="4339"/>
    <col width="13" customWidth="1" style="128" min="4340" max="4343"/>
    <col width="17.453125" customWidth="1" style="128" min="4344" max="4344"/>
    <col width="9.1796875" customWidth="1" style="128" min="4345" max="4592"/>
    <col width="10.81640625" customWidth="1" style="128" min="4593" max="4593"/>
    <col width="18.1796875" customWidth="1" style="128" min="4594" max="4594"/>
    <col width="15" customWidth="1" style="128" min="4595" max="4595"/>
    <col width="13" customWidth="1" style="128" min="4596" max="4599"/>
    <col width="17.453125" customWidth="1" style="128" min="4600" max="4600"/>
    <col width="9.1796875" customWidth="1" style="128" min="4601" max="4848"/>
    <col width="10.81640625" customWidth="1" style="128" min="4849" max="4849"/>
    <col width="18.1796875" customWidth="1" style="128" min="4850" max="4850"/>
    <col width="15" customWidth="1" style="128" min="4851" max="4851"/>
    <col width="13" customWidth="1" style="128" min="4852" max="4855"/>
    <col width="17.453125" customWidth="1" style="128" min="4856" max="4856"/>
    <col width="9.1796875" customWidth="1" style="128" min="4857" max="5104"/>
    <col width="10.81640625" customWidth="1" style="128" min="5105" max="5105"/>
    <col width="18.1796875" customWidth="1" style="128" min="5106" max="5106"/>
    <col width="15" customWidth="1" style="128" min="5107" max="5107"/>
    <col width="13" customWidth="1" style="128" min="5108" max="5111"/>
    <col width="17.453125" customWidth="1" style="128" min="5112" max="5112"/>
    <col width="9.1796875" customWidth="1" style="128" min="5113" max="5360"/>
    <col width="10.81640625" customWidth="1" style="128" min="5361" max="5361"/>
    <col width="18.1796875" customWidth="1" style="128" min="5362" max="5362"/>
    <col width="15" customWidth="1" style="128" min="5363" max="5363"/>
    <col width="13" customWidth="1" style="128" min="5364" max="5367"/>
    <col width="17.453125" customWidth="1" style="128" min="5368" max="5368"/>
    <col width="9.1796875" customWidth="1" style="128" min="5369" max="5616"/>
    <col width="10.81640625" customWidth="1" style="128" min="5617" max="5617"/>
    <col width="18.1796875" customWidth="1" style="128" min="5618" max="5618"/>
    <col width="15" customWidth="1" style="128" min="5619" max="5619"/>
    <col width="13" customWidth="1" style="128" min="5620" max="5623"/>
    <col width="17.453125" customWidth="1" style="128" min="5624" max="5624"/>
    <col width="9.1796875" customWidth="1" style="128" min="5625" max="5872"/>
    <col width="10.81640625" customWidth="1" style="128" min="5873" max="5873"/>
    <col width="18.1796875" customWidth="1" style="128" min="5874" max="5874"/>
    <col width="15" customWidth="1" style="128" min="5875" max="5875"/>
    <col width="13" customWidth="1" style="128" min="5876" max="5879"/>
    <col width="17.453125" customWidth="1" style="128" min="5880" max="5880"/>
    <col width="9.1796875" customWidth="1" style="128" min="5881" max="6128"/>
    <col width="10.81640625" customWidth="1" style="128" min="6129" max="6129"/>
    <col width="18.1796875" customWidth="1" style="128" min="6130" max="6130"/>
    <col width="15" customWidth="1" style="128" min="6131" max="6131"/>
    <col width="13" customWidth="1" style="128" min="6132" max="6135"/>
    <col width="17.453125" customWidth="1" style="128" min="6136" max="6136"/>
    <col width="9.1796875" customWidth="1" style="128" min="6137" max="6384"/>
    <col width="10.81640625" customWidth="1" style="128" min="6385" max="6385"/>
    <col width="18.1796875" customWidth="1" style="128" min="6386" max="6386"/>
    <col width="15" customWidth="1" style="128" min="6387" max="6387"/>
    <col width="13" customWidth="1" style="128" min="6388" max="6391"/>
    <col width="17.453125" customWidth="1" style="128" min="6392" max="6392"/>
    <col width="9.1796875" customWidth="1" style="128" min="6393" max="6640"/>
    <col width="10.81640625" customWidth="1" style="128" min="6641" max="6641"/>
    <col width="18.1796875" customWidth="1" style="128" min="6642" max="6642"/>
    <col width="15" customWidth="1" style="128" min="6643" max="6643"/>
    <col width="13" customWidth="1" style="128" min="6644" max="6647"/>
    <col width="17.453125" customWidth="1" style="128" min="6648" max="6648"/>
    <col width="9.1796875" customWidth="1" style="128" min="6649" max="6896"/>
    <col width="10.81640625" customWidth="1" style="128" min="6897" max="6897"/>
    <col width="18.1796875" customWidth="1" style="128" min="6898" max="6898"/>
    <col width="15" customWidth="1" style="128" min="6899" max="6899"/>
    <col width="13" customWidth="1" style="128" min="6900" max="6903"/>
    <col width="17.453125" customWidth="1" style="128" min="6904" max="6904"/>
    <col width="9.1796875" customWidth="1" style="128" min="6905" max="7152"/>
    <col width="10.81640625" customWidth="1" style="128" min="7153" max="7153"/>
    <col width="18.1796875" customWidth="1" style="128" min="7154" max="7154"/>
    <col width="15" customWidth="1" style="128" min="7155" max="7155"/>
    <col width="13" customWidth="1" style="128" min="7156" max="7159"/>
    <col width="17.453125" customWidth="1" style="128" min="7160" max="7160"/>
    <col width="9.1796875" customWidth="1" style="128" min="7161" max="7408"/>
    <col width="10.81640625" customWidth="1" style="128" min="7409" max="7409"/>
    <col width="18.1796875" customWidth="1" style="128" min="7410" max="7410"/>
    <col width="15" customWidth="1" style="128" min="7411" max="7411"/>
    <col width="13" customWidth="1" style="128" min="7412" max="7415"/>
    <col width="17.453125" customWidth="1" style="128" min="7416" max="7416"/>
    <col width="9.1796875" customWidth="1" style="128" min="7417" max="7664"/>
    <col width="10.81640625" customWidth="1" style="128" min="7665" max="7665"/>
    <col width="18.1796875" customWidth="1" style="128" min="7666" max="7666"/>
    <col width="15" customWidth="1" style="128" min="7667" max="7667"/>
    <col width="13" customWidth="1" style="128" min="7668" max="7671"/>
    <col width="17.453125" customWidth="1" style="128" min="7672" max="7672"/>
    <col width="9.1796875" customWidth="1" style="128" min="7673" max="7920"/>
    <col width="10.81640625" customWidth="1" style="128" min="7921" max="7921"/>
    <col width="18.1796875" customWidth="1" style="128" min="7922" max="7922"/>
    <col width="15" customWidth="1" style="128" min="7923" max="7923"/>
    <col width="13" customWidth="1" style="128" min="7924" max="7927"/>
    <col width="17.453125" customWidth="1" style="128" min="7928" max="7928"/>
    <col width="9.1796875" customWidth="1" style="128" min="7929" max="8176"/>
    <col width="10.81640625" customWidth="1" style="128" min="8177" max="8177"/>
    <col width="18.1796875" customWidth="1" style="128" min="8178" max="8178"/>
    <col width="15" customWidth="1" style="128" min="8179" max="8179"/>
    <col width="13" customWidth="1" style="128" min="8180" max="8183"/>
    <col width="17.453125" customWidth="1" style="128" min="8184" max="8184"/>
    <col width="9.1796875" customWidth="1" style="128" min="8185" max="8432"/>
    <col width="10.81640625" customWidth="1" style="128" min="8433" max="8433"/>
    <col width="18.1796875" customWidth="1" style="128" min="8434" max="8434"/>
    <col width="15" customWidth="1" style="128" min="8435" max="8435"/>
    <col width="13" customWidth="1" style="128" min="8436" max="8439"/>
    <col width="17.453125" customWidth="1" style="128" min="8440" max="8440"/>
    <col width="9.1796875" customWidth="1" style="128" min="8441" max="8688"/>
    <col width="10.81640625" customWidth="1" style="128" min="8689" max="8689"/>
    <col width="18.1796875" customWidth="1" style="128" min="8690" max="8690"/>
    <col width="15" customWidth="1" style="128" min="8691" max="8691"/>
    <col width="13" customWidth="1" style="128" min="8692" max="8695"/>
    <col width="17.453125" customWidth="1" style="128" min="8696" max="8696"/>
    <col width="9.1796875" customWidth="1" style="128" min="8697" max="8944"/>
    <col width="10.81640625" customWidth="1" style="128" min="8945" max="8945"/>
    <col width="18.1796875" customWidth="1" style="128" min="8946" max="8946"/>
    <col width="15" customWidth="1" style="128" min="8947" max="8947"/>
    <col width="13" customWidth="1" style="128" min="8948" max="8951"/>
    <col width="17.453125" customWidth="1" style="128" min="8952" max="8952"/>
    <col width="9.1796875" customWidth="1" style="128" min="8953" max="9200"/>
    <col width="10.81640625" customWidth="1" style="128" min="9201" max="9201"/>
    <col width="18.1796875" customWidth="1" style="128" min="9202" max="9202"/>
    <col width="15" customWidth="1" style="128" min="9203" max="9203"/>
    <col width="13" customWidth="1" style="128" min="9204" max="9207"/>
    <col width="17.453125" customWidth="1" style="128" min="9208" max="9208"/>
    <col width="9.1796875" customWidth="1" style="128" min="9209" max="9456"/>
    <col width="10.81640625" customWidth="1" style="128" min="9457" max="9457"/>
    <col width="18.1796875" customWidth="1" style="128" min="9458" max="9458"/>
    <col width="15" customWidth="1" style="128" min="9459" max="9459"/>
    <col width="13" customWidth="1" style="128" min="9460" max="9463"/>
    <col width="17.453125" customWidth="1" style="128" min="9464" max="9464"/>
    <col width="9.1796875" customWidth="1" style="128" min="9465" max="9712"/>
    <col width="10.81640625" customWidth="1" style="128" min="9713" max="9713"/>
    <col width="18.1796875" customWidth="1" style="128" min="9714" max="9714"/>
    <col width="15" customWidth="1" style="128" min="9715" max="9715"/>
    <col width="13" customWidth="1" style="128" min="9716" max="9719"/>
    <col width="17.453125" customWidth="1" style="128" min="9720" max="9720"/>
    <col width="9.1796875" customWidth="1" style="128" min="9721" max="9968"/>
    <col width="10.81640625" customWidth="1" style="128" min="9969" max="9969"/>
    <col width="18.1796875" customWidth="1" style="128" min="9970" max="9970"/>
    <col width="15" customWidth="1" style="128" min="9971" max="9971"/>
    <col width="13" customWidth="1" style="128" min="9972" max="9975"/>
    <col width="17.453125" customWidth="1" style="128" min="9976" max="9976"/>
    <col width="9.1796875" customWidth="1" style="128" min="9977" max="10224"/>
    <col width="10.81640625" customWidth="1" style="128" min="10225" max="10225"/>
    <col width="18.1796875" customWidth="1" style="128" min="10226" max="10226"/>
    <col width="15" customWidth="1" style="128" min="10227" max="10227"/>
    <col width="13" customWidth="1" style="128" min="10228" max="10231"/>
    <col width="17.453125" customWidth="1" style="128" min="10232" max="10232"/>
    <col width="9.1796875" customWidth="1" style="128" min="10233" max="10480"/>
    <col width="10.81640625" customWidth="1" style="128" min="10481" max="10481"/>
    <col width="18.1796875" customWidth="1" style="128" min="10482" max="10482"/>
    <col width="15" customWidth="1" style="128" min="10483" max="10483"/>
    <col width="13" customWidth="1" style="128" min="10484" max="10487"/>
    <col width="17.453125" customWidth="1" style="128" min="10488" max="10488"/>
    <col width="9.1796875" customWidth="1" style="128" min="10489" max="10736"/>
    <col width="10.81640625" customWidth="1" style="128" min="10737" max="10737"/>
    <col width="18.1796875" customWidth="1" style="128" min="10738" max="10738"/>
    <col width="15" customWidth="1" style="128" min="10739" max="10739"/>
    <col width="13" customWidth="1" style="128" min="10740" max="10743"/>
    <col width="17.453125" customWidth="1" style="128" min="10744" max="10744"/>
    <col width="9.1796875" customWidth="1" style="128" min="10745" max="10992"/>
    <col width="10.81640625" customWidth="1" style="128" min="10993" max="10993"/>
    <col width="18.1796875" customWidth="1" style="128" min="10994" max="10994"/>
    <col width="15" customWidth="1" style="128" min="10995" max="10995"/>
    <col width="13" customWidth="1" style="128" min="10996" max="10999"/>
    <col width="17.453125" customWidth="1" style="128" min="11000" max="11000"/>
    <col width="9.1796875" customWidth="1" style="128" min="11001" max="11248"/>
    <col width="10.81640625" customWidth="1" style="128" min="11249" max="11249"/>
    <col width="18.1796875" customWidth="1" style="128" min="11250" max="11250"/>
    <col width="15" customWidth="1" style="128" min="11251" max="11251"/>
    <col width="13" customWidth="1" style="128" min="11252" max="11255"/>
    <col width="17.453125" customWidth="1" style="128" min="11256" max="11256"/>
    <col width="9.1796875" customWidth="1" style="128" min="11257" max="11504"/>
    <col width="10.81640625" customWidth="1" style="128" min="11505" max="11505"/>
    <col width="18.1796875" customWidth="1" style="128" min="11506" max="11506"/>
    <col width="15" customWidth="1" style="128" min="11507" max="11507"/>
    <col width="13" customWidth="1" style="128" min="11508" max="11511"/>
    <col width="17.453125" customWidth="1" style="128" min="11512" max="11512"/>
    <col width="9.1796875" customWidth="1" style="128" min="11513" max="11760"/>
    <col width="10.81640625" customWidth="1" style="128" min="11761" max="11761"/>
    <col width="18.1796875" customWidth="1" style="128" min="11762" max="11762"/>
    <col width="15" customWidth="1" style="128" min="11763" max="11763"/>
    <col width="13" customWidth="1" style="128" min="11764" max="11767"/>
    <col width="17.453125" customWidth="1" style="128" min="11768" max="11768"/>
    <col width="9.1796875" customWidth="1" style="128" min="11769" max="12016"/>
    <col width="10.81640625" customWidth="1" style="128" min="12017" max="12017"/>
    <col width="18.1796875" customWidth="1" style="128" min="12018" max="12018"/>
    <col width="15" customWidth="1" style="128" min="12019" max="12019"/>
    <col width="13" customWidth="1" style="128" min="12020" max="12023"/>
    <col width="17.453125" customWidth="1" style="128" min="12024" max="12024"/>
    <col width="9.1796875" customWidth="1" style="128" min="12025" max="12272"/>
    <col width="10.81640625" customWidth="1" style="128" min="12273" max="12273"/>
    <col width="18.1796875" customWidth="1" style="128" min="12274" max="12274"/>
    <col width="15" customWidth="1" style="128" min="12275" max="12275"/>
    <col width="13" customWidth="1" style="128" min="12276" max="12279"/>
    <col width="17.453125" customWidth="1" style="128" min="12280" max="12280"/>
    <col width="9.1796875" customWidth="1" style="128" min="12281" max="12528"/>
    <col width="10.81640625" customWidth="1" style="128" min="12529" max="12529"/>
    <col width="18.1796875" customWidth="1" style="128" min="12530" max="12530"/>
    <col width="15" customWidth="1" style="128" min="12531" max="12531"/>
    <col width="13" customWidth="1" style="128" min="12532" max="12535"/>
    <col width="17.453125" customWidth="1" style="128" min="12536" max="12536"/>
    <col width="9.1796875" customWidth="1" style="128" min="12537" max="12784"/>
    <col width="10.81640625" customWidth="1" style="128" min="12785" max="12785"/>
    <col width="18.1796875" customWidth="1" style="128" min="12786" max="12786"/>
    <col width="15" customWidth="1" style="128" min="12787" max="12787"/>
    <col width="13" customWidth="1" style="128" min="12788" max="12791"/>
    <col width="17.453125" customWidth="1" style="128" min="12792" max="12792"/>
    <col width="9.1796875" customWidth="1" style="128" min="12793" max="13040"/>
    <col width="10.81640625" customWidth="1" style="128" min="13041" max="13041"/>
    <col width="18.1796875" customWidth="1" style="128" min="13042" max="13042"/>
    <col width="15" customWidth="1" style="128" min="13043" max="13043"/>
    <col width="13" customWidth="1" style="128" min="13044" max="13047"/>
    <col width="17.453125" customWidth="1" style="128" min="13048" max="13048"/>
    <col width="9.1796875" customWidth="1" style="128" min="13049" max="13296"/>
    <col width="10.81640625" customWidth="1" style="128" min="13297" max="13297"/>
    <col width="18.1796875" customWidth="1" style="128" min="13298" max="13298"/>
    <col width="15" customWidth="1" style="128" min="13299" max="13299"/>
    <col width="13" customWidth="1" style="128" min="13300" max="13303"/>
    <col width="17.453125" customWidth="1" style="128" min="13304" max="13304"/>
    <col width="9.1796875" customWidth="1" style="128" min="13305" max="13552"/>
    <col width="10.81640625" customWidth="1" style="128" min="13553" max="13553"/>
    <col width="18.1796875" customWidth="1" style="128" min="13554" max="13554"/>
    <col width="15" customWidth="1" style="128" min="13555" max="13555"/>
    <col width="13" customWidth="1" style="128" min="13556" max="13559"/>
    <col width="17.453125" customWidth="1" style="128" min="13560" max="13560"/>
    <col width="9.1796875" customWidth="1" style="128" min="13561" max="13808"/>
    <col width="10.81640625" customWidth="1" style="128" min="13809" max="13809"/>
    <col width="18.1796875" customWidth="1" style="128" min="13810" max="13810"/>
    <col width="15" customWidth="1" style="128" min="13811" max="13811"/>
    <col width="13" customWidth="1" style="128" min="13812" max="13815"/>
    <col width="17.453125" customWidth="1" style="128" min="13816" max="13816"/>
    <col width="9.1796875" customWidth="1" style="128" min="13817" max="14064"/>
    <col width="10.81640625" customWidth="1" style="128" min="14065" max="14065"/>
    <col width="18.1796875" customWidth="1" style="128" min="14066" max="14066"/>
    <col width="15" customWidth="1" style="128" min="14067" max="14067"/>
    <col width="13" customWidth="1" style="128" min="14068" max="14071"/>
    <col width="17.453125" customWidth="1" style="128" min="14072" max="14072"/>
    <col width="9.1796875" customWidth="1" style="128" min="14073" max="14320"/>
    <col width="10.81640625" customWidth="1" style="128" min="14321" max="14321"/>
    <col width="18.1796875" customWidth="1" style="128" min="14322" max="14322"/>
    <col width="15" customWidth="1" style="128" min="14323" max="14323"/>
    <col width="13" customWidth="1" style="128" min="14324" max="14327"/>
    <col width="17.453125" customWidth="1" style="128" min="14328" max="14328"/>
    <col width="9.1796875" customWidth="1" style="128" min="14329" max="14576"/>
    <col width="10.81640625" customWidth="1" style="128" min="14577" max="14577"/>
    <col width="18.1796875" customWidth="1" style="128" min="14578" max="14578"/>
    <col width="15" customWidth="1" style="128" min="14579" max="14579"/>
    <col width="13" customWidth="1" style="128" min="14580" max="14583"/>
    <col width="17.453125" customWidth="1" style="128" min="14584" max="14584"/>
    <col width="9.1796875" customWidth="1" style="128" min="14585" max="14832"/>
    <col width="10.81640625" customWidth="1" style="128" min="14833" max="14833"/>
    <col width="18.1796875" customWidth="1" style="128" min="14834" max="14834"/>
    <col width="15" customWidth="1" style="128" min="14835" max="14835"/>
    <col width="13" customWidth="1" style="128" min="14836" max="14839"/>
    <col width="17.453125" customWidth="1" style="128" min="14840" max="14840"/>
    <col width="9.1796875" customWidth="1" style="128" min="14841" max="15088"/>
    <col width="10.81640625" customWidth="1" style="128" min="15089" max="15089"/>
    <col width="18.1796875" customWidth="1" style="128" min="15090" max="15090"/>
    <col width="15" customWidth="1" style="128" min="15091" max="15091"/>
    <col width="13" customWidth="1" style="128" min="15092" max="15095"/>
    <col width="17.453125" customWidth="1" style="128" min="15096" max="15096"/>
    <col width="9.1796875" customWidth="1" style="128" min="15097" max="15344"/>
    <col width="10.81640625" customWidth="1" style="128" min="15345" max="15345"/>
    <col width="18.1796875" customWidth="1" style="128" min="15346" max="15346"/>
    <col width="15" customWidth="1" style="128" min="15347" max="15347"/>
    <col width="13" customWidth="1" style="128" min="15348" max="15351"/>
    <col width="17.453125" customWidth="1" style="128" min="15352" max="15352"/>
    <col width="9.1796875" customWidth="1" style="128" min="15353" max="15600"/>
    <col width="10.81640625" customWidth="1" style="128" min="15601" max="15601"/>
    <col width="18.1796875" customWidth="1" style="128" min="15602" max="15602"/>
    <col width="15" customWidth="1" style="128" min="15603" max="15603"/>
    <col width="13" customWidth="1" style="128" min="15604" max="15607"/>
    <col width="17.453125" customWidth="1" style="128" min="15608" max="15608"/>
    <col width="9.1796875" customWidth="1" style="128" min="15609" max="15856"/>
    <col width="10.81640625" customWidth="1" style="128" min="15857" max="15857"/>
    <col width="18.1796875" customWidth="1" style="128" min="15858" max="15858"/>
    <col width="15" customWidth="1" style="128" min="15859" max="15859"/>
    <col width="13" customWidth="1" style="128" min="15860" max="15863"/>
    <col width="17.453125" customWidth="1" style="128" min="15864" max="15864"/>
    <col width="9.1796875" customWidth="1" style="128" min="15865" max="16112"/>
    <col width="10.81640625" customWidth="1" style="128" min="16113" max="16113"/>
    <col width="18.1796875" customWidth="1" style="128" min="16114" max="16114"/>
    <col width="15" customWidth="1" style="128" min="16115" max="16115"/>
    <col width="13" customWidth="1" style="128" min="16116" max="16119"/>
    <col width="17.453125" customWidth="1" style="128" min="16120" max="16120"/>
    <col width="9.1796875" customWidth="1" style="128" min="16121" max="16384"/>
  </cols>
  <sheetData>
    <row r="1">
      <c r="A1" s="85" t="inlineStr">
        <is>
          <t>AMTUNO</t>
        </is>
      </c>
      <c r="B1" s="139">
        <f>VLOOKUP(A1,Note!U16:V25,2,)</f>
        <v/>
      </c>
      <c r="G1" s="84" t="inlineStr">
        <is>
          <t>*Modify name from Note List</t>
        </is>
      </c>
    </row>
    <row r="2" ht="15" customHeight="1" s="141">
      <c r="A2" s="71" t="n"/>
      <c r="B2" s="68" t="n"/>
      <c r="C2" s="69" t="n"/>
      <c r="G2" s="84" t="inlineStr">
        <is>
          <t>example AMTUNO for Manufacturing</t>
        </is>
      </c>
    </row>
    <row r="3">
      <c r="B3" s="68" t="n"/>
      <c r="C3" s="69" t="n"/>
    </row>
    <row r="4" ht="16" customHeight="1" s="141" thickBot="1"/>
    <row r="5" ht="68.25" customHeight="1" s="141"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row r="367">
      <c r="A367" s="74" t="n">
        <v>44621</v>
      </c>
      <c r="B367" s="75">
        <f>VLOOKUP(A367,Database!A:M,MATCH($A$1,Database!$A$1:$M$1,),)</f>
        <v/>
      </c>
      <c r="C367" s="113">
        <f>(Table535141516[[#This Row],[Durable Goods]]-B366)/B366</f>
        <v/>
      </c>
    </row>
    <row r="368">
      <c r="A368" s="74" t="n">
        <v>44652</v>
      </c>
      <c r="B368" s="75">
        <f>VLOOKUP(A368,Database!A:M,MATCH($A$1,Database!$A$1:$M$1,),)</f>
        <v/>
      </c>
      <c r="C368" s="113">
        <f>(Table535141516[[#This Row],[Durable Goods]]-B367)/B367</f>
        <v/>
      </c>
    </row>
    <row r="369">
      <c r="A369" s="74" t="n">
        <v>44682</v>
      </c>
      <c r="B369" s="75">
        <f>VLOOKUP(A369,Database!A:M,MATCH($A$1,Database!$A$1:$M$1,),)</f>
        <v/>
      </c>
      <c r="C369" s="113">
        <f>(Table535141516[[#This Row],[Durable Goods]]-B368)/B368</f>
        <v/>
      </c>
    </row>
    <row r="370">
      <c r="A370" s="74" t="n">
        <v>44713</v>
      </c>
      <c r="B370" s="75">
        <f>VLOOKUP(A370,Database!A:M,MATCH($A$1,Database!$A$1:$M$1,),)</f>
        <v/>
      </c>
      <c r="C370" s="113">
        <f>(Table535141516[[#This Row],[Durable Goods]]-B369)/B369</f>
        <v/>
      </c>
    </row>
    <row r="371">
      <c r="A371" s="74" t="n">
        <v>44743</v>
      </c>
      <c r="B371" s="75">
        <f>VLOOKUP(A371,Database!A:M,MATCH($A$1,Database!$A$1:$M$1,),)</f>
        <v/>
      </c>
      <c r="C371" s="113">
        <f>(Table535141516[[#This Row],[Durable Goods]]-B370)/B370</f>
        <v/>
      </c>
    </row>
    <row r="372">
      <c r="A372" s="74" t="n">
        <v>44774</v>
      </c>
      <c r="B372" s="75">
        <f>VLOOKUP(A372,Database!A:M,MATCH($A$1,Database!$A$1:$M$1,),)</f>
        <v/>
      </c>
      <c r="C372" s="113">
        <f>(Table535141516[[#This Row],[Durable Goods]]-B371)/B371</f>
        <v/>
      </c>
    </row>
    <row r="373">
      <c r="A373" s="74" t="n">
        <v>44805</v>
      </c>
      <c r="B373" s="75">
        <f>VLOOKUP(A373,Database!A:M,MATCH($A$1,Database!$A$1:$M$1,),)</f>
        <v/>
      </c>
      <c r="C373" s="113">
        <f>(Table535141516[[#This Row],[Durable Goods]]-B372)/B372</f>
        <v/>
      </c>
    </row>
    <row r="374">
      <c r="A374" s="74" t="n">
        <v>44835</v>
      </c>
      <c r="B374" s="75">
        <f>VLOOKUP(A374,Database!A:M,MATCH($A$1,Database!$A$1:$M$1,),)</f>
        <v/>
      </c>
      <c r="C374" s="113">
        <f>(Table535141516[[#This Row],[Durable Goods]]-B373)/B373</f>
        <v/>
      </c>
    </row>
    <row r="375">
      <c r="A375" s="74" t="n">
        <v>44866</v>
      </c>
      <c r="B375" s="75">
        <f>VLOOKUP(A375,Database!A:M,MATCH($A$1,Database!$A$1:$M$1,),)</f>
        <v/>
      </c>
      <c r="C375" s="113">
        <f>(Table535141516[[#This Row],[Durable Goods]]-B374)/B374</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2022-12-27T05:43:26Z</dcterms:modified>
  <cp:lastModifiedBy>Mark Mukherjee</cp:lastModifiedBy>
</cp:coreProperties>
</file>