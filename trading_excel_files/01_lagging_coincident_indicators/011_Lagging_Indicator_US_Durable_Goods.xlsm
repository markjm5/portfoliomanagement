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10" yWindow="-110" windowWidth="19420" windowHeight="11500" tabRatio="715"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Orders'!$B$6:$B$374</f>
              <numCache>
                <formatCode>#,##0</formatCode>
                <ptCount val="369"/>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274557</v>
                </pt>
                <pt idx="368">
                  <v>277375</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Orders'!$C$6:$C$374</f>
              <numCache>
                <formatCode>0.0%</formatCode>
                <ptCount val="369"/>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-0.001345171820112512</v>
                </pt>
                <pt idx="366">
                  <v>0.002335259861714549</v>
                </pt>
                <pt idx="367">
                  <v>0.002614655949985575</v>
                </pt>
                <pt idx="368">
                  <v>0.01026380678693313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-0.001345171820112512</v>
                </pt>
                <pt idx="121">
                  <v>0.002335259861714549</v>
                </pt>
                <pt idx="122">
                  <v>0.002614655949985575</v>
                </pt>
                <pt idx="123">
                  <v>0.01026380678693313</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Orders'!$B$6:$B$374</f>
              <numCache>
                <formatCode>#,##0</formatCode>
                <ptCount val="369"/>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274557</v>
                </pt>
                <pt idx="368">
                  <v>277375</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Aircraft'!$B$6:$B$374</f>
              <numCache>
                <formatCode>#,##0</formatCode>
                <ptCount val="369"/>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74709</v>
                </pt>
                <pt idx="366">
                  <v>75379</v>
                </pt>
                <pt idx="367">
                  <v>74793</v>
                </pt>
                <pt idx="368">
                  <v>75323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pt idx="164">
                  <v>44805</v>
                </pt>
                <pt idx="165">
                  <v>44835</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74709</v>
                </pt>
                <pt idx="163">
                  <v>75379</v>
                </pt>
                <pt idx="164">
                  <v>74793</v>
                </pt>
                <pt idx="165">
                  <v>75323</v>
                </pt>
              </numCache>
            </numRef>
          </val>
          <smooth val="0"/>
        </ser>
        <dLbls>
          <showLegendKey val="0"/>
          <showVal val="0"/>
          <showCatName val="0"/>
          <showSerName val="0"/>
          <showPercent val="0"/>
          <showBubbleSize val="0"/>
        </dLbls>
        <smooth val="0"/>
        <axId val="504146408"/>
        <axId val="504146800"/>
      </lineChart>
      <dateAx>
        <axId val="504146408"/>
        <scaling>
          <orientation val="minMax"/>
          <max val="448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Aircraft'!$C$6:$C$374</f>
              <numCache>
                <formatCode>0.0%</formatCode>
                <ptCount val="369"/>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0.006995551961180752</v>
                </pt>
                <pt idx="366">
                  <v>0.008968129676478068</v>
                </pt>
                <pt idx="367">
                  <v>-0.007774048475039467</v>
                </pt>
                <pt idx="368">
                  <v>0.007086224646691536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0.006995551961180752</v>
                </pt>
                <pt idx="121">
                  <v>0.008968129676478068</v>
                </pt>
                <pt idx="122">
                  <v>-0.007774048475039467</v>
                </pt>
                <pt idx="123">
                  <v>0.007086224646691536</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805"/>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178773</v>
                </pt>
                <pt idx="368">
                  <v>179613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Transport'!$C$6:$C$374</f>
              <numCache>
                <formatCode>0.0%</formatCode>
                <ptCount val="369"/>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0.001506015727027703</v>
                </pt>
                <pt idx="366">
                  <v>0.0007879433568606561</v>
                </pt>
                <pt idx="367">
                  <v>-0.00878807704676255</v>
                </pt>
                <pt idx="368">
                  <v>0.004698696111828968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0.001506015727027703</v>
                </pt>
                <pt idx="121">
                  <v>0.0007879433568606561</v>
                </pt>
                <pt idx="122">
                  <v>-0.00878807704676255</v>
                </pt>
                <pt idx="123">
                  <v>0.004698696111828968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178773</v>
                </pt>
                <pt idx="368">
                  <v>179613</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193829</v>
                </pt>
                <pt idx="368">
                  <v>196453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-0.0008021060425321871</v>
                </pt>
                <pt idx="366">
                  <v>0.001080624909947924</v>
                </pt>
                <pt idx="367">
                  <v>-0.003665018350793145</v>
                </pt>
                <pt idx="368">
                  <v>0.0135377059160394</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-0.0008021060425321871</v>
                </pt>
                <pt idx="121">
                  <v>0.001080624909947924</v>
                </pt>
                <pt idx="122">
                  <v>-0.003665018350793145</v>
                </pt>
                <pt idx="123">
                  <v>0.0135377059160394</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193829</v>
                </pt>
                <pt idx="368">
                  <v>196453</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660400</colOff>
      <row>327</row>
      <rowOff>84668</rowOff>
    </from>
    <to>
      <col>14</col>
      <colOff>601133</colOff>
      <row>349</row>
      <rowOff>93134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652991</colOff>
      <row>350</row>
      <rowOff>64029</rowOff>
    </from>
    <to>
      <col>14</col>
      <colOff>592666</colOff>
      <row>373</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118533</colOff>
      <row>327</row>
      <rowOff>87312</rowOff>
    </from>
    <to>
      <col>26</col>
      <colOff>364065</colOff>
      <row>349</row>
      <rowOff>135466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186267</colOff>
      <row>350</row>
      <rowOff>29632</rowOff>
    </from>
    <to>
      <col>26</col>
      <colOff>389466</colOff>
      <row>373</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142875</colOff>
      <row>326</row>
      <rowOff>87312</rowOff>
    </from>
    <to>
      <col>12</col>
      <colOff>660400</colOff>
      <row>346</row>
      <rowOff>115887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155574</colOff>
      <row>326</row>
      <rowOff>63498</rowOff>
    </from>
    <to>
      <col>23</col>
      <colOff>666749</colOff>
      <row>346</row>
      <rowOff>119061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123824</colOff>
      <row>347</row>
      <rowOff>31749</rowOff>
    </from>
    <to>
      <col>23</col>
      <colOff>666750</colOff>
      <row>369</row>
      <rowOff>87312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115887</colOff>
      <row>347</row>
      <rowOff>39686</rowOff>
    </from>
    <to>
      <col>12</col>
      <colOff>658812</colOff>
      <row>369</row>
      <rowOff>55561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397933</colOff>
      <row>325</row>
      <rowOff>135467</rowOff>
    </from>
    <to>
      <col>14</col>
      <colOff>225425</colOff>
      <row>346</row>
      <rowOff>176213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397933</colOff>
      <row>325</row>
      <rowOff>152401</rowOff>
    </from>
    <to>
      <col>25</col>
      <colOff>389467</colOff>
      <row>347</row>
      <rowOff>6880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381001</colOff>
      <row>347</row>
      <rowOff>122766</rowOff>
    </from>
    <to>
      <col>25</col>
      <colOff>287867</colOff>
      <row>370</row>
      <rowOff>118533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389467</colOff>
      <row>347</row>
      <rowOff>118533</rowOff>
    </from>
    <to>
      <col>14</col>
      <colOff>220133</colOff>
      <row>370</row>
      <rowOff>33866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4" headerRowCount="1" totalsRowShown="0" headerRowDxfId="23" dataDxfId="21" headerRowBorderDxfId="22">
  <autoFilter ref="A5:C374"/>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4" headerRowCount="1" totalsRowShown="0" headerRowDxfId="17" dataDxfId="15" headerRowBorderDxfId="16">
  <autoFilter ref="A5:C374"/>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4" headerRowCount="1" totalsRowShown="0" headerRowDxfId="11" dataDxfId="9" headerRowBorderDxfId="10">
  <autoFilter ref="A5:C374"/>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4" headerRowCount="1" totalsRowShown="0" headerRowDxfId="5" dataDxfId="3" headerRowBorderDxfId="4">
  <autoFilter ref="A5:C374"/>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C7" zoomScale="150" zoomScaleNormal="150" workbookViewId="0">
      <selection activeCell="S25" sqref="N14:S25"/>
    </sheetView>
  </sheetViews>
  <sheetFormatPr baseColWidth="8" defaultColWidth="9.1796875" defaultRowHeight="14.5"/>
  <cols>
    <col width="9.1796875" customWidth="1" style="123" min="1" max="1"/>
    <col width="12.81640625" customWidth="1" style="123" min="2" max="10"/>
    <col width="3.453125" customWidth="1" style="123" min="11" max="13"/>
    <col width="21.36328125" customWidth="1" style="123" min="14" max="14"/>
    <col width="15.6328125" customWidth="1" style="123" min="15" max="15"/>
    <col width="10.6328125" bestFit="1" customWidth="1" style="123" min="16" max="17"/>
    <col width="9.1796875" customWidth="1" style="123" min="18" max="18"/>
    <col width="11.453125" customWidth="1" style="123" min="19" max="19"/>
    <col width="9.1796875" customWidth="1" style="123" min="20" max="28"/>
    <col width="9.1796875" customWidth="1" style="123" min="29" max="16384"/>
  </cols>
  <sheetData>
    <row r="1">
      <c r="B1" s="129" t="n"/>
    </row>
    <row r="2" ht="16" customHeight="1" s="142" thickBot="1">
      <c r="B2" s="130" t="n"/>
      <c r="C2" s="130" t="n"/>
      <c r="D2" s="130" t="n"/>
      <c r="E2" s="130" t="n"/>
      <c r="F2" s="130" t="n"/>
      <c r="G2" s="130" t="n"/>
      <c r="H2" s="130" t="n"/>
      <c r="I2" s="130" t="n"/>
      <c r="J2" s="130" t="n"/>
    </row>
    <row r="3" ht="16" customHeight="1" s="142" thickBot="1">
      <c r="B3" s="131" t="inlineStr">
        <is>
          <t>Durable Good Orders</t>
        </is>
      </c>
      <c r="C3" s="132" t="n"/>
      <c r="D3" s="132" t="n"/>
      <c r="E3" s="132" t="n"/>
      <c r="F3" s="132" t="n"/>
      <c r="G3" s="132" t="n"/>
      <c r="H3" s="132" t="n"/>
      <c r="I3" s="132" t="n"/>
      <c r="J3" s="133" t="n"/>
    </row>
    <row r="5">
      <c r="B5" s="126" t="inlineStr">
        <is>
          <t>Definition</t>
        </is>
      </c>
      <c r="C5" s="127" t="n"/>
      <c r="D5" s="127" t="n"/>
      <c r="E5" s="127" t="n"/>
      <c r="F5" s="127" t="n"/>
      <c r="G5" s="127" t="n"/>
      <c r="H5" s="127" t="n"/>
      <c r="I5" s="127" t="n"/>
      <c r="J5" s="128" t="n"/>
    </row>
    <row r="7" ht="129" customHeight="1" s="142">
      <c r="B7" s="134"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2" t="inlineStr">
        <is>
          <t>https://www.census.gov/manufacturing/m3/definitions/index.html</t>
        </is>
      </c>
    </row>
    <row r="9">
      <c r="B9" s="61" t="n"/>
      <c r="C9" s="61" t="n"/>
      <c r="D9" s="61" t="n"/>
      <c r="E9" s="61" t="n"/>
    </row>
    <row r="10">
      <c r="B10" s="126" t="inlineStr">
        <is>
          <t>Process / TO DO LIST</t>
        </is>
      </c>
      <c r="C10" s="127" t="n"/>
      <c r="D10" s="127" t="n"/>
      <c r="E10" s="127" t="n"/>
      <c r="F10" s="127" t="n"/>
      <c r="G10" s="127" t="n"/>
      <c r="H10" s="127" t="n"/>
      <c r="I10" s="127" t="n"/>
      <c r="J10" s="128" t="n"/>
      <c r="N10" s="126" t="inlineStr">
        <is>
          <t>Summary</t>
        </is>
      </c>
      <c r="O10" s="127" t="n"/>
      <c r="P10" s="127" t="n"/>
      <c r="Q10" s="127" t="n"/>
      <c r="R10" s="127" t="n"/>
      <c r="S10" s="128" t="n"/>
    </row>
    <row r="12">
      <c r="B12" s="126" t="inlineStr">
        <is>
          <t>TO DO LIST</t>
        </is>
      </c>
      <c r="C12" s="127" t="n"/>
      <c r="D12" s="127" t="n"/>
      <c r="E12" s="127" t="n"/>
      <c r="F12" s="128" t="n"/>
      <c r="G12" s="126" t="inlineStr">
        <is>
          <t>Comments</t>
        </is>
      </c>
      <c r="H12" s="127" t="n"/>
      <c r="I12" s="127" t="n"/>
      <c r="J12" s="128" t="n"/>
    </row>
    <row r="13" ht="16" customHeight="1" s="142" thickBot="1"/>
    <row r="14" ht="19.5" customHeight="1" s="142">
      <c r="B14" s="122" t="n"/>
      <c r="G14" s="123" t="n"/>
      <c r="P14" s="62" t="n">
        <v>44805</v>
      </c>
      <c r="Q14" s="83">
        <f>DATE(YEAR(P14),MONTH(P14)-1,DAY(P14))</f>
        <v/>
      </c>
      <c r="R14" s="63" t="n"/>
    </row>
    <row r="15" ht="18" customHeight="1" s="142" thickBot="1">
      <c r="B15" s="122" t="inlineStr">
        <is>
          <t>https://fred.stlouisfed.org/series/DGORDER</t>
        </is>
      </c>
      <c r="G15" s="124" t="inlineStr">
        <is>
          <t>Durable Goods New Orders</t>
        </is>
      </c>
      <c r="P15" s="76" t="inlineStr">
        <is>
          <t>Last</t>
        </is>
      </c>
      <c r="Q15" s="64" t="inlineStr">
        <is>
          <t>Last</t>
        </is>
      </c>
      <c r="R15" s="65" t="inlineStr">
        <is>
          <t>Var.</t>
        </is>
      </c>
    </row>
    <row r="16" ht="18" customHeight="1" s="142">
      <c r="B16" s="122" t="inlineStr">
        <is>
          <t>https://fred.stlouisfed.org/series/ADXTNO</t>
        </is>
      </c>
      <c r="G16" s="124" t="inlineStr">
        <is>
          <t>New Orders ex Transport</t>
        </is>
      </c>
      <c r="N16" s="139" t="inlineStr">
        <is>
          <t>Durable Goods New Orders</t>
        </is>
      </c>
      <c r="O16" s="140" t="n"/>
      <c r="P16" s="77">
        <f>VLOOKUP($P$14,Database!$A:$M,MATCH(Note!S16,Database!$A$1:$M$1,),)</f>
        <v/>
      </c>
      <c r="Q16" s="77">
        <f>VLOOKUP($Q$14,Database!$A:$M,MATCH(Note!S16,Database!$A$1:$M$1,),)</f>
        <v/>
      </c>
      <c r="R16" s="97">
        <f>(P16-Q16)/Q16</f>
        <v/>
      </c>
      <c r="S16" s="78" t="inlineStr">
        <is>
          <t>DGORDER</t>
        </is>
      </c>
      <c r="U16" s="78" t="inlineStr">
        <is>
          <t>DGORDER</t>
        </is>
      </c>
      <c r="V16" s="123" t="inlineStr">
        <is>
          <t>Durable Goods New Orders</t>
        </is>
      </c>
    </row>
    <row r="17" ht="18" customHeight="1" s="142">
      <c r="B17" s="122" t="inlineStr">
        <is>
          <t>https://fred.stlouisfed.org/series/NEWORDER</t>
        </is>
      </c>
      <c r="G17" s="125" t="inlineStr">
        <is>
          <t>New Orders Nondefense Ex Aircraft &amp; Parts= Core</t>
        </is>
      </c>
      <c r="N17" s="136" t="inlineStr">
        <is>
          <t>New Orders ex Transport</t>
        </is>
      </c>
      <c r="O17" s="128" t="n"/>
      <c r="P17" s="94">
        <f>VLOOKUP($P$14,Database!$A:$M,MATCH(Note!S17,Database!$A$1:$M$1,),)</f>
        <v/>
      </c>
      <c r="Q17" s="94">
        <f>VLOOKUP($Q$14,Database!$A:$M,MATCH(Note!S17,Database!$A$1:$M$1,),)</f>
        <v/>
      </c>
      <c r="R17" s="98">
        <f>(P17-Q17)/Q17</f>
        <v/>
      </c>
      <c r="S17" s="79" t="inlineStr">
        <is>
          <t>ADXTNO</t>
        </is>
      </c>
      <c r="U17" s="79" t="inlineStr">
        <is>
          <t>ADXTNO</t>
        </is>
      </c>
      <c r="V17" s="123" t="inlineStr">
        <is>
          <t>New Orders ex Transport</t>
        </is>
      </c>
    </row>
    <row r="18" ht="33.75" customHeight="1" s="142">
      <c r="B18" s="122" t="inlineStr">
        <is>
          <t>https://fred.stlouisfed.org/series/AMTUNO</t>
        </is>
      </c>
      <c r="G18" s="125" t="inlineStr">
        <is>
          <t>New Orders - Manufacturing</t>
        </is>
      </c>
      <c r="N18" s="135" t="inlineStr">
        <is>
          <t>New Orders Nondefense Ex Aircraft &amp; Parts = Core</t>
        </is>
      </c>
      <c r="O18" s="128" t="n"/>
      <c r="P18" s="94">
        <f>VLOOKUP($P$14,Database!$A:$M,MATCH(Note!S18,Database!$A$1:$M$1,),)</f>
        <v/>
      </c>
      <c r="Q18" s="94">
        <f>VLOOKUP($Q$14,Database!$A:$M,MATCH(Note!S18,Database!$A$1:$M$1,),)</f>
        <v/>
      </c>
      <c r="R18" s="98">
        <f>(P18-Q18)/Q18</f>
        <v/>
      </c>
      <c r="S18" s="80" t="inlineStr">
        <is>
          <t>NEWORDER</t>
        </is>
      </c>
      <c r="U18" s="80" t="inlineStr">
        <is>
          <t>NEWORDER</t>
        </is>
      </c>
      <c r="V18" s="123" t="inlineStr">
        <is>
          <t>New Orders Nondefense Ex Aircraft &amp; Parts = Core</t>
        </is>
      </c>
    </row>
    <row r="19" ht="18" customHeight="1" s="142">
      <c r="B19" s="122" t="inlineStr">
        <is>
          <t>https://fred.stlouisfed.org/series/A36SNO</t>
        </is>
      </c>
      <c r="G19" s="125" t="inlineStr">
        <is>
          <t>New Orders - Transportation Equipment</t>
        </is>
      </c>
      <c r="N19" s="136" t="inlineStr">
        <is>
          <t>New Orders - Manufacturing</t>
        </is>
      </c>
      <c r="O19" s="128" t="n"/>
      <c r="P19" s="94">
        <f>VLOOKUP($P$14,Database!$A:$M,MATCH(Note!S19,Database!$A$1:$M$1,),)</f>
        <v/>
      </c>
      <c r="Q19" s="94">
        <f>VLOOKUP($Q$14,Database!$A:$M,MATCH(Note!S19,Database!$A$1:$M$1,),)</f>
        <v/>
      </c>
      <c r="R19" s="98">
        <f>(P19-Q19)/Q19</f>
        <v/>
      </c>
      <c r="S19" s="79" t="inlineStr">
        <is>
          <t>AMTUNO</t>
        </is>
      </c>
      <c r="U19" s="79" t="inlineStr">
        <is>
          <t>AMTUNO</t>
        </is>
      </c>
      <c r="V19" s="123" t="inlineStr">
        <is>
          <t>New Orders - Manufacturing</t>
        </is>
      </c>
    </row>
    <row r="20" ht="18" customHeight="1" s="142">
      <c r="B20" s="122" t="inlineStr">
        <is>
          <t>https://fred.stlouisfed.org/series/A32SNO</t>
        </is>
      </c>
      <c r="G20" s="125" t="inlineStr">
        <is>
          <t>New Orders - Fabricated Metal Products</t>
        </is>
      </c>
      <c r="N20" s="136" t="inlineStr">
        <is>
          <t>New Orders - Transportation Equipment</t>
        </is>
      </c>
      <c r="O20" s="128" t="n"/>
      <c r="P20" s="94">
        <f>VLOOKUP($P$14,Database!$A:$M,MATCH(Note!S20,Database!$A$1:$M$1,),)</f>
        <v/>
      </c>
      <c r="Q20" s="94">
        <f>VLOOKUP($Q$14,Database!$A:$M,MATCH(Note!S20,Database!$A$1:$M$1,),)</f>
        <v/>
      </c>
      <c r="R20" s="98">
        <f>(P20-Q20)/Q20</f>
        <v/>
      </c>
      <c r="S20" s="80" t="inlineStr">
        <is>
          <t>A36SNO</t>
        </is>
      </c>
      <c r="U20" s="80" t="inlineStr">
        <is>
          <t>A36SNO</t>
        </is>
      </c>
      <c r="V20" s="123" t="inlineStr">
        <is>
          <t>New Orders - Transportation Equipment</t>
        </is>
      </c>
    </row>
    <row r="21" ht="18" customHeight="1" s="142">
      <c r="B21" s="122" t="inlineStr">
        <is>
          <t>https://fred.stlouisfed.org/series/A33SNO</t>
        </is>
      </c>
      <c r="G21" s="125" t="inlineStr">
        <is>
          <t>New Orders - Machinery</t>
        </is>
      </c>
      <c r="N21" s="136" t="inlineStr">
        <is>
          <t>New Orders - Fabricated Metal Products</t>
        </is>
      </c>
      <c r="O21" s="128" t="n"/>
      <c r="P21" s="94">
        <f>VLOOKUP($P$14,Database!$A:$M,MATCH(Note!S21,Database!$A$1:$M$1,),)</f>
        <v/>
      </c>
      <c r="Q21" s="94">
        <f>VLOOKUP($Q$14,Database!$A:$M,MATCH(Note!S21,Database!$A$1:$M$1,),)</f>
        <v/>
      </c>
      <c r="R21" s="98">
        <f>(P21-Q21)/Q21</f>
        <v/>
      </c>
      <c r="S21" s="80" t="inlineStr">
        <is>
          <t>A32SNO</t>
        </is>
      </c>
      <c r="U21" s="80" t="inlineStr">
        <is>
          <t>A32SNO</t>
        </is>
      </c>
      <c r="V21" s="123" t="inlineStr">
        <is>
          <t>New Orders - Fabricated Metal Products</t>
        </is>
      </c>
    </row>
    <row r="22" ht="18" customHeight="1" s="142">
      <c r="B22" s="122" t="inlineStr">
        <is>
          <t>https://fred.stlouisfed.org/series/A34SNO</t>
        </is>
      </c>
      <c r="G22" s="125" t="inlineStr">
        <is>
          <t>New Orders - Computers</t>
        </is>
      </c>
      <c r="N22" s="136" t="inlineStr">
        <is>
          <t>New Orders - Machinery</t>
        </is>
      </c>
      <c r="O22" s="128" t="n"/>
      <c r="P22" s="94">
        <f>VLOOKUP($P$14,Database!$A:$M,MATCH(Note!S22,Database!$A$1:$M$1,),)</f>
        <v/>
      </c>
      <c r="Q22" s="94">
        <f>VLOOKUP($Q$14,Database!$A:$M,MATCH(Note!S22,Database!$A$1:$M$1,),)</f>
        <v/>
      </c>
      <c r="R22" s="98">
        <f>(P22-Q22)/Q22</f>
        <v/>
      </c>
      <c r="S22" s="80" t="inlineStr">
        <is>
          <t>A33SNO</t>
        </is>
      </c>
      <c r="U22" s="80" t="inlineStr">
        <is>
          <t>A33SNO</t>
        </is>
      </c>
      <c r="V22" s="123" t="inlineStr">
        <is>
          <t>New Orders - Machinery</t>
        </is>
      </c>
    </row>
    <row r="23" ht="18" customHeight="1" s="142">
      <c r="B23" s="122" t="inlineStr">
        <is>
          <t>https://fred.stlouisfed.org/series/A31SNO</t>
        </is>
      </c>
      <c r="G23" s="125" t="inlineStr">
        <is>
          <t>New Orders - Primary Metals</t>
        </is>
      </c>
      <c r="N23" s="136" t="inlineStr">
        <is>
          <t>New Orders - Computers</t>
        </is>
      </c>
      <c r="O23" s="128" t="n"/>
      <c r="P23" s="94">
        <f>VLOOKUP($P$14,Database!$A:$M,MATCH(Note!S23,Database!$A$1:$M$1,),)</f>
        <v/>
      </c>
      <c r="Q23" s="94">
        <f>VLOOKUP($Q$14,Database!$A:$M,MATCH(Note!S23,Database!$A$1:$M$1,),)</f>
        <v/>
      </c>
      <c r="R23" s="98">
        <f>(P23-Q23)/Q23</f>
        <v/>
      </c>
      <c r="S23" s="80" t="inlineStr">
        <is>
          <t>A34SNO</t>
        </is>
      </c>
      <c r="U23" s="80" t="inlineStr">
        <is>
          <t>A34SNO</t>
        </is>
      </c>
      <c r="V23" s="123" t="inlineStr">
        <is>
          <t>New Orders - Computers</t>
        </is>
      </c>
    </row>
    <row r="24" ht="18" customHeight="1" s="142">
      <c r="B24" s="122" t="inlineStr">
        <is>
          <t>https://fred.stlouisfed.org/series/A35SNO</t>
        </is>
      </c>
      <c r="G24" s="125" t="inlineStr">
        <is>
          <t>New Orders - Electrical Equipment</t>
        </is>
      </c>
      <c r="N24" s="136" t="inlineStr">
        <is>
          <t>New Orders - Primary Metals</t>
        </is>
      </c>
      <c r="O24" s="128" t="n"/>
      <c r="P24" s="94">
        <f>VLOOKUP($P$14,Database!$A:$M,MATCH(Note!S24,Database!$A$1:$M$1,),)</f>
        <v/>
      </c>
      <c r="Q24" s="94">
        <f>VLOOKUP($Q$14,Database!$A:$M,MATCH(Note!S24,Database!$A$1:$M$1,),)</f>
        <v/>
      </c>
      <c r="R24" s="98">
        <f>(P24-Q24)/Q24</f>
        <v/>
      </c>
      <c r="S24" s="80" t="inlineStr">
        <is>
          <t>A31SNO</t>
        </is>
      </c>
      <c r="U24" s="80" t="inlineStr">
        <is>
          <t>A31SNO</t>
        </is>
      </c>
      <c r="V24" s="123" t="inlineStr">
        <is>
          <t>New Orders - Primary Metals</t>
        </is>
      </c>
    </row>
    <row r="25" ht="16" customHeight="1" s="142" thickBot="1">
      <c r="N25" s="137" t="inlineStr">
        <is>
          <t>New Orders - Electrical Equipment</t>
        </is>
      </c>
      <c r="O25" s="138" t="n"/>
      <c r="P25" s="81">
        <f>VLOOKUP($P$14,Database!$A:$M,MATCH(Note!S25,Database!$A$1:$M$1,),)</f>
        <v/>
      </c>
      <c r="Q25" s="81">
        <f>VLOOKUP($Q$14,Database!$A:$M,MATCH(Note!S25,Database!$A$1:$M$1,),)</f>
        <v/>
      </c>
      <c r="R25" s="99">
        <f>(P25-Q25)/Q25</f>
        <v/>
      </c>
      <c r="S25" s="82" t="inlineStr">
        <is>
          <t>A35SNO</t>
        </is>
      </c>
      <c r="U25" s="82" t="inlineStr">
        <is>
          <t>A35SNO</t>
        </is>
      </c>
      <c r="V25" s="123" t="inlineStr">
        <is>
          <t>New Orders - Electrical Equipment</t>
        </is>
      </c>
    </row>
    <row r="26">
      <c r="B26" s="66" t="n"/>
      <c r="G26" s="124"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8" defaultColWidth="8.81640625" defaultRowHeight="14.5"/>
  <cols>
    <col width="23.6328125" customWidth="1" style="142" min="1" max="1"/>
    <col width="16.36328125" customWidth="1" style="142" min="2" max="2"/>
    <col width="13.453125" customWidth="1" style="142" min="3" max="11"/>
    <col width="15.6328125" customWidth="1" style="142" min="12" max="12"/>
    <col width="16.81640625" customWidth="1" style="142" min="13" max="13"/>
    <col width="13.453125" customWidth="1" style="143" min="14" max="14"/>
    <col width="10.6328125" customWidth="1" style="142" min="15" max="15"/>
    <col width="21.36328125" customWidth="1" style="142" min="18" max="18"/>
    <col width="23.6328125" customWidth="1" style="142" min="257" max="257"/>
    <col width="16.36328125" customWidth="1" style="142" min="258" max="258"/>
    <col width="13.453125" customWidth="1" style="142" min="259" max="267"/>
    <col width="15.6328125" customWidth="1" style="142" min="268" max="268"/>
    <col width="16.81640625" customWidth="1" style="142" min="269" max="269"/>
    <col width="13.453125" customWidth="1" style="142" min="270" max="270"/>
    <col width="10.6328125" customWidth="1" style="142" min="271" max="271"/>
    <col width="23.6328125" customWidth="1" style="142" min="513" max="513"/>
    <col width="16.36328125" customWidth="1" style="142" min="514" max="514"/>
    <col width="13.453125" customWidth="1" style="142" min="515" max="523"/>
    <col width="15.6328125" customWidth="1" style="142" min="524" max="524"/>
    <col width="16.81640625" customWidth="1" style="142" min="525" max="525"/>
    <col width="13.453125" customWidth="1" style="142" min="526" max="526"/>
    <col width="10.6328125" customWidth="1" style="142" min="527" max="527"/>
    <col width="23.6328125" customWidth="1" style="142" min="769" max="769"/>
    <col width="16.36328125" customWidth="1" style="142" min="770" max="770"/>
    <col width="13.453125" customWidth="1" style="142" min="771" max="779"/>
    <col width="15.6328125" customWidth="1" style="142" min="780" max="780"/>
    <col width="16.81640625" customWidth="1" style="142" min="781" max="781"/>
    <col width="13.453125" customWidth="1" style="142" min="782" max="782"/>
    <col width="10.6328125" customWidth="1" style="142" min="783" max="783"/>
    <col width="23.6328125" customWidth="1" style="142" min="1025" max="1025"/>
    <col width="16.36328125" customWidth="1" style="142" min="1026" max="1026"/>
    <col width="13.453125" customWidth="1" style="142" min="1027" max="1035"/>
    <col width="15.6328125" customWidth="1" style="142" min="1036" max="1036"/>
    <col width="16.81640625" customWidth="1" style="142" min="1037" max="1037"/>
    <col width="13.453125" customWidth="1" style="142" min="1038" max="1038"/>
    <col width="10.6328125" customWidth="1" style="142" min="1039" max="1039"/>
    <col width="23.6328125" customWidth="1" style="142" min="1281" max="1281"/>
    <col width="16.36328125" customWidth="1" style="142" min="1282" max="1282"/>
    <col width="13.453125" customWidth="1" style="142" min="1283" max="1291"/>
    <col width="15.6328125" customWidth="1" style="142" min="1292" max="1292"/>
    <col width="16.81640625" customWidth="1" style="142" min="1293" max="1293"/>
    <col width="13.453125" customWidth="1" style="142" min="1294" max="1294"/>
    <col width="10.6328125" customWidth="1" style="142" min="1295" max="1295"/>
    <col width="23.6328125" customWidth="1" style="142" min="1537" max="1537"/>
    <col width="16.36328125" customWidth="1" style="142" min="1538" max="1538"/>
    <col width="13.453125" customWidth="1" style="142" min="1539" max="1547"/>
    <col width="15.6328125" customWidth="1" style="142" min="1548" max="1548"/>
    <col width="16.81640625" customWidth="1" style="142" min="1549" max="1549"/>
    <col width="13.453125" customWidth="1" style="142" min="1550" max="1550"/>
    <col width="10.6328125" customWidth="1" style="142" min="1551" max="1551"/>
    <col width="23.6328125" customWidth="1" style="142" min="1793" max="1793"/>
    <col width="16.36328125" customWidth="1" style="142" min="1794" max="1794"/>
    <col width="13.453125" customWidth="1" style="142" min="1795" max="1803"/>
    <col width="15.6328125" customWidth="1" style="142" min="1804" max="1804"/>
    <col width="16.81640625" customWidth="1" style="142" min="1805" max="1805"/>
    <col width="13.453125" customWidth="1" style="142" min="1806" max="1806"/>
    <col width="10.6328125" customWidth="1" style="142" min="1807" max="1807"/>
    <col width="23.6328125" customWidth="1" style="142" min="2049" max="2049"/>
    <col width="16.36328125" customWidth="1" style="142" min="2050" max="2050"/>
    <col width="13.453125" customWidth="1" style="142" min="2051" max="2059"/>
    <col width="15.6328125" customWidth="1" style="142" min="2060" max="2060"/>
    <col width="16.81640625" customWidth="1" style="142" min="2061" max="2061"/>
    <col width="13.453125" customWidth="1" style="142" min="2062" max="2062"/>
    <col width="10.6328125" customWidth="1" style="142" min="2063" max="2063"/>
    <col width="23.6328125" customWidth="1" style="142" min="2305" max="2305"/>
    <col width="16.36328125" customWidth="1" style="142" min="2306" max="2306"/>
    <col width="13.453125" customWidth="1" style="142" min="2307" max="2315"/>
    <col width="15.6328125" customWidth="1" style="142" min="2316" max="2316"/>
    <col width="16.81640625" customWidth="1" style="142" min="2317" max="2317"/>
    <col width="13.453125" customWidth="1" style="142" min="2318" max="2318"/>
    <col width="10.6328125" customWidth="1" style="142" min="2319" max="2319"/>
    <col width="23.6328125" customWidth="1" style="142" min="2561" max="2561"/>
    <col width="16.36328125" customWidth="1" style="142" min="2562" max="2562"/>
    <col width="13.453125" customWidth="1" style="142" min="2563" max="2571"/>
    <col width="15.6328125" customWidth="1" style="142" min="2572" max="2572"/>
    <col width="16.81640625" customWidth="1" style="142" min="2573" max="2573"/>
    <col width="13.453125" customWidth="1" style="142" min="2574" max="2574"/>
    <col width="10.6328125" customWidth="1" style="142" min="2575" max="2575"/>
    <col width="23.6328125" customWidth="1" style="142" min="2817" max="2817"/>
    <col width="16.36328125" customWidth="1" style="142" min="2818" max="2818"/>
    <col width="13.453125" customWidth="1" style="142" min="2819" max="2827"/>
    <col width="15.6328125" customWidth="1" style="142" min="2828" max="2828"/>
    <col width="16.81640625" customWidth="1" style="142" min="2829" max="2829"/>
    <col width="13.453125" customWidth="1" style="142" min="2830" max="2830"/>
    <col width="10.6328125" customWidth="1" style="142" min="2831" max="2831"/>
    <col width="23.6328125" customWidth="1" style="142" min="3073" max="3073"/>
    <col width="16.36328125" customWidth="1" style="142" min="3074" max="3074"/>
    <col width="13.453125" customWidth="1" style="142" min="3075" max="3083"/>
    <col width="15.6328125" customWidth="1" style="142" min="3084" max="3084"/>
    <col width="16.81640625" customWidth="1" style="142" min="3085" max="3085"/>
    <col width="13.453125" customWidth="1" style="142" min="3086" max="3086"/>
    <col width="10.6328125" customWidth="1" style="142" min="3087" max="3087"/>
    <col width="23.6328125" customWidth="1" style="142" min="3329" max="3329"/>
    <col width="16.36328125" customWidth="1" style="142" min="3330" max="3330"/>
    <col width="13.453125" customWidth="1" style="142" min="3331" max="3339"/>
    <col width="15.6328125" customWidth="1" style="142" min="3340" max="3340"/>
    <col width="16.81640625" customWidth="1" style="142" min="3341" max="3341"/>
    <col width="13.453125" customWidth="1" style="142" min="3342" max="3342"/>
    <col width="10.6328125" customWidth="1" style="142" min="3343" max="3343"/>
    <col width="23.6328125" customWidth="1" style="142" min="3585" max="3585"/>
    <col width="16.36328125" customWidth="1" style="142" min="3586" max="3586"/>
    <col width="13.453125" customWidth="1" style="142" min="3587" max="3595"/>
    <col width="15.6328125" customWidth="1" style="142" min="3596" max="3596"/>
    <col width="16.81640625" customWidth="1" style="142" min="3597" max="3597"/>
    <col width="13.453125" customWidth="1" style="142" min="3598" max="3598"/>
    <col width="10.6328125" customWidth="1" style="142" min="3599" max="3599"/>
    <col width="23.6328125" customWidth="1" style="142" min="3841" max="3841"/>
    <col width="16.36328125" customWidth="1" style="142" min="3842" max="3842"/>
    <col width="13.453125" customWidth="1" style="142" min="3843" max="3851"/>
    <col width="15.6328125" customWidth="1" style="142" min="3852" max="3852"/>
    <col width="16.81640625" customWidth="1" style="142" min="3853" max="3853"/>
    <col width="13.453125" customWidth="1" style="142" min="3854" max="3854"/>
    <col width="10.6328125" customWidth="1" style="142" min="3855" max="3855"/>
    <col width="23.6328125" customWidth="1" style="142" min="4097" max="4097"/>
    <col width="16.36328125" customWidth="1" style="142" min="4098" max="4098"/>
    <col width="13.453125" customWidth="1" style="142" min="4099" max="4107"/>
    <col width="15.6328125" customWidth="1" style="142" min="4108" max="4108"/>
    <col width="16.81640625" customWidth="1" style="142" min="4109" max="4109"/>
    <col width="13.453125" customWidth="1" style="142" min="4110" max="4110"/>
    <col width="10.6328125" customWidth="1" style="142" min="4111" max="4111"/>
    <col width="23.6328125" customWidth="1" style="142" min="4353" max="4353"/>
    <col width="16.36328125" customWidth="1" style="142" min="4354" max="4354"/>
    <col width="13.453125" customWidth="1" style="142" min="4355" max="4363"/>
    <col width="15.6328125" customWidth="1" style="142" min="4364" max="4364"/>
    <col width="16.81640625" customWidth="1" style="142" min="4365" max="4365"/>
    <col width="13.453125" customWidth="1" style="142" min="4366" max="4366"/>
    <col width="10.6328125" customWidth="1" style="142" min="4367" max="4367"/>
    <col width="23.6328125" customWidth="1" style="142" min="4609" max="4609"/>
    <col width="16.36328125" customWidth="1" style="142" min="4610" max="4610"/>
    <col width="13.453125" customWidth="1" style="142" min="4611" max="4619"/>
    <col width="15.6328125" customWidth="1" style="142" min="4620" max="4620"/>
    <col width="16.81640625" customWidth="1" style="142" min="4621" max="4621"/>
    <col width="13.453125" customWidth="1" style="142" min="4622" max="4622"/>
    <col width="10.6328125" customWidth="1" style="142" min="4623" max="4623"/>
    <col width="23.6328125" customWidth="1" style="142" min="4865" max="4865"/>
    <col width="16.36328125" customWidth="1" style="142" min="4866" max="4866"/>
    <col width="13.453125" customWidth="1" style="142" min="4867" max="4875"/>
    <col width="15.6328125" customWidth="1" style="142" min="4876" max="4876"/>
    <col width="16.81640625" customWidth="1" style="142" min="4877" max="4877"/>
    <col width="13.453125" customWidth="1" style="142" min="4878" max="4878"/>
    <col width="10.6328125" customWidth="1" style="142" min="4879" max="4879"/>
    <col width="23.6328125" customWidth="1" style="142" min="5121" max="5121"/>
    <col width="16.36328125" customWidth="1" style="142" min="5122" max="5122"/>
    <col width="13.453125" customWidth="1" style="142" min="5123" max="5131"/>
    <col width="15.6328125" customWidth="1" style="142" min="5132" max="5132"/>
    <col width="16.81640625" customWidth="1" style="142" min="5133" max="5133"/>
    <col width="13.453125" customWidth="1" style="142" min="5134" max="5134"/>
    <col width="10.6328125" customWidth="1" style="142" min="5135" max="5135"/>
    <col width="23.6328125" customWidth="1" style="142" min="5377" max="5377"/>
    <col width="16.36328125" customWidth="1" style="142" min="5378" max="5378"/>
    <col width="13.453125" customWidth="1" style="142" min="5379" max="5387"/>
    <col width="15.6328125" customWidth="1" style="142" min="5388" max="5388"/>
    <col width="16.81640625" customWidth="1" style="142" min="5389" max="5389"/>
    <col width="13.453125" customWidth="1" style="142" min="5390" max="5390"/>
    <col width="10.6328125" customWidth="1" style="142" min="5391" max="5391"/>
    <col width="23.6328125" customWidth="1" style="142" min="5633" max="5633"/>
    <col width="16.36328125" customWidth="1" style="142" min="5634" max="5634"/>
    <col width="13.453125" customWidth="1" style="142" min="5635" max="5643"/>
    <col width="15.6328125" customWidth="1" style="142" min="5644" max="5644"/>
    <col width="16.81640625" customWidth="1" style="142" min="5645" max="5645"/>
    <col width="13.453125" customWidth="1" style="142" min="5646" max="5646"/>
    <col width="10.6328125" customWidth="1" style="142" min="5647" max="5647"/>
    <col width="23.6328125" customWidth="1" style="142" min="5889" max="5889"/>
    <col width="16.36328125" customWidth="1" style="142" min="5890" max="5890"/>
    <col width="13.453125" customWidth="1" style="142" min="5891" max="5899"/>
    <col width="15.6328125" customWidth="1" style="142" min="5900" max="5900"/>
    <col width="16.81640625" customWidth="1" style="142" min="5901" max="5901"/>
    <col width="13.453125" customWidth="1" style="142" min="5902" max="5902"/>
    <col width="10.6328125" customWidth="1" style="142" min="5903" max="5903"/>
    <col width="23.6328125" customWidth="1" style="142" min="6145" max="6145"/>
    <col width="16.36328125" customWidth="1" style="142" min="6146" max="6146"/>
    <col width="13.453125" customWidth="1" style="142" min="6147" max="6155"/>
    <col width="15.6328125" customWidth="1" style="142" min="6156" max="6156"/>
    <col width="16.81640625" customWidth="1" style="142" min="6157" max="6157"/>
    <col width="13.453125" customWidth="1" style="142" min="6158" max="6158"/>
    <col width="10.6328125" customWidth="1" style="142" min="6159" max="6159"/>
    <col width="23.6328125" customWidth="1" style="142" min="6401" max="6401"/>
    <col width="16.36328125" customWidth="1" style="142" min="6402" max="6402"/>
    <col width="13.453125" customWidth="1" style="142" min="6403" max="6411"/>
    <col width="15.6328125" customWidth="1" style="142" min="6412" max="6412"/>
    <col width="16.81640625" customWidth="1" style="142" min="6413" max="6413"/>
    <col width="13.453125" customWidth="1" style="142" min="6414" max="6414"/>
    <col width="10.6328125" customWidth="1" style="142" min="6415" max="6415"/>
    <col width="23.6328125" customWidth="1" style="142" min="6657" max="6657"/>
    <col width="16.36328125" customWidth="1" style="142" min="6658" max="6658"/>
    <col width="13.453125" customWidth="1" style="142" min="6659" max="6667"/>
    <col width="15.6328125" customWidth="1" style="142" min="6668" max="6668"/>
    <col width="16.81640625" customWidth="1" style="142" min="6669" max="6669"/>
    <col width="13.453125" customWidth="1" style="142" min="6670" max="6670"/>
    <col width="10.6328125" customWidth="1" style="142" min="6671" max="6671"/>
    <col width="23.6328125" customWidth="1" style="142" min="6913" max="6913"/>
    <col width="16.36328125" customWidth="1" style="142" min="6914" max="6914"/>
    <col width="13.453125" customWidth="1" style="142" min="6915" max="6923"/>
    <col width="15.6328125" customWidth="1" style="142" min="6924" max="6924"/>
    <col width="16.81640625" customWidth="1" style="142" min="6925" max="6925"/>
    <col width="13.453125" customWidth="1" style="142" min="6926" max="6926"/>
    <col width="10.6328125" customWidth="1" style="142" min="6927" max="6927"/>
    <col width="23.6328125" customWidth="1" style="142" min="7169" max="7169"/>
    <col width="16.36328125" customWidth="1" style="142" min="7170" max="7170"/>
    <col width="13.453125" customWidth="1" style="142" min="7171" max="7179"/>
    <col width="15.6328125" customWidth="1" style="142" min="7180" max="7180"/>
    <col width="16.81640625" customWidth="1" style="142" min="7181" max="7181"/>
    <col width="13.453125" customWidth="1" style="142" min="7182" max="7182"/>
    <col width="10.6328125" customWidth="1" style="142" min="7183" max="7183"/>
    <col width="23.6328125" customWidth="1" style="142" min="7425" max="7425"/>
    <col width="16.36328125" customWidth="1" style="142" min="7426" max="7426"/>
    <col width="13.453125" customWidth="1" style="142" min="7427" max="7435"/>
    <col width="15.6328125" customWidth="1" style="142" min="7436" max="7436"/>
    <col width="16.81640625" customWidth="1" style="142" min="7437" max="7437"/>
    <col width="13.453125" customWidth="1" style="142" min="7438" max="7438"/>
    <col width="10.6328125" customWidth="1" style="142" min="7439" max="7439"/>
    <col width="23.6328125" customWidth="1" style="142" min="7681" max="7681"/>
    <col width="16.36328125" customWidth="1" style="142" min="7682" max="7682"/>
    <col width="13.453125" customWidth="1" style="142" min="7683" max="7691"/>
    <col width="15.6328125" customWidth="1" style="142" min="7692" max="7692"/>
    <col width="16.81640625" customWidth="1" style="142" min="7693" max="7693"/>
    <col width="13.453125" customWidth="1" style="142" min="7694" max="7694"/>
    <col width="10.6328125" customWidth="1" style="142" min="7695" max="7695"/>
    <col width="23.6328125" customWidth="1" style="142" min="7937" max="7937"/>
    <col width="16.36328125" customWidth="1" style="142" min="7938" max="7938"/>
    <col width="13.453125" customWidth="1" style="142" min="7939" max="7947"/>
    <col width="15.6328125" customWidth="1" style="142" min="7948" max="7948"/>
    <col width="16.81640625" customWidth="1" style="142" min="7949" max="7949"/>
    <col width="13.453125" customWidth="1" style="142" min="7950" max="7950"/>
    <col width="10.6328125" customWidth="1" style="142" min="7951" max="7951"/>
    <col width="23.6328125" customWidth="1" style="142" min="8193" max="8193"/>
    <col width="16.36328125" customWidth="1" style="142" min="8194" max="8194"/>
    <col width="13.453125" customWidth="1" style="142" min="8195" max="8203"/>
    <col width="15.6328125" customWidth="1" style="142" min="8204" max="8204"/>
    <col width="16.81640625" customWidth="1" style="142" min="8205" max="8205"/>
    <col width="13.453125" customWidth="1" style="142" min="8206" max="8206"/>
    <col width="10.6328125" customWidth="1" style="142" min="8207" max="8207"/>
    <col width="23.6328125" customWidth="1" style="142" min="8449" max="8449"/>
    <col width="16.36328125" customWidth="1" style="142" min="8450" max="8450"/>
    <col width="13.453125" customWidth="1" style="142" min="8451" max="8459"/>
    <col width="15.6328125" customWidth="1" style="142" min="8460" max="8460"/>
    <col width="16.81640625" customWidth="1" style="142" min="8461" max="8461"/>
    <col width="13.453125" customWidth="1" style="142" min="8462" max="8462"/>
    <col width="10.6328125" customWidth="1" style="142" min="8463" max="8463"/>
    <col width="23.6328125" customWidth="1" style="142" min="8705" max="8705"/>
    <col width="16.36328125" customWidth="1" style="142" min="8706" max="8706"/>
    <col width="13.453125" customWidth="1" style="142" min="8707" max="8715"/>
    <col width="15.6328125" customWidth="1" style="142" min="8716" max="8716"/>
    <col width="16.81640625" customWidth="1" style="142" min="8717" max="8717"/>
    <col width="13.453125" customWidth="1" style="142" min="8718" max="8718"/>
    <col width="10.6328125" customWidth="1" style="142" min="8719" max="8719"/>
    <col width="23.6328125" customWidth="1" style="142" min="8961" max="8961"/>
    <col width="16.36328125" customWidth="1" style="142" min="8962" max="8962"/>
    <col width="13.453125" customWidth="1" style="142" min="8963" max="8971"/>
    <col width="15.6328125" customWidth="1" style="142" min="8972" max="8972"/>
    <col width="16.81640625" customWidth="1" style="142" min="8973" max="8973"/>
    <col width="13.453125" customWidth="1" style="142" min="8974" max="8974"/>
    <col width="10.6328125" customWidth="1" style="142" min="8975" max="8975"/>
    <col width="23.6328125" customWidth="1" style="142" min="9217" max="9217"/>
    <col width="16.36328125" customWidth="1" style="142" min="9218" max="9218"/>
    <col width="13.453125" customWidth="1" style="142" min="9219" max="9227"/>
    <col width="15.6328125" customWidth="1" style="142" min="9228" max="9228"/>
    <col width="16.81640625" customWidth="1" style="142" min="9229" max="9229"/>
    <col width="13.453125" customWidth="1" style="142" min="9230" max="9230"/>
    <col width="10.6328125" customWidth="1" style="142" min="9231" max="9231"/>
    <col width="23.6328125" customWidth="1" style="142" min="9473" max="9473"/>
    <col width="16.36328125" customWidth="1" style="142" min="9474" max="9474"/>
    <col width="13.453125" customWidth="1" style="142" min="9475" max="9483"/>
    <col width="15.6328125" customWidth="1" style="142" min="9484" max="9484"/>
    <col width="16.81640625" customWidth="1" style="142" min="9485" max="9485"/>
    <col width="13.453125" customWidth="1" style="142" min="9486" max="9486"/>
    <col width="10.6328125" customWidth="1" style="142" min="9487" max="9487"/>
    <col width="23.6328125" customWidth="1" style="142" min="9729" max="9729"/>
    <col width="16.36328125" customWidth="1" style="142" min="9730" max="9730"/>
    <col width="13.453125" customWidth="1" style="142" min="9731" max="9739"/>
    <col width="15.6328125" customWidth="1" style="142" min="9740" max="9740"/>
    <col width="16.81640625" customWidth="1" style="142" min="9741" max="9741"/>
    <col width="13.453125" customWidth="1" style="142" min="9742" max="9742"/>
    <col width="10.6328125" customWidth="1" style="142" min="9743" max="9743"/>
    <col width="23.6328125" customWidth="1" style="142" min="9985" max="9985"/>
    <col width="16.36328125" customWidth="1" style="142" min="9986" max="9986"/>
    <col width="13.453125" customWidth="1" style="142" min="9987" max="9995"/>
    <col width="15.6328125" customWidth="1" style="142" min="9996" max="9996"/>
    <col width="16.81640625" customWidth="1" style="142" min="9997" max="9997"/>
    <col width="13.453125" customWidth="1" style="142" min="9998" max="9998"/>
    <col width="10.6328125" customWidth="1" style="142" min="9999" max="9999"/>
    <col width="23.6328125" customWidth="1" style="142" min="10241" max="10241"/>
    <col width="16.36328125" customWidth="1" style="142" min="10242" max="10242"/>
    <col width="13.453125" customWidth="1" style="142" min="10243" max="10251"/>
    <col width="15.6328125" customWidth="1" style="142" min="10252" max="10252"/>
    <col width="16.81640625" customWidth="1" style="142" min="10253" max="10253"/>
    <col width="13.453125" customWidth="1" style="142" min="10254" max="10254"/>
    <col width="10.6328125" customWidth="1" style="142" min="10255" max="10255"/>
    <col width="23.6328125" customWidth="1" style="142" min="10497" max="10497"/>
    <col width="16.36328125" customWidth="1" style="142" min="10498" max="10498"/>
    <col width="13.453125" customWidth="1" style="142" min="10499" max="10507"/>
    <col width="15.6328125" customWidth="1" style="142" min="10508" max="10508"/>
    <col width="16.81640625" customWidth="1" style="142" min="10509" max="10509"/>
    <col width="13.453125" customWidth="1" style="142" min="10510" max="10510"/>
    <col width="10.6328125" customWidth="1" style="142" min="10511" max="10511"/>
    <col width="23.6328125" customWidth="1" style="142" min="10753" max="10753"/>
    <col width="16.36328125" customWidth="1" style="142" min="10754" max="10754"/>
    <col width="13.453125" customWidth="1" style="142" min="10755" max="10763"/>
    <col width="15.6328125" customWidth="1" style="142" min="10764" max="10764"/>
    <col width="16.81640625" customWidth="1" style="142" min="10765" max="10765"/>
    <col width="13.453125" customWidth="1" style="142" min="10766" max="10766"/>
    <col width="10.6328125" customWidth="1" style="142" min="10767" max="10767"/>
    <col width="23.6328125" customWidth="1" style="142" min="11009" max="11009"/>
    <col width="16.36328125" customWidth="1" style="142" min="11010" max="11010"/>
    <col width="13.453125" customWidth="1" style="142" min="11011" max="11019"/>
    <col width="15.6328125" customWidth="1" style="142" min="11020" max="11020"/>
    <col width="16.81640625" customWidth="1" style="142" min="11021" max="11021"/>
    <col width="13.453125" customWidth="1" style="142" min="11022" max="11022"/>
    <col width="10.6328125" customWidth="1" style="142" min="11023" max="11023"/>
    <col width="23.6328125" customWidth="1" style="142" min="11265" max="11265"/>
    <col width="16.36328125" customWidth="1" style="142" min="11266" max="11266"/>
    <col width="13.453125" customWidth="1" style="142" min="11267" max="11275"/>
    <col width="15.6328125" customWidth="1" style="142" min="11276" max="11276"/>
    <col width="16.81640625" customWidth="1" style="142" min="11277" max="11277"/>
    <col width="13.453125" customWidth="1" style="142" min="11278" max="11278"/>
    <col width="10.6328125" customWidth="1" style="142" min="11279" max="11279"/>
    <col width="23.6328125" customWidth="1" style="142" min="11521" max="11521"/>
    <col width="16.36328125" customWidth="1" style="142" min="11522" max="11522"/>
    <col width="13.453125" customWidth="1" style="142" min="11523" max="11531"/>
    <col width="15.6328125" customWidth="1" style="142" min="11532" max="11532"/>
    <col width="16.81640625" customWidth="1" style="142" min="11533" max="11533"/>
    <col width="13.453125" customWidth="1" style="142" min="11534" max="11534"/>
    <col width="10.6328125" customWidth="1" style="142" min="11535" max="11535"/>
    <col width="23.6328125" customWidth="1" style="142" min="11777" max="11777"/>
    <col width="16.36328125" customWidth="1" style="142" min="11778" max="11778"/>
    <col width="13.453125" customWidth="1" style="142" min="11779" max="11787"/>
    <col width="15.6328125" customWidth="1" style="142" min="11788" max="11788"/>
    <col width="16.81640625" customWidth="1" style="142" min="11789" max="11789"/>
    <col width="13.453125" customWidth="1" style="142" min="11790" max="11790"/>
    <col width="10.6328125" customWidth="1" style="142" min="11791" max="11791"/>
    <col width="23.6328125" customWidth="1" style="142" min="12033" max="12033"/>
    <col width="16.36328125" customWidth="1" style="142" min="12034" max="12034"/>
    <col width="13.453125" customWidth="1" style="142" min="12035" max="12043"/>
    <col width="15.6328125" customWidth="1" style="142" min="12044" max="12044"/>
    <col width="16.81640625" customWidth="1" style="142" min="12045" max="12045"/>
    <col width="13.453125" customWidth="1" style="142" min="12046" max="12046"/>
    <col width="10.6328125" customWidth="1" style="142" min="12047" max="12047"/>
    <col width="23.6328125" customWidth="1" style="142" min="12289" max="12289"/>
    <col width="16.36328125" customWidth="1" style="142" min="12290" max="12290"/>
    <col width="13.453125" customWidth="1" style="142" min="12291" max="12299"/>
    <col width="15.6328125" customWidth="1" style="142" min="12300" max="12300"/>
    <col width="16.81640625" customWidth="1" style="142" min="12301" max="12301"/>
    <col width="13.453125" customWidth="1" style="142" min="12302" max="12302"/>
    <col width="10.6328125" customWidth="1" style="142" min="12303" max="12303"/>
    <col width="23.6328125" customWidth="1" style="142" min="12545" max="12545"/>
    <col width="16.36328125" customWidth="1" style="142" min="12546" max="12546"/>
    <col width="13.453125" customWidth="1" style="142" min="12547" max="12555"/>
    <col width="15.6328125" customWidth="1" style="142" min="12556" max="12556"/>
    <col width="16.81640625" customWidth="1" style="142" min="12557" max="12557"/>
    <col width="13.453125" customWidth="1" style="142" min="12558" max="12558"/>
    <col width="10.6328125" customWidth="1" style="142" min="12559" max="12559"/>
    <col width="23.6328125" customWidth="1" style="142" min="12801" max="12801"/>
    <col width="16.36328125" customWidth="1" style="142" min="12802" max="12802"/>
    <col width="13.453125" customWidth="1" style="142" min="12803" max="12811"/>
    <col width="15.6328125" customWidth="1" style="142" min="12812" max="12812"/>
    <col width="16.81640625" customWidth="1" style="142" min="12813" max="12813"/>
    <col width="13.453125" customWidth="1" style="142" min="12814" max="12814"/>
    <col width="10.6328125" customWidth="1" style="142" min="12815" max="12815"/>
    <col width="23.6328125" customWidth="1" style="142" min="13057" max="13057"/>
    <col width="16.36328125" customWidth="1" style="142" min="13058" max="13058"/>
    <col width="13.453125" customWidth="1" style="142" min="13059" max="13067"/>
    <col width="15.6328125" customWidth="1" style="142" min="13068" max="13068"/>
    <col width="16.81640625" customWidth="1" style="142" min="13069" max="13069"/>
    <col width="13.453125" customWidth="1" style="142" min="13070" max="13070"/>
    <col width="10.6328125" customWidth="1" style="142" min="13071" max="13071"/>
    <col width="23.6328125" customWidth="1" style="142" min="13313" max="13313"/>
    <col width="16.36328125" customWidth="1" style="142" min="13314" max="13314"/>
    <col width="13.453125" customWidth="1" style="142" min="13315" max="13323"/>
    <col width="15.6328125" customWidth="1" style="142" min="13324" max="13324"/>
    <col width="16.81640625" customWidth="1" style="142" min="13325" max="13325"/>
    <col width="13.453125" customWidth="1" style="142" min="13326" max="13326"/>
    <col width="10.6328125" customWidth="1" style="142" min="13327" max="13327"/>
    <col width="23.6328125" customWidth="1" style="142" min="13569" max="13569"/>
    <col width="16.36328125" customWidth="1" style="142" min="13570" max="13570"/>
    <col width="13.453125" customWidth="1" style="142" min="13571" max="13579"/>
    <col width="15.6328125" customWidth="1" style="142" min="13580" max="13580"/>
    <col width="16.81640625" customWidth="1" style="142" min="13581" max="13581"/>
    <col width="13.453125" customWidth="1" style="142" min="13582" max="13582"/>
    <col width="10.6328125" customWidth="1" style="142" min="13583" max="13583"/>
    <col width="23.6328125" customWidth="1" style="142" min="13825" max="13825"/>
    <col width="16.36328125" customWidth="1" style="142" min="13826" max="13826"/>
    <col width="13.453125" customWidth="1" style="142" min="13827" max="13835"/>
    <col width="15.6328125" customWidth="1" style="142" min="13836" max="13836"/>
    <col width="16.81640625" customWidth="1" style="142" min="13837" max="13837"/>
    <col width="13.453125" customWidth="1" style="142" min="13838" max="13838"/>
    <col width="10.6328125" customWidth="1" style="142" min="13839" max="13839"/>
    <col width="23.6328125" customWidth="1" style="142" min="14081" max="14081"/>
    <col width="16.36328125" customWidth="1" style="142" min="14082" max="14082"/>
    <col width="13.453125" customWidth="1" style="142" min="14083" max="14091"/>
    <col width="15.6328125" customWidth="1" style="142" min="14092" max="14092"/>
    <col width="16.81640625" customWidth="1" style="142" min="14093" max="14093"/>
    <col width="13.453125" customWidth="1" style="142" min="14094" max="14094"/>
    <col width="10.6328125" customWidth="1" style="142" min="14095" max="14095"/>
    <col width="23.6328125" customWidth="1" style="142" min="14337" max="14337"/>
    <col width="16.36328125" customWidth="1" style="142" min="14338" max="14338"/>
    <col width="13.453125" customWidth="1" style="142" min="14339" max="14347"/>
    <col width="15.6328125" customWidth="1" style="142" min="14348" max="14348"/>
    <col width="16.81640625" customWidth="1" style="142" min="14349" max="14349"/>
    <col width="13.453125" customWidth="1" style="142" min="14350" max="14350"/>
    <col width="10.6328125" customWidth="1" style="142" min="14351" max="14351"/>
    <col width="23.6328125" customWidth="1" style="142" min="14593" max="14593"/>
    <col width="16.36328125" customWidth="1" style="142" min="14594" max="14594"/>
    <col width="13.453125" customWidth="1" style="142" min="14595" max="14603"/>
    <col width="15.6328125" customWidth="1" style="142" min="14604" max="14604"/>
    <col width="16.81640625" customWidth="1" style="142" min="14605" max="14605"/>
    <col width="13.453125" customWidth="1" style="142" min="14606" max="14606"/>
    <col width="10.6328125" customWidth="1" style="142" min="14607" max="14607"/>
    <col width="23.6328125" customWidth="1" style="142" min="14849" max="14849"/>
    <col width="16.36328125" customWidth="1" style="142" min="14850" max="14850"/>
    <col width="13.453125" customWidth="1" style="142" min="14851" max="14859"/>
    <col width="15.6328125" customWidth="1" style="142" min="14860" max="14860"/>
    <col width="16.81640625" customWidth="1" style="142" min="14861" max="14861"/>
    <col width="13.453125" customWidth="1" style="142" min="14862" max="14862"/>
    <col width="10.6328125" customWidth="1" style="142" min="14863" max="14863"/>
    <col width="23.6328125" customWidth="1" style="142" min="15105" max="15105"/>
    <col width="16.36328125" customWidth="1" style="142" min="15106" max="15106"/>
    <col width="13.453125" customWidth="1" style="142" min="15107" max="15115"/>
    <col width="15.6328125" customWidth="1" style="142" min="15116" max="15116"/>
    <col width="16.81640625" customWidth="1" style="142" min="15117" max="15117"/>
    <col width="13.453125" customWidth="1" style="142" min="15118" max="15118"/>
    <col width="10.6328125" customWidth="1" style="142" min="15119" max="15119"/>
    <col width="23.6328125" customWidth="1" style="142" min="15361" max="15361"/>
    <col width="16.36328125" customWidth="1" style="142" min="15362" max="15362"/>
    <col width="13.453125" customWidth="1" style="142" min="15363" max="15371"/>
    <col width="15.6328125" customWidth="1" style="142" min="15372" max="15372"/>
    <col width="16.81640625" customWidth="1" style="142" min="15373" max="15373"/>
    <col width="13.453125" customWidth="1" style="142" min="15374" max="15374"/>
    <col width="10.6328125" customWidth="1" style="142" min="15375" max="15375"/>
    <col width="23.6328125" customWidth="1" style="142" min="15617" max="15617"/>
    <col width="16.36328125" customWidth="1" style="142" min="15618" max="15618"/>
    <col width="13.453125" customWidth="1" style="142" min="15619" max="15627"/>
    <col width="15.6328125" customWidth="1" style="142" min="15628" max="15628"/>
    <col width="16.81640625" customWidth="1" style="142" min="15629" max="15629"/>
    <col width="13.453125" customWidth="1" style="142" min="15630" max="15630"/>
    <col width="10.6328125" customWidth="1" style="142" min="15631" max="15631"/>
    <col width="23.6328125" customWidth="1" style="142" min="15873" max="15873"/>
    <col width="16.36328125" customWidth="1" style="142" min="15874" max="15874"/>
    <col width="13.453125" customWidth="1" style="142" min="15875" max="15883"/>
    <col width="15.6328125" customWidth="1" style="142" min="15884" max="15884"/>
    <col width="16.81640625" customWidth="1" style="142" min="15885" max="15885"/>
    <col width="13.453125" customWidth="1" style="142" min="15886" max="15886"/>
    <col width="10.6328125" customWidth="1" style="142" min="15887" max="15887"/>
    <col width="23.6328125" customWidth="1" style="142" min="16129" max="16129"/>
    <col width="16.36328125" customWidth="1" style="142" min="16130" max="16130"/>
    <col width="13.453125" customWidth="1" style="142" min="16131" max="16139"/>
    <col width="15.6328125" customWidth="1" style="142" min="16140" max="16140"/>
    <col width="16.81640625" customWidth="1" style="142" min="16141" max="16141"/>
    <col width="13.453125" customWidth="1" style="142" min="16142" max="16142"/>
    <col width="10.63281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8"/>
  <sheetViews>
    <sheetView zoomScale="160" zoomScaleNormal="160" workbookViewId="0">
      <pane ySplit="1" topLeftCell="A771" activePane="bottomLeft" state="frozen"/>
      <selection pane="bottomLeft" activeCell="Q21" sqref="Q21"/>
    </sheetView>
  </sheetViews>
  <sheetFormatPr baseColWidth="8" defaultColWidth="8.81640625" defaultRowHeight="14.5"/>
  <cols>
    <col width="12.6328125" customWidth="1" style="142" min="1" max="1"/>
    <col width="9.6328125" customWidth="1" style="142" min="2" max="7"/>
    <col width="10.6328125" customWidth="1" style="142" min="8" max="10"/>
    <col width="9.6328125" customWidth="1" style="142" min="11" max="11"/>
    <col width="10.6328125" customWidth="1" style="142" min="12" max="12"/>
    <col width="9.6328125" customWidth="1" style="142" min="13" max="13"/>
    <col width="9.1796875" customWidth="1" style="142" min="14" max="256"/>
    <col width="12.6328125" customWidth="1" style="142" min="257" max="257"/>
    <col width="9.6328125" customWidth="1" style="142" min="258" max="262"/>
    <col width="10.6328125" customWidth="1" style="142" min="263" max="266"/>
    <col width="9.6328125" customWidth="1" style="142" min="267" max="267"/>
    <col width="10.6328125" customWidth="1" style="142" min="268" max="268"/>
    <col width="9.6328125" customWidth="1" style="142" min="269" max="269"/>
    <col width="9.1796875" customWidth="1" style="142" min="270" max="512"/>
    <col width="12.6328125" customWidth="1" style="142" min="513" max="513"/>
    <col width="9.6328125" customWidth="1" style="142" min="514" max="518"/>
    <col width="10.6328125" customWidth="1" style="142" min="519" max="522"/>
    <col width="9.6328125" customWidth="1" style="142" min="523" max="523"/>
    <col width="10.6328125" customWidth="1" style="142" min="524" max="524"/>
    <col width="9.6328125" customWidth="1" style="142" min="525" max="525"/>
    <col width="9.1796875" customWidth="1" style="142" min="526" max="768"/>
    <col width="12.6328125" customWidth="1" style="142" min="769" max="769"/>
    <col width="9.6328125" customWidth="1" style="142" min="770" max="774"/>
    <col width="10.6328125" customWidth="1" style="142" min="775" max="778"/>
    <col width="9.6328125" customWidth="1" style="142" min="779" max="779"/>
    <col width="10.6328125" customWidth="1" style="142" min="780" max="780"/>
    <col width="9.6328125" customWidth="1" style="142" min="781" max="781"/>
    <col width="9.1796875" customWidth="1" style="142" min="782" max="1024"/>
    <col width="12.6328125" customWidth="1" style="142" min="1025" max="1025"/>
    <col width="9.6328125" customWidth="1" style="142" min="1026" max="1030"/>
    <col width="10.6328125" customWidth="1" style="142" min="1031" max="1034"/>
    <col width="9.6328125" customWidth="1" style="142" min="1035" max="1035"/>
    <col width="10.6328125" customWidth="1" style="142" min="1036" max="1036"/>
    <col width="9.6328125" customWidth="1" style="142" min="1037" max="1037"/>
    <col width="9.1796875" customWidth="1" style="142" min="1038" max="1280"/>
    <col width="12.6328125" customWidth="1" style="142" min="1281" max="1281"/>
    <col width="9.6328125" customWidth="1" style="142" min="1282" max="1286"/>
    <col width="10.6328125" customWidth="1" style="142" min="1287" max="1290"/>
    <col width="9.6328125" customWidth="1" style="142" min="1291" max="1291"/>
    <col width="10.6328125" customWidth="1" style="142" min="1292" max="1292"/>
    <col width="9.6328125" customWidth="1" style="142" min="1293" max="1293"/>
    <col width="9.1796875" customWidth="1" style="142" min="1294" max="1536"/>
    <col width="12.6328125" customWidth="1" style="142" min="1537" max="1537"/>
    <col width="9.6328125" customWidth="1" style="142" min="1538" max="1542"/>
    <col width="10.6328125" customWidth="1" style="142" min="1543" max="1546"/>
    <col width="9.6328125" customWidth="1" style="142" min="1547" max="1547"/>
    <col width="10.6328125" customWidth="1" style="142" min="1548" max="1548"/>
    <col width="9.6328125" customWidth="1" style="142" min="1549" max="1549"/>
    <col width="9.1796875" customWidth="1" style="142" min="1550" max="1792"/>
    <col width="12.6328125" customWidth="1" style="142" min="1793" max="1793"/>
    <col width="9.6328125" customWidth="1" style="142" min="1794" max="1798"/>
    <col width="10.6328125" customWidth="1" style="142" min="1799" max="1802"/>
    <col width="9.6328125" customWidth="1" style="142" min="1803" max="1803"/>
    <col width="10.6328125" customWidth="1" style="142" min="1804" max="1804"/>
    <col width="9.6328125" customWidth="1" style="142" min="1805" max="1805"/>
    <col width="9.1796875" customWidth="1" style="142" min="1806" max="2048"/>
    <col width="12.6328125" customWidth="1" style="142" min="2049" max="2049"/>
    <col width="9.6328125" customWidth="1" style="142" min="2050" max="2054"/>
    <col width="10.6328125" customWidth="1" style="142" min="2055" max="2058"/>
    <col width="9.6328125" customWidth="1" style="142" min="2059" max="2059"/>
    <col width="10.6328125" customWidth="1" style="142" min="2060" max="2060"/>
    <col width="9.6328125" customWidth="1" style="142" min="2061" max="2061"/>
    <col width="9.1796875" customWidth="1" style="142" min="2062" max="2304"/>
    <col width="12.6328125" customWidth="1" style="142" min="2305" max="2305"/>
    <col width="9.6328125" customWidth="1" style="142" min="2306" max="2310"/>
    <col width="10.6328125" customWidth="1" style="142" min="2311" max="2314"/>
    <col width="9.6328125" customWidth="1" style="142" min="2315" max="2315"/>
    <col width="10.6328125" customWidth="1" style="142" min="2316" max="2316"/>
    <col width="9.6328125" customWidth="1" style="142" min="2317" max="2317"/>
    <col width="9.1796875" customWidth="1" style="142" min="2318" max="2560"/>
    <col width="12.6328125" customWidth="1" style="142" min="2561" max="2561"/>
    <col width="9.6328125" customWidth="1" style="142" min="2562" max="2566"/>
    <col width="10.6328125" customWidth="1" style="142" min="2567" max="2570"/>
    <col width="9.6328125" customWidth="1" style="142" min="2571" max="2571"/>
    <col width="10.6328125" customWidth="1" style="142" min="2572" max="2572"/>
    <col width="9.6328125" customWidth="1" style="142" min="2573" max="2573"/>
    <col width="9.1796875" customWidth="1" style="142" min="2574" max="2816"/>
    <col width="12.6328125" customWidth="1" style="142" min="2817" max="2817"/>
    <col width="9.6328125" customWidth="1" style="142" min="2818" max="2822"/>
    <col width="10.6328125" customWidth="1" style="142" min="2823" max="2826"/>
    <col width="9.6328125" customWidth="1" style="142" min="2827" max="2827"/>
    <col width="10.6328125" customWidth="1" style="142" min="2828" max="2828"/>
    <col width="9.6328125" customWidth="1" style="142" min="2829" max="2829"/>
    <col width="9.1796875" customWidth="1" style="142" min="2830" max="3072"/>
    <col width="12.6328125" customWidth="1" style="142" min="3073" max="3073"/>
    <col width="9.6328125" customWidth="1" style="142" min="3074" max="3078"/>
    <col width="10.6328125" customWidth="1" style="142" min="3079" max="3082"/>
    <col width="9.6328125" customWidth="1" style="142" min="3083" max="3083"/>
    <col width="10.6328125" customWidth="1" style="142" min="3084" max="3084"/>
    <col width="9.6328125" customWidth="1" style="142" min="3085" max="3085"/>
    <col width="9.1796875" customWidth="1" style="142" min="3086" max="3328"/>
    <col width="12.6328125" customWidth="1" style="142" min="3329" max="3329"/>
    <col width="9.6328125" customWidth="1" style="142" min="3330" max="3334"/>
    <col width="10.6328125" customWidth="1" style="142" min="3335" max="3338"/>
    <col width="9.6328125" customWidth="1" style="142" min="3339" max="3339"/>
    <col width="10.6328125" customWidth="1" style="142" min="3340" max="3340"/>
    <col width="9.6328125" customWidth="1" style="142" min="3341" max="3341"/>
    <col width="9.1796875" customWidth="1" style="142" min="3342" max="3584"/>
    <col width="12.6328125" customWidth="1" style="142" min="3585" max="3585"/>
    <col width="9.6328125" customWidth="1" style="142" min="3586" max="3590"/>
    <col width="10.6328125" customWidth="1" style="142" min="3591" max="3594"/>
    <col width="9.6328125" customWidth="1" style="142" min="3595" max="3595"/>
    <col width="10.6328125" customWidth="1" style="142" min="3596" max="3596"/>
    <col width="9.6328125" customWidth="1" style="142" min="3597" max="3597"/>
    <col width="9.1796875" customWidth="1" style="142" min="3598" max="3840"/>
    <col width="12.6328125" customWidth="1" style="142" min="3841" max="3841"/>
    <col width="9.6328125" customWidth="1" style="142" min="3842" max="3846"/>
    <col width="10.6328125" customWidth="1" style="142" min="3847" max="3850"/>
    <col width="9.6328125" customWidth="1" style="142" min="3851" max="3851"/>
    <col width="10.6328125" customWidth="1" style="142" min="3852" max="3852"/>
    <col width="9.6328125" customWidth="1" style="142" min="3853" max="3853"/>
    <col width="9.1796875" customWidth="1" style="142" min="3854" max="4096"/>
    <col width="12.6328125" customWidth="1" style="142" min="4097" max="4097"/>
    <col width="9.6328125" customWidth="1" style="142" min="4098" max="4102"/>
    <col width="10.6328125" customWidth="1" style="142" min="4103" max="4106"/>
    <col width="9.6328125" customWidth="1" style="142" min="4107" max="4107"/>
    <col width="10.6328125" customWidth="1" style="142" min="4108" max="4108"/>
    <col width="9.6328125" customWidth="1" style="142" min="4109" max="4109"/>
    <col width="9.1796875" customWidth="1" style="142" min="4110" max="4352"/>
    <col width="12.6328125" customWidth="1" style="142" min="4353" max="4353"/>
    <col width="9.6328125" customWidth="1" style="142" min="4354" max="4358"/>
    <col width="10.6328125" customWidth="1" style="142" min="4359" max="4362"/>
    <col width="9.6328125" customWidth="1" style="142" min="4363" max="4363"/>
    <col width="10.6328125" customWidth="1" style="142" min="4364" max="4364"/>
    <col width="9.6328125" customWidth="1" style="142" min="4365" max="4365"/>
    <col width="9.1796875" customWidth="1" style="142" min="4366" max="4608"/>
    <col width="12.6328125" customWidth="1" style="142" min="4609" max="4609"/>
    <col width="9.6328125" customWidth="1" style="142" min="4610" max="4614"/>
    <col width="10.6328125" customWidth="1" style="142" min="4615" max="4618"/>
    <col width="9.6328125" customWidth="1" style="142" min="4619" max="4619"/>
    <col width="10.6328125" customWidth="1" style="142" min="4620" max="4620"/>
    <col width="9.6328125" customWidth="1" style="142" min="4621" max="4621"/>
    <col width="9.1796875" customWidth="1" style="142" min="4622" max="4864"/>
    <col width="12.6328125" customWidth="1" style="142" min="4865" max="4865"/>
    <col width="9.6328125" customWidth="1" style="142" min="4866" max="4870"/>
    <col width="10.6328125" customWidth="1" style="142" min="4871" max="4874"/>
    <col width="9.6328125" customWidth="1" style="142" min="4875" max="4875"/>
    <col width="10.6328125" customWidth="1" style="142" min="4876" max="4876"/>
    <col width="9.6328125" customWidth="1" style="142" min="4877" max="4877"/>
    <col width="9.1796875" customWidth="1" style="142" min="4878" max="5120"/>
    <col width="12.6328125" customWidth="1" style="142" min="5121" max="5121"/>
    <col width="9.6328125" customWidth="1" style="142" min="5122" max="5126"/>
    <col width="10.6328125" customWidth="1" style="142" min="5127" max="5130"/>
    <col width="9.6328125" customWidth="1" style="142" min="5131" max="5131"/>
    <col width="10.6328125" customWidth="1" style="142" min="5132" max="5132"/>
    <col width="9.6328125" customWidth="1" style="142" min="5133" max="5133"/>
    <col width="9.1796875" customWidth="1" style="142" min="5134" max="5376"/>
    <col width="12.6328125" customWidth="1" style="142" min="5377" max="5377"/>
    <col width="9.6328125" customWidth="1" style="142" min="5378" max="5382"/>
    <col width="10.6328125" customWidth="1" style="142" min="5383" max="5386"/>
    <col width="9.6328125" customWidth="1" style="142" min="5387" max="5387"/>
    <col width="10.6328125" customWidth="1" style="142" min="5388" max="5388"/>
    <col width="9.6328125" customWidth="1" style="142" min="5389" max="5389"/>
    <col width="9.1796875" customWidth="1" style="142" min="5390" max="5632"/>
    <col width="12.6328125" customWidth="1" style="142" min="5633" max="5633"/>
    <col width="9.6328125" customWidth="1" style="142" min="5634" max="5638"/>
    <col width="10.6328125" customWidth="1" style="142" min="5639" max="5642"/>
    <col width="9.6328125" customWidth="1" style="142" min="5643" max="5643"/>
    <col width="10.6328125" customWidth="1" style="142" min="5644" max="5644"/>
    <col width="9.6328125" customWidth="1" style="142" min="5645" max="5645"/>
    <col width="9.1796875" customWidth="1" style="142" min="5646" max="5888"/>
    <col width="12.6328125" customWidth="1" style="142" min="5889" max="5889"/>
    <col width="9.6328125" customWidth="1" style="142" min="5890" max="5894"/>
    <col width="10.6328125" customWidth="1" style="142" min="5895" max="5898"/>
    <col width="9.6328125" customWidth="1" style="142" min="5899" max="5899"/>
    <col width="10.6328125" customWidth="1" style="142" min="5900" max="5900"/>
    <col width="9.6328125" customWidth="1" style="142" min="5901" max="5901"/>
    <col width="9.1796875" customWidth="1" style="142" min="5902" max="6144"/>
    <col width="12.6328125" customWidth="1" style="142" min="6145" max="6145"/>
    <col width="9.6328125" customWidth="1" style="142" min="6146" max="6150"/>
    <col width="10.6328125" customWidth="1" style="142" min="6151" max="6154"/>
    <col width="9.6328125" customWidth="1" style="142" min="6155" max="6155"/>
    <col width="10.6328125" customWidth="1" style="142" min="6156" max="6156"/>
    <col width="9.6328125" customWidth="1" style="142" min="6157" max="6157"/>
    <col width="9.1796875" customWidth="1" style="142" min="6158" max="6400"/>
    <col width="12.6328125" customWidth="1" style="142" min="6401" max="6401"/>
    <col width="9.6328125" customWidth="1" style="142" min="6402" max="6406"/>
    <col width="10.6328125" customWidth="1" style="142" min="6407" max="6410"/>
    <col width="9.6328125" customWidth="1" style="142" min="6411" max="6411"/>
    <col width="10.6328125" customWidth="1" style="142" min="6412" max="6412"/>
    <col width="9.6328125" customWidth="1" style="142" min="6413" max="6413"/>
    <col width="9.1796875" customWidth="1" style="142" min="6414" max="6656"/>
    <col width="12.6328125" customWidth="1" style="142" min="6657" max="6657"/>
    <col width="9.6328125" customWidth="1" style="142" min="6658" max="6662"/>
    <col width="10.6328125" customWidth="1" style="142" min="6663" max="6666"/>
    <col width="9.6328125" customWidth="1" style="142" min="6667" max="6667"/>
    <col width="10.6328125" customWidth="1" style="142" min="6668" max="6668"/>
    <col width="9.6328125" customWidth="1" style="142" min="6669" max="6669"/>
    <col width="9.1796875" customWidth="1" style="142" min="6670" max="6912"/>
    <col width="12.6328125" customWidth="1" style="142" min="6913" max="6913"/>
    <col width="9.6328125" customWidth="1" style="142" min="6914" max="6918"/>
    <col width="10.6328125" customWidth="1" style="142" min="6919" max="6922"/>
    <col width="9.6328125" customWidth="1" style="142" min="6923" max="6923"/>
    <col width="10.6328125" customWidth="1" style="142" min="6924" max="6924"/>
    <col width="9.6328125" customWidth="1" style="142" min="6925" max="6925"/>
    <col width="9.1796875" customWidth="1" style="142" min="6926" max="7168"/>
    <col width="12.6328125" customWidth="1" style="142" min="7169" max="7169"/>
    <col width="9.6328125" customWidth="1" style="142" min="7170" max="7174"/>
    <col width="10.6328125" customWidth="1" style="142" min="7175" max="7178"/>
    <col width="9.6328125" customWidth="1" style="142" min="7179" max="7179"/>
    <col width="10.6328125" customWidth="1" style="142" min="7180" max="7180"/>
    <col width="9.6328125" customWidth="1" style="142" min="7181" max="7181"/>
    <col width="9.1796875" customWidth="1" style="142" min="7182" max="7424"/>
    <col width="12.6328125" customWidth="1" style="142" min="7425" max="7425"/>
    <col width="9.6328125" customWidth="1" style="142" min="7426" max="7430"/>
    <col width="10.6328125" customWidth="1" style="142" min="7431" max="7434"/>
    <col width="9.6328125" customWidth="1" style="142" min="7435" max="7435"/>
    <col width="10.6328125" customWidth="1" style="142" min="7436" max="7436"/>
    <col width="9.6328125" customWidth="1" style="142" min="7437" max="7437"/>
    <col width="9.1796875" customWidth="1" style="142" min="7438" max="7680"/>
    <col width="12.6328125" customWidth="1" style="142" min="7681" max="7681"/>
    <col width="9.6328125" customWidth="1" style="142" min="7682" max="7686"/>
    <col width="10.6328125" customWidth="1" style="142" min="7687" max="7690"/>
    <col width="9.6328125" customWidth="1" style="142" min="7691" max="7691"/>
    <col width="10.6328125" customWidth="1" style="142" min="7692" max="7692"/>
    <col width="9.6328125" customWidth="1" style="142" min="7693" max="7693"/>
    <col width="9.1796875" customWidth="1" style="142" min="7694" max="7936"/>
    <col width="12.6328125" customWidth="1" style="142" min="7937" max="7937"/>
    <col width="9.6328125" customWidth="1" style="142" min="7938" max="7942"/>
    <col width="10.6328125" customWidth="1" style="142" min="7943" max="7946"/>
    <col width="9.6328125" customWidth="1" style="142" min="7947" max="7947"/>
    <col width="10.6328125" customWidth="1" style="142" min="7948" max="7948"/>
    <col width="9.6328125" customWidth="1" style="142" min="7949" max="7949"/>
    <col width="9.1796875" customWidth="1" style="142" min="7950" max="8192"/>
    <col width="12.6328125" customWidth="1" style="142" min="8193" max="8193"/>
    <col width="9.6328125" customWidth="1" style="142" min="8194" max="8198"/>
    <col width="10.6328125" customWidth="1" style="142" min="8199" max="8202"/>
    <col width="9.6328125" customWidth="1" style="142" min="8203" max="8203"/>
    <col width="10.6328125" customWidth="1" style="142" min="8204" max="8204"/>
    <col width="9.6328125" customWidth="1" style="142" min="8205" max="8205"/>
    <col width="9.1796875" customWidth="1" style="142" min="8206" max="8448"/>
    <col width="12.6328125" customWidth="1" style="142" min="8449" max="8449"/>
    <col width="9.6328125" customWidth="1" style="142" min="8450" max="8454"/>
    <col width="10.6328125" customWidth="1" style="142" min="8455" max="8458"/>
    <col width="9.6328125" customWidth="1" style="142" min="8459" max="8459"/>
    <col width="10.6328125" customWidth="1" style="142" min="8460" max="8460"/>
    <col width="9.6328125" customWidth="1" style="142" min="8461" max="8461"/>
    <col width="9.1796875" customWidth="1" style="142" min="8462" max="8704"/>
    <col width="12.6328125" customWidth="1" style="142" min="8705" max="8705"/>
    <col width="9.6328125" customWidth="1" style="142" min="8706" max="8710"/>
    <col width="10.6328125" customWidth="1" style="142" min="8711" max="8714"/>
    <col width="9.6328125" customWidth="1" style="142" min="8715" max="8715"/>
    <col width="10.6328125" customWidth="1" style="142" min="8716" max="8716"/>
    <col width="9.6328125" customWidth="1" style="142" min="8717" max="8717"/>
    <col width="9.1796875" customWidth="1" style="142" min="8718" max="8960"/>
    <col width="12.6328125" customWidth="1" style="142" min="8961" max="8961"/>
    <col width="9.6328125" customWidth="1" style="142" min="8962" max="8966"/>
    <col width="10.6328125" customWidth="1" style="142" min="8967" max="8970"/>
    <col width="9.6328125" customWidth="1" style="142" min="8971" max="8971"/>
    <col width="10.6328125" customWidth="1" style="142" min="8972" max="8972"/>
    <col width="9.6328125" customWidth="1" style="142" min="8973" max="8973"/>
    <col width="9.1796875" customWidth="1" style="142" min="8974" max="9216"/>
    <col width="12.6328125" customWidth="1" style="142" min="9217" max="9217"/>
    <col width="9.6328125" customWidth="1" style="142" min="9218" max="9222"/>
    <col width="10.6328125" customWidth="1" style="142" min="9223" max="9226"/>
    <col width="9.6328125" customWidth="1" style="142" min="9227" max="9227"/>
    <col width="10.6328125" customWidth="1" style="142" min="9228" max="9228"/>
    <col width="9.6328125" customWidth="1" style="142" min="9229" max="9229"/>
    <col width="9.1796875" customWidth="1" style="142" min="9230" max="9472"/>
    <col width="12.6328125" customWidth="1" style="142" min="9473" max="9473"/>
    <col width="9.6328125" customWidth="1" style="142" min="9474" max="9478"/>
    <col width="10.6328125" customWidth="1" style="142" min="9479" max="9482"/>
    <col width="9.6328125" customWidth="1" style="142" min="9483" max="9483"/>
    <col width="10.6328125" customWidth="1" style="142" min="9484" max="9484"/>
    <col width="9.6328125" customWidth="1" style="142" min="9485" max="9485"/>
    <col width="9.1796875" customWidth="1" style="142" min="9486" max="9728"/>
    <col width="12.6328125" customWidth="1" style="142" min="9729" max="9729"/>
    <col width="9.6328125" customWidth="1" style="142" min="9730" max="9734"/>
    <col width="10.6328125" customWidth="1" style="142" min="9735" max="9738"/>
    <col width="9.6328125" customWidth="1" style="142" min="9739" max="9739"/>
    <col width="10.6328125" customWidth="1" style="142" min="9740" max="9740"/>
    <col width="9.6328125" customWidth="1" style="142" min="9741" max="9741"/>
    <col width="9.1796875" customWidth="1" style="142" min="9742" max="9984"/>
    <col width="12.6328125" customWidth="1" style="142" min="9985" max="9985"/>
    <col width="9.6328125" customWidth="1" style="142" min="9986" max="9990"/>
    <col width="10.6328125" customWidth="1" style="142" min="9991" max="9994"/>
    <col width="9.6328125" customWidth="1" style="142" min="9995" max="9995"/>
    <col width="10.6328125" customWidth="1" style="142" min="9996" max="9996"/>
    <col width="9.6328125" customWidth="1" style="142" min="9997" max="9997"/>
    <col width="9.1796875" customWidth="1" style="142" min="9998" max="10240"/>
    <col width="12.6328125" customWidth="1" style="142" min="10241" max="10241"/>
    <col width="9.6328125" customWidth="1" style="142" min="10242" max="10246"/>
    <col width="10.6328125" customWidth="1" style="142" min="10247" max="10250"/>
    <col width="9.6328125" customWidth="1" style="142" min="10251" max="10251"/>
    <col width="10.6328125" customWidth="1" style="142" min="10252" max="10252"/>
    <col width="9.6328125" customWidth="1" style="142" min="10253" max="10253"/>
    <col width="9.1796875" customWidth="1" style="142" min="10254" max="10496"/>
    <col width="12.6328125" customWidth="1" style="142" min="10497" max="10497"/>
    <col width="9.6328125" customWidth="1" style="142" min="10498" max="10502"/>
    <col width="10.6328125" customWidth="1" style="142" min="10503" max="10506"/>
    <col width="9.6328125" customWidth="1" style="142" min="10507" max="10507"/>
    <col width="10.6328125" customWidth="1" style="142" min="10508" max="10508"/>
    <col width="9.6328125" customWidth="1" style="142" min="10509" max="10509"/>
    <col width="9.1796875" customWidth="1" style="142" min="10510" max="10752"/>
    <col width="12.6328125" customWidth="1" style="142" min="10753" max="10753"/>
    <col width="9.6328125" customWidth="1" style="142" min="10754" max="10758"/>
    <col width="10.6328125" customWidth="1" style="142" min="10759" max="10762"/>
    <col width="9.6328125" customWidth="1" style="142" min="10763" max="10763"/>
    <col width="10.6328125" customWidth="1" style="142" min="10764" max="10764"/>
    <col width="9.6328125" customWidth="1" style="142" min="10765" max="10765"/>
    <col width="9.1796875" customWidth="1" style="142" min="10766" max="11008"/>
    <col width="12.6328125" customWidth="1" style="142" min="11009" max="11009"/>
    <col width="9.6328125" customWidth="1" style="142" min="11010" max="11014"/>
    <col width="10.6328125" customWidth="1" style="142" min="11015" max="11018"/>
    <col width="9.6328125" customWidth="1" style="142" min="11019" max="11019"/>
    <col width="10.6328125" customWidth="1" style="142" min="11020" max="11020"/>
    <col width="9.6328125" customWidth="1" style="142" min="11021" max="11021"/>
    <col width="9.1796875" customWidth="1" style="142" min="11022" max="11264"/>
    <col width="12.6328125" customWidth="1" style="142" min="11265" max="11265"/>
    <col width="9.6328125" customWidth="1" style="142" min="11266" max="11270"/>
    <col width="10.6328125" customWidth="1" style="142" min="11271" max="11274"/>
    <col width="9.6328125" customWidth="1" style="142" min="11275" max="11275"/>
    <col width="10.6328125" customWidth="1" style="142" min="11276" max="11276"/>
    <col width="9.6328125" customWidth="1" style="142" min="11277" max="11277"/>
    <col width="9.1796875" customWidth="1" style="142" min="11278" max="11520"/>
    <col width="12.6328125" customWidth="1" style="142" min="11521" max="11521"/>
    <col width="9.6328125" customWidth="1" style="142" min="11522" max="11526"/>
    <col width="10.6328125" customWidth="1" style="142" min="11527" max="11530"/>
    <col width="9.6328125" customWidth="1" style="142" min="11531" max="11531"/>
    <col width="10.6328125" customWidth="1" style="142" min="11532" max="11532"/>
    <col width="9.6328125" customWidth="1" style="142" min="11533" max="11533"/>
    <col width="9.1796875" customWidth="1" style="142" min="11534" max="11776"/>
    <col width="12.6328125" customWidth="1" style="142" min="11777" max="11777"/>
    <col width="9.6328125" customWidth="1" style="142" min="11778" max="11782"/>
    <col width="10.6328125" customWidth="1" style="142" min="11783" max="11786"/>
    <col width="9.6328125" customWidth="1" style="142" min="11787" max="11787"/>
    <col width="10.6328125" customWidth="1" style="142" min="11788" max="11788"/>
    <col width="9.6328125" customWidth="1" style="142" min="11789" max="11789"/>
    <col width="9.1796875" customWidth="1" style="142" min="11790" max="12032"/>
    <col width="12.6328125" customWidth="1" style="142" min="12033" max="12033"/>
    <col width="9.6328125" customWidth="1" style="142" min="12034" max="12038"/>
    <col width="10.6328125" customWidth="1" style="142" min="12039" max="12042"/>
    <col width="9.6328125" customWidth="1" style="142" min="12043" max="12043"/>
    <col width="10.6328125" customWidth="1" style="142" min="12044" max="12044"/>
    <col width="9.6328125" customWidth="1" style="142" min="12045" max="12045"/>
    <col width="9.1796875" customWidth="1" style="142" min="12046" max="12288"/>
    <col width="12.6328125" customWidth="1" style="142" min="12289" max="12289"/>
    <col width="9.6328125" customWidth="1" style="142" min="12290" max="12294"/>
    <col width="10.6328125" customWidth="1" style="142" min="12295" max="12298"/>
    <col width="9.6328125" customWidth="1" style="142" min="12299" max="12299"/>
    <col width="10.6328125" customWidth="1" style="142" min="12300" max="12300"/>
    <col width="9.6328125" customWidth="1" style="142" min="12301" max="12301"/>
    <col width="9.1796875" customWidth="1" style="142" min="12302" max="12544"/>
    <col width="12.6328125" customWidth="1" style="142" min="12545" max="12545"/>
    <col width="9.6328125" customWidth="1" style="142" min="12546" max="12550"/>
    <col width="10.6328125" customWidth="1" style="142" min="12551" max="12554"/>
    <col width="9.6328125" customWidth="1" style="142" min="12555" max="12555"/>
    <col width="10.6328125" customWidth="1" style="142" min="12556" max="12556"/>
    <col width="9.6328125" customWidth="1" style="142" min="12557" max="12557"/>
    <col width="9.1796875" customWidth="1" style="142" min="12558" max="12800"/>
    <col width="12.6328125" customWidth="1" style="142" min="12801" max="12801"/>
    <col width="9.6328125" customWidth="1" style="142" min="12802" max="12806"/>
    <col width="10.6328125" customWidth="1" style="142" min="12807" max="12810"/>
    <col width="9.6328125" customWidth="1" style="142" min="12811" max="12811"/>
    <col width="10.6328125" customWidth="1" style="142" min="12812" max="12812"/>
    <col width="9.6328125" customWidth="1" style="142" min="12813" max="12813"/>
    <col width="9.1796875" customWidth="1" style="142" min="12814" max="13056"/>
    <col width="12.6328125" customWidth="1" style="142" min="13057" max="13057"/>
    <col width="9.6328125" customWidth="1" style="142" min="13058" max="13062"/>
    <col width="10.6328125" customWidth="1" style="142" min="13063" max="13066"/>
    <col width="9.6328125" customWidth="1" style="142" min="13067" max="13067"/>
    <col width="10.6328125" customWidth="1" style="142" min="13068" max="13068"/>
    <col width="9.6328125" customWidth="1" style="142" min="13069" max="13069"/>
    <col width="9.1796875" customWidth="1" style="142" min="13070" max="13312"/>
    <col width="12.6328125" customWidth="1" style="142" min="13313" max="13313"/>
    <col width="9.6328125" customWidth="1" style="142" min="13314" max="13318"/>
    <col width="10.6328125" customWidth="1" style="142" min="13319" max="13322"/>
    <col width="9.6328125" customWidth="1" style="142" min="13323" max="13323"/>
    <col width="10.6328125" customWidth="1" style="142" min="13324" max="13324"/>
    <col width="9.6328125" customWidth="1" style="142" min="13325" max="13325"/>
    <col width="9.1796875" customWidth="1" style="142" min="13326" max="13568"/>
    <col width="12.6328125" customWidth="1" style="142" min="13569" max="13569"/>
    <col width="9.6328125" customWidth="1" style="142" min="13570" max="13574"/>
    <col width="10.6328125" customWidth="1" style="142" min="13575" max="13578"/>
    <col width="9.6328125" customWidth="1" style="142" min="13579" max="13579"/>
    <col width="10.6328125" customWidth="1" style="142" min="13580" max="13580"/>
    <col width="9.6328125" customWidth="1" style="142" min="13581" max="13581"/>
    <col width="9.1796875" customWidth="1" style="142" min="13582" max="13824"/>
    <col width="12.6328125" customWidth="1" style="142" min="13825" max="13825"/>
    <col width="9.6328125" customWidth="1" style="142" min="13826" max="13830"/>
    <col width="10.6328125" customWidth="1" style="142" min="13831" max="13834"/>
    <col width="9.6328125" customWidth="1" style="142" min="13835" max="13835"/>
    <col width="10.6328125" customWidth="1" style="142" min="13836" max="13836"/>
    <col width="9.6328125" customWidth="1" style="142" min="13837" max="13837"/>
    <col width="9.1796875" customWidth="1" style="142" min="13838" max="14080"/>
    <col width="12.6328125" customWidth="1" style="142" min="14081" max="14081"/>
    <col width="9.6328125" customWidth="1" style="142" min="14082" max="14086"/>
    <col width="10.6328125" customWidth="1" style="142" min="14087" max="14090"/>
    <col width="9.6328125" customWidth="1" style="142" min="14091" max="14091"/>
    <col width="10.6328125" customWidth="1" style="142" min="14092" max="14092"/>
    <col width="9.6328125" customWidth="1" style="142" min="14093" max="14093"/>
    <col width="9.1796875" customWidth="1" style="142" min="14094" max="14336"/>
    <col width="12.6328125" customWidth="1" style="142" min="14337" max="14337"/>
    <col width="9.6328125" customWidth="1" style="142" min="14338" max="14342"/>
    <col width="10.6328125" customWidth="1" style="142" min="14343" max="14346"/>
    <col width="9.6328125" customWidth="1" style="142" min="14347" max="14347"/>
    <col width="10.6328125" customWidth="1" style="142" min="14348" max="14348"/>
    <col width="9.6328125" customWidth="1" style="142" min="14349" max="14349"/>
    <col width="9.1796875" customWidth="1" style="142" min="14350" max="14592"/>
    <col width="12.6328125" customWidth="1" style="142" min="14593" max="14593"/>
    <col width="9.6328125" customWidth="1" style="142" min="14594" max="14598"/>
    <col width="10.6328125" customWidth="1" style="142" min="14599" max="14602"/>
    <col width="9.6328125" customWidth="1" style="142" min="14603" max="14603"/>
    <col width="10.6328125" customWidth="1" style="142" min="14604" max="14604"/>
    <col width="9.6328125" customWidth="1" style="142" min="14605" max="14605"/>
    <col width="9.1796875" customWidth="1" style="142" min="14606" max="14848"/>
    <col width="12.6328125" customWidth="1" style="142" min="14849" max="14849"/>
    <col width="9.6328125" customWidth="1" style="142" min="14850" max="14854"/>
    <col width="10.6328125" customWidth="1" style="142" min="14855" max="14858"/>
    <col width="9.6328125" customWidth="1" style="142" min="14859" max="14859"/>
    <col width="10.6328125" customWidth="1" style="142" min="14860" max="14860"/>
    <col width="9.6328125" customWidth="1" style="142" min="14861" max="14861"/>
    <col width="9.1796875" customWidth="1" style="142" min="14862" max="15104"/>
    <col width="12.6328125" customWidth="1" style="142" min="15105" max="15105"/>
    <col width="9.6328125" customWidth="1" style="142" min="15106" max="15110"/>
    <col width="10.6328125" customWidth="1" style="142" min="15111" max="15114"/>
    <col width="9.6328125" customWidth="1" style="142" min="15115" max="15115"/>
    <col width="10.6328125" customWidth="1" style="142" min="15116" max="15116"/>
    <col width="9.6328125" customWidth="1" style="142" min="15117" max="15117"/>
    <col width="9.1796875" customWidth="1" style="142" min="15118" max="15360"/>
    <col width="12.6328125" customWidth="1" style="142" min="15361" max="15361"/>
    <col width="9.6328125" customWidth="1" style="142" min="15362" max="15366"/>
    <col width="10.6328125" customWidth="1" style="142" min="15367" max="15370"/>
    <col width="9.6328125" customWidth="1" style="142" min="15371" max="15371"/>
    <col width="10.6328125" customWidth="1" style="142" min="15372" max="15372"/>
    <col width="9.6328125" customWidth="1" style="142" min="15373" max="15373"/>
    <col width="9.1796875" customWidth="1" style="142" min="15374" max="15616"/>
    <col width="12.6328125" customWidth="1" style="142" min="15617" max="15617"/>
    <col width="9.6328125" customWidth="1" style="142" min="15618" max="15622"/>
    <col width="10.6328125" customWidth="1" style="142" min="15623" max="15626"/>
    <col width="9.6328125" customWidth="1" style="142" min="15627" max="15627"/>
    <col width="10.6328125" customWidth="1" style="142" min="15628" max="15628"/>
    <col width="9.6328125" customWidth="1" style="142" min="15629" max="15629"/>
    <col width="9.1796875" customWidth="1" style="142" min="15630" max="15872"/>
    <col width="12.6328125" customWidth="1" style="142" min="15873" max="15873"/>
    <col width="9.6328125" customWidth="1" style="142" min="15874" max="15878"/>
    <col width="10.6328125" customWidth="1" style="142" min="15879" max="15882"/>
    <col width="9.6328125" customWidth="1" style="142" min="15883" max="15883"/>
    <col width="10.6328125" customWidth="1" style="142" min="15884" max="15884"/>
    <col width="9.6328125" customWidth="1" style="142" min="15885" max="15885"/>
    <col width="9.1796875" customWidth="1" style="142" min="15886" max="16128"/>
    <col width="12.6328125" customWidth="1" style="142" min="16129" max="16129"/>
    <col width="9.6328125" customWidth="1" style="142" min="16130" max="16134"/>
    <col width="10.6328125" customWidth="1" style="142" min="16135" max="16138"/>
    <col width="9.6328125" customWidth="1" style="142" min="16139" max="16139"/>
    <col width="10.6328125" customWidth="1" style="142" min="16140" max="16140"/>
    <col width="9.6328125" customWidth="1" style="142" min="16141" max="16141"/>
    <col width="9.179687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9"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9"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9"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9"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9"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9"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9"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9"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9"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9"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9"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9"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9"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9"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9"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9"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9"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9"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9"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9"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9"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9"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9"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9"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9"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9"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9"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9"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9"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9"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9"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9"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9"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9"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9"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9"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9"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9"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9"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9"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9"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9"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9"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9"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9"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9"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9"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9"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9"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9"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9"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9"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9"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9"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9"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9"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9"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9"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9"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9"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9"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9"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9"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9"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9"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9"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9"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9"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9"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9"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9"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9"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9"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9"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9"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9"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9"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9"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9"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9"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9"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9"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9"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9"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9"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9"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9"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9"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9"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9"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9"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9"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9"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9"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9"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9"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9"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9"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9"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9"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9"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9"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9"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9"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9"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9"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9"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9"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9"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9"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9"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9"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9"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9"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9"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9"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9"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9"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9"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9"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9"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9"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9"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9"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9"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9"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9" t="n">
        <v>44774</v>
      </c>
      <c r="B776" t="n">
        <v>20738</v>
      </c>
      <c r="C776" t="n">
        <v>36860</v>
      </c>
      <c r="D776" t="n">
        <v>38888</v>
      </c>
      <c r="E776" t="n">
        <v>24519</v>
      </c>
      <c r="F776" t="n">
        <v>13851</v>
      </c>
      <c r="G776" t="n">
        <v>93483</v>
      </c>
      <c r="H776" t="n">
        <v/>
      </c>
      <c r="I776" t="n">
        <v>180358</v>
      </c>
      <c r="J776" t="n">
        <v>194542</v>
      </c>
      <c r="K776" t="n">
        <v/>
      </c>
      <c r="L776" t="n">
        <v>273841</v>
      </c>
      <c r="M776" t="n">
        <v>75379</v>
      </c>
    </row>
    <row r="777">
      <c r="A777" s="149" t="n">
        <v>44805</v>
      </c>
      <c r="B777" t="n">
        <v>20241</v>
      </c>
      <c r="C777" t="n">
        <v>36444</v>
      </c>
      <c r="D777" t="n">
        <v>38633</v>
      </c>
      <c r="E777" t="n">
        <v>24239</v>
      </c>
      <c r="F777" t="n">
        <v>13701</v>
      </c>
      <c r="G777" t="n">
        <v>95676</v>
      </c>
      <c r="H777" t="n">
        <v/>
      </c>
      <c r="I777" t="n">
        <v>178723</v>
      </c>
      <c r="J777" t="n">
        <v>193704</v>
      </c>
      <c r="K777" t="n">
        <v/>
      </c>
      <c r="L777" t="n">
        <v>274399</v>
      </c>
      <c r="M777" t="n">
        <v>74819</v>
      </c>
    </row>
    <row r="778">
      <c r="A778" s="149" t="n">
        <v>44835</v>
      </c>
      <c r="B778" t="n">
        <v>20254</v>
      </c>
      <c r="C778" t="n">
        <v>36511</v>
      </c>
      <c r="D778" t="n">
        <v>39203</v>
      </c>
      <c r="E778" t="n">
        <v>24357</v>
      </c>
      <c r="F778" t="n">
        <v>13771</v>
      </c>
      <c r="G778" t="n">
        <v>97744</v>
      </c>
      <c r="H778" t="n">
        <v/>
      </c>
      <c r="I778" t="n">
        <v>179606</v>
      </c>
      <c r="J778" t="n">
        <v>196518</v>
      </c>
      <c r="K778" t="n">
        <v/>
      </c>
      <c r="L778" t="n">
        <v>277350</v>
      </c>
      <c r="M778" t="n">
        <v>75275</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8"/>
  <sheetViews>
    <sheetView zoomScale="60" zoomScaleNormal="60" workbookViewId="0">
      <pane xSplit="2" ySplit="6" topLeftCell="C55" activePane="bottomRight" state="frozen"/>
      <selection activeCell="Q21" sqref="Q21"/>
      <selection pane="topRight" activeCell="Q21" sqref="Q21"/>
      <selection pane="bottomLeft" activeCell="Q21" sqref="Q21"/>
      <selection pane="bottomRight" activeCell="X82" sqref="X82"/>
    </sheetView>
  </sheetViews>
  <sheetFormatPr baseColWidth="8" defaultColWidth="9.1796875" defaultRowHeight="14.5"/>
  <cols>
    <col width="9.1796875" customWidth="1" style="123" min="1" max="1"/>
    <col width="10.6328125" bestFit="1" customWidth="1" style="123" min="2" max="2"/>
    <col width="9.1796875" customWidth="1" style="123" min="3" max="11"/>
    <col width="9.1796875" customWidth="1" style="123" min="12"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row r="87">
      <c r="B87" s="93" t="n">
        <v>44805</v>
      </c>
      <c r="C87" s="94">
        <f>VLOOKUP(B87,Database!$A:$M,MATCH(Recap!$C$5,Database!$A$1:$M$1,),)</f>
        <v/>
      </c>
      <c r="D87" s="96">
        <f>(C87-C86)/C86</f>
        <v/>
      </c>
      <c r="E87" s="94">
        <f>VLOOKUP(B87,Database!$A:$M,MATCH(Recap!$E$5,Database!$A$1:$M$1,),)</f>
        <v/>
      </c>
      <c r="F87" s="96">
        <f>(E87-E86)/E86</f>
        <v/>
      </c>
      <c r="G87" s="94">
        <f>VLOOKUP(B87,Database!$A:$M,MATCH(Recap!$G$5,Database!$A$1:$M$1,),)</f>
        <v/>
      </c>
      <c r="H87" s="96">
        <f>(G87-G86)/G86</f>
        <v/>
      </c>
      <c r="I87" s="94">
        <f>VLOOKUP(B87,Database!$A:$M,MATCH(Recap!$I$5,Database!$A$1:$M$1,),)</f>
        <v/>
      </c>
      <c r="J87" s="96">
        <f>(I87-I86)/I86</f>
        <v/>
      </c>
      <c r="K87" s="94">
        <f>VLOOKUP(B87,Database!$A:$M,MATCH(Recap!$K$5,Database!$A$1:$M$1,),)</f>
        <v/>
      </c>
      <c r="L87" s="96">
        <f>(K87-K86)/K86</f>
        <v/>
      </c>
      <c r="M87" s="94">
        <f>VLOOKUP(B87,Database!$A:$M,MATCH(Recap!$M$5,Database!$A$1:$M$1,),)</f>
        <v/>
      </c>
      <c r="N87" s="96">
        <f>(M87-M86)/M86</f>
        <v/>
      </c>
      <c r="O87" s="94">
        <f>VLOOKUP(B87,Database!$A:$M,MATCH(Recap!$O$5,Database!$A$1:$M$1,),)</f>
        <v/>
      </c>
      <c r="P87" s="96">
        <f>(O87-O86)/O86</f>
        <v/>
      </c>
      <c r="Q87" s="94">
        <f>VLOOKUP(B87,Database!$A:$M,MATCH(Recap!$Q$5,Database!$A$1:$M$1,),)</f>
        <v/>
      </c>
      <c r="R87" s="96">
        <f>(Q87-Q86)/Q86</f>
        <v/>
      </c>
      <c r="S87" s="94">
        <f>VLOOKUP(B87,Database!$A:$M,MATCH(Recap!$S$5,Database!$A$1:$M$1,),)</f>
        <v/>
      </c>
      <c r="T87" s="96">
        <f>(S87-S86)/S86</f>
        <v/>
      </c>
      <c r="U87" s="94">
        <f>VLOOKUP(B87,Database!$A:$M,MATCH(Recap!$U$5,Database!$A$1:$M$1,),)</f>
        <v/>
      </c>
      <c r="V87" s="96">
        <f>(U87-U86)/U86</f>
        <v/>
      </c>
    </row>
    <row r="88">
      <c r="B88" s="93" t="n">
        <v>44835</v>
      </c>
      <c r="C88" s="94">
        <f>VLOOKUP(B88,Database!$A:$M,MATCH(Recap!$C$5,Database!$A$1:$M$1,),)</f>
        <v/>
      </c>
      <c r="D88" s="96">
        <f>(C88-C87)/C87</f>
        <v/>
      </c>
      <c r="E88" s="94">
        <f>VLOOKUP(B88,Database!$A:$M,MATCH(Recap!$E$5,Database!$A$1:$M$1,),)</f>
        <v/>
      </c>
      <c r="F88" s="96">
        <f>(E88-E87)/E87</f>
        <v/>
      </c>
      <c r="G88" s="94">
        <f>VLOOKUP(B88,Database!$A:$M,MATCH(Recap!$G$5,Database!$A$1:$M$1,),)</f>
        <v/>
      </c>
      <c r="H88" s="96">
        <f>(G88-G87)/G87</f>
        <v/>
      </c>
      <c r="I88" s="94">
        <f>VLOOKUP(B88,Database!$A:$M,MATCH(Recap!$I$5,Database!$A$1:$M$1,),)</f>
        <v/>
      </c>
      <c r="J88" s="96">
        <f>(I88-I87)/I87</f>
        <v/>
      </c>
      <c r="K88" s="94">
        <f>VLOOKUP(B88,Database!$A:$M,MATCH(Recap!$K$5,Database!$A$1:$M$1,),)</f>
        <v/>
      </c>
      <c r="L88" s="96">
        <f>(K88-K87)/K87</f>
        <v/>
      </c>
      <c r="M88" s="94">
        <f>VLOOKUP(B88,Database!$A:$M,MATCH(Recap!$M$5,Database!$A$1:$M$1,),)</f>
        <v/>
      </c>
      <c r="N88" s="96">
        <f>(M88-M87)/M87</f>
        <v/>
      </c>
      <c r="O88" s="94">
        <f>VLOOKUP(B88,Database!$A:$M,MATCH(Recap!$O$5,Database!$A$1:$M$1,),)</f>
        <v/>
      </c>
      <c r="P88" s="96">
        <f>(O88-O87)/O87</f>
        <v/>
      </c>
      <c r="Q88" s="94">
        <f>VLOOKUP(B88,Database!$A:$M,MATCH(Recap!$Q$5,Database!$A$1:$M$1,),)</f>
        <v/>
      </c>
      <c r="R88" s="96">
        <f>(Q88-Q87)/Q87</f>
        <v/>
      </c>
      <c r="S88" s="94">
        <f>VLOOKUP(B88,Database!$A:$M,MATCH(Recap!$S$5,Database!$A$1:$M$1,),)</f>
        <v/>
      </c>
      <c r="T88" s="96">
        <f>(S88-S87)/S87</f>
        <v/>
      </c>
      <c r="U88" s="94">
        <f>VLOOKUP(B88,Database!$A:$M,MATCH(Recap!$U$5,Database!$A$1:$M$1,),)</f>
        <v/>
      </c>
      <c r="V88" s="96">
        <f>(U88-U87)/U87</f>
        <v/>
      </c>
    </row>
  </sheetData>
  <mergeCells count="10">
    <mergeCell ref="M4:N4"/>
    <mergeCell ref="O4:P4"/>
    <mergeCell ref="Q4:R4"/>
    <mergeCell ref="S4:T4"/>
    <mergeCell ref="U4:V4"/>
    <mergeCell ref="C4:D4"/>
    <mergeCell ref="E4:F4"/>
    <mergeCell ref="G4:H4"/>
    <mergeCell ref="I4:J4"/>
    <mergeCell ref="K4:L4"/>
  </mergeCells>
  <conditionalFormatting sqref="D8:D88">
    <cfRule type="colorScale" priority="11">
      <colorScale>
        <cfvo type="min"/>
        <cfvo type="percentile" val="50"/>
        <cfvo type="max"/>
        <color rgb="FFF8696B"/>
        <color rgb="FFFFEB84"/>
        <color rgb="FF63BE7B"/>
      </colorScale>
    </cfRule>
  </conditionalFormatting>
  <conditionalFormatting sqref="F8:F88">
    <cfRule type="colorScale" priority="12">
      <colorScale>
        <cfvo type="min"/>
        <cfvo type="percentile" val="50"/>
        <cfvo type="max"/>
        <color rgb="FFF8696B"/>
        <color rgb="FFFFEB84"/>
        <color rgb="FF63BE7B"/>
      </colorScale>
    </cfRule>
  </conditionalFormatting>
  <conditionalFormatting sqref="H8:H88">
    <cfRule type="colorScale" priority="13">
      <colorScale>
        <cfvo type="min"/>
        <cfvo type="percentile" val="50"/>
        <cfvo type="max"/>
        <color rgb="FFF8696B"/>
        <color rgb="FFFFEB84"/>
        <color rgb="FF63BE7B"/>
      </colorScale>
    </cfRule>
  </conditionalFormatting>
  <conditionalFormatting sqref="J8:J88">
    <cfRule type="colorScale" priority="14">
      <colorScale>
        <cfvo type="min"/>
        <cfvo type="percentile" val="50"/>
        <cfvo type="max"/>
        <color rgb="FFF8696B"/>
        <color rgb="FFFFEB84"/>
        <color rgb="FF63BE7B"/>
      </colorScale>
    </cfRule>
  </conditionalFormatting>
  <conditionalFormatting sqref="L8:L88">
    <cfRule type="colorScale" priority="15">
      <colorScale>
        <cfvo type="min"/>
        <cfvo type="percentile" val="50"/>
        <cfvo type="max"/>
        <color rgb="FFF8696B"/>
        <color rgb="FFFFEB84"/>
        <color rgb="FF63BE7B"/>
      </colorScale>
    </cfRule>
  </conditionalFormatting>
  <conditionalFormatting sqref="N8:N88">
    <cfRule type="colorScale" priority="16">
      <colorScale>
        <cfvo type="min"/>
        <cfvo type="percentile" val="50"/>
        <cfvo type="max"/>
        <color rgb="FFF8696B"/>
        <color rgb="FFFFEB84"/>
        <color rgb="FF63BE7B"/>
      </colorScale>
    </cfRule>
  </conditionalFormatting>
  <conditionalFormatting sqref="P8:P88">
    <cfRule type="colorScale" priority="17">
      <colorScale>
        <cfvo type="min"/>
        <cfvo type="percentile" val="50"/>
        <cfvo type="max"/>
        <color rgb="FFF8696B"/>
        <color rgb="FFFFEB84"/>
        <color rgb="FF63BE7B"/>
      </colorScale>
    </cfRule>
  </conditionalFormatting>
  <conditionalFormatting sqref="R8:R88">
    <cfRule type="colorScale" priority="18">
      <colorScale>
        <cfvo type="min"/>
        <cfvo type="percentile" val="50"/>
        <cfvo type="max"/>
        <color rgb="FFF8696B"/>
        <color rgb="FFFFEB84"/>
        <color rgb="FF63BE7B"/>
      </colorScale>
    </cfRule>
  </conditionalFormatting>
  <conditionalFormatting sqref="T8:T88">
    <cfRule type="colorScale" priority="19">
      <colorScale>
        <cfvo type="min"/>
        <cfvo type="percentile" val="50"/>
        <cfvo type="max"/>
        <color rgb="FFF8696B"/>
        <color rgb="FFFFEB84"/>
        <color rgb="FF63BE7B"/>
      </colorScale>
    </cfRule>
  </conditionalFormatting>
  <conditionalFormatting sqref="V8:V88">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4"/>
  <sheetViews>
    <sheetView zoomScale="60" zoomScaleNormal="60" workbookViewId="0">
      <pane ySplit="5" topLeftCell="A342" activePane="bottomLeft" state="frozen"/>
      <selection pane="bottomLeft" activeCell="AB336" sqref="AB336"/>
    </sheetView>
  </sheetViews>
  <sheetFormatPr baseColWidth="8" defaultColWidth="8.81640625" defaultRowHeight="14.5"/>
  <cols>
    <col width="10.81640625" customWidth="1" style="68" min="1" max="1"/>
    <col width="24.453125" customWidth="1" style="69" min="2" max="2"/>
    <col width="14.81640625" customWidth="1" style="147" min="3" max="3"/>
    <col width="9.1796875" customWidth="1" style="123" min="4" max="240"/>
    <col width="10.81640625" customWidth="1" style="123" min="241" max="241"/>
    <col width="18.1796875" customWidth="1" style="123" min="242" max="242"/>
    <col width="15" customWidth="1" style="123" min="243" max="243"/>
    <col width="13" customWidth="1" style="123" min="244" max="247"/>
    <col width="17.453125" customWidth="1" style="123" min="248" max="248"/>
    <col width="9.1796875" customWidth="1" style="123" min="249" max="496"/>
    <col width="10.81640625" customWidth="1" style="123" min="497" max="497"/>
    <col width="18.1796875" customWidth="1" style="123" min="498" max="498"/>
    <col width="15" customWidth="1" style="123" min="499" max="499"/>
    <col width="13" customWidth="1" style="123" min="500" max="503"/>
    <col width="17.453125" customWidth="1" style="123" min="504" max="504"/>
    <col width="9.1796875" customWidth="1" style="123" min="505" max="752"/>
    <col width="10.81640625" customWidth="1" style="123" min="753" max="753"/>
    <col width="18.1796875" customWidth="1" style="123" min="754" max="754"/>
    <col width="15" customWidth="1" style="123" min="755" max="755"/>
    <col width="13" customWidth="1" style="123" min="756" max="759"/>
    <col width="17.453125" customWidth="1" style="123" min="760" max="760"/>
    <col width="9.1796875" customWidth="1" style="123" min="761" max="1008"/>
    <col width="10.81640625" customWidth="1" style="123" min="1009" max="1009"/>
    <col width="18.1796875" customWidth="1" style="123" min="1010" max="1010"/>
    <col width="15" customWidth="1" style="123" min="1011" max="1011"/>
    <col width="13" customWidth="1" style="123" min="1012" max="1015"/>
    <col width="17.453125" customWidth="1" style="123" min="1016" max="1016"/>
    <col width="9.1796875" customWidth="1" style="123" min="1017" max="1264"/>
    <col width="10.81640625" customWidth="1" style="123" min="1265" max="1265"/>
    <col width="18.1796875" customWidth="1" style="123" min="1266" max="1266"/>
    <col width="15" customWidth="1" style="123" min="1267" max="1267"/>
    <col width="13" customWidth="1" style="123" min="1268" max="1271"/>
    <col width="17.453125" customWidth="1" style="123" min="1272" max="1272"/>
    <col width="9.1796875" customWidth="1" style="123" min="1273" max="1520"/>
    <col width="10.81640625" customWidth="1" style="123" min="1521" max="1521"/>
    <col width="18.1796875" customWidth="1" style="123" min="1522" max="1522"/>
    <col width="15" customWidth="1" style="123" min="1523" max="1523"/>
    <col width="13" customWidth="1" style="123" min="1524" max="1527"/>
    <col width="17.453125" customWidth="1" style="123" min="1528" max="1528"/>
    <col width="9.1796875" customWidth="1" style="123" min="1529" max="1776"/>
    <col width="10.81640625" customWidth="1" style="123" min="1777" max="1777"/>
    <col width="18.1796875" customWidth="1" style="123" min="1778" max="1778"/>
    <col width="15" customWidth="1" style="123" min="1779" max="1779"/>
    <col width="13" customWidth="1" style="123" min="1780" max="1783"/>
    <col width="17.453125" customWidth="1" style="123" min="1784" max="1784"/>
    <col width="9.1796875" customWidth="1" style="123" min="1785" max="2032"/>
    <col width="10.81640625" customWidth="1" style="123" min="2033" max="2033"/>
    <col width="18.1796875" customWidth="1" style="123" min="2034" max="2034"/>
    <col width="15" customWidth="1" style="123" min="2035" max="2035"/>
    <col width="13" customWidth="1" style="123" min="2036" max="2039"/>
    <col width="17.453125" customWidth="1" style="123" min="2040" max="2040"/>
    <col width="9.1796875" customWidth="1" style="123" min="2041" max="2288"/>
    <col width="10.81640625" customWidth="1" style="123" min="2289" max="2289"/>
    <col width="18.1796875" customWidth="1" style="123" min="2290" max="2290"/>
    <col width="15" customWidth="1" style="123" min="2291" max="2291"/>
    <col width="13" customWidth="1" style="123" min="2292" max="2295"/>
    <col width="17.453125" customWidth="1" style="123" min="2296" max="2296"/>
    <col width="9.1796875" customWidth="1" style="123" min="2297" max="2544"/>
    <col width="10.81640625" customWidth="1" style="123" min="2545" max="2545"/>
    <col width="18.1796875" customWidth="1" style="123" min="2546" max="2546"/>
    <col width="15" customWidth="1" style="123" min="2547" max="2547"/>
    <col width="13" customWidth="1" style="123" min="2548" max="2551"/>
    <col width="17.453125" customWidth="1" style="123" min="2552" max="2552"/>
    <col width="9.1796875" customWidth="1" style="123" min="2553" max="2800"/>
    <col width="10.81640625" customWidth="1" style="123" min="2801" max="2801"/>
    <col width="18.1796875" customWidth="1" style="123" min="2802" max="2802"/>
    <col width="15" customWidth="1" style="123" min="2803" max="2803"/>
    <col width="13" customWidth="1" style="123" min="2804" max="2807"/>
    <col width="17.453125" customWidth="1" style="123" min="2808" max="2808"/>
    <col width="9.1796875" customWidth="1" style="123" min="2809" max="3056"/>
    <col width="10.81640625" customWidth="1" style="123" min="3057" max="3057"/>
    <col width="18.1796875" customWidth="1" style="123" min="3058" max="3058"/>
    <col width="15" customWidth="1" style="123" min="3059" max="3059"/>
    <col width="13" customWidth="1" style="123" min="3060" max="3063"/>
    <col width="17.453125" customWidth="1" style="123" min="3064" max="3064"/>
    <col width="9.1796875" customWidth="1" style="123" min="3065" max="3312"/>
    <col width="10.81640625" customWidth="1" style="123" min="3313" max="3313"/>
    <col width="18.1796875" customWidth="1" style="123" min="3314" max="3314"/>
    <col width="15" customWidth="1" style="123" min="3315" max="3315"/>
    <col width="13" customWidth="1" style="123" min="3316" max="3319"/>
    <col width="17.453125" customWidth="1" style="123" min="3320" max="3320"/>
    <col width="9.1796875" customWidth="1" style="123" min="3321" max="3568"/>
    <col width="10.81640625" customWidth="1" style="123" min="3569" max="3569"/>
    <col width="18.1796875" customWidth="1" style="123" min="3570" max="3570"/>
    <col width="15" customWidth="1" style="123" min="3571" max="3571"/>
    <col width="13" customWidth="1" style="123" min="3572" max="3575"/>
    <col width="17.453125" customWidth="1" style="123" min="3576" max="3576"/>
    <col width="9.1796875" customWidth="1" style="123" min="3577" max="3824"/>
    <col width="10.81640625" customWidth="1" style="123" min="3825" max="3825"/>
    <col width="18.1796875" customWidth="1" style="123" min="3826" max="3826"/>
    <col width="15" customWidth="1" style="123" min="3827" max="3827"/>
    <col width="13" customWidth="1" style="123" min="3828" max="3831"/>
    <col width="17.453125" customWidth="1" style="123" min="3832" max="3832"/>
    <col width="9.1796875" customWidth="1" style="123" min="3833" max="4080"/>
    <col width="10.81640625" customWidth="1" style="123" min="4081" max="4081"/>
    <col width="18.1796875" customWidth="1" style="123" min="4082" max="4082"/>
    <col width="15" customWidth="1" style="123" min="4083" max="4083"/>
    <col width="13" customWidth="1" style="123" min="4084" max="4087"/>
    <col width="17.453125" customWidth="1" style="123" min="4088" max="4088"/>
    <col width="9.1796875" customWidth="1" style="123" min="4089" max="4336"/>
    <col width="10.81640625" customWidth="1" style="123" min="4337" max="4337"/>
    <col width="18.1796875" customWidth="1" style="123" min="4338" max="4338"/>
    <col width="15" customWidth="1" style="123" min="4339" max="4339"/>
    <col width="13" customWidth="1" style="123" min="4340" max="4343"/>
    <col width="17.453125" customWidth="1" style="123" min="4344" max="4344"/>
    <col width="9.1796875" customWidth="1" style="123" min="4345" max="4592"/>
    <col width="10.81640625" customWidth="1" style="123" min="4593" max="4593"/>
    <col width="18.1796875" customWidth="1" style="123" min="4594" max="4594"/>
    <col width="15" customWidth="1" style="123" min="4595" max="4595"/>
    <col width="13" customWidth="1" style="123" min="4596" max="4599"/>
    <col width="17.453125" customWidth="1" style="123" min="4600" max="4600"/>
    <col width="9.1796875" customWidth="1" style="123" min="4601" max="4848"/>
    <col width="10.81640625" customWidth="1" style="123" min="4849" max="4849"/>
    <col width="18.1796875" customWidth="1" style="123" min="4850" max="4850"/>
    <col width="15" customWidth="1" style="123" min="4851" max="4851"/>
    <col width="13" customWidth="1" style="123" min="4852" max="4855"/>
    <col width="17.453125" customWidth="1" style="123" min="4856" max="4856"/>
    <col width="9.1796875" customWidth="1" style="123" min="4857" max="5104"/>
    <col width="10.81640625" customWidth="1" style="123" min="5105" max="5105"/>
    <col width="18.1796875" customWidth="1" style="123" min="5106" max="5106"/>
    <col width="15" customWidth="1" style="123" min="5107" max="5107"/>
    <col width="13" customWidth="1" style="123" min="5108" max="5111"/>
    <col width="17.453125" customWidth="1" style="123" min="5112" max="5112"/>
    <col width="9.1796875" customWidth="1" style="123" min="5113" max="5360"/>
    <col width="10.81640625" customWidth="1" style="123" min="5361" max="5361"/>
    <col width="18.1796875" customWidth="1" style="123" min="5362" max="5362"/>
    <col width="15" customWidth="1" style="123" min="5363" max="5363"/>
    <col width="13" customWidth="1" style="123" min="5364" max="5367"/>
    <col width="17.453125" customWidth="1" style="123" min="5368" max="5368"/>
    <col width="9.1796875" customWidth="1" style="123" min="5369" max="5616"/>
    <col width="10.81640625" customWidth="1" style="123" min="5617" max="5617"/>
    <col width="18.1796875" customWidth="1" style="123" min="5618" max="5618"/>
    <col width="15" customWidth="1" style="123" min="5619" max="5619"/>
    <col width="13" customWidth="1" style="123" min="5620" max="5623"/>
    <col width="17.453125" customWidth="1" style="123" min="5624" max="5624"/>
    <col width="9.1796875" customWidth="1" style="123" min="5625" max="5872"/>
    <col width="10.81640625" customWidth="1" style="123" min="5873" max="5873"/>
    <col width="18.1796875" customWidth="1" style="123" min="5874" max="5874"/>
    <col width="15" customWidth="1" style="123" min="5875" max="5875"/>
    <col width="13" customWidth="1" style="123" min="5876" max="5879"/>
    <col width="17.453125" customWidth="1" style="123" min="5880" max="5880"/>
    <col width="9.1796875" customWidth="1" style="123" min="5881" max="6128"/>
    <col width="10.81640625" customWidth="1" style="123" min="6129" max="6129"/>
    <col width="18.1796875" customWidth="1" style="123" min="6130" max="6130"/>
    <col width="15" customWidth="1" style="123" min="6131" max="6131"/>
    <col width="13" customWidth="1" style="123" min="6132" max="6135"/>
    <col width="17.453125" customWidth="1" style="123" min="6136" max="6136"/>
    <col width="9.1796875" customWidth="1" style="123" min="6137" max="6384"/>
    <col width="10.81640625" customWidth="1" style="123" min="6385" max="6385"/>
    <col width="18.1796875" customWidth="1" style="123" min="6386" max="6386"/>
    <col width="15" customWidth="1" style="123" min="6387" max="6387"/>
    <col width="13" customWidth="1" style="123" min="6388" max="6391"/>
    <col width="17.453125" customWidth="1" style="123" min="6392" max="6392"/>
    <col width="9.1796875" customWidth="1" style="123" min="6393" max="6640"/>
    <col width="10.81640625" customWidth="1" style="123" min="6641" max="6641"/>
    <col width="18.1796875" customWidth="1" style="123" min="6642" max="6642"/>
    <col width="15" customWidth="1" style="123" min="6643" max="6643"/>
    <col width="13" customWidth="1" style="123" min="6644" max="6647"/>
    <col width="17.453125" customWidth="1" style="123" min="6648" max="6648"/>
    <col width="9.1796875" customWidth="1" style="123" min="6649" max="6896"/>
    <col width="10.81640625" customWidth="1" style="123" min="6897" max="6897"/>
    <col width="18.1796875" customWidth="1" style="123" min="6898" max="6898"/>
    <col width="15" customWidth="1" style="123" min="6899" max="6899"/>
    <col width="13" customWidth="1" style="123" min="6900" max="6903"/>
    <col width="17.453125" customWidth="1" style="123" min="6904" max="6904"/>
    <col width="9.1796875" customWidth="1" style="123" min="6905" max="7152"/>
    <col width="10.81640625" customWidth="1" style="123" min="7153" max="7153"/>
    <col width="18.1796875" customWidth="1" style="123" min="7154" max="7154"/>
    <col width="15" customWidth="1" style="123" min="7155" max="7155"/>
    <col width="13" customWidth="1" style="123" min="7156" max="7159"/>
    <col width="17.453125" customWidth="1" style="123" min="7160" max="7160"/>
    <col width="9.1796875" customWidth="1" style="123" min="7161" max="7408"/>
    <col width="10.81640625" customWidth="1" style="123" min="7409" max="7409"/>
    <col width="18.1796875" customWidth="1" style="123" min="7410" max="7410"/>
    <col width="15" customWidth="1" style="123" min="7411" max="7411"/>
    <col width="13" customWidth="1" style="123" min="7412" max="7415"/>
    <col width="17.453125" customWidth="1" style="123" min="7416" max="7416"/>
    <col width="9.1796875" customWidth="1" style="123" min="7417" max="7664"/>
    <col width="10.81640625" customWidth="1" style="123" min="7665" max="7665"/>
    <col width="18.1796875" customWidth="1" style="123" min="7666" max="7666"/>
    <col width="15" customWidth="1" style="123" min="7667" max="7667"/>
    <col width="13" customWidth="1" style="123" min="7668" max="7671"/>
    <col width="17.453125" customWidth="1" style="123" min="7672" max="7672"/>
    <col width="9.1796875" customWidth="1" style="123" min="7673" max="7920"/>
    <col width="10.81640625" customWidth="1" style="123" min="7921" max="7921"/>
    <col width="18.1796875" customWidth="1" style="123" min="7922" max="7922"/>
    <col width="15" customWidth="1" style="123" min="7923" max="7923"/>
    <col width="13" customWidth="1" style="123" min="7924" max="7927"/>
    <col width="17.453125" customWidth="1" style="123" min="7928" max="7928"/>
    <col width="9.1796875" customWidth="1" style="123" min="7929" max="8176"/>
    <col width="10.81640625" customWidth="1" style="123" min="8177" max="8177"/>
    <col width="18.1796875" customWidth="1" style="123" min="8178" max="8178"/>
    <col width="15" customWidth="1" style="123" min="8179" max="8179"/>
    <col width="13" customWidth="1" style="123" min="8180" max="8183"/>
    <col width="17.453125" customWidth="1" style="123" min="8184" max="8184"/>
    <col width="9.1796875" customWidth="1" style="123" min="8185" max="8432"/>
    <col width="10.81640625" customWidth="1" style="123" min="8433" max="8433"/>
    <col width="18.1796875" customWidth="1" style="123" min="8434" max="8434"/>
    <col width="15" customWidth="1" style="123" min="8435" max="8435"/>
    <col width="13" customWidth="1" style="123" min="8436" max="8439"/>
    <col width="17.453125" customWidth="1" style="123" min="8440" max="8440"/>
    <col width="9.1796875" customWidth="1" style="123" min="8441" max="8688"/>
    <col width="10.81640625" customWidth="1" style="123" min="8689" max="8689"/>
    <col width="18.1796875" customWidth="1" style="123" min="8690" max="8690"/>
    <col width="15" customWidth="1" style="123" min="8691" max="8691"/>
    <col width="13" customWidth="1" style="123" min="8692" max="8695"/>
    <col width="17.453125" customWidth="1" style="123" min="8696" max="8696"/>
    <col width="9.1796875" customWidth="1" style="123" min="8697" max="8944"/>
    <col width="10.81640625" customWidth="1" style="123" min="8945" max="8945"/>
    <col width="18.1796875" customWidth="1" style="123" min="8946" max="8946"/>
    <col width="15" customWidth="1" style="123" min="8947" max="8947"/>
    <col width="13" customWidth="1" style="123" min="8948" max="8951"/>
    <col width="17.453125" customWidth="1" style="123" min="8952" max="8952"/>
    <col width="9.1796875" customWidth="1" style="123" min="8953" max="9200"/>
    <col width="10.81640625" customWidth="1" style="123" min="9201" max="9201"/>
    <col width="18.1796875" customWidth="1" style="123" min="9202" max="9202"/>
    <col width="15" customWidth="1" style="123" min="9203" max="9203"/>
    <col width="13" customWidth="1" style="123" min="9204" max="9207"/>
    <col width="17.453125" customWidth="1" style="123" min="9208" max="9208"/>
    <col width="9.1796875" customWidth="1" style="123" min="9209" max="9456"/>
    <col width="10.81640625" customWidth="1" style="123" min="9457" max="9457"/>
    <col width="18.1796875" customWidth="1" style="123" min="9458" max="9458"/>
    <col width="15" customWidth="1" style="123" min="9459" max="9459"/>
    <col width="13" customWidth="1" style="123" min="9460" max="9463"/>
    <col width="17.453125" customWidth="1" style="123" min="9464" max="9464"/>
    <col width="9.1796875" customWidth="1" style="123" min="9465" max="9712"/>
    <col width="10.81640625" customWidth="1" style="123" min="9713" max="9713"/>
    <col width="18.1796875" customWidth="1" style="123" min="9714" max="9714"/>
    <col width="15" customWidth="1" style="123" min="9715" max="9715"/>
    <col width="13" customWidth="1" style="123" min="9716" max="9719"/>
    <col width="17.453125" customWidth="1" style="123" min="9720" max="9720"/>
    <col width="9.1796875" customWidth="1" style="123" min="9721" max="9968"/>
    <col width="10.81640625" customWidth="1" style="123" min="9969" max="9969"/>
    <col width="18.1796875" customWidth="1" style="123" min="9970" max="9970"/>
    <col width="15" customWidth="1" style="123" min="9971" max="9971"/>
    <col width="13" customWidth="1" style="123" min="9972" max="9975"/>
    <col width="17.453125" customWidth="1" style="123" min="9976" max="9976"/>
    <col width="9.1796875" customWidth="1" style="123" min="9977" max="10224"/>
    <col width="10.81640625" customWidth="1" style="123" min="10225" max="10225"/>
    <col width="18.1796875" customWidth="1" style="123" min="10226" max="10226"/>
    <col width="15" customWidth="1" style="123" min="10227" max="10227"/>
    <col width="13" customWidth="1" style="123" min="10228" max="10231"/>
    <col width="17.453125" customWidth="1" style="123" min="10232" max="10232"/>
    <col width="9.1796875" customWidth="1" style="123" min="10233" max="10480"/>
    <col width="10.81640625" customWidth="1" style="123" min="10481" max="10481"/>
    <col width="18.1796875" customWidth="1" style="123" min="10482" max="10482"/>
    <col width="15" customWidth="1" style="123" min="10483" max="10483"/>
    <col width="13" customWidth="1" style="123" min="10484" max="10487"/>
    <col width="17.453125" customWidth="1" style="123" min="10488" max="10488"/>
    <col width="9.1796875" customWidth="1" style="123" min="10489" max="10736"/>
    <col width="10.81640625" customWidth="1" style="123" min="10737" max="10737"/>
    <col width="18.1796875" customWidth="1" style="123" min="10738" max="10738"/>
    <col width="15" customWidth="1" style="123" min="10739" max="10739"/>
    <col width="13" customWidth="1" style="123" min="10740" max="10743"/>
    <col width="17.453125" customWidth="1" style="123" min="10744" max="10744"/>
    <col width="9.1796875" customWidth="1" style="123" min="10745" max="10992"/>
    <col width="10.81640625" customWidth="1" style="123" min="10993" max="10993"/>
    <col width="18.1796875" customWidth="1" style="123" min="10994" max="10994"/>
    <col width="15" customWidth="1" style="123" min="10995" max="10995"/>
    <col width="13" customWidth="1" style="123" min="10996" max="10999"/>
    <col width="17.453125" customWidth="1" style="123" min="11000" max="11000"/>
    <col width="9.1796875" customWidth="1" style="123" min="11001" max="11248"/>
    <col width="10.81640625" customWidth="1" style="123" min="11249" max="11249"/>
    <col width="18.1796875" customWidth="1" style="123" min="11250" max="11250"/>
    <col width="15" customWidth="1" style="123" min="11251" max="11251"/>
    <col width="13" customWidth="1" style="123" min="11252" max="11255"/>
    <col width="17.453125" customWidth="1" style="123" min="11256" max="11256"/>
    <col width="9.1796875" customWidth="1" style="123" min="11257" max="11504"/>
    <col width="10.81640625" customWidth="1" style="123" min="11505" max="11505"/>
    <col width="18.1796875" customWidth="1" style="123" min="11506" max="11506"/>
    <col width="15" customWidth="1" style="123" min="11507" max="11507"/>
    <col width="13" customWidth="1" style="123" min="11508" max="11511"/>
    <col width="17.453125" customWidth="1" style="123" min="11512" max="11512"/>
    <col width="9.1796875" customWidth="1" style="123" min="11513" max="11760"/>
    <col width="10.81640625" customWidth="1" style="123" min="11761" max="11761"/>
    <col width="18.1796875" customWidth="1" style="123" min="11762" max="11762"/>
    <col width="15" customWidth="1" style="123" min="11763" max="11763"/>
    <col width="13" customWidth="1" style="123" min="11764" max="11767"/>
    <col width="17.453125" customWidth="1" style="123" min="11768" max="11768"/>
    <col width="9.1796875" customWidth="1" style="123" min="11769" max="12016"/>
    <col width="10.81640625" customWidth="1" style="123" min="12017" max="12017"/>
    <col width="18.1796875" customWidth="1" style="123" min="12018" max="12018"/>
    <col width="15" customWidth="1" style="123" min="12019" max="12019"/>
    <col width="13" customWidth="1" style="123" min="12020" max="12023"/>
    <col width="17.453125" customWidth="1" style="123" min="12024" max="12024"/>
    <col width="9.1796875" customWidth="1" style="123" min="12025" max="12272"/>
    <col width="10.81640625" customWidth="1" style="123" min="12273" max="12273"/>
    <col width="18.1796875" customWidth="1" style="123" min="12274" max="12274"/>
    <col width="15" customWidth="1" style="123" min="12275" max="12275"/>
    <col width="13" customWidth="1" style="123" min="12276" max="12279"/>
    <col width="17.453125" customWidth="1" style="123" min="12280" max="12280"/>
    <col width="9.1796875" customWidth="1" style="123" min="12281" max="12528"/>
    <col width="10.81640625" customWidth="1" style="123" min="12529" max="12529"/>
    <col width="18.1796875" customWidth="1" style="123" min="12530" max="12530"/>
    <col width="15" customWidth="1" style="123" min="12531" max="12531"/>
    <col width="13" customWidth="1" style="123" min="12532" max="12535"/>
    <col width="17.453125" customWidth="1" style="123" min="12536" max="12536"/>
    <col width="9.1796875" customWidth="1" style="123" min="12537" max="12784"/>
    <col width="10.81640625" customWidth="1" style="123" min="12785" max="12785"/>
    <col width="18.1796875" customWidth="1" style="123" min="12786" max="12786"/>
    <col width="15" customWidth="1" style="123" min="12787" max="12787"/>
    <col width="13" customWidth="1" style="123" min="12788" max="12791"/>
    <col width="17.453125" customWidth="1" style="123" min="12792" max="12792"/>
    <col width="9.1796875" customWidth="1" style="123" min="12793" max="13040"/>
    <col width="10.81640625" customWidth="1" style="123" min="13041" max="13041"/>
    <col width="18.1796875" customWidth="1" style="123" min="13042" max="13042"/>
    <col width="15" customWidth="1" style="123" min="13043" max="13043"/>
    <col width="13" customWidth="1" style="123" min="13044" max="13047"/>
    <col width="17.453125" customWidth="1" style="123" min="13048" max="13048"/>
    <col width="9.1796875" customWidth="1" style="123" min="13049" max="13296"/>
    <col width="10.81640625" customWidth="1" style="123" min="13297" max="13297"/>
    <col width="18.1796875" customWidth="1" style="123" min="13298" max="13298"/>
    <col width="15" customWidth="1" style="123" min="13299" max="13299"/>
    <col width="13" customWidth="1" style="123" min="13300" max="13303"/>
    <col width="17.453125" customWidth="1" style="123" min="13304" max="13304"/>
    <col width="9.1796875" customWidth="1" style="123" min="13305" max="13552"/>
    <col width="10.81640625" customWidth="1" style="123" min="13553" max="13553"/>
    <col width="18.1796875" customWidth="1" style="123" min="13554" max="13554"/>
    <col width="15" customWidth="1" style="123" min="13555" max="13555"/>
    <col width="13" customWidth="1" style="123" min="13556" max="13559"/>
    <col width="17.453125" customWidth="1" style="123" min="13560" max="13560"/>
    <col width="9.1796875" customWidth="1" style="123" min="13561" max="13808"/>
    <col width="10.81640625" customWidth="1" style="123" min="13809" max="13809"/>
    <col width="18.1796875" customWidth="1" style="123" min="13810" max="13810"/>
    <col width="15" customWidth="1" style="123" min="13811" max="13811"/>
    <col width="13" customWidth="1" style="123" min="13812" max="13815"/>
    <col width="17.453125" customWidth="1" style="123" min="13816" max="13816"/>
    <col width="9.1796875" customWidth="1" style="123" min="13817" max="14064"/>
    <col width="10.81640625" customWidth="1" style="123" min="14065" max="14065"/>
    <col width="18.1796875" customWidth="1" style="123" min="14066" max="14066"/>
    <col width="15" customWidth="1" style="123" min="14067" max="14067"/>
    <col width="13" customWidth="1" style="123" min="14068" max="14071"/>
    <col width="17.453125" customWidth="1" style="123" min="14072" max="14072"/>
    <col width="9.1796875" customWidth="1" style="123" min="14073" max="14320"/>
    <col width="10.81640625" customWidth="1" style="123" min="14321" max="14321"/>
    <col width="18.1796875" customWidth="1" style="123" min="14322" max="14322"/>
    <col width="15" customWidth="1" style="123" min="14323" max="14323"/>
    <col width="13" customWidth="1" style="123" min="14324" max="14327"/>
    <col width="17.453125" customWidth="1" style="123" min="14328" max="14328"/>
    <col width="9.1796875" customWidth="1" style="123" min="14329" max="14576"/>
    <col width="10.81640625" customWidth="1" style="123" min="14577" max="14577"/>
    <col width="18.1796875" customWidth="1" style="123" min="14578" max="14578"/>
    <col width="15" customWidth="1" style="123" min="14579" max="14579"/>
    <col width="13" customWidth="1" style="123" min="14580" max="14583"/>
    <col width="17.453125" customWidth="1" style="123" min="14584" max="14584"/>
    <col width="9.1796875" customWidth="1" style="123" min="14585" max="14832"/>
    <col width="10.81640625" customWidth="1" style="123" min="14833" max="14833"/>
    <col width="18.1796875" customWidth="1" style="123" min="14834" max="14834"/>
    <col width="15" customWidth="1" style="123" min="14835" max="14835"/>
    <col width="13" customWidth="1" style="123" min="14836" max="14839"/>
    <col width="17.453125" customWidth="1" style="123" min="14840" max="14840"/>
    <col width="9.1796875" customWidth="1" style="123" min="14841" max="15088"/>
    <col width="10.81640625" customWidth="1" style="123" min="15089" max="15089"/>
    <col width="18.1796875" customWidth="1" style="123" min="15090" max="15090"/>
    <col width="15" customWidth="1" style="123" min="15091" max="15091"/>
    <col width="13" customWidth="1" style="123" min="15092" max="15095"/>
    <col width="17.453125" customWidth="1" style="123" min="15096" max="15096"/>
    <col width="9.1796875" customWidth="1" style="123" min="15097" max="15344"/>
    <col width="10.81640625" customWidth="1" style="123" min="15345" max="15345"/>
    <col width="18.1796875" customWidth="1" style="123" min="15346" max="15346"/>
    <col width="15" customWidth="1" style="123" min="15347" max="15347"/>
    <col width="13" customWidth="1" style="123" min="15348" max="15351"/>
    <col width="17.453125" customWidth="1" style="123" min="15352" max="15352"/>
    <col width="9.1796875" customWidth="1" style="123" min="15353" max="15600"/>
    <col width="10.81640625" customWidth="1" style="123" min="15601" max="15601"/>
    <col width="18.1796875" customWidth="1" style="123" min="15602" max="15602"/>
    <col width="15" customWidth="1" style="123" min="15603" max="15603"/>
    <col width="13" customWidth="1" style="123" min="15604" max="15607"/>
    <col width="17.453125" customWidth="1" style="123" min="15608" max="15608"/>
    <col width="9.1796875" customWidth="1" style="123" min="15609" max="15856"/>
    <col width="10.81640625" customWidth="1" style="123" min="15857" max="15857"/>
    <col width="18.1796875" customWidth="1" style="123" min="15858" max="15858"/>
    <col width="15" customWidth="1" style="123" min="15859" max="15859"/>
    <col width="13" customWidth="1" style="123" min="15860" max="15863"/>
    <col width="17.453125" customWidth="1" style="123" min="15864" max="15864"/>
    <col width="9.1796875" customWidth="1" style="123" min="15865" max="16112"/>
    <col width="10.81640625" customWidth="1" style="123" min="16113" max="16113"/>
    <col width="18.1796875" customWidth="1" style="123" min="16114" max="16114"/>
    <col width="15" customWidth="1" style="123" min="16115" max="16115"/>
    <col width="13" customWidth="1" style="123" min="16116" max="16119"/>
    <col width="17.453125" customWidth="1" style="123" min="16120" max="16120"/>
    <col width="9.1796875" customWidth="1" style="123"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row r="373">
      <c r="A373" s="74" t="n">
        <v>44805</v>
      </c>
      <c r="B373" s="75">
        <f>VLOOKUP(A373,Database!A:M,MATCH($A$1,Database!$A$1:$M$1,),)</f>
        <v/>
      </c>
      <c r="C373" s="113">
        <f>(Table53514[[#This Row],[Manufacturers'' New Orders: Durable Goods]]-B372)/B372</f>
        <v/>
      </c>
    </row>
    <row r="374">
      <c r="A374" s="74" t="n">
        <v>44835</v>
      </c>
      <c r="B374" s="75">
        <f>VLOOKUP(A374,Database!A:M,MATCH($A$1,Database!$A$1:$M$1,),)</f>
        <v/>
      </c>
      <c r="C374" s="113">
        <f>(Table53514[[#This Row],[Manufacturers'' New Orders: Durable Goods]]-B373)/B373</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4"/>
  <sheetViews>
    <sheetView zoomScale="80" zoomScaleNormal="80" workbookViewId="0">
      <pane ySplit="5" topLeftCell="A362" activePane="bottomLeft" state="frozen"/>
      <selection pane="bottomLeft" activeCell="A371" sqref="A371:C374"/>
    </sheetView>
  </sheetViews>
  <sheetFormatPr baseColWidth="8" defaultColWidth="8.81640625" defaultRowHeight="14.5"/>
  <cols>
    <col width="10.81640625" customWidth="1" style="68" min="1" max="1"/>
    <col width="24.453125" customWidth="1" style="69" min="2" max="2"/>
    <col width="14.81640625" customWidth="1" style="147" min="3" max="3"/>
    <col width="9.1796875" customWidth="1" style="123" min="4" max="240"/>
    <col width="10.81640625" customWidth="1" style="123" min="241" max="241"/>
    <col width="18.1796875" customWidth="1" style="123" min="242" max="242"/>
    <col width="15" customWidth="1" style="123" min="243" max="243"/>
    <col width="13" customWidth="1" style="123" min="244" max="247"/>
    <col width="17.453125" customWidth="1" style="123" min="248" max="248"/>
    <col width="9.1796875" customWidth="1" style="123" min="249" max="496"/>
    <col width="10.81640625" customWidth="1" style="123" min="497" max="497"/>
    <col width="18.1796875" customWidth="1" style="123" min="498" max="498"/>
    <col width="15" customWidth="1" style="123" min="499" max="499"/>
    <col width="13" customWidth="1" style="123" min="500" max="503"/>
    <col width="17.453125" customWidth="1" style="123" min="504" max="504"/>
    <col width="9.1796875" customWidth="1" style="123" min="505" max="752"/>
    <col width="10.81640625" customWidth="1" style="123" min="753" max="753"/>
    <col width="18.1796875" customWidth="1" style="123" min="754" max="754"/>
    <col width="15" customWidth="1" style="123" min="755" max="755"/>
    <col width="13" customWidth="1" style="123" min="756" max="759"/>
    <col width="17.453125" customWidth="1" style="123" min="760" max="760"/>
    <col width="9.1796875" customWidth="1" style="123" min="761" max="1008"/>
    <col width="10.81640625" customWidth="1" style="123" min="1009" max="1009"/>
    <col width="18.1796875" customWidth="1" style="123" min="1010" max="1010"/>
    <col width="15" customWidth="1" style="123" min="1011" max="1011"/>
    <col width="13" customWidth="1" style="123" min="1012" max="1015"/>
    <col width="17.453125" customWidth="1" style="123" min="1016" max="1016"/>
    <col width="9.1796875" customWidth="1" style="123" min="1017" max="1264"/>
    <col width="10.81640625" customWidth="1" style="123" min="1265" max="1265"/>
    <col width="18.1796875" customWidth="1" style="123" min="1266" max="1266"/>
    <col width="15" customWidth="1" style="123" min="1267" max="1267"/>
    <col width="13" customWidth="1" style="123" min="1268" max="1271"/>
    <col width="17.453125" customWidth="1" style="123" min="1272" max="1272"/>
    <col width="9.1796875" customWidth="1" style="123" min="1273" max="1520"/>
    <col width="10.81640625" customWidth="1" style="123" min="1521" max="1521"/>
    <col width="18.1796875" customWidth="1" style="123" min="1522" max="1522"/>
    <col width="15" customWidth="1" style="123" min="1523" max="1523"/>
    <col width="13" customWidth="1" style="123" min="1524" max="1527"/>
    <col width="17.453125" customWidth="1" style="123" min="1528" max="1528"/>
    <col width="9.1796875" customWidth="1" style="123" min="1529" max="1776"/>
    <col width="10.81640625" customWidth="1" style="123" min="1777" max="1777"/>
    <col width="18.1796875" customWidth="1" style="123" min="1778" max="1778"/>
    <col width="15" customWidth="1" style="123" min="1779" max="1779"/>
    <col width="13" customWidth="1" style="123" min="1780" max="1783"/>
    <col width="17.453125" customWidth="1" style="123" min="1784" max="1784"/>
    <col width="9.1796875" customWidth="1" style="123" min="1785" max="2032"/>
    <col width="10.81640625" customWidth="1" style="123" min="2033" max="2033"/>
    <col width="18.1796875" customWidth="1" style="123" min="2034" max="2034"/>
    <col width="15" customWidth="1" style="123" min="2035" max="2035"/>
    <col width="13" customWidth="1" style="123" min="2036" max="2039"/>
    <col width="17.453125" customWidth="1" style="123" min="2040" max="2040"/>
    <col width="9.1796875" customWidth="1" style="123" min="2041" max="2288"/>
    <col width="10.81640625" customWidth="1" style="123" min="2289" max="2289"/>
    <col width="18.1796875" customWidth="1" style="123" min="2290" max="2290"/>
    <col width="15" customWidth="1" style="123" min="2291" max="2291"/>
    <col width="13" customWidth="1" style="123" min="2292" max="2295"/>
    <col width="17.453125" customWidth="1" style="123" min="2296" max="2296"/>
    <col width="9.1796875" customWidth="1" style="123" min="2297" max="2544"/>
    <col width="10.81640625" customWidth="1" style="123" min="2545" max="2545"/>
    <col width="18.1796875" customWidth="1" style="123" min="2546" max="2546"/>
    <col width="15" customWidth="1" style="123" min="2547" max="2547"/>
    <col width="13" customWidth="1" style="123" min="2548" max="2551"/>
    <col width="17.453125" customWidth="1" style="123" min="2552" max="2552"/>
    <col width="9.1796875" customWidth="1" style="123" min="2553" max="2800"/>
    <col width="10.81640625" customWidth="1" style="123" min="2801" max="2801"/>
    <col width="18.1796875" customWidth="1" style="123" min="2802" max="2802"/>
    <col width="15" customWidth="1" style="123" min="2803" max="2803"/>
    <col width="13" customWidth="1" style="123" min="2804" max="2807"/>
    <col width="17.453125" customWidth="1" style="123" min="2808" max="2808"/>
    <col width="9.1796875" customWidth="1" style="123" min="2809" max="3056"/>
    <col width="10.81640625" customWidth="1" style="123" min="3057" max="3057"/>
    <col width="18.1796875" customWidth="1" style="123" min="3058" max="3058"/>
    <col width="15" customWidth="1" style="123" min="3059" max="3059"/>
    <col width="13" customWidth="1" style="123" min="3060" max="3063"/>
    <col width="17.453125" customWidth="1" style="123" min="3064" max="3064"/>
    <col width="9.1796875" customWidth="1" style="123" min="3065" max="3312"/>
    <col width="10.81640625" customWidth="1" style="123" min="3313" max="3313"/>
    <col width="18.1796875" customWidth="1" style="123" min="3314" max="3314"/>
    <col width="15" customWidth="1" style="123" min="3315" max="3315"/>
    <col width="13" customWidth="1" style="123" min="3316" max="3319"/>
    <col width="17.453125" customWidth="1" style="123" min="3320" max="3320"/>
    <col width="9.1796875" customWidth="1" style="123" min="3321" max="3568"/>
    <col width="10.81640625" customWidth="1" style="123" min="3569" max="3569"/>
    <col width="18.1796875" customWidth="1" style="123" min="3570" max="3570"/>
    <col width="15" customWidth="1" style="123" min="3571" max="3571"/>
    <col width="13" customWidth="1" style="123" min="3572" max="3575"/>
    <col width="17.453125" customWidth="1" style="123" min="3576" max="3576"/>
    <col width="9.1796875" customWidth="1" style="123" min="3577" max="3824"/>
    <col width="10.81640625" customWidth="1" style="123" min="3825" max="3825"/>
    <col width="18.1796875" customWidth="1" style="123" min="3826" max="3826"/>
    <col width="15" customWidth="1" style="123" min="3827" max="3827"/>
    <col width="13" customWidth="1" style="123" min="3828" max="3831"/>
    <col width="17.453125" customWidth="1" style="123" min="3832" max="3832"/>
    <col width="9.1796875" customWidth="1" style="123" min="3833" max="4080"/>
    <col width="10.81640625" customWidth="1" style="123" min="4081" max="4081"/>
    <col width="18.1796875" customWidth="1" style="123" min="4082" max="4082"/>
    <col width="15" customWidth="1" style="123" min="4083" max="4083"/>
    <col width="13" customWidth="1" style="123" min="4084" max="4087"/>
    <col width="17.453125" customWidth="1" style="123" min="4088" max="4088"/>
    <col width="9.1796875" customWidth="1" style="123" min="4089" max="4336"/>
    <col width="10.81640625" customWidth="1" style="123" min="4337" max="4337"/>
    <col width="18.1796875" customWidth="1" style="123" min="4338" max="4338"/>
    <col width="15" customWidth="1" style="123" min="4339" max="4339"/>
    <col width="13" customWidth="1" style="123" min="4340" max="4343"/>
    <col width="17.453125" customWidth="1" style="123" min="4344" max="4344"/>
    <col width="9.1796875" customWidth="1" style="123" min="4345" max="4592"/>
    <col width="10.81640625" customWidth="1" style="123" min="4593" max="4593"/>
    <col width="18.1796875" customWidth="1" style="123" min="4594" max="4594"/>
    <col width="15" customWidth="1" style="123" min="4595" max="4595"/>
    <col width="13" customWidth="1" style="123" min="4596" max="4599"/>
    <col width="17.453125" customWidth="1" style="123" min="4600" max="4600"/>
    <col width="9.1796875" customWidth="1" style="123" min="4601" max="4848"/>
    <col width="10.81640625" customWidth="1" style="123" min="4849" max="4849"/>
    <col width="18.1796875" customWidth="1" style="123" min="4850" max="4850"/>
    <col width="15" customWidth="1" style="123" min="4851" max="4851"/>
    <col width="13" customWidth="1" style="123" min="4852" max="4855"/>
    <col width="17.453125" customWidth="1" style="123" min="4856" max="4856"/>
    <col width="9.1796875" customWidth="1" style="123" min="4857" max="5104"/>
    <col width="10.81640625" customWidth="1" style="123" min="5105" max="5105"/>
    <col width="18.1796875" customWidth="1" style="123" min="5106" max="5106"/>
    <col width="15" customWidth="1" style="123" min="5107" max="5107"/>
    <col width="13" customWidth="1" style="123" min="5108" max="5111"/>
    <col width="17.453125" customWidth="1" style="123" min="5112" max="5112"/>
    <col width="9.1796875" customWidth="1" style="123" min="5113" max="5360"/>
    <col width="10.81640625" customWidth="1" style="123" min="5361" max="5361"/>
    <col width="18.1796875" customWidth="1" style="123" min="5362" max="5362"/>
    <col width="15" customWidth="1" style="123" min="5363" max="5363"/>
    <col width="13" customWidth="1" style="123" min="5364" max="5367"/>
    <col width="17.453125" customWidth="1" style="123" min="5368" max="5368"/>
    <col width="9.1796875" customWidth="1" style="123" min="5369" max="5616"/>
    <col width="10.81640625" customWidth="1" style="123" min="5617" max="5617"/>
    <col width="18.1796875" customWidth="1" style="123" min="5618" max="5618"/>
    <col width="15" customWidth="1" style="123" min="5619" max="5619"/>
    <col width="13" customWidth="1" style="123" min="5620" max="5623"/>
    <col width="17.453125" customWidth="1" style="123" min="5624" max="5624"/>
    <col width="9.1796875" customWidth="1" style="123" min="5625" max="5872"/>
    <col width="10.81640625" customWidth="1" style="123" min="5873" max="5873"/>
    <col width="18.1796875" customWidth="1" style="123" min="5874" max="5874"/>
    <col width="15" customWidth="1" style="123" min="5875" max="5875"/>
    <col width="13" customWidth="1" style="123" min="5876" max="5879"/>
    <col width="17.453125" customWidth="1" style="123" min="5880" max="5880"/>
    <col width="9.1796875" customWidth="1" style="123" min="5881" max="6128"/>
    <col width="10.81640625" customWidth="1" style="123" min="6129" max="6129"/>
    <col width="18.1796875" customWidth="1" style="123" min="6130" max="6130"/>
    <col width="15" customWidth="1" style="123" min="6131" max="6131"/>
    <col width="13" customWidth="1" style="123" min="6132" max="6135"/>
    <col width="17.453125" customWidth="1" style="123" min="6136" max="6136"/>
    <col width="9.1796875" customWidth="1" style="123" min="6137" max="6384"/>
    <col width="10.81640625" customWidth="1" style="123" min="6385" max="6385"/>
    <col width="18.1796875" customWidth="1" style="123" min="6386" max="6386"/>
    <col width="15" customWidth="1" style="123" min="6387" max="6387"/>
    <col width="13" customWidth="1" style="123" min="6388" max="6391"/>
    <col width="17.453125" customWidth="1" style="123" min="6392" max="6392"/>
    <col width="9.1796875" customWidth="1" style="123" min="6393" max="6640"/>
    <col width="10.81640625" customWidth="1" style="123" min="6641" max="6641"/>
    <col width="18.1796875" customWidth="1" style="123" min="6642" max="6642"/>
    <col width="15" customWidth="1" style="123" min="6643" max="6643"/>
    <col width="13" customWidth="1" style="123" min="6644" max="6647"/>
    <col width="17.453125" customWidth="1" style="123" min="6648" max="6648"/>
    <col width="9.1796875" customWidth="1" style="123" min="6649" max="6896"/>
    <col width="10.81640625" customWidth="1" style="123" min="6897" max="6897"/>
    <col width="18.1796875" customWidth="1" style="123" min="6898" max="6898"/>
    <col width="15" customWidth="1" style="123" min="6899" max="6899"/>
    <col width="13" customWidth="1" style="123" min="6900" max="6903"/>
    <col width="17.453125" customWidth="1" style="123" min="6904" max="6904"/>
    <col width="9.1796875" customWidth="1" style="123" min="6905" max="7152"/>
    <col width="10.81640625" customWidth="1" style="123" min="7153" max="7153"/>
    <col width="18.1796875" customWidth="1" style="123" min="7154" max="7154"/>
    <col width="15" customWidth="1" style="123" min="7155" max="7155"/>
    <col width="13" customWidth="1" style="123" min="7156" max="7159"/>
    <col width="17.453125" customWidth="1" style="123" min="7160" max="7160"/>
    <col width="9.1796875" customWidth="1" style="123" min="7161" max="7408"/>
    <col width="10.81640625" customWidth="1" style="123" min="7409" max="7409"/>
    <col width="18.1796875" customWidth="1" style="123" min="7410" max="7410"/>
    <col width="15" customWidth="1" style="123" min="7411" max="7411"/>
    <col width="13" customWidth="1" style="123" min="7412" max="7415"/>
    <col width="17.453125" customWidth="1" style="123" min="7416" max="7416"/>
    <col width="9.1796875" customWidth="1" style="123" min="7417" max="7664"/>
    <col width="10.81640625" customWidth="1" style="123" min="7665" max="7665"/>
    <col width="18.1796875" customWidth="1" style="123" min="7666" max="7666"/>
    <col width="15" customWidth="1" style="123" min="7667" max="7667"/>
    <col width="13" customWidth="1" style="123" min="7668" max="7671"/>
    <col width="17.453125" customWidth="1" style="123" min="7672" max="7672"/>
    <col width="9.1796875" customWidth="1" style="123" min="7673" max="7920"/>
    <col width="10.81640625" customWidth="1" style="123" min="7921" max="7921"/>
    <col width="18.1796875" customWidth="1" style="123" min="7922" max="7922"/>
    <col width="15" customWidth="1" style="123" min="7923" max="7923"/>
    <col width="13" customWidth="1" style="123" min="7924" max="7927"/>
    <col width="17.453125" customWidth="1" style="123" min="7928" max="7928"/>
    <col width="9.1796875" customWidth="1" style="123" min="7929" max="8176"/>
    <col width="10.81640625" customWidth="1" style="123" min="8177" max="8177"/>
    <col width="18.1796875" customWidth="1" style="123" min="8178" max="8178"/>
    <col width="15" customWidth="1" style="123" min="8179" max="8179"/>
    <col width="13" customWidth="1" style="123" min="8180" max="8183"/>
    <col width="17.453125" customWidth="1" style="123" min="8184" max="8184"/>
    <col width="9.1796875" customWidth="1" style="123" min="8185" max="8432"/>
    <col width="10.81640625" customWidth="1" style="123" min="8433" max="8433"/>
    <col width="18.1796875" customWidth="1" style="123" min="8434" max="8434"/>
    <col width="15" customWidth="1" style="123" min="8435" max="8435"/>
    <col width="13" customWidth="1" style="123" min="8436" max="8439"/>
    <col width="17.453125" customWidth="1" style="123" min="8440" max="8440"/>
    <col width="9.1796875" customWidth="1" style="123" min="8441" max="8688"/>
    <col width="10.81640625" customWidth="1" style="123" min="8689" max="8689"/>
    <col width="18.1796875" customWidth="1" style="123" min="8690" max="8690"/>
    <col width="15" customWidth="1" style="123" min="8691" max="8691"/>
    <col width="13" customWidth="1" style="123" min="8692" max="8695"/>
    <col width="17.453125" customWidth="1" style="123" min="8696" max="8696"/>
    <col width="9.1796875" customWidth="1" style="123" min="8697" max="8944"/>
    <col width="10.81640625" customWidth="1" style="123" min="8945" max="8945"/>
    <col width="18.1796875" customWidth="1" style="123" min="8946" max="8946"/>
    <col width="15" customWidth="1" style="123" min="8947" max="8947"/>
    <col width="13" customWidth="1" style="123" min="8948" max="8951"/>
    <col width="17.453125" customWidth="1" style="123" min="8952" max="8952"/>
    <col width="9.1796875" customWidth="1" style="123" min="8953" max="9200"/>
    <col width="10.81640625" customWidth="1" style="123" min="9201" max="9201"/>
    <col width="18.1796875" customWidth="1" style="123" min="9202" max="9202"/>
    <col width="15" customWidth="1" style="123" min="9203" max="9203"/>
    <col width="13" customWidth="1" style="123" min="9204" max="9207"/>
    <col width="17.453125" customWidth="1" style="123" min="9208" max="9208"/>
    <col width="9.1796875" customWidth="1" style="123" min="9209" max="9456"/>
    <col width="10.81640625" customWidth="1" style="123" min="9457" max="9457"/>
    <col width="18.1796875" customWidth="1" style="123" min="9458" max="9458"/>
    <col width="15" customWidth="1" style="123" min="9459" max="9459"/>
    <col width="13" customWidth="1" style="123" min="9460" max="9463"/>
    <col width="17.453125" customWidth="1" style="123" min="9464" max="9464"/>
    <col width="9.1796875" customWidth="1" style="123" min="9465" max="9712"/>
    <col width="10.81640625" customWidth="1" style="123" min="9713" max="9713"/>
    <col width="18.1796875" customWidth="1" style="123" min="9714" max="9714"/>
    <col width="15" customWidth="1" style="123" min="9715" max="9715"/>
    <col width="13" customWidth="1" style="123" min="9716" max="9719"/>
    <col width="17.453125" customWidth="1" style="123" min="9720" max="9720"/>
    <col width="9.1796875" customWidth="1" style="123" min="9721" max="9968"/>
    <col width="10.81640625" customWidth="1" style="123" min="9969" max="9969"/>
    <col width="18.1796875" customWidth="1" style="123" min="9970" max="9970"/>
    <col width="15" customWidth="1" style="123" min="9971" max="9971"/>
    <col width="13" customWidth="1" style="123" min="9972" max="9975"/>
    <col width="17.453125" customWidth="1" style="123" min="9976" max="9976"/>
    <col width="9.1796875" customWidth="1" style="123" min="9977" max="10224"/>
    <col width="10.81640625" customWidth="1" style="123" min="10225" max="10225"/>
    <col width="18.1796875" customWidth="1" style="123" min="10226" max="10226"/>
    <col width="15" customWidth="1" style="123" min="10227" max="10227"/>
    <col width="13" customWidth="1" style="123" min="10228" max="10231"/>
    <col width="17.453125" customWidth="1" style="123" min="10232" max="10232"/>
    <col width="9.1796875" customWidth="1" style="123" min="10233" max="10480"/>
    <col width="10.81640625" customWidth="1" style="123" min="10481" max="10481"/>
    <col width="18.1796875" customWidth="1" style="123" min="10482" max="10482"/>
    <col width="15" customWidth="1" style="123" min="10483" max="10483"/>
    <col width="13" customWidth="1" style="123" min="10484" max="10487"/>
    <col width="17.453125" customWidth="1" style="123" min="10488" max="10488"/>
    <col width="9.1796875" customWidth="1" style="123" min="10489" max="10736"/>
    <col width="10.81640625" customWidth="1" style="123" min="10737" max="10737"/>
    <col width="18.1796875" customWidth="1" style="123" min="10738" max="10738"/>
    <col width="15" customWidth="1" style="123" min="10739" max="10739"/>
    <col width="13" customWidth="1" style="123" min="10740" max="10743"/>
    <col width="17.453125" customWidth="1" style="123" min="10744" max="10744"/>
    <col width="9.1796875" customWidth="1" style="123" min="10745" max="10992"/>
    <col width="10.81640625" customWidth="1" style="123" min="10993" max="10993"/>
    <col width="18.1796875" customWidth="1" style="123" min="10994" max="10994"/>
    <col width="15" customWidth="1" style="123" min="10995" max="10995"/>
    <col width="13" customWidth="1" style="123" min="10996" max="10999"/>
    <col width="17.453125" customWidth="1" style="123" min="11000" max="11000"/>
    <col width="9.1796875" customWidth="1" style="123" min="11001" max="11248"/>
    <col width="10.81640625" customWidth="1" style="123" min="11249" max="11249"/>
    <col width="18.1796875" customWidth="1" style="123" min="11250" max="11250"/>
    <col width="15" customWidth="1" style="123" min="11251" max="11251"/>
    <col width="13" customWidth="1" style="123" min="11252" max="11255"/>
    <col width="17.453125" customWidth="1" style="123" min="11256" max="11256"/>
    <col width="9.1796875" customWidth="1" style="123" min="11257" max="11504"/>
    <col width="10.81640625" customWidth="1" style="123" min="11505" max="11505"/>
    <col width="18.1796875" customWidth="1" style="123" min="11506" max="11506"/>
    <col width="15" customWidth="1" style="123" min="11507" max="11507"/>
    <col width="13" customWidth="1" style="123" min="11508" max="11511"/>
    <col width="17.453125" customWidth="1" style="123" min="11512" max="11512"/>
    <col width="9.1796875" customWidth="1" style="123" min="11513" max="11760"/>
    <col width="10.81640625" customWidth="1" style="123" min="11761" max="11761"/>
    <col width="18.1796875" customWidth="1" style="123" min="11762" max="11762"/>
    <col width="15" customWidth="1" style="123" min="11763" max="11763"/>
    <col width="13" customWidth="1" style="123" min="11764" max="11767"/>
    <col width="17.453125" customWidth="1" style="123" min="11768" max="11768"/>
    <col width="9.1796875" customWidth="1" style="123" min="11769" max="12016"/>
    <col width="10.81640625" customWidth="1" style="123" min="12017" max="12017"/>
    <col width="18.1796875" customWidth="1" style="123" min="12018" max="12018"/>
    <col width="15" customWidth="1" style="123" min="12019" max="12019"/>
    <col width="13" customWidth="1" style="123" min="12020" max="12023"/>
    <col width="17.453125" customWidth="1" style="123" min="12024" max="12024"/>
    <col width="9.1796875" customWidth="1" style="123" min="12025" max="12272"/>
    <col width="10.81640625" customWidth="1" style="123" min="12273" max="12273"/>
    <col width="18.1796875" customWidth="1" style="123" min="12274" max="12274"/>
    <col width="15" customWidth="1" style="123" min="12275" max="12275"/>
    <col width="13" customWidth="1" style="123" min="12276" max="12279"/>
    <col width="17.453125" customWidth="1" style="123" min="12280" max="12280"/>
    <col width="9.1796875" customWidth="1" style="123" min="12281" max="12528"/>
    <col width="10.81640625" customWidth="1" style="123" min="12529" max="12529"/>
    <col width="18.1796875" customWidth="1" style="123" min="12530" max="12530"/>
    <col width="15" customWidth="1" style="123" min="12531" max="12531"/>
    <col width="13" customWidth="1" style="123" min="12532" max="12535"/>
    <col width="17.453125" customWidth="1" style="123" min="12536" max="12536"/>
    <col width="9.1796875" customWidth="1" style="123" min="12537" max="12784"/>
    <col width="10.81640625" customWidth="1" style="123" min="12785" max="12785"/>
    <col width="18.1796875" customWidth="1" style="123" min="12786" max="12786"/>
    <col width="15" customWidth="1" style="123" min="12787" max="12787"/>
    <col width="13" customWidth="1" style="123" min="12788" max="12791"/>
    <col width="17.453125" customWidth="1" style="123" min="12792" max="12792"/>
    <col width="9.1796875" customWidth="1" style="123" min="12793" max="13040"/>
    <col width="10.81640625" customWidth="1" style="123" min="13041" max="13041"/>
    <col width="18.1796875" customWidth="1" style="123" min="13042" max="13042"/>
    <col width="15" customWidth="1" style="123" min="13043" max="13043"/>
    <col width="13" customWidth="1" style="123" min="13044" max="13047"/>
    <col width="17.453125" customWidth="1" style="123" min="13048" max="13048"/>
    <col width="9.1796875" customWidth="1" style="123" min="13049" max="13296"/>
    <col width="10.81640625" customWidth="1" style="123" min="13297" max="13297"/>
    <col width="18.1796875" customWidth="1" style="123" min="13298" max="13298"/>
    <col width="15" customWidth="1" style="123" min="13299" max="13299"/>
    <col width="13" customWidth="1" style="123" min="13300" max="13303"/>
    <col width="17.453125" customWidth="1" style="123" min="13304" max="13304"/>
    <col width="9.1796875" customWidth="1" style="123" min="13305" max="13552"/>
    <col width="10.81640625" customWidth="1" style="123" min="13553" max="13553"/>
    <col width="18.1796875" customWidth="1" style="123" min="13554" max="13554"/>
    <col width="15" customWidth="1" style="123" min="13555" max="13555"/>
    <col width="13" customWidth="1" style="123" min="13556" max="13559"/>
    <col width="17.453125" customWidth="1" style="123" min="13560" max="13560"/>
    <col width="9.1796875" customWidth="1" style="123" min="13561" max="13808"/>
    <col width="10.81640625" customWidth="1" style="123" min="13809" max="13809"/>
    <col width="18.1796875" customWidth="1" style="123" min="13810" max="13810"/>
    <col width="15" customWidth="1" style="123" min="13811" max="13811"/>
    <col width="13" customWidth="1" style="123" min="13812" max="13815"/>
    <col width="17.453125" customWidth="1" style="123" min="13816" max="13816"/>
    <col width="9.1796875" customWidth="1" style="123" min="13817" max="14064"/>
    <col width="10.81640625" customWidth="1" style="123" min="14065" max="14065"/>
    <col width="18.1796875" customWidth="1" style="123" min="14066" max="14066"/>
    <col width="15" customWidth="1" style="123" min="14067" max="14067"/>
    <col width="13" customWidth="1" style="123" min="14068" max="14071"/>
    <col width="17.453125" customWidth="1" style="123" min="14072" max="14072"/>
    <col width="9.1796875" customWidth="1" style="123" min="14073" max="14320"/>
    <col width="10.81640625" customWidth="1" style="123" min="14321" max="14321"/>
    <col width="18.1796875" customWidth="1" style="123" min="14322" max="14322"/>
    <col width="15" customWidth="1" style="123" min="14323" max="14323"/>
    <col width="13" customWidth="1" style="123" min="14324" max="14327"/>
    <col width="17.453125" customWidth="1" style="123" min="14328" max="14328"/>
    <col width="9.1796875" customWidth="1" style="123" min="14329" max="14576"/>
    <col width="10.81640625" customWidth="1" style="123" min="14577" max="14577"/>
    <col width="18.1796875" customWidth="1" style="123" min="14578" max="14578"/>
    <col width="15" customWidth="1" style="123" min="14579" max="14579"/>
    <col width="13" customWidth="1" style="123" min="14580" max="14583"/>
    <col width="17.453125" customWidth="1" style="123" min="14584" max="14584"/>
    <col width="9.1796875" customWidth="1" style="123" min="14585" max="14832"/>
    <col width="10.81640625" customWidth="1" style="123" min="14833" max="14833"/>
    <col width="18.1796875" customWidth="1" style="123" min="14834" max="14834"/>
    <col width="15" customWidth="1" style="123" min="14835" max="14835"/>
    <col width="13" customWidth="1" style="123" min="14836" max="14839"/>
    <col width="17.453125" customWidth="1" style="123" min="14840" max="14840"/>
    <col width="9.1796875" customWidth="1" style="123" min="14841" max="15088"/>
    <col width="10.81640625" customWidth="1" style="123" min="15089" max="15089"/>
    <col width="18.1796875" customWidth="1" style="123" min="15090" max="15090"/>
    <col width="15" customWidth="1" style="123" min="15091" max="15091"/>
    <col width="13" customWidth="1" style="123" min="15092" max="15095"/>
    <col width="17.453125" customWidth="1" style="123" min="15096" max="15096"/>
    <col width="9.1796875" customWidth="1" style="123" min="15097" max="15344"/>
    <col width="10.81640625" customWidth="1" style="123" min="15345" max="15345"/>
    <col width="18.1796875" customWidth="1" style="123" min="15346" max="15346"/>
    <col width="15" customWidth="1" style="123" min="15347" max="15347"/>
    <col width="13" customWidth="1" style="123" min="15348" max="15351"/>
    <col width="17.453125" customWidth="1" style="123" min="15352" max="15352"/>
    <col width="9.1796875" customWidth="1" style="123" min="15353" max="15600"/>
    <col width="10.81640625" customWidth="1" style="123" min="15601" max="15601"/>
    <col width="18.1796875" customWidth="1" style="123" min="15602" max="15602"/>
    <col width="15" customWidth="1" style="123" min="15603" max="15603"/>
    <col width="13" customWidth="1" style="123" min="15604" max="15607"/>
    <col width="17.453125" customWidth="1" style="123" min="15608" max="15608"/>
    <col width="9.1796875" customWidth="1" style="123" min="15609" max="15856"/>
    <col width="10.81640625" customWidth="1" style="123" min="15857" max="15857"/>
    <col width="18.1796875" customWidth="1" style="123" min="15858" max="15858"/>
    <col width="15" customWidth="1" style="123" min="15859" max="15859"/>
    <col width="13" customWidth="1" style="123" min="15860" max="15863"/>
    <col width="17.453125" customWidth="1" style="123" min="15864" max="15864"/>
    <col width="9.1796875" customWidth="1" style="123" min="15865" max="16112"/>
    <col width="10.81640625" customWidth="1" style="123" min="16113" max="16113"/>
    <col width="18.1796875" customWidth="1" style="123" min="16114" max="16114"/>
    <col width="15" customWidth="1" style="123" min="16115" max="16115"/>
    <col width="13" customWidth="1" style="123" min="16116" max="16119"/>
    <col width="17.453125" customWidth="1" style="123" min="16120" max="16120"/>
    <col width="9.1796875" customWidth="1" style="123"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row r="373">
      <c r="A373" s="74" t="n">
        <v>44805</v>
      </c>
      <c r="B373" s="75">
        <f>VLOOKUP(A373,Database!A:M,MATCH($A$1,Database!$A$1:$M$1,),)</f>
        <v/>
      </c>
      <c r="C373" s="113">
        <f>(Table535[[#This Row],[New Orders - Nondefense Capital Goods Excluding Aircraft]]-B372)/B372</f>
        <v/>
      </c>
    </row>
    <row r="374">
      <c r="A374" s="74" t="n">
        <v>44835</v>
      </c>
      <c r="B374" s="75">
        <f>VLOOKUP(A374,Database!A:M,MATCH($A$1,Database!$A$1:$M$1,),)</f>
        <v/>
      </c>
      <c r="C374" s="113">
        <f>(Table535[[#This Row],[New Orders - Nondefense Capital Goods Excluding Aircraft]]-B373)/B373</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4"/>
  <sheetViews>
    <sheetView zoomScale="90" zoomScaleNormal="90" workbookViewId="0">
      <pane ySplit="5" topLeftCell="A367" activePane="bottomLeft" state="frozen"/>
      <selection pane="bottomLeft" activeCell="K377" sqref="K377"/>
    </sheetView>
  </sheetViews>
  <sheetFormatPr baseColWidth="8" defaultColWidth="8.81640625" defaultRowHeight="14.5"/>
  <cols>
    <col width="10.81640625" customWidth="1" style="68" min="1" max="1"/>
    <col width="24.453125" customWidth="1" style="69" min="2" max="2"/>
    <col width="14.81640625" customWidth="1" style="147" min="3" max="3"/>
    <col width="9.1796875" customWidth="1" style="123" min="4" max="240"/>
    <col width="10.81640625" customWidth="1" style="123" min="241" max="241"/>
    <col width="18.1796875" customWidth="1" style="123" min="242" max="242"/>
    <col width="15" customWidth="1" style="123" min="243" max="243"/>
    <col width="13" customWidth="1" style="123" min="244" max="247"/>
    <col width="17.453125" customWidth="1" style="123" min="248" max="248"/>
    <col width="9.1796875" customWidth="1" style="123" min="249" max="496"/>
    <col width="10.81640625" customWidth="1" style="123" min="497" max="497"/>
    <col width="18.1796875" customWidth="1" style="123" min="498" max="498"/>
    <col width="15" customWidth="1" style="123" min="499" max="499"/>
    <col width="13" customWidth="1" style="123" min="500" max="503"/>
    <col width="17.453125" customWidth="1" style="123" min="504" max="504"/>
    <col width="9.1796875" customWidth="1" style="123" min="505" max="752"/>
    <col width="10.81640625" customWidth="1" style="123" min="753" max="753"/>
    <col width="18.1796875" customWidth="1" style="123" min="754" max="754"/>
    <col width="15" customWidth="1" style="123" min="755" max="755"/>
    <col width="13" customWidth="1" style="123" min="756" max="759"/>
    <col width="17.453125" customWidth="1" style="123" min="760" max="760"/>
    <col width="9.1796875" customWidth="1" style="123" min="761" max="1008"/>
    <col width="10.81640625" customWidth="1" style="123" min="1009" max="1009"/>
    <col width="18.1796875" customWidth="1" style="123" min="1010" max="1010"/>
    <col width="15" customWidth="1" style="123" min="1011" max="1011"/>
    <col width="13" customWidth="1" style="123" min="1012" max="1015"/>
    <col width="17.453125" customWidth="1" style="123" min="1016" max="1016"/>
    <col width="9.1796875" customWidth="1" style="123" min="1017" max="1264"/>
    <col width="10.81640625" customWidth="1" style="123" min="1265" max="1265"/>
    <col width="18.1796875" customWidth="1" style="123" min="1266" max="1266"/>
    <col width="15" customWidth="1" style="123" min="1267" max="1267"/>
    <col width="13" customWidth="1" style="123" min="1268" max="1271"/>
    <col width="17.453125" customWidth="1" style="123" min="1272" max="1272"/>
    <col width="9.1796875" customWidth="1" style="123" min="1273" max="1520"/>
    <col width="10.81640625" customWidth="1" style="123" min="1521" max="1521"/>
    <col width="18.1796875" customWidth="1" style="123" min="1522" max="1522"/>
    <col width="15" customWidth="1" style="123" min="1523" max="1523"/>
    <col width="13" customWidth="1" style="123" min="1524" max="1527"/>
    <col width="17.453125" customWidth="1" style="123" min="1528" max="1528"/>
    <col width="9.1796875" customWidth="1" style="123" min="1529" max="1776"/>
    <col width="10.81640625" customWidth="1" style="123" min="1777" max="1777"/>
    <col width="18.1796875" customWidth="1" style="123" min="1778" max="1778"/>
    <col width="15" customWidth="1" style="123" min="1779" max="1779"/>
    <col width="13" customWidth="1" style="123" min="1780" max="1783"/>
    <col width="17.453125" customWidth="1" style="123" min="1784" max="1784"/>
    <col width="9.1796875" customWidth="1" style="123" min="1785" max="2032"/>
    <col width="10.81640625" customWidth="1" style="123" min="2033" max="2033"/>
    <col width="18.1796875" customWidth="1" style="123" min="2034" max="2034"/>
    <col width="15" customWidth="1" style="123" min="2035" max="2035"/>
    <col width="13" customWidth="1" style="123" min="2036" max="2039"/>
    <col width="17.453125" customWidth="1" style="123" min="2040" max="2040"/>
    <col width="9.1796875" customWidth="1" style="123" min="2041" max="2288"/>
    <col width="10.81640625" customWidth="1" style="123" min="2289" max="2289"/>
    <col width="18.1796875" customWidth="1" style="123" min="2290" max="2290"/>
    <col width="15" customWidth="1" style="123" min="2291" max="2291"/>
    <col width="13" customWidth="1" style="123" min="2292" max="2295"/>
    <col width="17.453125" customWidth="1" style="123" min="2296" max="2296"/>
    <col width="9.1796875" customWidth="1" style="123" min="2297" max="2544"/>
    <col width="10.81640625" customWidth="1" style="123" min="2545" max="2545"/>
    <col width="18.1796875" customWidth="1" style="123" min="2546" max="2546"/>
    <col width="15" customWidth="1" style="123" min="2547" max="2547"/>
    <col width="13" customWidth="1" style="123" min="2548" max="2551"/>
    <col width="17.453125" customWidth="1" style="123" min="2552" max="2552"/>
    <col width="9.1796875" customWidth="1" style="123" min="2553" max="2800"/>
    <col width="10.81640625" customWidth="1" style="123" min="2801" max="2801"/>
    <col width="18.1796875" customWidth="1" style="123" min="2802" max="2802"/>
    <col width="15" customWidth="1" style="123" min="2803" max="2803"/>
    <col width="13" customWidth="1" style="123" min="2804" max="2807"/>
    <col width="17.453125" customWidth="1" style="123" min="2808" max="2808"/>
    <col width="9.1796875" customWidth="1" style="123" min="2809" max="3056"/>
    <col width="10.81640625" customWidth="1" style="123" min="3057" max="3057"/>
    <col width="18.1796875" customWidth="1" style="123" min="3058" max="3058"/>
    <col width="15" customWidth="1" style="123" min="3059" max="3059"/>
    <col width="13" customWidth="1" style="123" min="3060" max="3063"/>
    <col width="17.453125" customWidth="1" style="123" min="3064" max="3064"/>
    <col width="9.1796875" customWidth="1" style="123" min="3065" max="3312"/>
    <col width="10.81640625" customWidth="1" style="123" min="3313" max="3313"/>
    <col width="18.1796875" customWidth="1" style="123" min="3314" max="3314"/>
    <col width="15" customWidth="1" style="123" min="3315" max="3315"/>
    <col width="13" customWidth="1" style="123" min="3316" max="3319"/>
    <col width="17.453125" customWidth="1" style="123" min="3320" max="3320"/>
    <col width="9.1796875" customWidth="1" style="123" min="3321" max="3568"/>
    <col width="10.81640625" customWidth="1" style="123" min="3569" max="3569"/>
    <col width="18.1796875" customWidth="1" style="123" min="3570" max="3570"/>
    <col width="15" customWidth="1" style="123" min="3571" max="3571"/>
    <col width="13" customWidth="1" style="123" min="3572" max="3575"/>
    <col width="17.453125" customWidth="1" style="123" min="3576" max="3576"/>
    <col width="9.1796875" customWidth="1" style="123" min="3577" max="3824"/>
    <col width="10.81640625" customWidth="1" style="123" min="3825" max="3825"/>
    <col width="18.1796875" customWidth="1" style="123" min="3826" max="3826"/>
    <col width="15" customWidth="1" style="123" min="3827" max="3827"/>
    <col width="13" customWidth="1" style="123" min="3828" max="3831"/>
    <col width="17.453125" customWidth="1" style="123" min="3832" max="3832"/>
    <col width="9.1796875" customWidth="1" style="123" min="3833" max="4080"/>
    <col width="10.81640625" customWidth="1" style="123" min="4081" max="4081"/>
    <col width="18.1796875" customWidth="1" style="123" min="4082" max="4082"/>
    <col width="15" customWidth="1" style="123" min="4083" max="4083"/>
    <col width="13" customWidth="1" style="123" min="4084" max="4087"/>
    <col width="17.453125" customWidth="1" style="123" min="4088" max="4088"/>
    <col width="9.1796875" customWidth="1" style="123" min="4089" max="4336"/>
    <col width="10.81640625" customWidth="1" style="123" min="4337" max="4337"/>
    <col width="18.1796875" customWidth="1" style="123" min="4338" max="4338"/>
    <col width="15" customWidth="1" style="123" min="4339" max="4339"/>
    <col width="13" customWidth="1" style="123" min="4340" max="4343"/>
    <col width="17.453125" customWidth="1" style="123" min="4344" max="4344"/>
    <col width="9.1796875" customWidth="1" style="123" min="4345" max="4592"/>
    <col width="10.81640625" customWidth="1" style="123" min="4593" max="4593"/>
    <col width="18.1796875" customWidth="1" style="123" min="4594" max="4594"/>
    <col width="15" customWidth="1" style="123" min="4595" max="4595"/>
    <col width="13" customWidth="1" style="123" min="4596" max="4599"/>
    <col width="17.453125" customWidth="1" style="123" min="4600" max="4600"/>
    <col width="9.1796875" customWidth="1" style="123" min="4601" max="4848"/>
    <col width="10.81640625" customWidth="1" style="123" min="4849" max="4849"/>
    <col width="18.1796875" customWidth="1" style="123" min="4850" max="4850"/>
    <col width="15" customWidth="1" style="123" min="4851" max="4851"/>
    <col width="13" customWidth="1" style="123" min="4852" max="4855"/>
    <col width="17.453125" customWidth="1" style="123" min="4856" max="4856"/>
    <col width="9.1796875" customWidth="1" style="123" min="4857" max="5104"/>
    <col width="10.81640625" customWidth="1" style="123" min="5105" max="5105"/>
    <col width="18.1796875" customWidth="1" style="123" min="5106" max="5106"/>
    <col width="15" customWidth="1" style="123" min="5107" max="5107"/>
    <col width="13" customWidth="1" style="123" min="5108" max="5111"/>
    <col width="17.453125" customWidth="1" style="123" min="5112" max="5112"/>
    <col width="9.1796875" customWidth="1" style="123" min="5113" max="5360"/>
    <col width="10.81640625" customWidth="1" style="123" min="5361" max="5361"/>
    <col width="18.1796875" customWidth="1" style="123" min="5362" max="5362"/>
    <col width="15" customWidth="1" style="123" min="5363" max="5363"/>
    <col width="13" customWidth="1" style="123" min="5364" max="5367"/>
    <col width="17.453125" customWidth="1" style="123" min="5368" max="5368"/>
    <col width="9.1796875" customWidth="1" style="123" min="5369" max="5616"/>
    <col width="10.81640625" customWidth="1" style="123" min="5617" max="5617"/>
    <col width="18.1796875" customWidth="1" style="123" min="5618" max="5618"/>
    <col width="15" customWidth="1" style="123" min="5619" max="5619"/>
    <col width="13" customWidth="1" style="123" min="5620" max="5623"/>
    <col width="17.453125" customWidth="1" style="123" min="5624" max="5624"/>
    <col width="9.1796875" customWidth="1" style="123" min="5625" max="5872"/>
    <col width="10.81640625" customWidth="1" style="123" min="5873" max="5873"/>
    <col width="18.1796875" customWidth="1" style="123" min="5874" max="5874"/>
    <col width="15" customWidth="1" style="123" min="5875" max="5875"/>
    <col width="13" customWidth="1" style="123" min="5876" max="5879"/>
    <col width="17.453125" customWidth="1" style="123" min="5880" max="5880"/>
    <col width="9.1796875" customWidth="1" style="123" min="5881" max="6128"/>
    <col width="10.81640625" customWidth="1" style="123" min="6129" max="6129"/>
    <col width="18.1796875" customWidth="1" style="123" min="6130" max="6130"/>
    <col width="15" customWidth="1" style="123" min="6131" max="6131"/>
    <col width="13" customWidth="1" style="123" min="6132" max="6135"/>
    <col width="17.453125" customWidth="1" style="123" min="6136" max="6136"/>
    <col width="9.1796875" customWidth="1" style="123" min="6137" max="6384"/>
    <col width="10.81640625" customWidth="1" style="123" min="6385" max="6385"/>
    <col width="18.1796875" customWidth="1" style="123" min="6386" max="6386"/>
    <col width="15" customWidth="1" style="123" min="6387" max="6387"/>
    <col width="13" customWidth="1" style="123" min="6388" max="6391"/>
    <col width="17.453125" customWidth="1" style="123" min="6392" max="6392"/>
    <col width="9.1796875" customWidth="1" style="123" min="6393" max="6640"/>
    <col width="10.81640625" customWidth="1" style="123" min="6641" max="6641"/>
    <col width="18.1796875" customWidth="1" style="123" min="6642" max="6642"/>
    <col width="15" customWidth="1" style="123" min="6643" max="6643"/>
    <col width="13" customWidth="1" style="123" min="6644" max="6647"/>
    <col width="17.453125" customWidth="1" style="123" min="6648" max="6648"/>
    <col width="9.1796875" customWidth="1" style="123" min="6649" max="6896"/>
    <col width="10.81640625" customWidth="1" style="123" min="6897" max="6897"/>
    <col width="18.1796875" customWidth="1" style="123" min="6898" max="6898"/>
    <col width="15" customWidth="1" style="123" min="6899" max="6899"/>
    <col width="13" customWidth="1" style="123" min="6900" max="6903"/>
    <col width="17.453125" customWidth="1" style="123" min="6904" max="6904"/>
    <col width="9.1796875" customWidth="1" style="123" min="6905" max="7152"/>
    <col width="10.81640625" customWidth="1" style="123" min="7153" max="7153"/>
    <col width="18.1796875" customWidth="1" style="123" min="7154" max="7154"/>
    <col width="15" customWidth="1" style="123" min="7155" max="7155"/>
    <col width="13" customWidth="1" style="123" min="7156" max="7159"/>
    <col width="17.453125" customWidth="1" style="123" min="7160" max="7160"/>
    <col width="9.1796875" customWidth="1" style="123" min="7161" max="7408"/>
    <col width="10.81640625" customWidth="1" style="123" min="7409" max="7409"/>
    <col width="18.1796875" customWidth="1" style="123" min="7410" max="7410"/>
    <col width="15" customWidth="1" style="123" min="7411" max="7411"/>
    <col width="13" customWidth="1" style="123" min="7412" max="7415"/>
    <col width="17.453125" customWidth="1" style="123" min="7416" max="7416"/>
    <col width="9.1796875" customWidth="1" style="123" min="7417" max="7664"/>
    <col width="10.81640625" customWidth="1" style="123" min="7665" max="7665"/>
    <col width="18.1796875" customWidth="1" style="123" min="7666" max="7666"/>
    <col width="15" customWidth="1" style="123" min="7667" max="7667"/>
    <col width="13" customWidth="1" style="123" min="7668" max="7671"/>
    <col width="17.453125" customWidth="1" style="123" min="7672" max="7672"/>
    <col width="9.1796875" customWidth="1" style="123" min="7673" max="7920"/>
    <col width="10.81640625" customWidth="1" style="123" min="7921" max="7921"/>
    <col width="18.1796875" customWidth="1" style="123" min="7922" max="7922"/>
    <col width="15" customWidth="1" style="123" min="7923" max="7923"/>
    <col width="13" customWidth="1" style="123" min="7924" max="7927"/>
    <col width="17.453125" customWidth="1" style="123" min="7928" max="7928"/>
    <col width="9.1796875" customWidth="1" style="123" min="7929" max="8176"/>
    <col width="10.81640625" customWidth="1" style="123" min="8177" max="8177"/>
    <col width="18.1796875" customWidth="1" style="123" min="8178" max="8178"/>
    <col width="15" customWidth="1" style="123" min="8179" max="8179"/>
    <col width="13" customWidth="1" style="123" min="8180" max="8183"/>
    <col width="17.453125" customWidth="1" style="123" min="8184" max="8184"/>
    <col width="9.1796875" customWidth="1" style="123" min="8185" max="8432"/>
    <col width="10.81640625" customWidth="1" style="123" min="8433" max="8433"/>
    <col width="18.1796875" customWidth="1" style="123" min="8434" max="8434"/>
    <col width="15" customWidth="1" style="123" min="8435" max="8435"/>
    <col width="13" customWidth="1" style="123" min="8436" max="8439"/>
    <col width="17.453125" customWidth="1" style="123" min="8440" max="8440"/>
    <col width="9.1796875" customWidth="1" style="123" min="8441" max="8688"/>
    <col width="10.81640625" customWidth="1" style="123" min="8689" max="8689"/>
    <col width="18.1796875" customWidth="1" style="123" min="8690" max="8690"/>
    <col width="15" customWidth="1" style="123" min="8691" max="8691"/>
    <col width="13" customWidth="1" style="123" min="8692" max="8695"/>
    <col width="17.453125" customWidth="1" style="123" min="8696" max="8696"/>
    <col width="9.1796875" customWidth="1" style="123" min="8697" max="8944"/>
    <col width="10.81640625" customWidth="1" style="123" min="8945" max="8945"/>
    <col width="18.1796875" customWidth="1" style="123" min="8946" max="8946"/>
    <col width="15" customWidth="1" style="123" min="8947" max="8947"/>
    <col width="13" customWidth="1" style="123" min="8948" max="8951"/>
    <col width="17.453125" customWidth="1" style="123" min="8952" max="8952"/>
    <col width="9.1796875" customWidth="1" style="123" min="8953" max="9200"/>
    <col width="10.81640625" customWidth="1" style="123" min="9201" max="9201"/>
    <col width="18.1796875" customWidth="1" style="123" min="9202" max="9202"/>
    <col width="15" customWidth="1" style="123" min="9203" max="9203"/>
    <col width="13" customWidth="1" style="123" min="9204" max="9207"/>
    <col width="17.453125" customWidth="1" style="123" min="9208" max="9208"/>
    <col width="9.1796875" customWidth="1" style="123" min="9209" max="9456"/>
    <col width="10.81640625" customWidth="1" style="123" min="9457" max="9457"/>
    <col width="18.1796875" customWidth="1" style="123" min="9458" max="9458"/>
    <col width="15" customWidth="1" style="123" min="9459" max="9459"/>
    <col width="13" customWidth="1" style="123" min="9460" max="9463"/>
    <col width="17.453125" customWidth="1" style="123" min="9464" max="9464"/>
    <col width="9.1796875" customWidth="1" style="123" min="9465" max="9712"/>
    <col width="10.81640625" customWidth="1" style="123" min="9713" max="9713"/>
    <col width="18.1796875" customWidth="1" style="123" min="9714" max="9714"/>
    <col width="15" customWidth="1" style="123" min="9715" max="9715"/>
    <col width="13" customWidth="1" style="123" min="9716" max="9719"/>
    <col width="17.453125" customWidth="1" style="123" min="9720" max="9720"/>
    <col width="9.1796875" customWidth="1" style="123" min="9721" max="9968"/>
    <col width="10.81640625" customWidth="1" style="123" min="9969" max="9969"/>
    <col width="18.1796875" customWidth="1" style="123" min="9970" max="9970"/>
    <col width="15" customWidth="1" style="123" min="9971" max="9971"/>
    <col width="13" customWidth="1" style="123" min="9972" max="9975"/>
    <col width="17.453125" customWidth="1" style="123" min="9976" max="9976"/>
    <col width="9.1796875" customWidth="1" style="123" min="9977" max="10224"/>
    <col width="10.81640625" customWidth="1" style="123" min="10225" max="10225"/>
    <col width="18.1796875" customWidth="1" style="123" min="10226" max="10226"/>
    <col width="15" customWidth="1" style="123" min="10227" max="10227"/>
    <col width="13" customWidth="1" style="123" min="10228" max="10231"/>
    <col width="17.453125" customWidth="1" style="123" min="10232" max="10232"/>
    <col width="9.1796875" customWidth="1" style="123" min="10233" max="10480"/>
    <col width="10.81640625" customWidth="1" style="123" min="10481" max="10481"/>
    <col width="18.1796875" customWidth="1" style="123" min="10482" max="10482"/>
    <col width="15" customWidth="1" style="123" min="10483" max="10483"/>
    <col width="13" customWidth="1" style="123" min="10484" max="10487"/>
    <col width="17.453125" customWidth="1" style="123" min="10488" max="10488"/>
    <col width="9.1796875" customWidth="1" style="123" min="10489" max="10736"/>
    <col width="10.81640625" customWidth="1" style="123" min="10737" max="10737"/>
    <col width="18.1796875" customWidth="1" style="123" min="10738" max="10738"/>
    <col width="15" customWidth="1" style="123" min="10739" max="10739"/>
    <col width="13" customWidth="1" style="123" min="10740" max="10743"/>
    <col width="17.453125" customWidth="1" style="123" min="10744" max="10744"/>
    <col width="9.1796875" customWidth="1" style="123" min="10745" max="10992"/>
    <col width="10.81640625" customWidth="1" style="123" min="10993" max="10993"/>
    <col width="18.1796875" customWidth="1" style="123" min="10994" max="10994"/>
    <col width="15" customWidth="1" style="123" min="10995" max="10995"/>
    <col width="13" customWidth="1" style="123" min="10996" max="10999"/>
    <col width="17.453125" customWidth="1" style="123" min="11000" max="11000"/>
    <col width="9.1796875" customWidth="1" style="123" min="11001" max="11248"/>
    <col width="10.81640625" customWidth="1" style="123" min="11249" max="11249"/>
    <col width="18.1796875" customWidth="1" style="123" min="11250" max="11250"/>
    <col width="15" customWidth="1" style="123" min="11251" max="11251"/>
    <col width="13" customWidth="1" style="123" min="11252" max="11255"/>
    <col width="17.453125" customWidth="1" style="123" min="11256" max="11256"/>
    <col width="9.1796875" customWidth="1" style="123" min="11257" max="11504"/>
    <col width="10.81640625" customWidth="1" style="123" min="11505" max="11505"/>
    <col width="18.1796875" customWidth="1" style="123" min="11506" max="11506"/>
    <col width="15" customWidth="1" style="123" min="11507" max="11507"/>
    <col width="13" customWidth="1" style="123" min="11508" max="11511"/>
    <col width="17.453125" customWidth="1" style="123" min="11512" max="11512"/>
    <col width="9.1796875" customWidth="1" style="123" min="11513" max="11760"/>
    <col width="10.81640625" customWidth="1" style="123" min="11761" max="11761"/>
    <col width="18.1796875" customWidth="1" style="123" min="11762" max="11762"/>
    <col width="15" customWidth="1" style="123" min="11763" max="11763"/>
    <col width="13" customWidth="1" style="123" min="11764" max="11767"/>
    <col width="17.453125" customWidth="1" style="123" min="11768" max="11768"/>
    <col width="9.1796875" customWidth="1" style="123" min="11769" max="12016"/>
    <col width="10.81640625" customWidth="1" style="123" min="12017" max="12017"/>
    <col width="18.1796875" customWidth="1" style="123" min="12018" max="12018"/>
    <col width="15" customWidth="1" style="123" min="12019" max="12019"/>
    <col width="13" customWidth="1" style="123" min="12020" max="12023"/>
    <col width="17.453125" customWidth="1" style="123" min="12024" max="12024"/>
    <col width="9.1796875" customWidth="1" style="123" min="12025" max="12272"/>
    <col width="10.81640625" customWidth="1" style="123" min="12273" max="12273"/>
    <col width="18.1796875" customWidth="1" style="123" min="12274" max="12274"/>
    <col width="15" customWidth="1" style="123" min="12275" max="12275"/>
    <col width="13" customWidth="1" style="123" min="12276" max="12279"/>
    <col width="17.453125" customWidth="1" style="123" min="12280" max="12280"/>
    <col width="9.1796875" customWidth="1" style="123" min="12281" max="12528"/>
    <col width="10.81640625" customWidth="1" style="123" min="12529" max="12529"/>
    <col width="18.1796875" customWidth="1" style="123" min="12530" max="12530"/>
    <col width="15" customWidth="1" style="123" min="12531" max="12531"/>
    <col width="13" customWidth="1" style="123" min="12532" max="12535"/>
    <col width="17.453125" customWidth="1" style="123" min="12536" max="12536"/>
    <col width="9.1796875" customWidth="1" style="123" min="12537" max="12784"/>
    <col width="10.81640625" customWidth="1" style="123" min="12785" max="12785"/>
    <col width="18.1796875" customWidth="1" style="123" min="12786" max="12786"/>
    <col width="15" customWidth="1" style="123" min="12787" max="12787"/>
    <col width="13" customWidth="1" style="123" min="12788" max="12791"/>
    <col width="17.453125" customWidth="1" style="123" min="12792" max="12792"/>
    <col width="9.1796875" customWidth="1" style="123" min="12793" max="13040"/>
    <col width="10.81640625" customWidth="1" style="123" min="13041" max="13041"/>
    <col width="18.1796875" customWidth="1" style="123" min="13042" max="13042"/>
    <col width="15" customWidth="1" style="123" min="13043" max="13043"/>
    <col width="13" customWidth="1" style="123" min="13044" max="13047"/>
    <col width="17.453125" customWidth="1" style="123" min="13048" max="13048"/>
    <col width="9.1796875" customWidth="1" style="123" min="13049" max="13296"/>
    <col width="10.81640625" customWidth="1" style="123" min="13297" max="13297"/>
    <col width="18.1796875" customWidth="1" style="123" min="13298" max="13298"/>
    <col width="15" customWidth="1" style="123" min="13299" max="13299"/>
    <col width="13" customWidth="1" style="123" min="13300" max="13303"/>
    <col width="17.453125" customWidth="1" style="123" min="13304" max="13304"/>
    <col width="9.1796875" customWidth="1" style="123" min="13305" max="13552"/>
    <col width="10.81640625" customWidth="1" style="123" min="13553" max="13553"/>
    <col width="18.1796875" customWidth="1" style="123" min="13554" max="13554"/>
    <col width="15" customWidth="1" style="123" min="13555" max="13555"/>
    <col width="13" customWidth="1" style="123" min="13556" max="13559"/>
    <col width="17.453125" customWidth="1" style="123" min="13560" max="13560"/>
    <col width="9.1796875" customWidth="1" style="123" min="13561" max="13808"/>
    <col width="10.81640625" customWidth="1" style="123" min="13809" max="13809"/>
    <col width="18.1796875" customWidth="1" style="123" min="13810" max="13810"/>
    <col width="15" customWidth="1" style="123" min="13811" max="13811"/>
    <col width="13" customWidth="1" style="123" min="13812" max="13815"/>
    <col width="17.453125" customWidth="1" style="123" min="13816" max="13816"/>
    <col width="9.1796875" customWidth="1" style="123" min="13817" max="14064"/>
    <col width="10.81640625" customWidth="1" style="123" min="14065" max="14065"/>
    <col width="18.1796875" customWidth="1" style="123" min="14066" max="14066"/>
    <col width="15" customWidth="1" style="123" min="14067" max="14067"/>
    <col width="13" customWidth="1" style="123" min="14068" max="14071"/>
    <col width="17.453125" customWidth="1" style="123" min="14072" max="14072"/>
    <col width="9.1796875" customWidth="1" style="123" min="14073" max="14320"/>
    <col width="10.81640625" customWidth="1" style="123" min="14321" max="14321"/>
    <col width="18.1796875" customWidth="1" style="123" min="14322" max="14322"/>
    <col width="15" customWidth="1" style="123" min="14323" max="14323"/>
    <col width="13" customWidth="1" style="123" min="14324" max="14327"/>
    <col width="17.453125" customWidth="1" style="123" min="14328" max="14328"/>
    <col width="9.1796875" customWidth="1" style="123" min="14329" max="14576"/>
    <col width="10.81640625" customWidth="1" style="123" min="14577" max="14577"/>
    <col width="18.1796875" customWidth="1" style="123" min="14578" max="14578"/>
    <col width="15" customWidth="1" style="123" min="14579" max="14579"/>
    <col width="13" customWidth="1" style="123" min="14580" max="14583"/>
    <col width="17.453125" customWidth="1" style="123" min="14584" max="14584"/>
    <col width="9.1796875" customWidth="1" style="123" min="14585" max="14832"/>
    <col width="10.81640625" customWidth="1" style="123" min="14833" max="14833"/>
    <col width="18.1796875" customWidth="1" style="123" min="14834" max="14834"/>
    <col width="15" customWidth="1" style="123" min="14835" max="14835"/>
    <col width="13" customWidth="1" style="123" min="14836" max="14839"/>
    <col width="17.453125" customWidth="1" style="123" min="14840" max="14840"/>
    <col width="9.1796875" customWidth="1" style="123" min="14841" max="15088"/>
    <col width="10.81640625" customWidth="1" style="123" min="15089" max="15089"/>
    <col width="18.1796875" customWidth="1" style="123" min="15090" max="15090"/>
    <col width="15" customWidth="1" style="123" min="15091" max="15091"/>
    <col width="13" customWidth="1" style="123" min="15092" max="15095"/>
    <col width="17.453125" customWidth="1" style="123" min="15096" max="15096"/>
    <col width="9.1796875" customWidth="1" style="123" min="15097" max="15344"/>
    <col width="10.81640625" customWidth="1" style="123" min="15345" max="15345"/>
    <col width="18.1796875" customWidth="1" style="123" min="15346" max="15346"/>
    <col width="15" customWidth="1" style="123" min="15347" max="15347"/>
    <col width="13" customWidth="1" style="123" min="15348" max="15351"/>
    <col width="17.453125" customWidth="1" style="123" min="15352" max="15352"/>
    <col width="9.1796875" customWidth="1" style="123" min="15353" max="15600"/>
    <col width="10.81640625" customWidth="1" style="123" min="15601" max="15601"/>
    <col width="18.1796875" customWidth="1" style="123" min="15602" max="15602"/>
    <col width="15" customWidth="1" style="123" min="15603" max="15603"/>
    <col width="13" customWidth="1" style="123" min="15604" max="15607"/>
    <col width="17.453125" customWidth="1" style="123" min="15608" max="15608"/>
    <col width="9.1796875" customWidth="1" style="123" min="15609" max="15856"/>
    <col width="10.81640625" customWidth="1" style="123" min="15857" max="15857"/>
    <col width="18.1796875" customWidth="1" style="123" min="15858" max="15858"/>
    <col width="15" customWidth="1" style="123" min="15859" max="15859"/>
    <col width="13" customWidth="1" style="123" min="15860" max="15863"/>
    <col width="17.453125" customWidth="1" style="123" min="15864" max="15864"/>
    <col width="9.1796875" customWidth="1" style="123" min="15865" max="16112"/>
    <col width="10.81640625" customWidth="1" style="123" min="16113" max="16113"/>
    <col width="18.1796875" customWidth="1" style="123" min="16114" max="16114"/>
    <col width="15" customWidth="1" style="123" min="16115" max="16115"/>
    <col width="13" customWidth="1" style="123" min="16116" max="16119"/>
    <col width="17.453125" customWidth="1" style="123" min="16120" max="16120"/>
    <col width="9.1796875" customWidth="1" style="123" min="16121" max="16384"/>
  </cols>
  <sheetData>
    <row r="1">
      <c r="A1" s="1" t="inlineStr">
        <is>
          <t>ADXTNO</t>
        </is>
      </c>
      <c r="B1" s="124"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row r="373">
      <c r="A373" s="74" t="n">
        <v>44805</v>
      </c>
      <c r="B373" s="75">
        <f>VLOOKUP(A373,Database!A:M,MATCH($A$1,Database!$A$1:$M$1,),)</f>
        <v/>
      </c>
      <c r="C373" s="113">
        <f>(Table5351415[[#This Row],[New Orders ex Transport]]-B372)/B372</f>
        <v/>
      </c>
    </row>
    <row r="374">
      <c r="A374" s="74" t="n">
        <v>44835</v>
      </c>
      <c r="B374" s="75">
        <f>VLOOKUP(A374,Database!A:M,MATCH($A$1,Database!$A$1:$M$1,),)</f>
        <v/>
      </c>
      <c r="C374" s="113">
        <f>(Table5351415[[#This Row],[New Orders ex Transport]]-B373)/B373</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4"/>
  <sheetViews>
    <sheetView tabSelected="1" zoomScale="90" zoomScaleNormal="90" workbookViewId="0">
      <pane ySplit="5" topLeftCell="A359" activePane="bottomLeft" state="frozen"/>
      <selection activeCell="Q21" sqref="Q21"/>
      <selection pane="bottomLeft" activeCell="E373" sqref="E373"/>
    </sheetView>
  </sheetViews>
  <sheetFormatPr baseColWidth="8" defaultColWidth="8.81640625" defaultRowHeight="14.5"/>
  <cols>
    <col width="10.81640625" customWidth="1" style="68" min="1" max="1"/>
    <col width="24.453125" customWidth="1" style="69" min="2" max="2"/>
    <col width="14.81640625" customWidth="1" style="147" min="3" max="3"/>
    <col width="9.1796875" customWidth="1" style="123" min="4" max="240"/>
    <col width="10.81640625" customWidth="1" style="123" min="241" max="241"/>
    <col width="18.1796875" customWidth="1" style="123" min="242" max="242"/>
    <col width="15" customWidth="1" style="123" min="243" max="243"/>
    <col width="13" customWidth="1" style="123" min="244" max="247"/>
    <col width="17.453125" customWidth="1" style="123" min="248" max="248"/>
    <col width="9.1796875" customWidth="1" style="123" min="249" max="496"/>
    <col width="10.81640625" customWidth="1" style="123" min="497" max="497"/>
    <col width="18.1796875" customWidth="1" style="123" min="498" max="498"/>
    <col width="15" customWidth="1" style="123" min="499" max="499"/>
    <col width="13" customWidth="1" style="123" min="500" max="503"/>
    <col width="17.453125" customWidth="1" style="123" min="504" max="504"/>
    <col width="9.1796875" customWidth="1" style="123" min="505" max="752"/>
    <col width="10.81640625" customWidth="1" style="123" min="753" max="753"/>
    <col width="18.1796875" customWidth="1" style="123" min="754" max="754"/>
    <col width="15" customWidth="1" style="123" min="755" max="755"/>
    <col width="13" customWidth="1" style="123" min="756" max="759"/>
    <col width="17.453125" customWidth="1" style="123" min="760" max="760"/>
    <col width="9.1796875" customWidth="1" style="123" min="761" max="1008"/>
    <col width="10.81640625" customWidth="1" style="123" min="1009" max="1009"/>
    <col width="18.1796875" customWidth="1" style="123" min="1010" max="1010"/>
    <col width="15" customWidth="1" style="123" min="1011" max="1011"/>
    <col width="13" customWidth="1" style="123" min="1012" max="1015"/>
    <col width="17.453125" customWidth="1" style="123" min="1016" max="1016"/>
    <col width="9.1796875" customWidth="1" style="123" min="1017" max="1264"/>
    <col width="10.81640625" customWidth="1" style="123" min="1265" max="1265"/>
    <col width="18.1796875" customWidth="1" style="123" min="1266" max="1266"/>
    <col width="15" customWidth="1" style="123" min="1267" max="1267"/>
    <col width="13" customWidth="1" style="123" min="1268" max="1271"/>
    <col width="17.453125" customWidth="1" style="123" min="1272" max="1272"/>
    <col width="9.1796875" customWidth="1" style="123" min="1273" max="1520"/>
    <col width="10.81640625" customWidth="1" style="123" min="1521" max="1521"/>
    <col width="18.1796875" customWidth="1" style="123" min="1522" max="1522"/>
    <col width="15" customWidth="1" style="123" min="1523" max="1523"/>
    <col width="13" customWidth="1" style="123" min="1524" max="1527"/>
    <col width="17.453125" customWidth="1" style="123" min="1528" max="1528"/>
    <col width="9.1796875" customWidth="1" style="123" min="1529" max="1776"/>
    <col width="10.81640625" customWidth="1" style="123" min="1777" max="1777"/>
    <col width="18.1796875" customWidth="1" style="123" min="1778" max="1778"/>
    <col width="15" customWidth="1" style="123" min="1779" max="1779"/>
    <col width="13" customWidth="1" style="123" min="1780" max="1783"/>
    <col width="17.453125" customWidth="1" style="123" min="1784" max="1784"/>
    <col width="9.1796875" customWidth="1" style="123" min="1785" max="2032"/>
    <col width="10.81640625" customWidth="1" style="123" min="2033" max="2033"/>
    <col width="18.1796875" customWidth="1" style="123" min="2034" max="2034"/>
    <col width="15" customWidth="1" style="123" min="2035" max="2035"/>
    <col width="13" customWidth="1" style="123" min="2036" max="2039"/>
    <col width="17.453125" customWidth="1" style="123" min="2040" max="2040"/>
    <col width="9.1796875" customWidth="1" style="123" min="2041" max="2288"/>
    <col width="10.81640625" customWidth="1" style="123" min="2289" max="2289"/>
    <col width="18.1796875" customWidth="1" style="123" min="2290" max="2290"/>
    <col width="15" customWidth="1" style="123" min="2291" max="2291"/>
    <col width="13" customWidth="1" style="123" min="2292" max="2295"/>
    <col width="17.453125" customWidth="1" style="123" min="2296" max="2296"/>
    <col width="9.1796875" customWidth="1" style="123" min="2297" max="2544"/>
    <col width="10.81640625" customWidth="1" style="123" min="2545" max="2545"/>
    <col width="18.1796875" customWidth="1" style="123" min="2546" max="2546"/>
    <col width="15" customWidth="1" style="123" min="2547" max="2547"/>
    <col width="13" customWidth="1" style="123" min="2548" max="2551"/>
    <col width="17.453125" customWidth="1" style="123" min="2552" max="2552"/>
    <col width="9.1796875" customWidth="1" style="123" min="2553" max="2800"/>
    <col width="10.81640625" customWidth="1" style="123" min="2801" max="2801"/>
    <col width="18.1796875" customWidth="1" style="123" min="2802" max="2802"/>
    <col width="15" customWidth="1" style="123" min="2803" max="2803"/>
    <col width="13" customWidth="1" style="123" min="2804" max="2807"/>
    <col width="17.453125" customWidth="1" style="123" min="2808" max="2808"/>
    <col width="9.1796875" customWidth="1" style="123" min="2809" max="3056"/>
    <col width="10.81640625" customWidth="1" style="123" min="3057" max="3057"/>
    <col width="18.1796875" customWidth="1" style="123" min="3058" max="3058"/>
    <col width="15" customWidth="1" style="123" min="3059" max="3059"/>
    <col width="13" customWidth="1" style="123" min="3060" max="3063"/>
    <col width="17.453125" customWidth="1" style="123" min="3064" max="3064"/>
    <col width="9.1796875" customWidth="1" style="123" min="3065" max="3312"/>
    <col width="10.81640625" customWidth="1" style="123" min="3313" max="3313"/>
    <col width="18.1796875" customWidth="1" style="123" min="3314" max="3314"/>
    <col width="15" customWidth="1" style="123" min="3315" max="3315"/>
    <col width="13" customWidth="1" style="123" min="3316" max="3319"/>
    <col width="17.453125" customWidth="1" style="123" min="3320" max="3320"/>
    <col width="9.1796875" customWidth="1" style="123" min="3321" max="3568"/>
    <col width="10.81640625" customWidth="1" style="123" min="3569" max="3569"/>
    <col width="18.1796875" customWidth="1" style="123" min="3570" max="3570"/>
    <col width="15" customWidth="1" style="123" min="3571" max="3571"/>
    <col width="13" customWidth="1" style="123" min="3572" max="3575"/>
    <col width="17.453125" customWidth="1" style="123" min="3576" max="3576"/>
    <col width="9.1796875" customWidth="1" style="123" min="3577" max="3824"/>
    <col width="10.81640625" customWidth="1" style="123" min="3825" max="3825"/>
    <col width="18.1796875" customWidth="1" style="123" min="3826" max="3826"/>
    <col width="15" customWidth="1" style="123" min="3827" max="3827"/>
    <col width="13" customWidth="1" style="123" min="3828" max="3831"/>
    <col width="17.453125" customWidth="1" style="123" min="3832" max="3832"/>
    <col width="9.1796875" customWidth="1" style="123" min="3833" max="4080"/>
    <col width="10.81640625" customWidth="1" style="123" min="4081" max="4081"/>
    <col width="18.1796875" customWidth="1" style="123" min="4082" max="4082"/>
    <col width="15" customWidth="1" style="123" min="4083" max="4083"/>
    <col width="13" customWidth="1" style="123" min="4084" max="4087"/>
    <col width="17.453125" customWidth="1" style="123" min="4088" max="4088"/>
    <col width="9.1796875" customWidth="1" style="123" min="4089" max="4336"/>
    <col width="10.81640625" customWidth="1" style="123" min="4337" max="4337"/>
    <col width="18.1796875" customWidth="1" style="123" min="4338" max="4338"/>
    <col width="15" customWidth="1" style="123" min="4339" max="4339"/>
    <col width="13" customWidth="1" style="123" min="4340" max="4343"/>
    <col width="17.453125" customWidth="1" style="123" min="4344" max="4344"/>
    <col width="9.1796875" customWidth="1" style="123" min="4345" max="4592"/>
    <col width="10.81640625" customWidth="1" style="123" min="4593" max="4593"/>
    <col width="18.1796875" customWidth="1" style="123" min="4594" max="4594"/>
    <col width="15" customWidth="1" style="123" min="4595" max="4595"/>
    <col width="13" customWidth="1" style="123" min="4596" max="4599"/>
    <col width="17.453125" customWidth="1" style="123" min="4600" max="4600"/>
    <col width="9.1796875" customWidth="1" style="123" min="4601" max="4848"/>
    <col width="10.81640625" customWidth="1" style="123" min="4849" max="4849"/>
    <col width="18.1796875" customWidth="1" style="123" min="4850" max="4850"/>
    <col width="15" customWidth="1" style="123" min="4851" max="4851"/>
    <col width="13" customWidth="1" style="123" min="4852" max="4855"/>
    <col width="17.453125" customWidth="1" style="123" min="4856" max="4856"/>
    <col width="9.1796875" customWidth="1" style="123" min="4857" max="5104"/>
    <col width="10.81640625" customWidth="1" style="123" min="5105" max="5105"/>
    <col width="18.1796875" customWidth="1" style="123" min="5106" max="5106"/>
    <col width="15" customWidth="1" style="123" min="5107" max="5107"/>
    <col width="13" customWidth="1" style="123" min="5108" max="5111"/>
    <col width="17.453125" customWidth="1" style="123" min="5112" max="5112"/>
    <col width="9.1796875" customWidth="1" style="123" min="5113" max="5360"/>
    <col width="10.81640625" customWidth="1" style="123" min="5361" max="5361"/>
    <col width="18.1796875" customWidth="1" style="123" min="5362" max="5362"/>
    <col width="15" customWidth="1" style="123" min="5363" max="5363"/>
    <col width="13" customWidth="1" style="123" min="5364" max="5367"/>
    <col width="17.453125" customWidth="1" style="123" min="5368" max="5368"/>
    <col width="9.1796875" customWidth="1" style="123" min="5369" max="5616"/>
    <col width="10.81640625" customWidth="1" style="123" min="5617" max="5617"/>
    <col width="18.1796875" customWidth="1" style="123" min="5618" max="5618"/>
    <col width="15" customWidth="1" style="123" min="5619" max="5619"/>
    <col width="13" customWidth="1" style="123" min="5620" max="5623"/>
    <col width="17.453125" customWidth="1" style="123" min="5624" max="5624"/>
    <col width="9.1796875" customWidth="1" style="123" min="5625" max="5872"/>
    <col width="10.81640625" customWidth="1" style="123" min="5873" max="5873"/>
    <col width="18.1796875" customWidth="1" style="123" min="5874" max="5874"/>
    <col width="15" customWidth="1" style="123" min="5875" max="5875"/>
    <col width="13" customWidth="1" style="123" min="5876" max="5879"/>
    <col width="17.453125" customWidth="1" style="123" min="5880" max="5880"/>
    <col width="9.1796875" customWidth="1" style="123" min="5881" max="6128"/>
    <col width="10.81640625" customWidth="1" style="123" min="6129" max="6129"/>
    <col width="18.1796875" customWidth="1" style="123" min="6130" max="6130"/>
    <col width="15" customWidth="1" style="123" min="6131" max="6131"/>
    <col width="13" customWidth="1" style="123" min="6132" max="6135"/>
    <col width="17.453125" customWidth="1" style="123" min="6136" max="6136"/>
    <col width="9.1796875" customWidth="1" style="123" min="6137" max="6384"/>
    <col width="10.81640625" customWidth="1" style="123" min="6385" max="6385"/>
    <col width="18.1796875" customWidth="1" style="123" min="6386" max="6386"/>
    <col width="15" customWidth="1" style="123" min="6387" max="6387"/>
    <col width="13" customWidth="1" style="123" min="6388" max="6391"/>
    <col width="17.453125" customWidth="1" style="123" min="6392" max="6392"/>
    <col width="9.1796875" customWidth="1" style="123" min="6393" max="6640"/>
    <col width="10.81640625" customWidth="1" style="123" min="6641" max="6641"/>
    <col width="18.1796875" customWidth="1" style="123" min="6642" max="6642"/>
    <col width="15" customWidth="1" style="123" min="6643" max="6643"/>
    <col width="13" customWidth="1" style="123" min="6644" max="6647"/>
    <col width="17.453125" customWidth="1" style="123" min="6648" max="6648"/>
    <col width="9.1796875" customWidth="1" style="123" min="6649" max="6896"/>
    <col width="10.81640625" customWidth="1" style="123" min="6897" max="6897"/>
    <col width="18.1796875" customWidth="1" style="123" min="6898" max="6898"/>
    <col width="15" customWidth="1" style="123" min="6899" max="6899"/>
    <col width="13" customWidth="1" style="123" min="6900" max="6903"/>
    <col width="17.453125" customWidth="1" style="123" min="6904" max="6904"/>
    <col width="9.1796875" customWidth="1" style="123" min="6905" max="7152"/>
    <col width="10.81640625" customWidth="1" style="123" min="7153" max="7153"/>
    <col width="18.1796875" customWidth="1" style="123" min="7154" max="7154"/>
    <col width="15" customWidth="1" style="123" min="7155" max="7155"/>
    <col width="13" customWidth="1" style="123" min="7156" max="7159"/>
    <col width="17.453125" customWidth="1" style="123" min="7160" max="7160"/>
    <col width="9.1796875" customWidth="1" style="123" min="7161" max="7408"/>
    <col width="10.81640625" customWidth="1" style="123" min="7409" max="7409"/>
    <col width="18.1796875" customWidth="1" style="123" min="7410" max="7410"/>
    <col width="15" customWidth="1" style="123" min="7411" max="7411"/>
    <col width="13" customWidth="1" style="123" min="7412" max="7415"/>
    <col width="17.453125" customWidth="1" style="123" min="7416" max="7416"/>
    <col width="9.1796875" customWidth="1" style="123" min="7417" max="7664"/>
    <col width="10.81640625" customWidth="1" style="123" min="7665" max="7665"/>
    <col width="18.1796875" customWidth="1" style="123" min="7666" max="7666"/>
    <col width="15" customWidth="1" style="123" min="7667" max="7667"/>
    <col width="13" customWidth="1" style="123" min="7668" max="7671"/>
    <col width="17.453125" customWidth="1" style="123" min="7672" max="7672"/>
    <col width="9.1796875" customWidth="1" style="123" min="7673" max="7920"/>
    <col width="10.81640625" customWidth="1" style="123" min="7921" max="7921"/>
    <col width="18.1796875" customWidth="1" style="123" min="7922" max="7922"/>
    <col width="15" customWidth="1" style="123" min="7923" max="7923"/>
    <col width="13" customWidth="1" style="123" min="7924" max="7927"/>
    <col width="17.453125" customWidth="1" style="123" min="7928" max="7928"/>
    <col width="9.1796875" customWidth="1" style="123" min="7929" max="8176"/>
    <col width="10.81640625" customWidth="1" style="123" min="8177" max="8177"/>
    <col width="18.1796875" customWidth="1" style="123" min="8178" max="8178"/>
    <col width="15" customWidth="1" style="123" min="8179" max="8179"/>
    <col width="13" customWidth="1" style="123" min="8180" max="8183"/>
    <col width="17.453125" customWidth="1" style="123" min="8184" max="8184"/>
    <col width="9.1796875" customWidth="1" style="123" min="8185" max="8432"/>
    <col width="10.81640625" customWidth="1" style="123" min="8433" max="8433"/>
    <col width="18.1796875" customWidth="1" style="123" min="8434" max="8434"/>
    <col width="15" customWidth="1" style="123" min="8435" max="8435"/>
    <col width="13" customWidth="1" style="123" min="8436" max="8439"/>
    <col width="17.453125" customWidth="1" style="123" min="8440" max="8440"/>
    <col width="9.1796875" customWidth="1" style="123" min="8441" max="8688"/>
    <col width="10.81640625" customWidth="1" style="123" min="8689" max="8689"/>
    <col width="18.1796875" customWidth="1" style="123" min="8690" max="8690"/>
    <col width="15" customWidth="1" style="123" min="8691" max="8691"/>
    <col width="13" customWidth="1" style="123" min="8692" max="8695"/>
    <col width="17.453125" customWidth="1" style="123" min="8696" max="8696"/>
    <col width="9.1796875" customWidth="1" style="123" min="8697" max="8944"/>
    <col width="10.81640625" customWidth="1" style="123" min="8945" max="8945"/>
    <col width="18.1796875" customWidth="1" style="123" min="8946" max="8946"/>
    <col width="15" customWidth="1" style="123" min="8947" max="8947"/>
    <col width="13" customWidth="1" style="123" min="8948" max="8951"/>
    <col width="17.453125" customWidth="1" style="123" min="8952" max="8952"/>
    <col width="9.1796875" customWidth="1" style="123" min="8953" max="9200"/>
    <col width="10.81640625" customWidth="1" style="123" min="9201" max="9201"/>
    <col width="18.1796875" customWidth="1" style="123" min="9202" max="9202"/>
    <col width="15" customWidth="1" style="123" min="9203" max="9203"/>
    <col width="13" customWidth="1" style="123" min="9204" max="9207"/>
    <col width="17.453125" customWidth="1" style="123" min="9208" max="9208"/>
    <col width="9.1796875" customWidth="1" style="123" min="9209" max="9456"/>
    <col width="10.81640625" customWidth="1" style="123" min="9457" max="9457"/>
    <col width="18.1796875" customWidth="1" style="123" min="9458" max="9458"/>
    <col width="15" customWidth="1" style="123" min="9459" max="9459"/>
    <col width="13" customWidth="1" style="123" min="9460" max="9463"/>
    <col width="17.453125" customWidth="1" style="123" min="9464" max="9464"/>
    <col width="9.1796875" customWidth="1" style="123" min="9465" max="9712"/>
    <col width="10.81640625" customWidth="1" style="123" min="9713" max="9713"/>
    <col width="18.1796875" customWidth="1" style="123" min="9714" max="9714"/>
    <col width="15" customWidth="1" style="123" min="9715" max="9715"/>
    <col width="13" customWidth="1" style="123" min="9716" max="9719"/>
    <col width="17.453125" customWidth="1" style="123" min="9720" max="9720"/>
    <col width="9.1796875" customWidth="1" style="123" min="9721" max="9968"/>
    <col width="10.81640625" customWidth="1" style="123" min="9969" max="9969"/>
    <col width="18.1796875" customWidth="1" style="123" min="9970" max="9970"/>
    <col width="15" customWidth="1" style="123" min="9971" max="9971"/>
    <col width="13" customWidth="1" style="123" min="9972" max="9975"/>
    <col width="17.453125" customWidth="1" style="123" min="9976" max="9976"/>
    <col width="9.1796875" customWidth="1" style="123" min="9977" max="10224"/>
    <col width="10.81640625" customWidth="1" style="123" min="10225" max="10225"/>
    <col width="18.1796875" customWidth="1" style="123" min="10226" max="10226"/>
    <col width="15" customWidth="1" style="123" min="10227" max="10227"/>
    <col width="13" customWidth="1" style="123" min="10228" max="10231"/>
    <col width="17.453125" customWidth="1" style="123" min="10232" max="10232"/>
    <col width="9.1796875" customWidth="1" style="123" min="10233" max="10480"/>
    <col width="10.81640625" customWidth="1" style="123" min="10481" max="10481"/>
    <col width="18.1796875" customWidth="1" style="123" min="10482" max="10482"/>
    <col width="15" customWidth="1" style="123" min="10483" max="10483"/>
    <col width="13" customWidth="1" style="123" min="10484" max="10487"/>
    <col width="17.453125" customWidth="1" style="123" min="10488" max="10488"/>
    <col width="9.1796875" customWidth="1" style="123" min="10489" max="10736"/>
    <col width="10.81640625" customWidth="1" style="123" min="10737" max="10737"/>
    <col width="18.1796875" customWidth="1" style="123" min="10738" max="10738"/>
    <col width="15" customWidth="1" style="123" min="10739" max="10739"/>
    <col width="13" customWidth="1" style="123" min="10740" max="10743"/>
    <col width="17.453125" customWidth="1" style="123" min="10744" max="10744"/>
    <col width="9.1796875" customWidth="1" style="123" min="10745" max="10992"/>
    <col width="10.81640625" customWidth="1" style="123" min="10993" max="10993"/>
    <col width="18.1796875" customWidth="1" style="123" min="10994" max="10994"/>
    <col width="15" customWidth="1" style="123" min="10995" max="10995"/>
    <col width="13" customWidth="1" style="123" min="10996" max="10999"/>
    <col width="17.453125" customWidth="1" style="123" min="11000" max="11000"/>
    <col width="9.1796875" customWidth="1" style="123" min="11001" max="11248"/>
    <col width="10.81640625" customWidth="1" style="123" min="11249" max="11249"/>
    <col width="18.1796875" customWidth="1" style="123" min="11250" max="11250"/>
    <col width="15" customWidth="1" style="123" min="11251" max="11251"/>
    <col width="13" customWidth="1" style="123" min="11252" max="11255"/>
    <col width="17.453125" customWidth="1" style="123" min="11256" max="11256"/>
    <col width="9.1796875" customWidth="1" style="123" min="11257" max="11504"/>
    <col width="10.81640625" customWidth="1" style="123" min="11505" max="11505"/>
    <col width="18.1796875" customWidth="1" style="123" min="11506" max="11506"/>
    <col width="15" customWidth="1" style="123" min="11507" max="11507"/>
    <col width="13" customWidth="1" style="123" min="11508" max="11511"/>
    <col width="17.453125" customWidth="1" style="123" min="11512" max="11512"/>
    <col width="9.1796875" customWidth="1" style="123" min="11513" max="11760"/>
    <col width="10.81640625" customWidth="1" style="123" min="11761" max="11761"/>
    <col width="18.1796875" customWidth="1" style="123" min="11762" max="11762"/>
    <col width="15" customWidth="1" style="123" min="11763" max="11763"/>
    <col width="13" customWidth="1" style="123" min="11764" max="11767"/>
    <col width="17.453125" customWidth="1" style="123" min="11768" max="11768"/>
    <col width="9.1796875" customWidth="1" style="123" min="11769" max="12016"/>
    <col width="10.81640625" customWidth="1" style="123" min="12017" max="12017"/>
    <col width="18.1796875" customWidth="1" style="123" min="12018" max="12018"/>
    <col width="15" customWidth="1" style="123" min="12019" max="12019"/>
    <col width="13" customWidth="1" style="123" min="12020" max="12023"/>
    <col width="17.453125" customWidth="1" style="123" min="12024" max="12024"/>
    <col width="9.1796875" customWidth="1" style="123" min="12025" max="12272"/>
    <col width="10.81640625" customWidth="1" style="123" min="12273" max="12273"/>
    <col width="18.1796875" customWidth="1" style="123" min="12274" max="12274"/>
    <col width="15" customWidth="1" style="123" min="12275" max="12275"/>
    <col width="13" customWidth="1" style="123" min="12276" max="12279"/>
    <col width="17.453125" customWidth="1" style="123" min="12280" max="12280"/>
    <col width="9.1796875" customWidth="1" style="123" min="12281" max="12528"/>
    <col width="10.81640625" customWidth="1" style="123" min="12529" max="12529"/>
    <col width="18.1796875" customWidth="1" style="123" min="12530" max="12530"/>
    <col width="15" customWidth="1" style="123" min="12531" max="12531"/>
    <col width="13" customWidth="1" style="123" min="12532" max="12535"/>
    <col width="17.453125" customWidth="1" style="123" min="12536" max="12536"/>
    <col width="9.1796875" customWidth="1" style="123" min="12537" max="12784"/>
    <col width="10.81640625" customWidth="1" style="123" min="12785" max="12785"/>
    <col width="18.1796875" customWidth="1" style="123" min="12786" max="12786"/>
    <col width="15" customWidth="1" style="123" min="12787" max="12787"/>
    <col width="13" customWidth="1" style="123" min="12788" max="12791"/>
    <col width="17.453125" customWidth="1" style="123" min="12792" max="12792"/>
    <col width="9.1796875" customWidth="1" style="123" min="12793" max="13040"/>
    <col width="10.81640625" customWidth="1" style="123" min="13041" max="13041"/>
    <col width="18.1796875" customWidth="1" style="123" min="13042" max="13042"/>
    <col width="15" customWidth="1" style="123" min="13043" max="13043"/>
    <col width="13" customWidth="1" style="123" min="13044" max="13047"/>
    <col width="17.453125" customWidth="1" style="123" min="13048" max="13048"/>
    <col width="9.1796875" customWidth="1" style="123" min="13049" max="13296"/>
    <col width="10.81640625" customWidth="1" style="123" min="13297" max="13297"/>
    <col width="18.1796875" customWidth="1" style="123" min="13298" max="13298"/>
    <col width="15" customWidth="1" style="123" min="13299" max="13299"/>
    <col width="13" customWidth="1" style="123" min="13300" max="13303"/>
    <col width="17.453125" customWidth="1" style="123" min="13304" max="13304"/>
    <col width="9.1796875" customWidth="1" style="123" min="13305" max="13552"/>
    <col width="10.81640625" customWidth="1" style="123" min="13553" max="13553"/>
    <col width="18.1796875" customWidth="1" style="123" min="13554" max="13554"/>
    <col width="15" customWidth="1" style="123" min="13555" max="13555"/>
    <col width="13" customWidth="1" style="123" min="13556" max="13559"/>
    <col width="17.453125" customWidth="1" style="123" min="13560" max="13560"/>
    <col width="9.1796875" customWidth="1" style="123" min="13561" max="13808"/>
    <col width="10.81640625" customWidth="1" style="123" min="13809" max="13809"/>
    <col width="18.1796875" customWidth="1" style="123" min="13810" max="13810"/>
    <col width="15" customWidth="1" style="123" min="13811" max="13811"/>
    <col width="13" customWidth="1" style="123" min="13812" max="13815"/>
    <col width="17.453125" customWidth="1" style="123" min="13816" max="13816"/>
    <col width="9.1796875" customWidth="1" style="123" min="13817" max="14064"/>
    <col width="10.81640625" customWidth="1" style="123" min="14065" max="14065"/>
    <col width="18.1796875" customWidth="1" style="123" min="14066" max="14066"/>
    <col width="15" customWidth="1" style="123" min="14067" max="14067"/>
    <col width="13" customWidth="1" style="123" min="14068" max="14071"/>
    <col width="17.453125" customWidth="1" style="123" min="14072" max="14072"/>
    <col width="9.1796875" customWidth="1" style="123" min="14073" max="14320"/>
    <col width="10.81640625" customWidth="1" style="123" min="14321" max="14321"/>
    <col width="18.1796875" customWidth="1" style="123" min="14322" max="14322"/>
    <col width="15" customWidth="1" style="123" min="14323" max="14323"/>
    <col width="13" customWidth="1" style="123" min="14324" max="14327"/>
    <col width="17.453125" customWidth="1" style="123" min="14328" max="14328"/>
    <col width="9.1796875" customWidth="1" style="123" min="14329" max="14576"/>
    <col width="10.81640625" customWidth="1" style="123" min="14577" max="14577"/>
    <col width="18.1796875" customWidth="1" style="123" min="14578" max="14578"/>
    <col width="15" customWidth="1" style="123" min="14579" max="14579"/>
    <col width="13" customWidth="1" style="123" min="14580" max="14583"/>
    <col width="17.453125" customWidth="1" style="123" min="14584" max="14584"/>
    <col width="9.1796875" customWidth="1" style="123" min="14585" max="14832"/>
    <col width="10.81640625" customWidth="1" style="123" min="14833" max="14833"/>
    <col width="18.1796875" customWidth="1" style="123" min="14834" max="14834"/>
    <col width="15" customWidth="1" style="123" min="14835" max="14835"/>
    <col width="13" customWidth="1" style="123" min="14836" max="14839"/>
    <col width="17.453125" customWidth="1" style="123" min="14840" max="14840"/>
    <col width="9.1796875" customWidth="1" style="123" min="14841" max="15088"/>
    <col width="10.81640625" customWidth="1" style="123" min="15089" max="15089"/>
    <col width="18.1796875" customWidth="1" style="123" min="15090" max="15090"/>
    <col width="15" customWidth="1" style="123" min="15091" max="15091"/>
    <col width="13" customWidth="1" style="123" min="15092" max="15095"/>
    <col width="17.453125" customWidth="1" style="123" min="15096" max="15096"/>
    <col width="9.1796875" customWidth="1" style="123" min="15097" max="15344"/>
    <col width="10.81640625" customWidth="1" style="123" min="15345" max="15345"/>
    <col width="18.1796875" customWidth="1" style="123" min="15346" max="15346"/>
    <col width="15" customWidth="1" style="123" min="15347" max="15347"/>
    <col width="13" customWidth="1" style="123" min="15348" max="15351"/>
    <col width="17.453125" customWidth="1" style="123" min="15352" max="15352"/>
    <col width="9.1796875" customWidth="1" style="123" min="15353" max="15600"/>
    <col width="10.81640625" customWidth="1" style="123" min="15601" max="15601"/>
    <col width="18.1796875" customWidth="1" style="123" min="15602" max="15602"/>
    <col width="15" customWidth="1" style="123" min="15603" max="15603"/>
    <col width="13" customWidth="1" style="123" min="15604" max="15607"/>
    <col width="17.453125" customWidth="1" style="123" min="15608" max="15608"/>
    <col width="9.1796875" customWidth="1" style="123" min="15609" max="15856"/>
    <col width="10.81640625" customWidth="1" style="123" min="15857" max="15857"/>
    <col width="18.1796875" customWidth="1" style="123" min="15858" max="15858"/>
    <col width="15" customWidth="1" style="123" min="15859" max="15859"/>
    <col width="13" customWidth="1" style="123" min="15860" max="15863"/>
    <col width="17.453125" customWidth="1" style="123" min="15864" max="15864"/>
    <col width="9.1796875" customWidth="1" style="123" min="15865" max="16112"/>
    <col width="10.81640625" customWidth="1" style="123" min="16113" max="16113"/>
    <col width="18.1796875" customWidth="1" style="123" min="16114" max="16114"/>
    <col width="15" customWidth="1" style="123" min="16115" max="16115"/>
    <col width="13" customWidth="1" style="123" min="16116" max="16119"/>
    <col width="17.453125" customWidth="1" style="123" min="16120" max="16120"/>
    <col width="9.1796875" customWidth="1" style="123" min="16121" max="16384"/>
  </cols>
  <sheetData>
    <row r="1">
      <c r="A1" s="85" t="inlineStr">
        <is>
          <t>AMTUNO</t>
        </is>
      </c>
      <c r="B1" s="124">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row r="373">
      <c r="A373" s="74" t="n">
        <v>44805</v>
      </c>
      <c r="B373" s="75">
        <f>VLOOKUP(A373,Database!A:M,MATCH($A$1,Database!$A$1:$M$1,),)</f>
        <v/>
      </c>
      <c r="C373" s="113">
        <f>(Table535141516[[#This Row],[Durable Goods]]-B372)/B372</f>
        <v/>
      </c>
    </row>
    <row r="374">
      <c r="A374" s="74" t="n">
        <v>44835</v>
      </c>
      <c r="B374" s="75">
        <f>VLOOKUP(A374,Database!A:M,MATCH($A$1,Database!$A$1:$M$1,),)</f>
        <v/>
      </c>
      <c r="C374" s="113">
        <f>(Table535141516[[#This Row],[Durable Goods]]-B373)/B373</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2022-12-03T13:03:05Z</dcterms:modified>
  <cp:lastModifiedBy>Mark Mukherjee</cp:lastModifiedBy>
</cp:coreProperties>
</file>