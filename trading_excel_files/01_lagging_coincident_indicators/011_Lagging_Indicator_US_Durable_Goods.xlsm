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450" yWindow="-14400" windowWidth="24190" windowHeight="1376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Orders'!$B$6:$B$378</f>
              <numCache>
                <formatCode>#,##0</formatCode>
                <ptCount val="373"/>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271403</v>
                </pt>
                <pt idx="370">
                  <v>285249</v>
                </pt>
                <pt idx="371">
                  <v>272402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Orders'!$C$6:$C$378</f>
              <numCache>
                <formatCode>0.0%</formatCode>
                <ptCount val="373"/>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0.007168393470821687</v>
                </pt>
                <pt idx="369">
                  <v>-0.01795807009545313</v>
                </pt>
                <pt idx="370">
                  <v>0.05101638522787147</v>
                </pt>
                <pt idx="371">
                  <v>-0.04503784412916435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Orders'!$A$251:$A$382</f>
              <numCache>
                <formatCode>m/d/yyyy</formatCode>
                <ptCount val="13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'New Orders'!$C$251:$C$382</f>
              <numCache>
                <formatCode>0.0%</formatCode>
                <ptCount val="132"/>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0.007168393470821687</v>
                </pt>
                <pt idx="124">
                  <v>-0.01795807009545313</v>
                </pt>
                <pt idx="125">
                  <v>0.05101638522787147</v>
                </pt>
                <pt idx="126">
                  <v>-0.04503784412916435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Orders'!$B$6:$B$378</f>
              <numCache>
                <formatCode>#,##0</formatCode>
                <ptCount val="373"/>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271403</v>
                </pt>
                <pt idx="370">
                  <v>285249</v>
                </pt>
                <pt idx="371">
                  <v>272402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 ex Aircraft'!$B$6:$B$378</f>
              <numCache>
                <formatCode>#,##0</formatCode>
                <ptCount val="373"/>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75055</v>
                </pt>
                <pt idx="369">
                  <v>74921</v>
                </pt>
                <pt idx="370">
                  <v>74768</v>
                </pt>
                <pt idx="371">
                  <v>75376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pt idx="167">
                  <v>44896</v>
                </pt>
                <pt idx="168">
                  <v>44927</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75055</v>
                </pt>
                <pt idx="166">
                  <v>74921</v>
                </pt>
                <pt idx="167">
                  <v>74768</v>
                </pt>
                <pt idx="168">
                  <v>75376</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 ex Aircraft'!$C$6:$C$378</f>
              <numCache>
                <formatCode>0.0%</formatCode>
                <ptCount val="373"/>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0.00315427899330384</v>
                </pt>
                <pt idx="369">
                  <v>-0.001785357404569982</v>
                </pt>
                <pt idx="370">
                  <v>-0.002042151065789298</v>
                </pt>
                <pt idx="371">
                  <v>0.008131821099935802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0.00315427899330384</v>
                </pt>
                <pt idx="124">
                  <v>-0.001785357404569982</v>
                </pt>
                <pt idx="125">
                  <v>-0.002042151065789298</v>
                </pt>
                <pt idx="126">
                  <v>0.008131821099935802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 ex Transport'!$B$6:$B$378</f>
              <numCache>
                <formatCode>#,##0</formatCode>
                <ptCount val="373"/>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178974</v>
                </pt>
                <pt idx="370">
                  <v>178205</v>
                </pt>
                <pt idx="371">
                  <v>179566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 ex Transport'!$C$6:$C$378</f>
              <numCache>
                <formatCode>0.0%</formatCode>
                <ptCount val="373"/>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0.001068692893472021</v>
                </pt>
                <pt idx="369">
                  <v>0.0003353566517991884</v>
                </pt>
                <pt idx="370">
                  <v>-0.00429671348911015</v>
                </pt>
                <pt idx="371">
                  <v>0.007637271681490418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0.001068692893472021</v>
                </pt>
                <pt idx="124">
                  <v>0.0003353566517991884</v>
                </pt>
                <pt idx="125">
                  <v>-0.00429671348911015</v>
                </pt>
                <pt idx="126">
                  <v>0.007637271681490418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'New Orders ex Transport'!$B$6:$B$378</f>
              <numCache>
                <formatCode>#,##0</formatCode>
                <ptCount val="373"/>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178974</v>
                </pt>
                <pt idx="370">
                  <v>178205</v>
                </pt>
                <pt idx="371">
                  <v>179566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190510</v>
                </pt>
                <pt idx="370">
                  <v>203876</v>
                </pt>
                <pt idx="371">
                  <v>190966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0.01025275678354603</v>
                </pt>
                <pt idx="369">
                  <v>-0.02647043793755429</v>
                </pt>
                <pt idx="370">
                  <v>0.07015904676919847</v>
                </pt>
                <pt idx="371">
                  <v>-0.0633228040573682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0.01025275678354603</v>
                </pt>
                <pt idx="124">
                  <v>-0.02647043793755429</v>
                </pt>
                <pt idx="125">
                  <v>0.07015904676919847</v>
                </pt>
                <pt idx="126">
                  <v>-0.0633228040573682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pt idx="371">
                  <v>44927</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190510</v>
                </pt>
                <pt idx="370">
                  <v>203876</v>
                </pt>
                <pt idx="371">
                  <v>190966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7" headerRowCount="1" totalsRowShown="0" headerRowDxfId="23" dataDxfId="21" headerRowBorderDxfId="22">
  <autoFilter ref="A5:C377"/>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7" headerRowCount="1" totalsRowShown="0" headerRowDxfId="17" dataDxfId="15" headerRowBorderDxfId="16">
  <autoFilter ref="A5:C377"/>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7" headerRowCount="1" totalsRowShown="0" headerRowDxfId="11" dataDxfId="9" headerRowBorderDxfId="10">
  <autoFilter ref="A5:C377"/>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7" headerRowCount="1" totalsRowShown="0" headerRowDxfId="5" dataDxfId="3" headerRowBorderDxfId="4">
  <autoFilter ref="A5:C377"/>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K9" zoomScale="120" zoomScaleNormal="120" workbookViewId="0">
      <selection activeCell="Q21" sqref="Q21"/>
    </sheetView>
  </sheetViews>
  <sheetFormatPr baseColWidth="8" defaultColWidth="9.1796875" defaultRowHeight="14.5"/>
  <cols>
    <col width="9.1796875" customWidth="1" style="128" min="1" max="1"/>
    <col width="12.81640625" customWidth="1" style="128" min="2" max="10"/>
    <col width="3.453125" customWidth="1" style="128" min="11" max="13"/>
    <col width="21.36328125" customWidth="1" style="128" min="14" max="14"/>
    <col width="15.6328125" customWidth="1" style="128" min="15" max="15"/>
    <col width="10.6328125" bestFit="1" customWidth="1" style="128" min="16" max="17"/>
    <col width="9.1796875" customWidth="1" style="128" min="18" max="18"/>
    <col width="11.453125" customWidth="1" style="128" min="19" max="19"/>
    <col width="9.1796875" customWidth="1" style="128" min="20" max="37"/>
    <col width="9.1796875" customWidth="1" style="128" min="38" max="16384"/>
  </cols>
  <sheetData>
    <row r="1">
      <c r="B1" s="131" t="n"/>
    </row>
    <row r="2" ht="16" customHeight="1" s="141" thickBot="1">
      <c r="B2" s="132" t="n"/>
      <c r="C2" s="132" t="n"/>
      <c r="D2" s="132" t="n"/>
      <c r="E2" s="132" t="n"/>
      <c r="F2" s="132" t="n"/>
      <c r="G2" s="132" t="n"/>
      <c r="H2" s="132" t="n"/>
      <c r="I2" s="132" t="n"/>
      <c r="J2" s="132" t="n"/>
    </row>
    <row r="3" ht="16" customHeight="1" s="141" thickBot="1">
      <c r="B3" s="133" t="inlineStr">
        <is>
          <t>Durable Good Orders</t>
        </is>
      </c>
      <c r="C3" s="134" t="n"/>
      <c r="D3" s="134" t="n"/>
      <c r="E3" s="134" t="n"/>
      <c r="F3" s="134" t="n"/>
      <c r="G3" s="134" t="n"/>
      <c r="H3" s="134" t="n"/>
      <c r="I3" s="134" t="n"/>
      <c r="J3" s="135" t="n"/>
    </row>
    <row r="5">
      <c r="B5" s="136" t="inlineStr">
        <is>
          <t>Definition</t>
        </is>
      </c>
      <c r="C5" s="137" t="n"/>
      <c r="D5" s="137" t="n"/>
      <c r="E5" s="137" t="n"/>
      <c r="F5" s="137" t="n"/>
      <c r="G5" s="137" t="n"/>
      <c r="H5" s="137" t="n"/>
      <c r="I5" s="137" t="n"/>
      <c r="J5" s="124" t="n"/>
    </row>
    <row r="7" ht="129" customHeight="1" s="141">
      <c r="B7" s="138"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7" t="inlineStr">
        <is>
          <t>https://www.census.gov/manufacturing/m3/definitions/index.html</t>
        </is>
      </c>
    </row>
    <row r="9">
      <c r="B9" s="61" t="n"/>
      <c r="C9" s="61" t="n"/>
      <c r="D9" s="61" t="n"/>
      <c r="E9" s="61" t="n"/>
    </row>
    <row r="10">
      <c r="B10" s="136" t="inlineStr">
        <is>
          <t>Process / TO DO LIST</t>
        </is>
      </c>
      <c r="C10" s="137" t="n"/>
      <c r="D10" s="137" t="n"/>
      <c r="E10" s="137" t="n"/>
      <c r="F10" s="137" t="n"/>
      <c r="G10" s="137" t="n"/>
      <c r="H10" s="137" t="n"/>
      <c r="I10" s="137" t="n"/>
      <c r="J10" s="124" t="n"/>
      <c r="N10" s="136" t="inlineStr">
        <is>
          <t>Summary</t>
        </is>
      </c>
      <c r="O10" s="137" t="n"/>
      <c r="P10" s="137" t="n"/>
      <c r="Q10" s="137" t="n"/>
      <c r="R10" s="137" t="n"/>
      <c r="S10" s="124" t="n"/>
    </row>
    <row r="12">
      <c r="B12" s="136" t="inlineStr">
        <is>
          <t>TO DO LIST</t>
        </is>
      </c>
      <c r="C12" s="137" t="n"/>
      <c r="D12" s="137" t="n"/>
      <c r="E12" s="137" t="n"/>
      <c r="F12" s="124" t="n"/>
      <c r="G12" s="136" t="inlineStr">
        <is>
          <t>Comments</t>
        </is>
      </c>
      <c r="H12" s="137" t="n"/>
      <c r="I12" s="137" t="n"/>
      <c r="J12" s="124" t="n"/>
    </row>
    <row r="13" ht="16" customHeight="1" s="141" thickBot="1"/>
    <row r="14" ht="19.5" customHeight="1" s="141">
      <c r="B14" s="127" t="n"/>
      <c r="G14" s="128" t="n"/>
      <c r="P14" s="62" t="n">
        <v>44927</v>
      </c>
      <c r="Q14" s="83">
        <f>DATE(YEAR(P14),MONTH(P14)-1,DAY(P14))</f>
        <v/>
      </c>
      <c r="R14" s="63" t="n"/>
    </row>
    <row r="15" ht="18" customHeight="1" s="141" thickBot="1">
      <c r="B15" s="127" t="inlineStr">
        <is>
          <t>https://fred.stlouisfed.org/series/DGORDER</t>
        </is>
      </c>
      <c r="G15" s="139" t="inlineStr">
        <is>
          <t>Durable Goods New Orders</t>
        </is>
      </c>
      <c r="P15" s="76" t="inlineStr">
        <is>
          <t>Last</t>
        </is>
      </c>
      <c r="Q15" s="64" t="inlineStr">
        <is>
          <t>Last</t>
        </is>
      </c>
      <c r="R15" s="65" t="inlineStr">
        <is>
          <t>Var.</t>
        </is>
      </c>
    </row>
    <row r="16" ht="18" customHeight="1" s="141">
      <c r="B16" s="127" t="inlineStr">
        <is>
          <t>https://fred.stlouisfed.org/series/ADXTNO</t>
        </is>
      </c>
      <c r="G16" s="139" t="inlineStr">
        <is>
          <t>New Orders ex Transport</t>
        </is>
      </c>
      <c r="N16" s="125" t="inlineStr">
        <is>
          <t>Durable Goods New Orders</t>
        </is>
      </c>
      <c r="O16" s="126" t="n"/>
      <c r="P16" s="77">
        <f>VLOOKUP($P$14,Database!$A:$M,MATCH(Note!S16,Database!$A$1:$M$1,),)</f>
        <v/>
      </c>
      <c r="Q16" s="77">
        <f>VLOOKUP($Q$14,Database!$A:$M,MATCH(Note!S16,Database!$A$1:$M$1,),)</f>
        <v/>
      </c>
      <c r="R16" s="97">
        <f>(P16-Q16)/Q16</f>
        <v/>
      </c>
      <c r="S16" s="78" t="inlineStr">
        <is>
          <t>DGORDER</t>
        </is>
      </c>
      <c r="U16" s="78" t="inlineStr">
        <is>
          <t>DGORDER</t>
        </is>
      </c>
      <c r="V16" s="128" t="inlineStr">
        <is>
          <t>Durable Goods New Orders</t>
        </is>
      </c>
    </row>
    <row r="17" ht="18" customHeight="1" s="141">
      <c r="B17" s="127" t="inlineStr">
        <is>
          <t>https://fred.stlouisfed.org/series/NEWORDER</t>
        </is>
      </c>
      <c r="G17" s="129" t="inlineStr">
        <is>
          <t>New Orders Nondefense Ex Aircraft &amp; Parts= Core</t>
        </is>
      </c>
      <c r="N17" s="123" t="inlineStr">
        <is>
          <t>New Orders ex Transport</t>
        </is>
      </c>
      <c r="O17" s="124" t="n"/>
      <c r="P17" s="94">
        <f>VLOOKUP($P$14,Database!$A:$M,MATCH(Note!S17,Database!$A$1:$M$1,),)</f>
        <v/>
      </c>
      <c r="Q17" s="94">
        <f>VLOOKUP($Q$14,Database!$A:$M,MATCH(Note!S17,Database!$A$1:$M$1,),)</f>
        <v/>
      </c>
      <c r="R17" s="98">
        <f>(P17-Q17)/Q17</f>
        <v/>
      </c>
      <c r="S17" s="79" t="inlineStr">
        <is>
          <t>ADXTNO</t>
        </is>
      </c>
      <c r="U17" s="79" t="inlineStr">
        <is>
          <t>ADXTNO</t>
        </is>
      </c>
      <c r="V17" s="128" t="inlineStr">
        <is>
          <t>New Orders ex Transport</t>
        </is>
      </c>
    </row>
    <row r="18" ht="33.75" customHeight="1" s="141">
      <c r="B18" s="127" t="inlineStr">
        <is>
          <t>https://fred.stlouisfed.org/series/AMTUNO</t>
        </is>
      </c>
      <c r="G18" s="129" t="inlineStr">
        <is>
          <t>New Orders - Manufacturing</t>
        </is>
      </c>
      <c r="N18" s="130" t="inlineStr">
        <is>
          <t>New Orders Nondefense Ex Aircraft &amp; Parts = Core</t>
        </is>
      </c>
      <c r="O18" s="124" t="n"/>
      <c r="P18" s="94">
        <f>VLOOKUP($P$14,Database!$A:$M,MATCH(Note!S18,Database!$A$1:$M$1,),)</f>
        <v/>
      </c>
      <c r="Q18" s="94">
        <f>VLOOKUP($Q$14,Database!$A:$M,MATCH(Note!S18,Database!$A$1:$M$1,),)</f>
        <v/>
      </c>
      <c r="R18" s="98">
        <f>(P18-Q18)/Q18</f>
        <v/>
      </c>
      <c r="S18" s="80" t="inlineStr">
        <is>
          <t>NEWORDER</t>
        </is>
      </c>
      <c r="U18" s="80" t="inlineStr">
        <is>
          <t>NEWORDER</t>
        </is>
      </c>
      <c r="V18" s="128" t="inlineStr">
        <is>
          <t>New Orders Nondefense Ex Aircraft &amp; Parts = Core</t>
        </is>
      </c>
    </row>
    <row r="19" ht="18" customHeight="1" s="141">
      <c r="B19" s="127" t="inlineStr">
        <is>
          <t>https://fred.stlouisfed.org/series/A36SNO</t>
        </is>
      </c>
      <c r="G19" s="129" t="inlineStr">
        <is>
          <t>New Orders - Transportation Equipment</t>
        </is>
      </c>
      <c r="N19" s="123" t="inlineStr">
        <is>
          <t>New Orders - Manufacturing</t>
        </is>
      </c>
      <c r="O19" s="124" t="n"/>
      <c r="P19" s="94">
        <f>VLOOKUP($P$14,Database!$A:$M,MATCH(Note!S19,Database!$A$1:$M$1,),)</f>
        <v/>
      </c>
      <c r="Q19" s="94">
        <f>VLOOKUP($Q$14,Database!$A:$M,MATCH(Note!S19,Database!$A$1:$M$1,),)</f>
        <v/>
      </c>
      <c r="R19" s="98">
        <f>(P19-Q19)/Q19</f>
        <v/>
      </c>
      <c r="S19" s="79" t="inlineStr">
        <is>
          <t>AMTUNO</t>
        </is>
      </c>
      <c r="U19" s="79" t="inlineStr">
        <is>
          <t>AMTUNO</t>
        </is>
      </c>
      <c r="V19" s="128" t="inlineStr">
        <is>
          <t>New Orders - Manufacturing</t>
        </is>
      </c>
    </row>
    <row r="20" ht="18" customHeight="1" s="141">
      <c r="B20" s="127" t="inlineStr">
        <is>
          <t>https://fred.stlouisfed.org/series/A32SNO</t>
        </is>
      </c>
      <c r="G20" s="129" t="inlineStr">
        <is>
          <t>New Orders - Fabricated Metal Products</t>
        </is>
      </c>
      <c r="N20" s="123" t="inlineStr">
        <is>
          <t>New Orders - Transportation Equipment</t>
        </is>
      </c>
      <c r="O20" s="124" t="n"/>
      <c r="P20" s="94">
        <f>VLOOKUP($P$14,Database!$A:$M,MATCH(Note!S20,Database!$A$1:$M$1,),)</f>
        <v/>
      </c>
      <c r="Q20" s="94">
        <f>VLOOKUP($Q$14,Database!$A:$M,MATCH(Note!S20,Database!$A$1:$M$1,),)</f>
        <v/>
      </c>
      <c r="R20" s="98">
        <f>(P20-Q20)/Q20</f>
        <v/>
      </c>
      <c r="S20" s="80" t="inlineStr">
        <is>
          <t>A36SNO</t>
        </is>
      </c>
      <c r="U20" s="80" t="inlineStr">
        <is>
          <t>A36SNO</t>
        </is>
      </c>
      <c r="V20" s="128" t="inlineStr">
        <is>
          <t>New Orders - Transportation Equipment</t>
        </is>
      </c>
    </row>
    <row r="21" ht="18" customHeight="1" s="141">
      <c r="B21" s="127" t="inlineStr">
        <is>
          <t>https://fred.stlouisfed.org/series/A33SNO</t>
        </is>
      </c>
      <c r="G21" s="129" t="inlineStr">
        <is>
          <t>New Orders - Machinery</t>
        </is>
      </c>
      <c r="N21" s="123" t="inlineStr">
        <is>
          <t>New Orders - Fabricated Metal Products</t>
        </is>
      </c>
      <c r="O21" s="124" t="n"/>
      <c r="P21" s="94">
        <f>VLOOKUP($P$14,Database!$A:$M,MATCH(Note!S21,Database!$A$1:$M$1,),)</f>
        <v/>
      </c>
      <c r="Q21" s="94">
        <f>VLOOKUP($Q$14,Database!$A:$M,MATCH(Note!S21,Database!$A$1:$M$1,),)</f>
        <v/>
      </c>
      <c r="R21" s="98">
        <f>(P21-Q21)/Q21</f>
        <v/>
      </c>
      <c r="S21" s="80" t="inlineStr">
        <is>
          <t>A32SNO</t>
        </is>
      </c>
      <c r="U21" s="80" t="inlineStr">
        <is>
          <t>A32SNO</t>
        </is>
      </c>
      <c r="V21" s="128" t="inlineStr">
        <is>
          <t>New Orders - Fabricated Metal Products</t>
        </is>
      </c>
    </row>
    <row r="22" ht="18" customHeight="1" s="141">
      <c r="B22" s="127" t="inlineStr">
        <is>
          <t>https://fred.stlouisfed.org/series/A34SNO</t>
        </is>
      </c>
      <c r="G22" s="129" t="inlineStr">
        <is>
          <t>New Orders - Computers</t>
        </is>
      </c>
      <c r="N22" s="123" t="inlineStr">
        <is>
          <t>New Orders - Machinery</t>
        </is>
      </c>
      <c r="O22" s="124" t="n"/>
      <c r="P22" s="94">
        <f>VLOOKUP($P$14,Database!$A:$M,MATCH(Note!S22,Database!$A$1:$M$1,),)</f>
        <v/>
      </c>
      <c r="Q22" s="94">
        <f>VLOOKUP($Q$14,Database!$A:$M,MATCH(Note!S22,Database!$A$1:$M$1,),)</f>
        <v/>
      </c>
      <c r="R22" s="98">
        <f>(P22-Q22)/Q22</f>
        <v/>
      </c>
      <c r="S22" s="80" t="inlineStr">
        <is>
          <t>A33SNO</t>
        </is>
      </c>
      <c r="U22" s="80" t="inlineStr">
        <is>
          <t>A33SNO</t>
        </is>
      </c>
      <c r="V22" s="128" t="inlineStr">
        <is>
          <t>New Orders - Machinery</t>
        </is>
      </c>
    </row>
    <row r="23" ht="18" customHeight="1" s="141">
      <c r="B23" s="127" t="inlineStr">
        <is>
          <t>https://fred.stlouisfed.org/series/A31SNO</t>
        </is>
      </c>
      <c r="G23" s="129" t="inlineStr">
        <is>
          <t>New Orders - Primary Metals</t>
        </is>
      </c>
      <c r="N23" s="123" t="inlineStr">
        <is>
          <t>New Orders - Computers</t>
        </is>
      </c>
      <c r="O23" s="124" t="n"/>
      <c r="P23" s="94">
        <f>VLOOKUP($P$14,Database!$A:$M,MATCH(Note!S23,Database!$A$1:$M$1,),)</f>
        <v/>
      </c>
      <c r="Q23" s="94">
        <f>VLOOKUP($Q$14,Database!$A:$M,MATCH(Note!S23,Database!$A$1:$M$1,),)</f>
        <v/>
      </c>
      <c r="R23" s="98">
        <f>(P23-Q23)/Q23</f>
        <v/>
      </c>
      <c r="S23" s="80" t="inlineStr">
        <is>
          <t>A34SNO</t>
        </is>
      </c>
      <c r="U23" s="80" t="inlineStr">
        <is>
          <t>A34SNO</t>
        </is>
      </c>
      <c r="V23" s="128" t="inlineStr">
        <is>
          <t>New Orders - Computers</t>
        </is>
      </c>
    </row>
    <row r="24" ht="18" customHeight="1" s="141">
      <c r="B24" s="127" t="inlineStr">
        <is>
          <t>https://fred.stlouisfed.org/series/A35SNO</t>
        </is>
      </c>
      <c r="G24" s="129" t="inlineStr">
        <is>
          <t>New Orders - Electrical Equipment</t>
        </is>
      </c>
      <c r="N24" s="123" t="inlineStr">
        <is>
          <t>New Orders - Primary Metals</t>
        </is>
      </c>
      <c r="O24" s="124" t="n"/>
      <c r="P24" s="94">
        <f>VLOOKUP($P$14,Database!$A:$M,MATCH(Note!S24,Database!$A$1:$M$1,),)</f>
        <v/>
      </c>
      <c r="Q24" s="94">
        <f>VLOOKUP($Q$14,Database!$A:$M,MATCH(Note!S24,Database!$A$1:$M$1,),)</f>
        <v/>
      </c>
      <c r="R24" s="98">
        <f>(P24-Q24)/Q24</f>
        <v/>
      </c>
      <c r="S24" s="80" t="inlineStr">
        <is>
          <t>A31SNO</t>
        </is>
      </c>
      <c r="U24" s="80" t="inlineStr">
        <is>
          <t>A31SNO</t>
        </is>
      </c>
      <c r="V24" s="128" t="inlineStr">
        <is>
          <t>New Orders - Primary Metals</t>
        </is>
      </c>
    </row>
    <row r="25" ht="16" customHeight="1" s="141" thickBot="1">
      <c r="N25" s="121" t="inlineStr">
        <is>
          <t>New Orders - Electrical Equipment</t>
        </is>
      </c>
      <c r="O25" s="122" t="n"/>
      <c r="P25" s="81">
        <f>VLOOKUP($P$14,Database!$A:$M,MATCH(Note!S25,Database!$A$1:$M$1,),)</f>
        <v/>
      </c>
      <c r="Q25" s="81">
        <f>VLOOKUP($Q$14,Database!$A:$M,MATCH(Note!S25,Database!$A$1:$M$1,),)</f>
        <v/>
      </c>
      <c r="R25" s="99">
        <f>(P25-Q25)/Q25</f>
        <v/>
      </c>
      <c r="S25" s="82" t="inlineStr">
        <is>
          <t>A35SNO</t>
        </is>
      </c>
      <c r="U25" s="82" t="inlineStr">
        <is>
          <t>A35SNO</t>
        </is>
      </c>
      <c r="V25" s="128" t="inlineStr">
        <is>
          <t>New Orders - Electrical Equipment</t>
        </is>
      </c>
    </row>
    <row r="26">
      <c r="B26" s="66" t="n"/>
      <c r="G26" s="139"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82"/>
  <sheetViews>
    <sheetView zoomScale="120" zoomScaleNormal="120" workbookViewId="0">
      <pane ySplit="1" topLeftCell="A771" activePane="bottomLeft" state="frozen"/>
      <selection activeCell="Q21" sqref="Q21"/>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8"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8"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8"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8"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8" t="n">
        <v>44835</v>
      </c>
      <c r="B778" t="n">
        <v>20125</v>
      </c>
      <c r="C778" t="n">
        <v>36382</v>
      </c>
      <c r="D778" t="n">
        <v>39199</v>
      </c>
      <c r="E778" t="n">
        <v>24188</v>
      </c>
      <c r="F778" t="n">
        <v>13678</v>
      </c>
      <c r="G778" t="n">
        <v>97452</v>
      </c>
      <c r="H778" t="n">
        <v/>
      </c>
      <c r="I778" t="n">
        <v>178914</v>
      </c>
      <c r="J778" t="n">
        <v>195690</v>
      </c>
      <c r="K778" t="n">
        <v/>
      </c>
      <c r="L778" t="n">
        <v>276366</v>
      </c>
      <c r="M778" t="n">
        <v>75055</v>
      </c>
    </row>
    <row r="779">
      <c r="A779" s="148" t="n">
        <v>44866</v>
      </c>
      <c r="B779" t="n">
        <v>20059</v>
      </c>
      <c r="C779" t="n">
        <v>36319</v>
      </c>
      <c r="D779" t="n">
        <v>38978</v>
      </c>
      <c r="E779" t="n">
        <v>24315</v>
      </c>
      <c r="F779" t="n">
        <v>13809</v>
      </c>
      <c r="G779" t="n">
        <v>92429</v>
      </c>
      <c r="H779" t="n">
        <v/>
      </c>
      <c r="I779" t="n">
        <v>178974</v>
      </c>
      <c r="J779" t="n">
        <v>190510</v>
      </c>
      <c r="K779" t="n">
        <v/>
      </c>
      <c r="L779" t="n">
        <v>271403</v>
      </c>
      <c r="M779" t="n">
        <v>74921</v>
      </c>
    </row>
    <row r="780">
      <c r="A780" s="148" t="n">
        <v>44896</v>
      </c>
      <c r="B780" t="n">
        <v>19943</v>
      </c>
      <c r="C780" t="n">
        <v>36157</v>
      </c>
      <c r="D780" t="n">
        <v>38163</v>
      </c>
      <c r="E780" t="n">
        <v>24141</v>
      </c>
      <c r="F780" t="n">
        <v>13920</v>
      </c>
      <c r="G780" t="n">
        <v>107044</v>
      </c>
      <c r="H780" t="n">
        <v/>
      </c>
      <c r="I780" t="n">
        <v>178205</v>
      </c>
      <c r="J780" t="n">
        <v>203876</v>
      </c>
      <c r="K780" t="n">
        <v/>
      </c>
      <c r="L780" t="n">
        <v>285249</v>
      </c>
      <c r="M780" t="n">
        <v>74768</v>
      </c>
    </row>
    <row r="781">
      <c r="A781" s="148" t="n">
        <v>44927</v>
      </c>
      <c r="B781" t="n">
        <v>20150</v>
      </c>
      <c r="C781" t="n">
        <v>36039</v>
      </c>
      <c r="D781" t="n">
        <v>38436</v>
      </c>
      <c r="E781" t="n">
        <v>24192</v>
      </c>
      <c r="F781" t="n">
        <v>14210</v>
      </c>
      <c r="G781" t="n">
        <v>92009</v>
      </c>
      <c r="H781" t="n">
        <v/>
      </c>
      <c r="I781" t="n">
        <v>178954</v>
      </c>
      <c r="J781" t="n">
        <v>189921</v>
      </c>
      <c r="K781" t="n">
        <v/>
      </c>
      <c r="L781" t="n">
        <v>270963</v>
      </c>
      <c r="M781" t="n">
        <v>75027</v>
      </c>
    </row>
    <row r="782">
      <c r="A782" s="148" t="n">
        <v>44958</v>
      </c>
      <c r="B782" t="n">
        <v>20220</v>
      </c>
      <c r="C782" t="n">
        <v>36168</v>
      </c>
      <c r="D782" t="n">
        <v>38261</v>
      </c>
      <c r="E782" t="n">
        <v>24174</v>
      </c>
      <c r="F782" t="n">
        <v>14347</v>
      </c>
      <c r="G782" t="n">
        <v>89430</v>
      </c>
      <c r="H782" t="n">
        <v/>
      </c>
      <c r="I782" t="n">
        <v>178957</v>
      </c>
      <c r="J782" t="n">
        <v>188385</v>
      </c>
      <c r="K782" t="n">
        <v/>
      </c>
      <c r="L782" t="n">
        <v>268387</v>
      </c>
      <c r="M782" t="n">
        <v>75162</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91"/>
  <sheetViews>
    <sheetView zoomScale="90" zoomScaleNormal="90" workbookViewId="0">
      <pane xSplit="2" ySplit="6" topLeftCell="C68" activePane="bottomRight" state="frozen"/>
      <selection activeCell="Q21" sqref="Q21"/>
      <selection pane="topRight" activeCell="Q21" sqref="Q21"/>
      <selection pane="bottomLeft" activeCell="Q21" sqref="Q21"/>
      <selection pane="bottomRight" activeCell="Y92" sqref="Y92"/>
    </sheetView>
  </sheetViews>
  <sheetFormatPr baseColWidth="8" defaultColWidth="9.1796875" defaultRowHeight="14.5"/>
  <cols>
    <col width="9.1796875" customWidth="1" style="128" min="1" max="1"/>
    <col width="10.6328125" bestFit="1" customWidth="1" style="128" min="2" max="2"/>
    <col width="9.1796875" customWidth="1" style="128" min="3" max="20"/>
    <col width="9.1796875" customWidth="1" style="128" min="21"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row r="90">
      <c r="B90" s="93" t="n">
        <v>44896</v>
      </c>
      <c r="C90" s="94">
        <f>VLOOKUP(B90,Database!$A:$M,MATCH(Recap!$C$5,Database!$A$1:$M$1,),)</f>
        <v/>
      </c>
      <c r="D90" s="96">
        <f>(C90-C89)/C89</f>
        <v/>
      </c>
      <c r="E90" s="94">
        <f>VLOOKUP(B90,Database!$A:$M,MATCH(Recap!$E$5,Database!$A$1:$M$1,),)</f>
        <v/>
      </c>
      <c r="F90" s="96">
        <f>(E90-E89)/E89</f>
        <v/>
      </c>
      <c r="G90" s="94">
        <f>VLOOKUP(B90,Database!$A:$M,MATCH(Recap!$G$5,Database!$A$1:$M$1,),)</f>
        <v/>
      </c>
      <c r="H90" s="96">
        <f>(G90-G89)/G89</f>
        <v/>
      </c>
      <c r="I90" s="94">
        <f>VLOOKUP(B90,Database!$A:$M,MATCH(Recap!$I$5,Database!$A$1:$M$1,),)</f>
        <v/>
      </c>
      <c r="J90" s="96">
        <f>(I90-I89)/I89</f>
        <v/>
      </c>
      <c r="K90" s="94">
        <f>VLOOKUP(B90,Database!$A:$M,MATCH(Recap!$K$5,Database!$A$1:$M$1,),)</f>
        <v/>
      </c>
      <c r="L90" s="96">
        <f>(K90-K89)/K89</f>
        <v/>
      </c>
      <c r="M90" s="94">
        <f>VLOOKUP(B90,Database!$A:$M,MATCH(Recap!$M$5,Database!$A$1:$M$1,),)</f>
        <v/>
      </c>
      <c r="N90" s="96">
        <f>(M90-M89)/M89</f>
        <v/>
      </c>
      <c r="O90" s="94">
        <f>VLOOKUP(B90,Database!$A:$M,MATCH(Recap!$O$5,Database!$A$1:$M$1,),)</f>
        <v/>
      </c>
      <c r="P90" s="96">
        <f>(O90-O89)/O89</f>
        <v/>
      </c>
      <c r="Q90" s="94">
        <f>VLOOKUP(B90,Database!$A:$M,MATCH(Recap!$Q$5,Database!$A$1:$M$1,),)</f>
        <v/>
      </c>
      <c r="R90" s="96">
        <f>(Q90-Q89)/Q89</f>
        <v/>
      </c>
      <c r="S90" s="94">
        <f>VLOOKUP(B90,Database!$A:$M,MATCH(Recap!$S$5,Database!$A$1:$M$1,),)</f>
        <v/>
      </c>
      <c r="T90" s="96">
        <f>(S90-S89)/S89</f>
        <v/>
      </c>
      <c r="U90" s="94">
        <f>VLOOKUP(B90,Database!$A:$M,MATCH(Recap!$U$5,Database!$A$1:$M$1,),)</f>
        <v/>
      </c>
      <c r="V90" s="96">
        <f>(U90-U89)/U89</f>
        <v/>
      </c>
    </row>
    <row r="91">
      <c r="B91" s="93" t="n">
        <v>44927</v>
      </c>
      <c r="C91" s="94">
        <f>VLOOKUP(B91,Database!$A:$M,MATCH(Recap!$C$5,Database!$A$1:$M$1,),)</f>
        <v/>
      </c>
      <c r="D91" s="96">
        <f>(C91-C90)/C90</f>
        <v/>
      </c>
      <c r="E91" s="94">
        <f>VLOOKUP(B91,Database!$A:$M,MATCH(Recap!$E$5,Database!$A$1:$M$1,),)</f>
        <v/>
      </c>
      <c r="F91" s="96">
        <f>(E91-E90)/E90</f>
        <v/>
      </c>
      <c r="G91" s="94">
        <f>VLOOKUP(B91,Database!$A:$M,MATCH(Recap!$G$5,Database!$A$1:$M$1,),)</f>
        <v/>
      </c>
      <c r="H91" s="96">
        <f>(G91-G90)/G90</f>
        <v/>
      </c>
      <c r="I91" s="94">
        <f>VLOOKUP(B91,Database!$A:$M,MATCH(Recap!$I$5,Database!$A$1:$M$1,),)</f>
        <v/>
      </c>
      <c r="J91" s="96">
        <f>(I91-I90)/I90</f>
        <v/>
      </c>
      <c r="K91" s="94">
        <f>VLOOKUP(B91,Database!$A:$M,MATCH(Recap!$K$5,Database!$A$1:$M$1,),)</f>
        <v/>
      </c>
      <c r="L91" s="96">
        <f>(K91-K90)/K90</f>
        <v/>
      </c>
      <c r="M91" s="94">
        <f>VLOOKUP(B91,Database!$A:$M,MATCH(Recap!$M$5,Database!$A$1:$M$1,),)</f>
        <v/>
      </c>
      <c r="N91" s="96">
        <f>(M91-M90)/M90</f>
        <v/>
      </c>
      <c r="O91" s="94">
        <f>VLOOKUP(B91,Database!$A:$M,MATCH(Recap!$O$5,Database!$A$1:$M$1,),)</f>
        <v/>
      </c>
      <c r="P91" s="96">
        <f>(O91-O90)/O90</f>
        <v/>
      </c>
      <c r="Q91" s="94">
        <f>VLOOKUP(B91,Database!$A:$M,MATCH(Recap!$Q$5,Database!$A$1:$M$1,),)</f>
        <v/>
      </c>
      <c r="R91" s="96">
        <f>(Q91-Q90)/Q90</f>
        <v/>
      </c>
      <c r="S91" s="94">
        <f>VLOOKUP(B91,Database!$A:$M,MATCH(Recap!$S$5,Database!$A$1:$M$1,),)</f>
        <v/>
      </c>
      <c r="T91" s="96">
        <f>(S91-S90)/S90</f>
        <v/>
      </c>
      <c r="U91" s="94">
        <f>VLOOKUP(B91,Database!$A:$M,MATCH(Recap!$U$5,Database!$A$1:$M$1,),)</f>
        <v/>
      </c>
      <c r="V91" s="96">
        <f>(U91-U90)/U90</f>
        <v/>
      </c>
    </row>
  </sheetData>
  <mergeCells count="10">
    <mergeCell ref="C4:D4"/>
    <mergeCell ref="E4:F4"/>
    <mergeCell ref="G4:H4"/>
    <mergeCell ref="I4:J4"/>
    <mergeCell ref="K4:L4"/>
    <mergeCell ref="M4:N4"/>
    <mergeCell ref="O4:P4"/>
    <mergeCell ref="Q4:R4"/>
    <mergeCell ref="S4:T4"/>
    <mergeCell ref="U4:V4"/>
  </mergeCells>
  <conditionalFormatting sqref="D8:D91">
    <cfRule type="colorScale" priority="11">
      <colorScale>
        <cfvo type="min"/>
        <cfvo type="percentile" val="50"/>
        <cfvo type="max"/>
        <color rgb="FFF8696B"/>
        <color rgb="FFFFEB84"/>
        <color rgb="FF63BE7B"/>
      </colorScale>
    </cfRule>
  </conditionalFormatting>
  <conditionalFormatting sqref="F8:F91">
    <cfRule type="colorScale" priority="12">
      <colorScale>
        <cfvo type="min"/>
        <cfvo type="percentile" val="50"/>
        <cfvo type="max"/>
        <color rgb="FFF8696B"/>
        <color rgb="FFFFEB84"/>
        <color rgb="FF63BE7B"/>
      </colorScale>
    </cfRule>
  </conditionalFormatting>
  <conditionalFormatting sqref="H8:H91">
    <cfRule type="colorScale" priority="13">
      <colorScale>
        <cfvo type="min"/>
        <cfvo type="percentile" val="50"/>
        <cfvo type="max"/>
        <color rgb="FFF8696B"/>
        <color rgb="FFFFEB84"/>
        <color rgb="FF63BE7B"/>
      </colorScale>
    </cfRule>
  </conditionalFormatting>
  <conditionalFormatting sqref="J8:J91">
    <cfRule type="colorScale" priority="14">
      <colorScale>
        <cfvo type="min"/>
        <cfvo type="percentile" val="50"/>
        <cfvo type="max"/>
        <color rgb="FFF8696B"/>
        <color rgb="FFFFEB84"/>
        <color rgb="FF63BE7B"/>
      </colorScale>
    </cfRule>
  </conditionalFormatting>
  <conditionalFormatting sqref="L8:L91">
    <cfRule type="colorScale" priority="15">
      <colorScale>
        <cfvo type="min"/>
        <cfvo type="percentile" val="50"/>
        <cfvo type="max"/>
        <color rgb="FFF8696B"/>
        <color rgb="FFFFEB84"/>
        <color rgb="FF63BE7B"/>
      </colorScale>
    </cfRule>
  </conditionalFormatting>
  <conditionalFormatting sqref="N8:N91">
    <cfRule type="colorScale" priority="16">
      <colorScale>
        <cfvo type="min"/>
        <cfvo type="percentile" val="50"/>
        <cfvo type="max"/>
        <color rgb="FFF8696B"/>
        <color rgb="FFFFEB84"/>
        <color rgb="FF63BE7B"/>
      </colorScale>
    </cfRule>
  </conditionalFormatting>
  <conditionalFormatting sqref="P8:P91">
    <cfRule type="colorScale" priority="17">
      <colorScale>
        <cfvo type="min"/>
        <cfvo type="percentile" val="50"/>
        <cfvo type="max"/>
        <color rgb="FFF8696B"/>
        <color rgb="FFFFEB84"/>
        <color rgb="FF63BE7B"/>
      </colorScale>
    </cfRule>
  </conditionalFormatting>
  <conditionalFormatting sqref="R8:R91">
    <cfRule type="colorScale" priority="18">
      <colorScale>
        <cfvo type="min"/>
        <cfvo type="percentile" val="50"/>
        <cfvo type="max"/>
        <color rgb="FFF8696B"/>
        <color rgb="FFFFEB84"/>
        <color rgb="FF63BE7B"/>
      </colorScale>
    </cfRule>
  </conditionalFormatting>
  <conditionalFormatting sqref="T8:T91">
    <cfRule type="colorScale" priority="19">
      <colorScale>
        <cfvo type="min"/>
        <cfvo type="percentile" val="50"/>
        <cfvo type="max"/>
        <color rgb="FFF8696B"/>
        <color rgb="FFFFEB84"/>
        <color rgb="FF63BE7B"/>
      </colorScale>
    </cfRule>
  </conditionalFormatting>
  <conditionalFormatting sqref="V8:V91">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7"/>
  <sheetViews>
    <sheetView zoomScale="80" zoomScaleNormal="80" workbookViewId="0">
      <pane ySplit="5" topLeftCell="A351" activePane="bottomLeft" state="frozen"/>
      <selection pane="bottomLeft" activeCell="A369" sqref="A369:C37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row r="376">
      <c r="A376" s="74" t="n">
        <v>44896</v>
      </c>
      <c r="B376" s="75">
        <f>VLOOKUP(A376,Database!A:M,MATCH($A$1,Database!$A$1:$M$1,),)</f>
        <v/>
      </c>
      <c r="C376" s="113">
        <f>(Table53514[[#This Row],[Manufacturers'' New Orders: Durable Goods]]-B375)/B375</f>
        <v/>
      </c>
    </row>
    <row r="377">
      <c r="A377" s="74" t="n">
        <v>44927</v>
      </c>
      <c r="B377" s="75">
        <f>VLOOKUP(A377,Database!A:M,MATCH($A$1,Database!$A$1:$M$1,),)</f>
        <v/>
      </c>
      <c r="C377" s="113">
        <f>(Table53514[[#This Row],[Manufacturers'' New Orders: Durable Goods]]-B376)/B376</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7"/>
  <sheetViews>
    <sheetView zoomScale="90" zoomScaleNormal="90" workbookViewId="0">
      <pane ySplit="5" topLeftCell="A354" activePane="bottomLeft" state="frozen"/>
      <selection activeCell="Q21" sqref="Q21"/>
      <selection pane="bottomLeft" activeCell="A371" sqref="A371:C37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row r="376">
      <c r="A376" s="74" t="n">
        <v>44896</v>
      </c>
      <c r="B376" s="75">
        <f>VLOOKUP(A376,Database!A:M,MATCH($A$1,Database!$A$1:$M$1,),)</f>
        <v/>
      </c>
      <c r="C376" s="113">
        <f>(Table535[[#This Row],[New Orders - Nondefense Capital Goods Excluding Aircraft]]-B375)/B375</f>
        <v/>
      </c>
    </row>
    <row r="377">
      <c r="A377" s="74" t="n">
        <v>44927</v>
      </c>
      <c r="B377" s="75">
        <f>VLOOKUP(A377,Database!A:M,MATCH($A$1,Database!$A$1:$M$1,),)</f>
        <v/>
      </c>
      <c r="C377" s="113">
        <f>(Table535[[#This Row],[New Orders - Nondefense Capital Goods Excluding Aircraft]]-B376)/B376</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7"/>
  <sheetViews>
    <sheetView zoomScale="80" zoomScaleNormal="80" workbookViewId="0">
      <pane ySplit="5" topLeftCell="A349" activePane="bottomLeft" state="frozen"/>
      <selection pane="bottomLeft" activeCell="A371" sqref="A371:C37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ADXTNO</t>
        </is>
      </c>
      <c r="B1" s="139"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row r="376">
      <c r="A376" s="74" t="n">
        <v>44896</v>
      </c>
      <c r="B376" s="75">
        <f>VLOOKUP(A376,Database!A:M,MATCH($A$1,Database!$A$1:$M$1,),)</f>
        <v/>
      </c>
      <c r="C376" s="113">
        <f>(Table5351415[[#This Row],[New Orders ex Transport]]-B375)/B375</f>
        <v/>
      </c>
    </row>
    <row r="377">
      <c r="A377" s="74" t="n">
        <v>44927</v>
      </c>
      <c r="B377" s="75">
        <f>VLOOKUP(A377,Database!A:M,MATCH($A$1,Database!$A$1:$M$1,),)</f>
        <v/>
      </c>
      <c r="C377" s="113">
        <f>(Table5351415[[#This Row],[New Orders ex Transport]]-B376)/B376</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7"/>
  <sheetViews>
    <sheetView zoomScale="90" zoomScaleNormal="90" workbookViewId="0">
      <pane ySplit="5" topLeftCell="A356" activePane="bottomLeft" state="frozen"/>
      <selection activeCell="Q21" sqref="Q21"/>
      <selection pane="bottomLeft" activeCell="A371" sqref="A371:C37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85" t="inlineStr">
        <is>
          <t>AMTUNO</t>
        </is>
      </c>
      <c r="B1" s="139">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row r="376">
      <c r="A376" s="74" t="n">
        <v>44896</v>
      </c>
      <c r="B376" s="75">
        <f>VLOOKUP(A376,Database!A:M,MATCH($A$1,Database!$A$1:$M$1,),)</f>
        <v/>
      </c>
      <c r="C376" s="113">
        <f>(Table535141516[[#This Row],[Durable Goods]]-B375)/B375</f>
        <v/>
      </c>
    </row>
    <row r="377">
      <c r="A377" s="74" t="n">
        <v>44927</v>
      </c>
      <c r="B377" s="75">
        <f>VLOOKUP(A377,Database!A:M,MATCH($A$1,Database!$A$1:$M$1,),)</f>
        <v/>
      </c>
      <c r="C377" s="113">
        <f>(Table535141516[[#This Row],[Durable Goods]]-B376)/B376</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2023-03-16T08:13:25Z</dcterms:modified>
  <cp:lastModifiedBy>Mark Mukherjee</cp:lastModifiedBy>
</cp:coreProperties>
</file>