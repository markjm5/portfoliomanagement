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5070" yWindow="-14350" windowWidth="26180" windowHeight="1326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Orders'!$B$6:$B$378</f>
              <numCache>
                <formatCode>#,##0</formatCode>
                <ptCount val="373"/>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271403</v>
                </pt>
                <pt idx="370">
                  <v>285249</v>
                </pt>
                <pt idx="371">
                  <v>271061</v>
                </pt>
                <pt idx="372">
                  <v>268356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Orders'!$C$6:$C$378</f>
              <numCache>
                <formatCode>0.0%</formatCode>
                <ptCount val="373"/>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0.002037678799011105</v>
                </pt>
                <pt idx="368">
                  <v>0.007168393470821687</v>
                </pt>
                <pt idx="369">
                  <v>-0.01795807009545313</v>
                </pt>
                <pt idx="370">
                  <v>0.05101638522787147</v>
                </pt>
                <pt idx="371">
                  <v>-0.0497389999614372</v>
                </pt>
                <pt idx="372">
                  <v>-0.009979303551599086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Orders'!$A$251:$A$382</f>
              <numCache>
                <formatCode>m/d/yyyy</formatCode>
                <ptCount val="13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pt idx="127">
                  <v>44958</v>
                </pt>
              </numCache>
            </numRef>
          </cat>
          <val>
            <numRef>
              <f>'New Orders'!$C$251:$C$382</f>
              <numCache>
                <formatCode>0.0%</formatCode>
                <ptCount val="132"/>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0.002037678799011105</v>
                </pt>
                <pt idx="123">
                  <v>0.007168393470821687</v>
                </pt>
                <pt idx="124">
                  <v>-0.01795807009545313</v>
                </pt>
                <pt idx="125">
                  <v>0.05101638522787147</v>
                </pt>
                <pt idx="126">
                  <v>-0.0497389999614372</v>
                </pt>
                <pt idx="127">
                  <v>-0.009979303551599086</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Orders'!$B$6:$B$378</f>
              <numCache>
                <formatCode>#,##0</formatCode>
                <ptCount val="373"/>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271403</v>
                </pt>
                <pt idx="370">
                  <v>285249</v>
                </pt>
                <pt idx="371">
                  <v>271061</v>
                </pt>
                <pt idx="372">
                  <v>268356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 ex Aircraft'!$B$6:$B$378</f>
              <numCache>
                <formatCode>#,##0</formatCode>
                <ptCount val="373"/>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74819</v>
                </pt>
                <pt idx="368">
                  <v>75055</v>
                </pt>
                <pt idx="369">
                  <v>74921</v>
                </pt>
                <pt idx="370">
                  <v>74768</v>
                </pt>
                <pt idx="371">
                  <v>75127</v>
                </pt>
                <pt idx="372">
                  <v>75072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Aircraft'!$A$209:$A$381</f>
              <numCache>
                <formatCode>m/d/yyyy</formatCode>
                <ptCount val="173"/>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pt idx="166">
                  <v>44866</v>
                </pt>
                <pt idx="167">
                  <v>44896</v>
                </pt>
                <pt idx="168">
                  <v>44927</v>
                </pt>
                <pt idx="169">
                  <v>44958</v>
                </pt>
              </numCache>
            </numRef>
          </cat>
          <val>
            <numRef>
              <f>'New Orders ex Aircraft'!$B$209:$B$381</f>
              <numCache>
                <formatCode>#,##0</formatCode>
                <ptCount val="173"/>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74819</v>
                </pt>
                <pt idx="165">
                  <v>75055</v>
                </pt>
                <pt idx="166">
                  <v>74921</v>
                </pt>
                <pt idx="167">
                  <v>74768</v>
                </pt>
                <pt idx="168">
                  <v>75127</v>
                </pt>
                <pt idx="169">
                  <v>75072</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 ex Aircraft'!$C$6:$C$378</f>
              <numCache>
                <formatCode>0.0%</formatCode>
                <ptCount val="373"/>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-0.007429124822563313</v>
                </pt>
                <pt idx="368">
                  <v>0.00315427899330384</v>
                </pt>
                <pt idx="369">
                  <v>-0.001785357404569982</v>
                </pt>
                <pt idx="370">
                  <v>-0.002042151065789298</v>
                </pt>
                <pt idx="371">
                  <v>0.004801519366573935</v>
                </pt>
                <pt idx="372">
                  <v>-0.0007320936547446324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pt idx="127">
                  <v>44958</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-0.007429124822563313</v>
                </pt>
                <pt idx="123">
                  <v>0.00315427899330384</v>
                </pt>
                <pt idx="124">
                  <v>-0.001785357404569982</v>
                </pt>
                <pt idx="125">
                  <v>-0.002042151065789298</v>
                </pt>
                <pt idx="126">
                  <v>0.004801519366573935</v>
                </pt>
                <pt idx="127">
                  <v>-0.0007320936547446324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 ex Transport'!$B$6:$B$378</f>
              <numCache>
                <formatCode>#,##0</formatCode>
                <ptCount val="373"/>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178974</v>
                </pt>
                <pt idx="370">
                  <v>178205</v>
                </pt>
                <pt idx="371">
                  <v>178954</v>
                </pt>
                <pt idx="372">
                  <v>178833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 ex Transport'!$C$6:$C$378</f>
              <numCache>
                <formatCode>0.0%</formatCode>
                <ptCount val="373"/>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-0.009065303452023199</v>
                </pt>
                <pt idx="368">
                  <v>0.001068692893472021</v>
                </pt>
                <pt idx="369">
                  <v>0.0003353566517991884</v>
                </pt>
                <pt idx="370">
                  <v>-0.00429671348911015</v>
                </pt>
                <pt idx="371">
                  <v>0.004203024606492523</v>
                </pt>
                <pt idx="372">
                  <v>-0.0006761514132123339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pt idx="127">
                  <v>44958</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-0.009065303452023199</v>
                </pt>
                <pt idx="123">
                  <v>0.001068692893472021</v>
                </pt>
                <pt idx="124">
                  <v>0.0003353566517991884</v>
                </pt>
                <pt idx="125">
                  <v>-0.00429671348911015</v>
                </pt>
                <pt idx="126">
                  <v>0.004203024606492523</v>
                </pt>
                <pt idx="127">
                  <v>-0.0006761514132123339</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'New Orders ex Transport'!$B$6:$B$378</f>
              <numCache>
                <formatCode>#,##0</formatCode>
                <ptCount val="373"/>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178974</v>
                </pt>
                <pt idx="370">
                  <v>178205</v>
                </pt>
                <pt idx="371">
                  <v>178954</v>
                </pt>
                <pt idx="372">
                  <v>178833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190510</v>
                </pt>
                <pt idx="370">
                  <v>203876</v>
                </pt>
                <pt idx="371">
                  <v>189939</v>
                </pt>
                <pt idx="372">
                  <v>188231</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-0.004307553124775113</v>
                </pt>
                <pt idx="368">
                  <v>0.01025275678354603</v>
                </pt>
                <pt idx="369">
                  <v>-0.02647043793755429</v>
                </pt>
                <pt idx="370">
                  <v>0.07015904676919847</v>
                </pt>
                <pt idx="371">
                  <v>-0.06836017971708293</v>
                </pt>
                <pt idx="372">
                  <v>-0.008992360705279064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pt idx="127">
                  <v>44958</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-0.004307553124775113</v>
                </pt>
                <pt idx="123">
                  <v>0.01025275678354603</v>
                </pt>
                <pt idx="124">
                  <v>-0.02647043793755429</v>
                </pt>
                <pt idx="125">
                  <v>0.07015904676919847</v>
                </pt>
                <pt idx="126">
                  <v>-0.06836017971708293</v>
                </pt>
                <pt idx="127">
                  <v>-0.008992360705279064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190510</v>
                </pt>
                <pt idx="370">
                  <v>203876</v>
                </pt>
                <pt idx="371">
                  <v>189939</v>
                </pt>
                <pt idx="372">
                  <v>188231</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587375</colOff>
      <row>334</row>
      <rowOff>106893</rowOff>
    </from>
    <to>
      <col>14</col>
      <colOff>547158</colOff>
      <row>356</row>
      <rowOff>112184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592666</colOff>
      <row>356</row>
      <rowOff>168804</rowOff>
    </from>
    <to>
      <col>14</col>
      <colOff>548216</colOff>
      <row>379</row>
      <rowOff>177800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26458</colOff>
      <row>334</row>
      <rowOff>71437</rowOff>
    </from>
    <to>
      <col>26</col>
      <colOff>268815</colOff>
      <row>356</row>
      <rowOff>122766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30692</colOff>
      <row>356</row>
      <rowOff>178857</rowOff>
    </from>
    <to>
      <col>26</col>
      <colOff>240241</colOff>
      <row>380</row>
      <rowOff>44450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256931</colOff>
      <row>335</row>
      <rowOff>135426</rowOff>
    </from>
    <to>
      <col>13</col>
      <colOff>117964</colOff>
      <row>355</row>
      <rowOff>167175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258151</colOff>
      <row>335</row>
      <rowOff>132616</rowOff>
    </from>
    <to>
      <col>24</col>
      <colOff>103308</colOff>
      <row>356</row>
      <rowOff>5005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214922</colOff>
      <row>356</row>
      <rowOff>94516</rowOff>
    </from>
    <to>
      <col>24</col>
      <colOff>88655</colOff>
      <row>378</row>
      <rowOff>150079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233118</colOff>
      <row>356</row>
      <rowOff>127609</rowOff>
    </from>
    <to>
      <col>13</col>
      <colOff>116376</colOff>
      <row>378</row>
      <rowOff>143484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445558</colOff>
      <row>335</row>
      <rowOff>26610</rowOff>
    </from>
    <to>
      <col>14</col>
      <colOff>273050</colOff>
      <row>356</row>
      <rowOff>70531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418344</colOff>
      <row>334</row>
      <rowOff>152401</rowOff>
    </from>
    <to>
      <col>25</col>
      <colOff>413053</colOff>
      <row>356</row>
      <rowOff>10056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415019</colOff>
      <row>356</row>
      <rowOff>146352</rowOff>
    </from>
    <to>
      <col>25</col>
      <colOff>321885</colOff>
      <row>379</row>
      <rowOff>142118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453874</colOff>
      <row>357</row>
      <rowOff>6048</rowOff>
    </from>
    <to>
      <col>14</col>
      <colOff>278190</colOff>
      <row>379</row>
      <rowOff>98727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8" headerRowCount="1" totalsRowShown="0" headerRowDxfId="25" dataDxfId="23" headerRowBorderDxfId="24">
  <autoFilter ref="A5:C378"/>
  <tableColumns count="3">
    <tableColumn id="1" name="Date" dataDxfId="22"/>
    <tableColumn id="2" name="Manufacturers' New Orders: Durable Goods" dataDxfId="21">
      <calculatedColumnFormula>VLOOKUP(A6,Database!A:M,MATCH($A$1,Database!$A$1:$M$1,),)</calculatedColumnFormula>
    </tableColumn>
    <tableColumn id="5" name="mom %" dataDxfId="20"/>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8" headerRowCount="1" totalsRowShown="0" headerRowDxfId="19" dataDxfId="17" headerRowBorderDxfId="18">
  <autoFilter ref="A5:C378"/>
  <tableColumns count="3">
    <tableColumn id="1" name="Date" dataDxfId="16"/>
    <tableColumn id="2" name="New Orders - Nondefense Capital Goods Excluding Aircraft" dataDxfId="15">
      <calculatedColumnFormula>VLOOKUP(A6,Database!A:M,MATCH($A$1,Database!$A$1:$M$1,),)</calculatedColumnFormula>
    </tableColumn>
    <tableColumn id="5" name="mom %" dataDxfId="14"/>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8" headerRowCount="1" totalsRowShown="0" headerRowDxfId="13" dataDxfId="11" headerRowBorderDxfId="12">
  <autoFilter ref="A5:C378"/>
  <tableColumns count="3">
    <tableColumn id="1" name="Date" dataDxfId="10"/>
    <tableColumn id="2" name="New Orders ex Transport" dataDxfId="9">
      <calculatedColumnFormula>VLOOKUP(A6,Database!A:M,MATCH($A$1,Database!$A$1:$M$1,),)</calculatedColumnFormula>
    </tableColumn>
    <tableColumn id="5" name="mom %" dataDxfId="8"/>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8" headerRowCount="1" totalsRowShown="0" headerRowDxfId="7" dataDxfId="5" headerRowBorderDxfId="6">
  <autoFilter ref="A5:C378"/>
  <tableColumns count="3">
    <tableColumn id="1" name="Date" dataDxfId="4"/>
    <tableColumn id="2" name="Durable Goods" dataDxfId="3">
      <calculatedColumnFormula>VLOOKUP(A6,Database!A:M,MATCH($A$1,Database!$A$1:$M$1,),)</calculatedColumnFormula>
    </tableColumn>
    <tableColumn id="5" name="mom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K9" zoomScale="120" zoomScaleNormal="120" workbookViewId="0">
      <selection activeCell="AA17" sqref="AA17"/>
    </sheetView>
  </sheetViews>
  <sheetFormatPr baseColWidth="8" defaultColWidth="9.1796875" defaultRowHeight="14.5"/>
  <cols>
    <col width="9.1796875" customWidth="1" style="122" min="1" max="1"/>
    <col width="12.81640625" customWidth="1" style="122" min="2" max="10"/>
    <col width="3.453125" customWidth="1" style="122" min="11" max="13"/>
    <col width="21.36328125" customWidth="1" style="122" min="14" max="14"/>
    <col width="15.6328125" customWidth="1" style="122" min="15" max="15"/>
    <col width="10.6328125" bestFit="1" customWidth="1" style="122" min="16" max="17"/>
    <col width="9.1796875" customWidth="1" style="122" min="18" max="18"/>
    <col width="11.453125" customWidth="1" style="122" min="19" max="19"/>
    <col width="9.1796875" customWidth="1" style="122" min="20" max="38"/>
    <col width="9.1796875" customWidth="1" style="122" min="39" max="16384"/>
  </cols>
  <sheetData>
    <row r="1">
      <c r="B1" s="128" t="n"/>
    </row>
    <row r="2" ht="16" customHeight="1" s="141" thickBot="1">
      <c r="B2" s="129" t="n"/>
      <c r="C2" s="129" t="n"/>
      <c r="D2" s="129" t="n"/>
      <c r="E2" s="129" t="n"/>
      <c r="F2" s="129" t="n"/>
      <c r="G2" s="129" t="n"/>
      <c r="H2" s="129" t="n"/>
      <c r="I2" s="129" t="n"/>
      <c r="J2" s="129" t="n"/>
    </row>
    <row r="3" ht="16" customHeight="1" s="141" thickBot="1">
      <c r="B3" s="130" t="inlineStr">
        <is>
          <t>Durable Good Orders</t>
        </is>
      </c>
      <c r="C3" s="131" t="n"/>
      <c r="D3" s="131" t="n"/>
      <c r="E3" s="131" t="n"/>
      <c r="F3" s="131" t="n"/>
      <c r="G3" s="131" t="n"/>
      <c r="H3" s="131" t="n"/>
      <c r="I3" s="131" t="n"/>
      <c r="J3" s="132" t="n"/>
    </row>
    <row r="5">
      <c r="B5" s="125" t="inlineStr">
        <is>
          <t>Definition</t>
        </is>
      </c>
      <c r="C5" s="126" t="n"/>
      <c r="D5" s="126" t="n"/>
      <c r="E5" s="126" t="n"/>
      <c r="F5" s="126" t="n"/>
      <c r="G5" s="126" t="n"/>
      <c r="H5" s="126" t="n"/>
      <c r="I5" s="126" t="n"/>
      <c r="J5" s="127" t="n"/>
    </row>
    <row r="7" ht="129" customHeight="1" s="141">
      <c r="B7" s="133"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1">
      <c r="B8" s="121" t="inlineStr">
        <is>
          <t>https://www.census.gov/manufacturing/m3/definitions/index.html</t>
        </is>
      </c>
    </row>
    <row r="9">
      <c r="B9" s="61" t="n"/>
      <c r="C9" s="61" t="n"/>
      <c r="D9" s="61" t="n"/>
      <c r="E9" s="61" t="n"/>
    </row>
    <row r="10">
      <c r="B10" s="125" t="inlineStr">
        <is>
          <t>Process / TO DO LIST</t>
        </is>
      </c>
      <c r="C10" s="126" t="n"/>
      <c r="D10" s="126" t="n"/>
      <c r="E10" s="126" t="n"/>
      <c r="F10" s="126" t="n"/>
      <c r="G10" s="126" t="n"/>
      <c r="H10" s="126" t="n"/>
      <c r="I10" s="126" t="n"/>
      <c r="J10" s="127" t="n"/>
      <c r="N10" s="125" t="inlineStr">
        <is>
          <t>Summary</t>
        </is>
      </c>
      <c r="O10" s="126" t="n"/>
      <c r="P10" s="126" t="n"/>
      <c r="Q10" s="126" t="n"/>
      <c r="R10" s="126" t="n"/>
      <c r="S10" s="127" t="n"/>
    </row>
    <row r="12">
      <c r="B12" s="125" t="inlineStr">
        <is>
          <t>TO DO LIST</t>
        </is>
      </c>
      <c r="C12" s="126" t="n"/>
      <c r="D12" s="126" t="n"/>
      <c r="E12" s="126" t="n"/>
      <c r="F12" s="127" t="n"/>
      <c r="G12" s="125" t="inlineStr">
        <is>
          <t>Comments</t>
        </is>
      </c>
      <c r="H12" s="126" t="n"/>
      <c r="I12" s="126" t="n"/>
      <c r="J12" s="127" t="n"/>
    </row>
    <row r="13" ht="16" customHeight="1" s="141" thickBot="1"/>
    <row r="14" ht="19.5" customHeight="1" s="141">
      <c r="B14" s="121" t="n"/>
      <c r="G14" s="122" t="n"/>
      <c r="P14" s="62" t="n">
        <v>44958</v>
      </c>
      <c r="Q14" s="83">
        <f>DATE(YEAR(P14),MONTH(P14)-1,DAY(P14))</f>
        <v/>
      </c>
      <c r="R14" s="63" t="n"/>
    </row>
    <row r="15" ht="18" customHeight="1" s="141" thickBot="1">
      <c r="B15" s="121" t="inlineStr">
        <is>
          <t>https://fred.stlouisfed.org/series/DGORDER</t>
        </is>
      </c>
      <c r="G15" s="123" t="inlineStr">
        <is>
          <t>Durable Goods New Orders</t>
        </is>
      </c>
      <c r="P15" s="76" t="inlineStr">
        <is>
          <t>Last</t>
        </is>
      </c>
      <c r="Q15" s="64" t="inlineStr">
        <is>
          <t>Last</t>
        </is>
      </c>
      <c r="R15" s="65" t="inlineStr">
        <is>
          <t>Var.</t>
        </is>
      </c>
    </row>
    <row r="16" ht="18" customHeight="1" s="141">
      <c r="B16" s="121" t="inlineStr">
        <is>
          <t>https://fred.stlouisfed.org/series/ADXTNO</t>
        </is>
      </c>
      <c r="G16" s="123" t="inlineStr">
        <is>
          <t>New Orders ex Transport</t>
        </is>
      </c>
      <c r="N16" s="138" t="inlineStr">
        <is>
          <t>Durable Goods New Orders</t>
        </is>
      </c>
      <c r="O16" s="139" t="n"/>
      <c r="P16" s="77">
        <f>VLOOKUP($P$14,Database!$A:$M,MATCH(Note!S16,Database!$A$1:$M$1,),)</f>
        <v/>
      </c>
      <c r="Q16" s="77">
        <f>VLOOKUP($Q$14,Database!$A:$M,MATCH(Note!S16,Database!$A$1:$M$1,),)</f>
        <v/>
      </c>
      <c r="R16" s="97">
        <f>(P16-Q16)/Q16</f>
        <v/>
      </c>
      <c r="S16" s="78" t="inlineStr">
        <is>
          <t>DGORDER</t>
        </is>
      </c>
      <c r="U16" s="78" t="inlineStr">
        <is>
          <t>DGORDER</t>
        </is>
      </c>
      <c r="V16" s="122" t="inlineStr">
        <is>
          <t>Durable Goods New Orders</t>
        </is>
      </c>
    </row>
    <row r="17" ht="18" customHeight="1" s="141">
      <c r="B17" s="121" t="inlineStr">
        <is>
          <t>https://fred.stlouisfed.org/series/NEWORDER</t>
        </is>
      </c>
      <c r="G17" s="124" t="inlineStr">
        <is>
          <t>New Orders Nondefense Ex Aircraft &amp; Parts= Core</t>
        </is>
      </c>
      <c r="N17" s="135" t="inlineStr">
        <is>
          <t>New Orders ex Transport</t>
        </is>
      </c>
      <c r="O17" s="127" t="n"/>
      <c r="P17" s="94">
        <f>VLOOKUP($P$14,Database!$A:$M,MATCH(Note!S17,Database!$A$1:$M$1,),)</f>
        <v/>
      </c>
      <c r="Q17" s="94">
        <f>VLOOKUP($Q$14,Database!$A:$M,MATCH(Note!S17,Database!$A$1:$M$1,),)</f>
        <v/>
      </c>
      <c r="R17" s="98">
        <f>(P17-Q17)/Q17</f>
        <v/>
      </c>
      <c r="S17" s="79" t="inlineStr">
        <is>
          <t>ADXTNO</t>
        </is>
      </c>
      <c r="U17" s="79" t="inlineStr">
        <is>
          <t>ADXTNO</t>
        </is>
      </c>
      <c r="V17" s="122" t="inlineStr">
        <is>
          <t>New Orders ex Transport</t>
        </is>
      </c>
    </row>
    <row r="18" ht="33.75" customHeight="1" s="141">
      <c r="B18" s="121" t="inlineStr">
        <is>
          <t>https://fred.stlouisfed.org/series/AMTUNO</t>
        </is>
      </c>
      <c r="G18" s="124" t="inlineStr">
        <is>
          <t>New Orders - Manufacturing</t>
        </is>
      </c>
      <c r="N18" s="134" t="inlineStr">
        <is>
          <t>New Orders Nondefense Ex Aircraft &amp; Parts = Core</t>
        </is>
      </c>
      <c r="O18" s="127" t="n"/>
      <c r="P18" s="94">
        <f>VLOOKUP($P$14,Database!$A:$M,MATCH(Note!S18,Database!$A$1:$M$1,),)</f>
        <v/>
      </c>
      <c r="Q18" s="94">
        <f>VLOOKUP($Q$14,Database!$A:$M,MATCH(Note!S18,Database!$A$1:$M$1,),)</f>
        <v/>
      </c>
      <c r="R18" s="98">
        <f>(P18-Q18)/Q18</f>
        <v/>
      </c>
      <c r="S18" s="80" t="inlineStr">
        <is>
          <t>NEWORDER</t>
        </is>
      </c>
      <c r="U18" s="80" t="inlineStr">
        <is>
          <t>NEWORDER</t>
        </is>
      </c>
      <c r="V18" s="122" t="inlineStr">
        <is>
          <t>New Orders Nondefense Ex Aircraft &amp; Parts = Core</t>
        </is>
      </c>
    </row>
    <row r="19" ht="18" customHeight="1" s="141">
      <c r="B19" s="121" t="inlineStr">
        <is>
          <t>https://fred.stlouisfed.org/series/A36SNO</t>
        </is>
      </c>
      <c r="G19" s="124" t="inlineStr">
        <is>
          <t>New Orders - Transportation Equipment</t>
        </is>
      </c>
      <c r="N19" s="135" t="inlineStr">
        <is>
          <t>New Orders - Manufacturing</t>
        </is>
      </c>
      <c r="O19" s="127" t="n"/>
      <c r="P19" s="94">
        <f>VLOOKUP($P$14,Database!$A:$M,MATCH(Note!S19,Database!$A$1:$M$1,),)</f>
        <v/>
      </c>
      <c r="Q19" s="94">
        <f>VLOOKUP($Q$14,Database!$A:$M,MATCH(Note!S19,Database!$A$1:$M$1,),)</f>
        <v/>
      </c>
      <c r="R19" s="98">
        <f>(P19-Q19)/Q19</f>
        <v/>
      </c>
      <c r="S19" s="79" t="inlineStr">
        <is>
          <t>AMTUNO</t>
        </is>
      </c>
      <c r="U19" s="79" t="inlineStr">
        <is>
          <t>AMTUNO</t>
        </is>
      </c>
      <c r="V19" s="122" t="inlineStr">
        <is>
          <t>New Orders - Manufacturing</t>
        </is>
      </c>
    </row>
    <row r="20" ht="18" customHeight="1" s="141">
      <c r="B20" s="121" t="inlineStr">
        <is>
          <t>https://fred.stlouisfed.org/series/A32SNO</t>
        </is>
      </c>
      <c r="G20" s="124" t="inlineStr">
        <is>
          <t>New Orders - Fabricated Metal Products</t>
        </is>
      </c>
      <c r="N20" s="135" t="inlineStr">
        <is>
          <t>New Orders - Transportation Equipment</t>
        </is>
      </c>
      <c r="O20" s="127" t="n"/>
      <c r="P20" s="94">
        <f>VLOOKUP($P$14,Database!$A:$M,MATCH(Note!S20,Database!$A$1:$M$1,),)</f>
        <v/>
      </c>
      <c r="Q20" s="94">
        <f>VLOOKUP($Q$14,Database!$A:$M,MATCH(Note!S20,Database!$A$1:$M$1,),)</f>
        <v/>
      </c>
      <c r="R20" s="98">
        <f>(P20-Q20)/Q20</f>
        <v/>
      </c>
      <c r="S20" s="80" t="inlineStr">
        <is>
          <t>A36SNO</t>
        </is>
      </c>
      <c r="U20" s="80" t="inlineStr">
        <is>
          <t>A36SNO</t>
        </is>
      </c>
      <c r="V20" s="122" t="inlineStr">
        <is>
          <t>New Orders - Transportation Equipment</t>
        </is>
      </c>
    </row>
    <row r="21" ht="18" customHeight="1" s="141">
      <c r="B21" s="121" t="inlineStr">
        <is>
          <t>https://fred.stlouisfed.org/series/A33SNO</t>
        </is>
      </c>
      <c r="G21" s="124" t="inlineStr">
        <is>
          <t>New Orders - Machinery</t>
        </is>
      </c>
      <c r="N21" s="135" t="inlineStr">
        <is>
          <t>New Orders - Fabricated Metal Products</t>
        </is>
      </c>
      <c r="O21" s="127" t="n"/>
      <c r="P21" s="94">
        <f>VLOOKUP($P$14,Database!$A:$M,MATCH(Note!S21,Database!$A$1:$M$1,),)</f>
        <v/>
      </c>
      <c r="Q21" s="94">
        <f>VLOOKUP($Q$14,Database!$A:$M,MATCH(Note!S21,Database!$A$1:$M$1,),)</f>
        <v/>
      </c>
      <c r="R21" s="98">
        <f>(P21-Q21)/Q21</f>
        <v/>
      </c>
      <c r="S21" s="80" t="inlineStr">
        <is>
          <t>A32SNO</t>
        </is>
      </c>
      <c r="U21" s="80" t="inlineStr">
        <is>
          <t>A32SNO</t>
        </is>
      </c>
      <c r="V21" s="122" t="inlineStr">
        <is>
          <t>New Orders - Fabricated Metal Products</t>
        </is>
      </c>
    </row>
    <row r="22" ht="18" customHeight="1" s="141">
      <c r="B22" s="121" t="inlineStr">
        <is>
          <t>https://fred.stlouisfed.org/series/A34SNO</t>
        </is>
      </c>
      <c r="G22" s="124" t="inlineStr">
        <is>
          <t>New Orders - Computers</t>
        </is>
      </c>
      <c r="N22" s="135" t="inlineStr">
        <is>
          <t>New Orders - Machinery</t>
        </is>
      </c>
      <c r="O22" s="127" t="n"/>
      <c r="P22" s="94">
        <f>VLOOKUP($P$14,Database!$A:$M,MATCH(Note!S22,Database!$A$1:$M$1,),)</f>
        <v/>
      </c>
      <c r="Q22" s="94">
        <f>VLOOKUP($Q$14,Database!$A:$M,MATCH(Note!S22,Database!$A$1:$M$1,),)</f>
        <v/>
      </c>
      <c r="R22" s="98">
        <f>(P22-Q22)/Q22</f>
        <v/>
      </c>
      <c r="S22" s="80" t="inlineStr">
        <is>
          <t>A33SNO</t>
        </is>
      </c>
      <c r="U22" s="80" t="inlineStr">
        <is>
          <t>A33SNO</t>
        </is>
      </c>
      <c r="V22" s="122" t="inlineStr">
        <is>
          <t>New Orders - Machinery</t>
        </is>
      </c>
    </row>
    <row r="23" ht="18" customHeight="1" s="141">
      <c r="B23" s="121" t="inlineStr">
        <is>
          <t>https://fred.stlouisfed.org/series/A31SNO</t>
        </is>
      </c>
      <c r="G23" s="124" t="inlineStr">
        <is>
          <t>New Orders - Primary Metals</t>
        </is>
      </c>
      <c r="N23" s="135" t="inlineStr">
        <is>
          <t>New Orders - Computers</t>
        </is>
      </c>
      <c r="O23" s="127" t="n"/>
      <c r="P23" s="94">
        <f>VLOOKUP($P$14,Database!$A:$M,MATCH(Note!S23,Database!$A$1:$M$1,),)</f>
        <v/>
      </c>
      <c r="Q23" s="94">
        <f>VLOOKUP($Q$14,Database!$A:$M,MATCH(Note!S23,Database!$A$1:$M$1,),)</f>
        <v/>
      </c>
      <c r="R23" s="98">
        <f>(P23-Q23)/Q23</f>
        <v/>
      </c>
      <c r="S23" s="80" t="inlineStr">
        <is>
          <t>A34SNO</t>
        </is>
      </c>
      <c r="U23" s="80" t="inlineStr">
        <is>
          <t>A34SNO</t>
        </is>
      </c>
      <c r="V23" s="122" t="inlineStr">
        <is>
          <t>New Orders - Computers</t>
        </is>
      </c>
    </row>
    <row r="24" ht="18" customHeight="1" s="141">
      <c r="B24" s="121" t="inlineStr">
        <is>
          <t>https://fred.stlouisfed.org/series/A35SNO</t>
        </is>
      </c>
      <c r="G24" s="124" t="inlineStr">
        <is>
          <t>New Orders - Electrical Equipment</t>
        </is>
      </c>
      <c r="N24" s="135" t="inlineStr">
        <is>
          <t>New Orders - Primary Metals</t>
        </is>
      </c>
      <c r="O24" s="127" t="n"/>
      <c r="P24" s="94">
        <f>VLOOKUP($P$14,Database!$A:$M,MATCH(Note!S24,Database!$A$1:$M$1,),)</f>
        <v/>
      </c>
      <c r="Q24" s="94">
        <f>VLOOKUP($Q$14,Database!$A:$M,MATCH(Note!S24,Database!$A$1:$M$1,),)</f>
        <v/>
      </c>
      <c r="R24" s="98">
        <f>(P24-Q24)/Q24</f>
        <v/>
      </c>
      <c r="S24" s="80" t="inlineStr">
        <is>
          <t>A31SNO</t>
        </is>
      </c>
      <c r="U24" s="80" t="inlineStr">
        <is>
          <t>A31SNO</t>
        </is>
      </c>
      <c r="V24" s="122" t="inlineStr">
        <is>
          <t>New Orders - Primary Metals</t>
        </is>
      </c>
    </row>
    <row r="25" ht="16" customHeight="1" s="141" thickBot="1">
      <c r="N25" s="136" t="inlineStr">
        <is>
          <t>New Orders - Electrical Equipment</t>
        </is>
      </c>
      <c r="O25" s="137" t="n"/>
      <c r="P25" s="81">
        <f>VLOOKUP($P$14,Database!$A:$M,MATCH(Note!S25,Database!$A$1:$M$1,),)</f>
        <v/>
      </c>
      <c r="Q25" s="81">
        <f>VLOOKUP($Q$14,Database!$A:$M,MATCH(Note!S25,Database!$A$1:$M$1,),)</f>
        <v/>
      </c>
      <c r="R25" s="99">
        <f>(P25-Q25)/Q25</f>
        <v/>
      </c>
      <c r="S25" s="82" t="inlineStr">
        <is>
          <t>A35SNO</t>
        </is>
      </c>
      <c r="U25" s="82" t="inlineStr">
        <is>
          <t>A35SNO</t>
        </is>
      </c>
      <c r="V25" s="122" t="inlineStr">
        <is>
          <t>New Orders - Electrical Equipment</t>
        </is>
      </c>
    </row>
    <row r="26">
      <c r="B26" s="66" t="n"/>
      <c r="G26" s="123"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1" min="1" max="1"/>
    <col width="16.36328125" customWidth="1" style="141" min="2" max="2"/>
    <col width="13.453125" customWidth="1" style="141" min="3" max="11"/>
    <col width="15.6328125" customWidth="1" style="141" min="12" max="12"/>
    <col width="16.81640625" customWidth="1" style="141" min="13" max="13"/>
    <col width="13.453125" customWidth="1" style="142" min="14" max="14"/>
    <col width="10.6328125" customWidth="1" style="141" min="15" max="15"/>
    <col width="21.36328125" customWidth="1" style="141" min="18" max="18"/>
    <col width="23.6328125" customWidth="1" style="141" min="257" max="257"/>
    <col width="16.36328125" customWidth="1" style="141" min="258" max="258"/>
    <col width="13.453125" customWidth="1" style="141" min="259" max="267"/>
    <col width="15.6328125" customWidth="1" style="141" min="268" max="268"/>
    <col width="16.81640625" customWidth="1" style="141" min="269" max="269"/>
    <col width="13.453125" customWidth="1" style="141" min="270" max="270"/>
    <col width="10.6328125" customWidth="1" style="141" min="271" max="271"/>
    <col width="23.6328125" customWidth="1" style="141" min="513" max="513"/>
    <col width="16.36328125" customWidth="1" style="141" min="514" max="514"/>
    <col width="13.453125" customWidth="1" style="141" min="515" max="523"/>
    <col width="15.6328125" customWidth="1" style="141" min="524" max="524"/>
    <col width="16.81640625" customWidth="1" style="141" min="525" max="525"/>
    <col width="13.453125" customWidth="1" style="141" min="526" max="526"/>
    <col width="10.6328125" customWidth="1" style="141" min="527" max="527"/>
    <col width="23.6328125" customWidth="1" style="141" min="769" max="769"/>
    <col width="16.36328125" customWidth="1" style="141" min="770" max="770"/>
    <col width="13.453125" customWidth="1" style="141" min="771" max="779"/>
    <col width="15.6328125" customWidth="1" style="141" min="780" max="780"/>
    <col width="16.81640625" customWidth="1" style="141" min="781" max="781"/>
    <col width="13.453125" customWidth="1" style="141" min="782" max="782"/>
    <col width="10.6328125" customWidth="1" style="141" min="783" max="783"/>
    <col width="23.6328125" customWidth="1" style="141" min="1025" max="1025"/>
    <col width="16.36328125" customWidth="1" style="141" min="1026" max="1026"/>
    <col width="13.453125" customWidth="1" style="141" min="1027" max="1035"/>
    <col width="15.6328125" customWidth="1" style="141" min="1036" max="1036"/>
    <col width="16.81640625" customWidth="1" style="141" min="1037" max="1037"/>
    <col width="13.453125" customWidth="1" style="141" min="1038" max="1038"/>
    <col width="10.6328125" customWidth="1" style="141" min="1039" max="1039"/>
    <col width="23.6328125" customWidth="1" style="141" min="1281" max="1281"/>
    <col width="16.36328125" customWidth="1" style="141" min="1282" max="1282"/>
    <col width="13.453125" customWidth="1" style="141" min="1283" max="1291"/>
    <col width="15.6328125" customWidth="1" style="141" min="1292" max="1292"/>
    <col width="16.81640625" customWidth="1" style="141" min="1293" max="1293"/>
    <col width="13.453125" customWidth="1" style="141" min="1294" max="1294"/>
    <col width="10.6328125" customWidth="1" style="141" min="1295" max="1295"/>
    <col width="23.6328125" customWidth="1" style="141" min="1537" max="1537"/>
    <col width="16.36328125" customWidth="1" style="141" min="1538" max="1538"/>
    <col width="13.453125" customWidth="1" style="141" min="1539" max="1547"/>
    <col width="15.6328125" customWidth="1" style="141" min="1548" max="1548"/>
    <col width="16.81640625" customWidth="1" style="141" min="1549" max="1549"/>
    <col width="13.453125" customWidth="1" style="141" min="1550" max="1550"/>
    <col width="10.6328125" customWidth="1" style="141" min="1551" max="1551"/>
    <col width="23.6328125" customWidth="1" style="141" min="1793" max="1793"/>
    <col width="16.36328125" customWidth="1" style="141" min="1794" max="1794"/>
    <col width="13.453125" customWidth="1" style="141" min="1795" max="1803"/>
    <col width="15.6328125" customWidth="1" style="141" min="1804" max="1804"/>
    <col width="16.81640625" customWidth="1" style="141" min="1805" max="1805"/>
    <col width="13.453125" customWidth="1" style="141" min="1806" max="1806"/>
    <col width="10.6328125" customWidth="1" style="141" min="1807" max="1807"/>
    <col width="23.6328125" customWidth="1" style="141" min="2049" max="2049"/>
    <col width="16.36328125" customWidth="1" style="141" min="2050" max="2050"/>
    <col width="13.453125" customWidth="1" style="141" min="2051" max="2059"/>
    <col width="15.6328125" customWidth="1" style="141" min="2060" max="2060"/>
    <col width="16.81640625" customWidth="1" style="141" min="2061" max="2061"/>
    <col width="13.453125" customWidth="1" style="141" min="2062" max="2062"/>
    <col width="10.6328125" customWidth="1" style="141" min="2063" max="2063"/>
    <col width="23.6328125" customWidth="1" style="141" min="2305" max="2305"/>
    <col width="16.36328125" customWidth="1" style="141" min="2306" max="2306"/>
    <col width="13.453125" customWidth="1" style="141" min="2307" max="2315"/>
    <col width="15.6328125" customWidth="1" style="141" min="2316" max="2316"/>
    <col width="16.81640625" customWidth="1" style="141" min="2317" max="2317"/>
    <col width="13.453125" customWidth="1" style="141" min="2318" max="2318"/>
    <col width="10.6328125" customWidth="1" style="141" min="2319" max="2319"/>
    <col width="23.6328125" customWidth="1" style="141" min="2561" max="2561"/>
    <col width="16.36328125" customWidth="1" style="141" min="2562" max="2562"/>
    <col width="13.453125" customWidth="1" style="141" min="2563" max="2571"/>
    <col width="15.6328125" customWidth="1" style="141" min="2572" max="2572"/>
    <col width="16.81640625" customWidth="1" style="141" min="2573" max="2573"/>
    <col width="13.453125" customWidth="1" style="141" min="2574" max="2574"/>
    <col width="10.6328125" customWidth="1" style="141" min="2575" max="2575"/>
    <col width="23.6328125" customWidth="1" style="141" min="2817" max="2817"/>
    <col width="16.36328125" customWidth="1" style="141" min="2818" max="2818"/>
    <col width="13.453125" customWidth="1" style="141" min="2819" max="2827"/>
    <col width="15.6328125" customWidth="1" style="141" min="2828" max="2828"/>
    <col width="16.81640625" customWidth="1" style="141" min="2829" max="2829"/>
    <col width="13.453125" customWidth="1" style="141" min="2830" max="2830"/>
    <col width="10.6328125" customWidth="1" style="141" min="2831" max="2831"/>
    <col width="23.6328125" customWidth="1" style="141" min="3073" max="3073"/>
    <col width="16.36328125" customWidth="1" style="141" min="3074" max="3074"/>
    <col width="13.453125" customWidth="1" style="141" min="3075" max="3083"/>
    <col width="15.6328125" customWidth="1" style="141" min="3084" max="3084"/>
    <col width="16.81640625" customWidth="1" style="141" min="3085" max="3085"/>
    <col width="13.453125" customWidth="1" style="141" min="3086" max="3086"/>
    <col width="10.6328125" customWidth="1" style="141" min="3087" max="3087"/>
    <col width="23.6328125" customWidth="1" style="141" min="3329" max="3329"/>
    <col width="16.36328125" customWidth="1" style="141" min="3330" max="3330"/>
    <col width="13.453125" customWidth="1" style="141" min="3331" max="3339"/>
    <col width="15.6328125" customWidth="1" style="141" min="3340" max="3340"/>
    <col width="16.81640625" customWidth="1" style="141" min="3341" max="3341"/>
    <col width="13.453125" customWidth="1" style="141" min="3342" max="3342"/>
    <col width="10.6328125" customWidth="1" style="141" min="3343" max="3343"/>
    <col width="23.6328125" customWidth="1" style="141" min="3585" max="3585"/>
    <col width="16.36328125" customWidth="1" style="141" min="3586" max="3586"/>
    <col width="13.453125" customWidth="1" style="141" min="3587" max="3595"/>
    <col width="15.6328125" customWidth="1" style="141" min="3596" max="3596"/>
    <col width="16.81640625" customWidth="1" style="141" min="3597" max="3597"/>
    <col width="13.453125" customWidth="1" style="141" min="3598" max="3598"/>
    <col width="10.6328125" customWidth="1" style="141" min="3599" max="3599"/>
    <col width="23.6328125" customWidth="1" style="141" min="3841" max="3841"/>
    <col width="16.36328125" customWidth="1" style="141" min="3842" max="3842"/>
    <col width="13.453125" customWidth="1" style="141" min="3843" max="3851"/>
    <col width="15.6328125" customWidth="1" style="141" min="3852" max="3852"/>
    <col width="16.81640625" customWidth="1" style="141" min="3853" max="3853"/>
    <col width="13.453125" customWidth="1" style="141" min="3854" max="3854"/>
    <col width="10.6328125" customWidth="1" style="141" min="3855" max="3855"/>
    <col width="23.6328125" customWidth="1" style="141" min="4097" max="4097"/>
    <col width="16.36328125" customWidth="1" style="141" min="4098" max="4098"/>
    <col width="13.453125" customWidth="1" style="141" min="4099" max="4107"/>
    <col width="15.6328125" customWidth="1" style="141" min="4108" max="4108"/>
    <col width="16.81640625" customWidth="1" style="141" min="4109" max="4109"/>
    <col width="13.453125" customWidth="1" style="141" min="4110" max="4110"/>
    <col width="10.6328125" customWidth="1" style="141" min="4111" max="4111"/>
    <col width="23.6328125" customWidth="1" style="141" min="4353" max="4353"/>
    <col width="16.36328125" customWidth="1" style="141" min="4354" max="4354"/>
    <col width="13.453125" customWidth="1" style="141" min="4355" max="4363"/>
    <col width="15.6328125" customWidth="1" style="141" min="4364" max="4364"/>
    <col width="16.81640625" customWidth="1" style="141" min="4365" max="4365"/>
    <col width="13.453125" customWidth="1" style="141" min="4366" max="4366"/>
    <col width="10.6328125" customWidth="1" style="141" min="4367" max="4367"/>
    <col width="23.6328125" customWidth="1" style="141" min="4609" max="4609"/>
    <col width="16.36328125" customWidth="1" style="141" min="4610" max="4610"/>
    <col width="13.453125" customWidth="1" style="141" min="4611" max="4619"/>
    <col width="15.6328125" customWidth="1" style="141" min="4620" max="4620"/>
    <col width="16.81640625" customWidth="1" style="141" min="4621" max="4621"/>
    <col width="13.453125" customWidth="1" style="141" min="4622" max="4622"/>
    <col width="10.6328125" customWidth="1" style="141" min="4623" max="4623"/>
    <col width="23.6328125" customWidth="1" style="141" min="4865" max="4865"/>
    <col width="16.36328125" customWidth="1" style="141" min="4866" max="4866"/>
    <col width="13.453125" customWidth="1" style="141" min="4867" max="4875"/>
    <col width="15.6328125" customWidth="1" style="141" min="4876" max="4876"/>
    <col width="16.81640625" customWidth="1" style="141" min="4877" max="4877"/>
    <col width="13.453125" customWidth="1" style="141" min="4878" max="4878"/>
    <col width="10.6328125" customWidth="1" style="141" min="4879" max="4879"/>
    <col width="23.6328125" customWidth="1" style="141" min="5121" max="5121"/>
    <col width="16.36328125" customWidth="1" style="141" min="5122" max="5122"/>
    <col width="13.453125" customWidth="1" style="141" min="5123" max="5131"/>
    <col width="15.6328125" customWidth="1" style="141" min="5132" max="5132"/>
    <col width="16.81640625" customWidth="1" style="141" min="5133" max="5133"/>
    <col width="13.453125" customWidth="1" style="141" min="5134" max="5134"/>
    <col width="10.6328125" customWidth="1" style="141" min="5135" max="5135"/>
    <col width="23.6328125" customWidth="1" style="141" min="5377" max="5377"/>
    <col width="16.36328125" customWidth="1" style="141" min="5378" max="5378"/>
    <col width="13.453125" customWidth="1" style="141" min="5379" max="5387"/>
    <col width="15.6328125" customWidth="1" style="141" min="5388" max="5388"/>
    <col width="16.81640625" customWidth="1" style="141" min="5389" max="5389"/>
    <col width="13.453125" customWidth="1" style="141" min="5390" max="5390"/>
    <col width="10.6328125" customWidth="1" style="141" min="5391" max="5391"/>
    <col width="23.6328125" customWidth="1" style="141" min="5633" max="5633"/>
    <col width="16.36328125" customWidth="1" style="141" min="5634" max="5634"/>
    <col width="13.453125" customWidth="1" style="141" min="5635" max="5643"/>
    <col width="15.6328125" customWidth="1" style="141" min="5644" max="5644"/>
    <col width="16.81640625" customWidth="1" style="141" min="5645" max="5645"/>
    <col width="13.453125" customWidth="1" style="141" min="5646" max="5646"/>
    <col width="10.6328125" customWidth="1" style="141" min="5647" max="5647"/>
    <col width="23.6328125" customWidth="1" style="141" min="5889" max="5889"/>
    <col width="16.36328125" customWidth="1" style="141" min="5890" max="5890"/>
    <col width="13.453125" customWidth="1" style="141" min="5891" max="5899"/>
    <col width="15.6328125" customWidth="1" style="141" min="5900" max="5900"/>
    <col width="16.81640625" customWidth="1" style="141" min="5901" max="5901"/>
    <col width="13.453125" customWidth="1" style="141" min="5902" max="5902"/>
    <col width="10.6328125" customWidth="1" style="141" min="5903" max="5903"/>
    <col width="23.6328125" customWidth="1" style="141" min="6145" max="6145"/>
    <col width="16.36328125" customWidth="1" style="141" min="6146" max="6146"/>
    <col width="13.453125" customWidth="1" style="141" min="6147" max="6155"/>
    <col width="15.6328125" customWidth="1" style="141" min="6156" max="6156"/>
    <col width="16.81640625" customWidth="1" style="141" min="6157" max="6157"/>
    <col width="13.453125" customWidth="1" style="141" min="6158" max="6158"/>
    <col width="10.6328125" customWidth="1" style="141" min="6159" max="6159"/>
    <col width="23.6328125" customWidth="1" style="141" min="6401" max="6401"/>
    <col width="16.36328125" customWidth="1" style="141" min="6402" max="6402"/>
    <col width="13.453125" customWidth="1" style="141" min="6403" max="6411"/>
    <col width="15.6328125" customWidth="1" style="141" min="6412" max="6412"/>
    <col width="16.81640625" customWidth="1" style="141" min="6413" max="6413"/>
    <col width="13.453125" customWidth="1" style="141" min="6414" max="6414"/>
    <col width="10.6328125" customWidth="1" style="141" min="6415" max="6415"/>
    <col width="23.6328125" customWidth="1" style="141" min="6657" max="6657"/>
    <col width="16.36328125" customWidth="1" style="141" min="6658" max="6658"/>
    <col width="13.453125" customWidth="1" style="141" min="6659" max="6667"/>
    <col width="15.6328125" customWidth="1" style="141" min="6668" max="6668"/>
    <col width="16.81640625" customWidth="1" style="141" min="6669" max="6669"/>
    <col width="13.453125" customWidth="1" style="141" min="6670" max="6670"/>
    <col width="10.6328125" customWidth="1" style="141" min="6671" max="6671"/>
    <col width="23.6328125" customWidth="1" style="141" min="6913" max="6913"/>
    <col width="16.36328125" customWidth="1" style="141" min="6914" max="6914"/>
    <col width="13.453125" customWidth="1" style="141" min="6915" max="6923"/>
    <col width="15.6328125" customWidth="1" style="141" min="6924" max="6924"/>
    <col width="16.81640625" customWidth="1" style="141" min="6925" max="6925"/>
    <col width="13.453125" customWidth="1" style="141" min="6926" max="6926"/>
    <col width="10.6328125" customWidth="1" style="141" min="6927" max="6927"/>
    <col width="23.6328125" customWidth="1" style="141" min="7169" max="7169"/>
    <col width="16.36328125" customWidth="1" style="141" min="7170" max="7170"/>
    <col width="13.453125" customWidth="1" style="141" min="7171" max="7179"/>
    <col width="15.6328125" customWidth="1" style="141" min="7180" max="7180"/>
    <col width="16.81640625" customWidth="1" style="141" min="7181" max="7181"/>
    <col width="13.453125" customWidth="1" style="141" min="7182" max="7182"/>
    <col width="10.6328125" customWidth="1" style="141" min="7183" max="7183"/>
    <col width="23.6328125" customWidth="1" style="141" min="7425" max="7425"/>
    <col width="16.36328125" customWidth="1" style="141" min="7426" max="7426"/>
    <col width="13.453125" customWidth="1" style="141" min="7427" max="7435"/>
    <col width="15.6328125" customWidth="1" style="141" min="7436" max="7436"/>
    <col width="16.81640625" customWidth="1" style="141" min="7437" max="7437"/>
    <col width="13.453125" customWidth="1" style="141" min="7438" max="7438"/>
    <col width="10.6328125" customWidth="1" style="141" min="7439" max="7439"/>
    <col width="23.6328125" customWidth="1" style="141" min="7681" max="7681"/>
    <col width="16.36328125" customWidth="1" style="141" min="7682" max="7682"/>
    <col width="13.453125" customWidth="1" style="141" min="7683" max="7691"/>
    <col width="15.6328125" customWidth="1" style="141" min="7692" max="7692"/>
    <col width="16.81640625" customWidth="1" style="141" min="7693" max="7693"/>
    <col width="13.453125" customWidth="1" style="141" min="7694" max="7694"/>
    <col width="10.6328125" customWidth="1" style="141" min="7695" max="7695"/>
    <col width="23.6328125" customWidth="1" style="141" min="7937" max="7937"/>
    <col width="16.36328125" customWidth="1" style="141" min="7938" max="7938"/>
    <col width="13.453125" customWidth="1" style="141" min="7939" max="7947"/>
    <col width="15.6328125" customWidth="1" style="141" min="7948" max="7948"/>
    <col width="16.81640625" customWidth="1" style="141" min="7949" max="7949"/>
    <col width="13.453125" customWidth="1" style="141" min="7950" max="7950"/>
    <col width="10.6328125" customWidth="1" style="141" min="7951" max="7951"/>
    <col width="23.6328125" customWidth="1" style="141" min="8193" max="8193"/>
    <col width="16.36328125" customWidth="1" style="141" min="8194" max="8194"/>
    <col width="13.453125" customWidth="1" style="141" min="8195" max="8203"/>
    <col width="15.6328125" customWidth="1" style="141" min="8204" max="8204"/>
    <col width="16.81640625" customWidth="1" style="141" min="8205" max="8205"/>
    <col width="13.453125" customWidth="1" style="141" min="8206" max="8206"/>
    <col width="10.6328125" customWidth="1" style="141" min="8207" max="8207"/>
    <col width="23.6328125" customWidth="1" style="141" min="8449" max="8449"/>
    <col width="16.36328125" customWidth="1" style="141" min="8450" max="8450"/>
    <col width="13.453125" customWidth="1" style="141" min="8451" max="8459"/>
    <col width="15.6328125" customWidth="1" style="141" min="8460" max="8460"/>
    <col width="16.81640625" customWidth="1" style="141" min="8461" max="8461"/>
    <col width="13.453125" customWidth="1" style="141" min="8462" max="8462"/>
    <col width="10.6328125" customWidth="1" style="141" min="8463" max="8463"/>
    <col width="23.6328125" customWidth="1" style="141" min="8705" max="8705"/>
    <col width="16.36328125" customWidth="1" style="141" min="8706" max="8706"/>
    <col width="13.453125" customWidth="1" style="141" min="8707" max="8715"/>
    <col width="15.6328125" customWidth="1" style="141" min="8716" max="8716"/>
    <col width="16.81640625" customWidth="1" style="141" min="8717" max="8717"/>
    <col width="13.453125" customWidth="1" style="141" min="8718" max="8718"/>
    <col width="10.6328125" customWidth="1" style="141" min="8719" max="8719"/>
    <col width="23.6328125" customWidth="1" style="141" min="8961" max="8961"/>
    <col width="16.36328125" customWidth="1" style="141" min="8962" max="8962"/>
    <col width="13.453125" customWidth="1" style="141" min="8963" max="8971"/>
    <col width="15.6328125" customWidth="1" style="141" min="8972" max="8972"/>
    <col width="16.81640625" customWidth="1" style="141" min="8973" max="8973"/>
    <col width="13.453125" customWidth="1" style="141" min="8974" max="8974"/>
    <col width="10.6328125" customWidth="1" style="141" min="8975" max="8975"/>
    <col width="23.6328125" customWidth="1" style="141" min="9217" max="9217"/>
    <col width="16.36328125" customWidth="1" style="141" min="9218" max="9218"/>
    <col width="13.453125" customWidth="1" style="141" min="9219" max="9227"/>
    <col width="15.6328125" customWidth="1" style="141" min="9228" max="9228"/>
    <col width="16.81640625" customWidth="1" style="141" min="9229" max="9229"/>
    <col width="13.453125" customWidth="1" style="141" min="9230" max="9230"/>
    <col width="10.6328125" customWidth="1" style="141" min="9231" max="9231"/>
    <col width="23.6328125" customWidth="1" style="141" min="9473" max="9473"/>
    <col width="16.36328125" customWidth="1" style="141" min="9474" max="9474"/>
    <col width="13.453125" customWidth="1" style="141" min="9475" max="9483"/>
    <col width="15.6328125" customWidth="1" style="141" min="9484" max="9484"/>
    <col width="16.81640625" customWidth="1" style="141" min="9485" max="9485"/>
    <col width="13.453125" customWidth="1" style="141" min="9486" max="9486"/>
    <col width="10.6328125" customWidth="1" style="141" min="9487" max="9487"/>
    <col width="23.6328125" customWidth="1" style="141" min="9729" max="9729"/>
    <col width="16.36328125" customWidth="1" style="141" min="9730" max="9730"/>
    <col width="13.453125" customWidth="1" style="141" min="9731" max="9739"/>
    <col width="15.6328125" customWidth="1" style="141" min="9740" max="9740"/>
    <col width="16.81640625" customWidth="1" style="141" min="9741" max="9741"/>
    <col width="13.453125" customWidth="1" style="141" min="9742" max="9742"/>
    <col width="10.6328125" customWidth="1" style="141" min="9743" max="9743"/>
    <col width="23.6328125" customWidth="1" style="141" min="9985" max="9985"/>
    <col width="16.36328125" customWidth="1" style="141" min="9986" max="9986"/>
    <col width="13.453125" customWidth="1" style="141" min="9987" max="9995"/>
    <col width="15.6328125" customWidth="1" style="141" min="9996" max="9996"/>
    <col width="16.81640625" customWidth="1" style="141" min="9997" max="9997"/>
    <col width="13.453125" customWidth="1" style="141" min="9998" max="9998"/>
    <col width="10.6328125" customWidth="1" style="141" min="9999" max="9999"/>
    <col width="23.6328125" customWidth="1" style="141" min="10241" max="10241"/>
    <col width="16.36328125" customWidth="1" style="141" min="10242" max="10242"/>
    <col width="13.453125" customWidth="1" style="141" min="10243" max="10251"/>
    <col width="15.6328125" customWidth="1" style="141" min="10252" max="10252"/>
    <col width="16.81640625" customWidth="1" style="141" min="10253" max="10253"/>
    <col width="13.453125" customWidth="1" style="141" min="10254" max="10254"/>
    <col width="10.6328125" customWidth="1" style="141" min="10255" max="10255"/>
    <col width="23.6328125" customWidth="1" style="141" min="10497" max="10497"/>
    <col width="16.36328125" customWidth="1" style="141" min="10498" max="10498"/>
    <col width="13.453125" customWidth="1" style="141" min="10499" max="10507"/>
    <col width="15.6328125" customWidth="1" style="141" min="10508" max="10508"/>
    <col width="16.81640625" customWidth="1" style="141" min="10509" max="10509"/>
    <col width="13.453125" customWidth="1" style="141" min="10510" max="10510"/>
    <col width="10.6328125" customWidth="1" style="141" min="10511" max="10511"/>
    <col width="23.6328125" customWidth="1" style="141" min="10753" max="10753"/>
    <col width="16.36328125" customWidth="1" style="141" min="10754" max="10754"/>
    <col width="13.453125" customWidth="1" style="141" min="10755" max="10763"/>
    <col width="15.6328125" customWidth="1" style="141" min="10764" max="10764"/>
    <col width="16.81640625" customWidth="1" style="141" min="10765" max="10765"/>
    <col width="13.453125" customWidth="1" style="141" min="10766" max="10766"/>
    <col width="10.6328125" customWidth="1" style="141" min="10767" max="10767"/>
    <col width="23.6328125" customWidth="1" style="141" min="11009" max="11009"/>
    <col width="16.36328125" customWidth="1" style="141" min="11010" max="11010"/>
    <col width="13.453125" customWidth="1" style="141" min="11011" max="11019"/>
    <col width="15.6328125" customWidth="1" style="141" min="11020" max="11020"/>
    <col width="16.81640625" customWidth="1" style="141" min="11021" max="11021"/>
    <col width="13.453125" customWidth="1" style="141" min="11022" max="11022"/>
    <col width="10.6328125" customWidth="1" style="141" min="11023" max="11023"/>
    <col width="23.6328125" customWidth="1" style="141" min="11265" max="11265"/>
    <col width="16.36328125" customWidth="1" style="141" min="11266" max="11266"/>
    <col width="13.453125" customWidth="1" style="141" min="11267" max="11275"/>
    <col width="15.6328125" customWidth="1" style="141" min="11276" max="11276"/>
    <col width="16.81640625" customWidth="1" style="141" min="11277" max="11277"/>
    <col width="13.453125" customWidth="1" style="141" min="11278" max="11278"/>
    <col width="10.6328125" customWidth="1" style="141" min="11279" max="11279"/>
    <col width="23.6328125" customWidth="1" style="141" min="11521" max="11521"/>
    <col width="16.36328125" customWidth="1" style="141" min="11522" max="11522"/>
    <col width="13.453125" customWidth="1" style="141" min="11523" max="11531"/>
    <col width="15.6328125" customWidth="1" style="141" min="11532" max="11532"/>
    <col width="16.81640625" customWidth="1" style="141" min="11533" max="11533"/>
    <col width="13.453125" customWidth="1" style="141" min="11534" max="11534"/>
    <col width="10.6328125" customWidth="1" style="141" min="11535" max="11535"/>
    <col width="23.6328125" customWidth="1" style="141" min="11777" max="11777"/>
    <col width="16.36328125" customWidth="1" style="141" min="11778" max="11778"/>
    <col width="13.453125" customWidth="1" style="141" min="11779" max="11787"/>
    <col width="15.6328125" customWidth="1" style="141" min="11788" max="11788"/>
    <col width="16.81640625" customWidth="1" style="141" min="11789" max="11789"/>
    <col width="13.453125" customWidth="1" style="141" min="11790" max="11790"/>
    <col width="10.6328125" customWidth="1" style="141" min="11791" max="11791"/>
    <col width="23.6328125" customWidth="1" style="141" min="12033" max="12033"/>
    <col width="16.36328125" customWidth="1" style="141" min="12034" max="12034"/>
    <col width="13.453125" customWidth="1" style="141" min="12035" max="12043"/>
    <col width="15.6328125" customWidth="1" style="141" min="12044" max="12044"/>
    <col width="16.81640625" customWidth="1" style="141" min="12045" max="12045"/>
    <col width="13.453125" customWidth="1" style="141" min="12046" max="12046"/>
    <col width="10.6328125" customWidth="1" style="141" min="12047" max="12047"/>
    <col width="23.6328125" customWidth="1" style="141" min="12289" max="12289"/>
    <col width="16.36328125" customWidth="1" style="141" min="12290" max="12290"/>
    <col width="13.453125" customWidth="1" style="141" min="12291" max="12299"/>
    <col width="15.6328125" customWidth="1" style="141" min="12300" max="12300"/>
    <col width="16.81640625" customWidth="1" style="141" min="12301" max="12301"/>
    <col width="13.453125" customWidth="1" style="141" min="12302" max="12302"/>
    <col width="10.6328125" customWidth="1" style="141" min="12303" max="12303"/>
    <col width="23.6328125" customWidth="1" style="141" min="12545" max="12545"/>
    <col width="16.36328125" customWidth="1" style="141" min="12546" max="12546"/>
    <col width="13.453125" customWidth="1" style="141" min="12547" max="12555"/>
    <col width="15.6328125" customWidth="1" style="141" min="12556" max="12556"/>
    <col width="16.81640625" customWidth="1" style="141" min="12557" max="12557"/>
    <col width="13.453125" customWidth="1" style="141" min="12558" max="12558"/>
    <col width="10.6328125" customWidth="1" style="141" min="12559" max="12559"/>
    <col width="23.6328125" customWidth="1" style="141" min="12801" max="12801"/>
    <col width="16.36328125" customWidth="1" style="141" min="12802" max="12802"/>
    <col width="13.453125" customWidth="1" style="141" min="12803" max="12811"/>
    <col width="15.6328125" customWidth="1" style="141" min="12812" max="12812"/>
    <col width="16.81640625" customWidth="1" style="141" min="12813" max="12813"/>
    <col width="13.453125" customWidth="1" style="141" min="12814" max="12814"/>
    <col width="10.6328125" customWidth="1" style="141" min="12815" max="12815"/>
    <col width="23.6328125" customWidth="1" style="141" min="13057" max="13057"/>
    <col width="16.36328125" customWidth="1" style="141" min="13058" max="13058"/>
    <col width="13.453125" customWidth="1" style="141" min="13059" max="13067"/>
    <col width="15.6328125" customWidth="1" style="141" min="13068" max="13068"/>
    <col width="16.81640625" customWidth="1" style="141" min="13069" max="13069"/>
    <col width="13.453125" customWidth="1" style="141" min="13070" max="13070"/>
    <col width="10.6328125" customWidth="1" style="141" min="13071" max="13071"/>
    <col width="23.6328125" customWidth="1" style="141" min="13313" max="13313"/>
    <col width="16.36328125" customWidth="1" style="141" min="13314" max="13314"/>
    <col width="13.453125" customWidth="1" style="141" min="13315" max="13323"/>
    <col width="15.6328125" customWidth="1" style="141" min="13324" max="13324"/>
    <col width="16.81640625" customWidth="1" style="141" min="13325" max="13325"/>
    <col width="13.453125" customWidth="1" style="141" min="13326" max="13326"/>
    <col width="10.6328125" customWidth="1" style="141" min="13327" max="13327"/>
    <col width="23.6328125" customWidth="1" style="141" min="13569" max="13569"/>
    <col width="16.36328125" customWidth="1" style="141" min="13570" max="13570"/>
    <col width="13.453125" customWidth="1" style="141" min="13571" max="13579"/>
    <col width="15.6328125" customWidth="1" style="141" min="13580" max="13580"/>
    <col width="16.81640625" customWidth="1" style="141" min="13581" max="13581"/>
    <col width="13.453125" customWidth="1" style="141" min="13582" max="13582"/>
    <col width="10.6328125" customWidth="1" style="141" min="13583" max="13583"/>
    <col width="23.6328125" customWidth="1" style="141" min="13825" max="13825"/>
    <col width="16.36328125" customWidth="1" style="141" min="13826" max="13826"/>
    <col width="13.453125" customWidth="1" style="141" min="13827" max="13835"/>
    <col width="15.6328125" customWidth="1" style="141" min="13836" max="13836"/>
    <col width="16.81640625" customWidth="1" style="141" min="13837" max="13837"/>
    <col width="13.453125" customWidth="1" style="141" min="13838" max="13838"/>
    <col width="10.6328125" customWidth="1" style="141" min="13839" max="13839"/>
    <col width="23.6328125" customWidth="1" style="141" min="14081" max="14081"/>
    <col width="16.36328125" customWidth="1" style="141" min="14082" max="14082"/>
    <col width="13.453125" customWidth="1" style="141" min="14083" max="14091"/>
    <col width="15.6328125" customWidth="1" style="141" min="14092" max="14092"/>
    <col width="16.81640625" customWidth="1" style="141" min="14093" max="14093"/>
    <col width="13.453125" customWidth="1" style="141" min="14094" max="14094"/>
    <col width="10.6328125" customWidth="1" style="141" min="14095" max="14095"/>
    <col width="23.6328125" customWidth="1" style="141" min="14337" max="14337"/>
    <col width="16.36328125" customWidth="1" style="141" min="14338" max="14338"/>
    <col width="13.453125" customWidth="1" style="141" min="14339" max="14347"/>
    <col width="15.6328125" customWidth="1" style="141" min="14348" max="14348"/>
    <col width="16.81640625" customWidth="1" style="141" min="14349" max="14349"/>
    <col width="13.453125" customWidth="1" style="141" min="14350" max="14350"/>
    <col width="10.6328125" customWidth="1" style="141" min="14351" max="14351"/>
    <col width="23.6328125" customWidth="1" style="141" min="14593" max="14593"/>
    <col width="16.36328125" customWidth="1" style="141" min="14594" max="14594"/>
    <col width="13.453125" customWidth="1" style="141" min="14595" max="14603"/>
    <col width="15.6328125" customWidth="1" style="141" min="14604" max="14604"/>
    <col width="16.81640625" customWidth="1" style="141" min="14605" max="14605"/>
    <col width="13.453125" customWidth="1" style="141" min="14606" max="14606"/>
    <col width="10.6328125" customWidth="1" style="141" min="14607" max="14607"/>
    <col width="23.6328125" customWidth="1" style="141" min="14849" max="14849"/>
    <col width="16.36328125" customWidth="1" style="141" min="14850" max="14850"/>
    <col width="13.453125" customWidth="1" style="141" min="14851" max="14859"/>
    <col width="15.6328125" customWidth="1" style="141" min="14860" max="14860"/>
    <col width="16.81640625" customWidth="1" style="141" min="14861" max="14861"/>
    <col width="13.453125" customWidth="1" style="141" min="14862" max="14862"/>
    <col width="10.6328125" customWidth="1" style="141" min="14863" max="14863"/>
    <col width="23.6328125" customWidth="1" style="141" min="15105" max="15105"/>
    <col width="16.36328125" customWidth="1" style="141" min="15106" max="15106"/>
    <col width="13.453125" customWidth="1" style="141" min="15107" max="15115"/>
    <col width="15.6328125" customWidth="1" style="141" min="15116" max="15116"/>
    <col width="16.81640625" customWidth="1" style="141" min="15117" max="15117"/>
    <col width="13.453125" customWidth="1" style="141" min="15118" max="15118"/>
    <col width="10.6328125" customWidth="1" style="141" min="15119" max="15119"/>
    <col width="23.6328125" customWidth="1" style="141" min="15361" max="15361"/>
    <col width="16.36328125" customWidth="1" style="141" min="15362" max="15362"/>
    <col width="13.453125" customWidth="1" style="141" min="15363" max="15371"/>
    <col width="15.6328125" customWidth="1" style="141" min="15372" max="15372"/>
    <col width="16.81640625" customWidth="1" style="141" min="15373" max="15373"/>
    <col width="13.453125" customWidth="1" style="141" min="15374" max="15374"/>
    <col width="10.6328125" customWidth="1" style="141" min="15375" max="15375"/>
    <col width="23.6328125" customWidth="1" style="141" min="15617" max="15617"/>
    <col width="16.36328125" customWidth="1" style="141" min="15618" max="15618"/>
    <col width="13.453125" customWidth="1" style="141" min="15619" max="15627"/>
    <col width="15.6328125" customWidth="1" style="141" min="15628" max="15628"/>
    <col width="16.81640625" customWidth="1" style="141" min="15629" max="15629"/>
    <col width="13.453125" customWidth="1" style="141" min="15630" max="15630"/>
    <col width="10.6328125" customWidth="1" style="141" min="15631" max="15631"/>
    <col width="23.6328125" customWidth="1" style="141" min="15873" max="15873"/>
    <col width="16.36328125" customWidth="1" style="141" min="15874" max="15874"/>
    <col width="13.453125" customWidth="1" style="141" min="15875" max="15883"/>
    <col width="15.6328125" customWidth="1" style="141" min="15884" max="15884"/>
    <col width="16.81640625" customWidth="1" style="141" min="15885" max="15885"/>
    <col width="13.453125" customWidth="1" style="141" min="15886" max="15886"/>
    <col width="10.6328125" customWidth="1" style="141" min="15887" max="15887"/>
    <col width="23.6328125" customWidth="1" style="141" min="16129" max="16129"/>
    <col width="16.36328125" customWidth="1" style="141" min="16130" max="16130"/>
    <col width="13.453125" customWidth="1" style="141" min="16131" max="16139"/>
    <col width="15.6328125" customWidth="1" style="141" min="16140" max="16140"/>
    <col width="16.81640625" customWidth="1" style="141" min="16141" max="16141"/>
    <col width="13.453125" customWidth="1" style="141" min="16142" max="16142"/>
    <col width="10.6328125" customWidth="1" style="141" min="16143" max="16143"/>
  </cols>
  <sheetData>
    <row r="1" ht="12.75" customHeight="1" s="141">
      <c r="A1" s="3" t="n"/>
      <c r="B1" s="4" t="n"/>
      <c r="C1" s="4" t="n"/>
      <c r="D1" s="4" t="n"/>
      <c r="E1" s="4" t="n"/>
      <c r="F1" s="4" t="n"/>
      <c r="G1" s="4" t="n"/>
      <c r="H1" s="4" t="n"/>
      <c r="I1" s="4" t="n"/>
      <c r="J1" s="4" t="n"/>
      <c r="K1" s="4" t="n"/>
      <c r="L1" s="4" t="n"/>
      <c r="M1" s="4" t="n"/>
      <c r="N1" s="5" t="n"/>
    </row>
    <row r="2" ht="24" customHeight="1" s="141">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1">
      <c r="A3" s="6" t="n"/>
      <c r="B3" s="4" t="n"/>
      <c r="C3" s="4" t="n"/>
      <c r="D3" s="4" t="n"/>
      <c r="E3" s="4" t="n"/>
      <c r="F3" s="4" t="n"/>
      <c r="G3" s="4" t="n"/>
      <c r="H3" s="4" t="n"/>
      <c r="I3" s="4" t="n"/>
      <c r="J3" s="4" t="n"/>
      <c r="K3" s="4" t="n"/>
      <c r="L3" s="4" t="n"/>
      <c r="M3" s="4" t="n"/>
      <c r="N3" s="5" t="n"/>
    </row>
    <row r="4" ht="16.5" customHeight="1" s="141"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1"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1"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1">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1">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1">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1" thickBot="1">
      <c r="A10" s="30" t="n"/>
      <c r="B10" s="31" t="n"/>
      <c r="C10" s="31" t="n"/>
      <c r="D10" s="31" t="n"/>
      <c r="E10" s="31" t="n"/>
      <c r="F10" s="31" t="n"/>
      <c r="G10" s="31" t="n"/>
      <c r="H10" s="31" t="n"/>
      <c r="I10" s="31" t="n"/>
      <c r="J10" s="31" t="n"/>
      <c r="K10" s="31" t="n"/>
      <c r="L10" s="31" t="n"/>
      <c r="M10" s="31" t="n"/>
      <c r="N10" s="32" t="n"/>
    </row>
    <row r="11" ht="9" customHeight="1" s="141">
      <c r="A11" s="3" t="n"/>
      <c r="B11" s="33" t="n"/>
      <c r="C11" s="34" t="n"/>
      <c r="D11" s="34" t="n"/>
      <c r="E11" s="34" t="n"/>
      <c r="F11" s="100" t="n"/>
      <c r="G11" s="100" t="n"/>
      <c r="H11" s="100" t="n"/>
      <c r="I11" s="34" t="n"/>
      <c r="J11" s="34" t="n"/>
      <c r="K11" s="34" t="n"/>
      <c r="L11" s="34" t="n"/>
      <c r="M11" s="34" t="n"/>
      <c r="N11" s="101" t="n"/>
    </row>
    <row r="12" ht="18" customHeight="1" s="141">
      <c r="A12" s="35" t="inlineStr">
        <is>
          <t>DURABLE GOODS</t>
        </is>
      </c>
      <c r="B12" s="36" t="n"/>
      <c r="C12" s="37" t="n"/>
      <c r="D12" s="37" t="n"/>
      <c r="E12" s="37" t="n"/>
      <c r="F12" s="102" t="n"/>
      <c r="G12" s="102" t="n"/>
      <c r="H12" s="102" t="n"/>
      <c r="I12" s="37" t="n"/>
      <c r="J12" s="37" t="n"/>
      <c r="K12" s="37" t="n"/>
      <c r="L12" s="37" t="n"/>
      <c r="M12" s="37" t="n"/>
      <c r="N12" s="103" t="n"/>
    </row>
    <row r="13" ht="9" customHeight="1" s="141">
      <c r="A13" s="38" t="n"/>
      <c r="B13" s="33" t="n"/>
      <c r="C13" s="37" t="n"/>
      <c r="D13" s="37" t="n"/>
      <c r="E13" s="37" t="n"/>
      <c r="F13" s="102" t="n"/>
      <c r="G13" s="102" t="n"/>
      <c r="H13" s="102" t="n"/>
      <c r="I13" s="37" t="n"/>
      <c r="J13" s="37" t="n"/>
      <c r="K13" s="37" t="n"/>
      <c r="L13" s="37" t="n"/>
      <c r="M13" s="37" t="n"/>
      <c r="N13" s="103" t="n"/>
    </row>
    <row r="14" ht="17" customHeight="1" s="141">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1">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1">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1">
      <c r="A17" s="40" t="n"/>
      <c r="B17" s="33" t="n"/>
      <c r="C17" s="41" t="n"/>
      <c r="D17" s="41" t="n"/>
      <c r="E17" s="41" t="n"/>
      <c r="F17" s="104" t="n"/>
      <c r="G17" s="104" t="n"/>
      <c r="H17" s="104" t="n"/>
      <c r="I17" s="41" t="n"/>
      <c r="J17" s="41" t="n"/>
      <c r="K17" s="41" t="n"/>
      <c r="L17" s="41" t="n"/>
      <c r="M17" s="41" t="n"/>
      <c r="N17" s="105" t="n"/>
    </row>
    <row r="18" ht="20" customHeight="1" s="141">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1">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1">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1">
      <c r="A21" s="40" t="n"/>
      <c r="B21" s="33" t="n"/>
      <c r="C21" s="41" t="n"/>
      <c r="D21" s="41" t="n"/>
      <c r="E21" s="41" t="n"/>
      <c r="F21" s="104" t="n"/>
      <c r="G21" s="104" t="n"/>
      <c r="H21" s="104" t="n"/>
      <c r="I21" s="41" t="n"/>
      <c r="J21" s="41" t="n"/>
      <c r="K21" s="41" t="n"/>
      <c r="L21" s="41" t="n"/>
      <c r="M21" s="41" t="n"/>
      <c r="N21" s="105" t="n"/>
    </row>
    <row r="22" ht="20" customHeight="1" s="141">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1">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1">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1">
      <c r="A25" s="43" t="n"/>
      <c r="B25" s="33" t="n"/>
      <c r="C25" s="41" t="n"/>
      <c r="D25" s="41" t="n"/>
      <c r="E25" s="41" t="n"/>
      <c r="F25" s="104" t="n"/>
      <c r="G25" s="104" t="n"/>
      <c r="H25" s="104" t="n"/>
      <c r="I25" s="41" t="n"/>
      <c r="J25" s="41" t="n"/>
      <c r="K25" s="41" t="n"/>
      <c r="L25" s="41" t="n"/>
      <c r="M25" s="41" t="n"/>
      <c r="N25" s="105" t="n"/>
    </row>
    <row r="26" ht="20" customHeight="1" s="141">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1">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1">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1">
      <c r="A29" s="40" t="n"/>
      <c r="B29" s="33" t="n"/>
      <c r="C29" s="41" t="n"/>
      <c r="D29" s="41" t="n"/>
      <c r="E29" s="41" t="n"/>
      <c r="F29" s="104" t="n"/>
      <c r="G29" s="104" t="n"/>
      <c r="H29" s="104" t="n"/>
      <c r="I29" s="41" t="n"/>
      <c r="J29" s="41" t="n"/>
      <c r="K29" s="41" t="n"/>
      <c r="L29" s="41" t="n"/>
      <c r="M29" s="41" t="n"/>
      <c r="N29" s="105" t="n"/>
    </row>
    <row r="30" ht="16.5" customHeight="1" s="141">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1">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1">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1">
      <c r="A33" s="44" t="n"/>
      <c r="B33" s="33" t="n"/>
      <c r="C33" s="41" t="n"/>
      <c r="D33" s="41" t="n"/>
      <c r="E33" s="41" t="n"/>
      <c r="F33" s="104" t="n"/>
      <c r="G33" s="104" t="n"/>
      <c r="H33" s="104" t="n"/>
      <c r="I33" s="41" t="n"/>
      <c r="J33" s="41" t="n"/>
      <c r="K33" s="41" t="n"/>
      <c r="L33" s="41" t="n"/>
      <c r="M33" s="41" t="n"/>
      <c r="N33" s="105" t="n"/>
    </row>
    <row r="34" ht="18" customHeight="1" s="141">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1">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1">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1">
      <c r="A37" s="43" t="n"/>
      <c r="B37" s="33" t="n"/>
      <c r="C37" s="41" t="n"/>
      <c r="D37" s="41" t="n"/>
      <c r="E37" s="41" t="n"/>
      <c r="F37" s="104" t="n"/>
      <c r="G37" s="104" t="n"/>
      <c r="H37" s="104" t="n"/>
      <c r="I37" s="41" t="n"/>
      <c r="J37" s="41" t="n"/>
      <c r="K37" s="41" t="n"/>
      <c r="L37" s="41" t="n"/>
      <c r="M37" s="41" t="n"/>
      <c r="N37" s="105" t="n"/>
    </row>
    <row r="38" ht="18.75" customHeight="1" s="141">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1">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1">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1">
      <c r="A41" s="42" t="n"/>
      <c r="B41" s="33" t="n"/>
      <c r="C41" s="41" t="n"/>
      <c r="D41" s="41" t="n"/>
      <c r="E41" s="41" t="n"/>
      <c r="F41" s="104" t="n"/>
      <c r="G41" s="104" t="n"/>
      <c r="H41" s="104" t="n"/>
      <c r="I41" s="41" t="n"/>
      <c r="J41" s="41" t="n"/>
      <c r="K41" s="41" t="n"/>
      <c r="L41" s="41" t="n"/>
      <c r="M41" s="41" t="n"/>
      <c r="N41" s="105" t="n"/>
    </row>
    <row r="42" ht="20" customHeight="1" s="141">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1">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1">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1">
      <c r="A45" s="44" t="n"/>
      <c r="B45" s="33" t="n"/>
      <c r="C45" s="41" t="n"/>
      <c r="D45" s="41" t="n"/>
      <c r="E45" s="41" t="n"/>
      <c r="F45" s="104" t="n"/>
      <c r="G45" s="104" t="n"/>
      <c r="H45" s="104" t="n"/>
      <c r="I45" s="41" t="n"/>
      <c r="J45" s="41" t="n"/>
      <c r="K45" s="41" t="n"/>
      <c r="L45" s="41" t="n"/>
      <c r="M45" s="41" t="n"/>
      <c r="N45" s="105" t="n"/>
    </row>
    <row r="46" ht="18.75" customHeight="1" s="141">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1">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1">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1">
      <c r="A49" s="45" t="inlineStr">
        <is>
          <t xml:space="preserve">       </t>
        </is>
      </c>
      <c r="B49" s="33" t="n"/>
      <c r="C49" s="41" t="n"/>
      <c r="D49" s="41" t="n"/>
      <c r="E49" s="41" t="n"/>
      <c r="F49" s="104" t="n"/>
      <c r="G49" s="104" t="n"/>
      <c r="H49" s="104" t="n"/>
      <c r="I49" s="41" t="n"/>
      <c r="J49" s="41" t="n"/>
      <c r="K49" s="41" t="n"/>
      <c r="L49" s="41" t="n"/>
      <c r="M49" s="41" t="n"/>
      <c r="N49" s="105" t="n"/>
    </row>
    <row r="50" ht="18.75" customHeight="1" s="141">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1">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1">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1">
      <c r="A53" s="40" t="n"/>
      <c r="B53" s="33" t="n"/>
      <c r="C53" s="41" t="n"/>
      <c r="D53" s="41" t="n"/>
      <c r="E53" s="41" t="n"/>
      <c r="F53" s="104" t="n"/>
      <c r="G53" s="104" t="n"/>
      <c r="H53" s="104" t="n"/>
      <c r="I53" s="41" t="n"/>
      <c r="J53" s="41" t="n"/>
      <c r="K53" s="41" t="n"/>
      <c r="L53" s="41" t="n"/>
      <c r="M53" s="41" t="n"/>
      <c r="N53" s="106" t="n"/>
    </row>
    <row r="54" ht="18.75" customHeight="1" s="141">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1">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1">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1">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1">
      <c r="A58" s="44" t="n"/>
      <c r="B58" s="33" t="n"/>
      <c r="C58" s="41" t="n"/>
      <c r="D58" s="41" t="n"/>
      <c r="E58" s="41" t="n"/>
      <c r="F58" s="104" t="n"/>
      <c r="G58" s="104" t="n"/>
      <c r="H58" s="104" t="n"/>
      <c r="I58" s="41" t="n"/>
      <c r="J58" s="41" t="n"/>
      <c r="K58" s="41" t="n"/>
      <c r="L58" s="41" t="n"/>
      <c r="M58" s="41" t="n"/>
      <c r="N58" s="105" t="n"/>
    </row>
    <row r="59" ht="15" customHeight="1" s="141">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1">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1">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1">
      <c r="A62" s="40" t="n"/>
      <c r="B62" s="33" t="n"/>
      <c r="C62" s="41" t="n"/>
      <c r="D62" s="41" t="n"/>
      <c r="E62" s="41" t="n"/>
      <c r="F62" s="104" t="n"/>
      <c r="G62" s="104" t="n"/>
      <c r="H62" s="104" t="n"/>
      <c r="I62" s="41" t="n"/>
      <c r="J62" s="41" t="n"/>
      <c r="K62" s="41" t="n"/>
      <c r="L62" s="41" t="n"/>
      <c r="M62" s="41" t="n"/>
      <c r="N62" s="105" t="n"/>
    </row>
    <row r="63" ht="18.75" customHeight="1" s="141">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1">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1">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1">
      <c r="A66" s="45" t="inlineStr">
        <is>
          <t xml:space="preserve">           </t>
        </is>
      </c>
      <c r="B66" s="33" t="n"/>
      <c r="C66" s="41" t="n"/>
      <c r="D66" s="41" t="n"/>
      <c r="E66" s="41" t="n"/>
      <c r="F66" s="104" t="n"/>
      <c r="G66" s="104" t="n"/>
      <c r="H66" s="104" t="n"/>
      <c r="I66" s="41" t="n"/>
      <c r="J66" s="41" t="n"/>
      <c r="K66" s="41" t="n"/>
      <c r="L66" s="41" t="n"/>
      <c r="M66" s="41" t="n"/>
      <c r="N66" s="105" t="n"/>
    </row>
    <row r="67" ht="18.75" customHeight="1" s="141">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1">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1">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1">
      <c r="A70" s="40" t="n"/>
      <c r="B70" s="33" t="n"/>
      <c r="C70" s="41" t="n"/>
      <c r="D70" s="41" t="n"/>
      <c r="E70" s="41" t="n"/>
      <c r="F70" s="104" t="n"/>
      <c r="G70" s="104" t="n"/>
      <c r="H70" s="104" t="n"/>
      <c r="I70" s="41" t="n"/>
      <c r="J70" s="41" t="n"/>
      <c r="K70" s="41" t="n"/>
      <c r="L70" s="41" t="n"/>
      <c r="M70" s="41" t="n"/>
      <c r="N70" s="105" t="n"/>
    </row>
    <row r="71" ht="18.75" customHeight="1" s="141">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1">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1">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1">
      <c r="A74" s="40" t="n"/>
      <c r="B74" s="33" t="n"/>
      <c r="C74" s="41" t="n"/>
      <c r="D74" s="41" t="n"/>
      <c r="E74" s="41" t="n"/>
      <c r="F74" s="104" t="n"/>
      <c r="G74" s="104" t="n"/>
      <c r="H74" s="104" t="n"/>
      <c r="I74" s="41" t="n"/>
      <c r="J74" s="41" t="n"/>
      <c r="K74" s="41" t="n"/>
      <c r="L74" s="41" t="n"/>
      <c r="M74" s="41" t="n"/>
      <c r="N74" s="105" t="n"/>
    </row>
    <row r="75" ht="18.75" customHeight="1" s="141">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1">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1">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1">
      <c r="A78" s="40" t="n"/>
      <c r="B78" s="33" t="n"/>
      <c r="C78" s="41" t="n"/>
      <c r="D78" s="41" t="n"/>
      <c r="E78" s="41" t="n"/>
      <c r="F78" s="104" t="n"/>
      <c r="G78" s="104" t="n"/>
      <c r="H78" s="104" t="n"/>
      <c r="I78" s="41" t="n"/>
      <c r="J78" s="41" t="n"/>
      <c r="K78" s="41" t="n"/>
      <c r="L78" s="41" t="n"/>
      <c r="M78" s="41" t="n"/>
      <c r="N78" s="105" t="n"/>
    </row>
    <row r="79" ht="21.75" customHeight="1" s="141">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1">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1">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1">
      <c r="A82" s="40" t="n"/>
      <c r="B82" s="33" t="n"/>
      <c r="C82" s="41" t="n"/>
      <c r="D82" s="41" t="n"/>
      <c r="E82" s="41" t="n"/>
      <c r="F82" s="104" t="n"/>
      <c r="G82" s="104" t="n"/>
      <c r="H82" s="104" t="n"/>
      <c r="I82" s="41" t="n"/>
      <c r="J82" s="41" t="n"/>
      <c r="K82" s="41" t="n"/>
      <c r="L82" s="41" t="n"/>
      <c r="M82" s="41" t="n"/>
      <c r="N82" s="105" t="n"/>
    </row>
    <row r="83" ht="18.75" customHeight="1" s="141">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1">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1">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1">
      <c r="A86" s="43" t="n"/>
      <c r="B86" s="33" t="n"/>
      <c r="C86" s="41" t="n"/>
      <c r="D86" s="41" t="n"/>
      <c r="E86" s="41" t="n"/>
      <c r="F86" s="104" t="n"/>
      <c r="G86" s="104" t="n"/>
      <c r="H86" s="104" t="n"/>
      <c r="I86" s="41" t="n"/>
      <c r="J86" s="41" t="n"/>
      <c r="K86" s="41" t="n"/>
      <c r="L86" s="41" t="n"/>
      <c r="M86" s="41" t="n"/>
      <c r="N86" s="105" t="n"/>
    </row>
    <row r="87" ht="20.25" customHeight="1" s="141">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1">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1">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1">
      <c r="A90" s="43" t="n"/>
      <c r="B90" s="33" t="n"/>
      <c r="C90" s="41" t="n"/>
      <c r="D90" s="41" t="n"/>
      <c r="E90" s="41" t="n"/>
      <c r="F90" s="104" t="n"/>
      <c r="G90" s="104" t="n"/>
      <c r="H90" s="104" t="n"/>
      <c r="I90" s="41" t="n"/>
      <c r="J90" s="41" t="n"/>
      <c r="K90" s="41" t="n"/>
      <c r="L90" s="41" t="n"/>
      <c r="M90" s="41" t="n"/>
      <c r="N90" s="105" t="n"/>
    </row>
    <row r="91" ht="18.75" customHeight="1" s="141">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1">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1">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1" thickBot="1">
      <c r="A94" s="30" t="n"/>
      <c r="B94" s="31" t="n"/>
      <c r="C94" s="46" t="n"/>
      <c r="D94" s="46" t="n"/>
      <c r="E94" s="46" t="n"/>
      <c r="F94" s="108" t="n"/>
      <c r="G94" s="108" t="n"/>
      <c r="H94" s="108" t="n"/>
      <c r="I94" s="46" t="n"/>
      <c r="J94" s="46" t="n"/>
      <c r="K94" s="46" t="n"/>
      <c r="L94" s="46" t="n"/>
      <c r="M94" s="46" t="n"/>
      <c r="N94" s="109" t="n"/>
    </row>
    <row r="95" ht="9" customHeight="1" s="141">
      <c r="A95" s="3" t="n"/>
      <c r="B95" s="3" t="n"/>
      <c r="C95" s="47" t="n"/>
      <c r="D95" s="47" t="n"/>
      <c r="E95" s="47" t="n"/>
      <c r="F95" s="110" t="n"/>
      <c r="G95" s="110" t="n"/>
      <c r="H95" s="110" t="n"/>
      <c r="I95" s="47" t="n"/>
      <c r="J95" s="47" t="n"/>
      <c r="K95" s="47" t="n"/>
      <c r="L95" s="47" t="n"/>
      <c r="M95" s="47" t="n"/>
      <c r="N95" s="101" t="n"/>
    </row>
    <row r="96" ht="9" customHeight="1" s="141">
      <c r="A96" s="3" t="n"/>
      <c r="B96" s="3" t="n"/>
      <c r="C96" s="47" t="n"/>
      <c r="D96" s="47" t="n"/>
      <c r="E96" s="47" t="n"/>
      <c r="F96" s="110" t="n"/>
      <c r="G96" s="110" t="n"/>
      <c r="H96" s="110" t="n"/>
      <c r="I96" s="47" t="n"/>
      <c r="J96" s="47" t="n"/>
      <c r="K96" s="47" t="n"/>
      <c r="L96" s="47" t="n"/>
      <c r="M96" s="47" t="n"/>
      <c r="N96" s="101" t="n"/>
    </row>
    <row r="97" ht="9" customHeight="1" s="141">
      <c r="A97" s="3" t="n"/>
      <c r="B97" s="3" t="n"/>
      <c r="C97" s="3" t="n"/>
      <c r="D97" s="3" t="n"/>
      <c r="E97" s="3" t="n"/>
      <c r="F97" s="3" t="n"/>
      <c r="G97" s="3" t="n"/>
      <c r="H97" s="3" t="n"/>
      <c r="I97" s="3" t="n"/>
      <c r="J97" s="3" t="n"/>
      <c r="K97" s="3" t="n"/>
      <c r="L97" s="3" t="n"/>
      <c r="M97" s="3" t="n"/>
      <c r="N97" s="5" t="n"/>
    </row>
    <row r="98" ht="320.25" customHeight="1" s="141">
      <c r="A98" s="140"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1">
      <c r="A99" s="48" t="n"/>
      <c r="B99" s="49" t="n"/>
      <c r="C99" s="49" t="n"/>
      <c r="D99" s="49" t="n"/>
      <c r="E99" s="49" t="n"/>
      <c r="F99" s="49" t="n"/>
      <c r="G99" s="49" t="n"/>
      <c r="H99" s="49" t="n"/>
      <c r="I99" s="49" t="n"/>
      <c r="J99" s="49" t="n"/>
      <c r="K99" s="49" t="n"/>
      <c r="L99" s="49" t="n"/>
      <c r="M99" s="49" t="n"/>
      <c r="N99" s="49" t="n"/>
    </row>
    <row r="100" ht="12" customHeight="1" s="141">
      <c r="A100" s="50" t="n"/>
      <c r="B100" s="51" t="n"/>
    </row>
    <row r="101" ht="18" customHeight="1" s="141">
      <c r="A101" s="52" t="n"/>
      <c r="B101" s="51" t="n"/>
    </row>
    <row r="102" ht="6.5" customHeight="1" s="141">
      <c r="A102" s="50" t="n"/>
      <c r="B102" s="51" t="n"/>
    </row>
    <row r="103" ht="18" customHeight="1" s="141">
      <c r="A103" s="52" t="n"/>
      <c r="B103" s="51" t="n"/>
    </row>
    <row r="104" ht="6.5" customHeight="1" s="141">
      <c r="A104" s="50" t="n"/>
      <c r="B104" s="51" t="n"/>
    </row>
    <row r="105" ht="12" customHeight="1" s="141">
      <c r="B105" s="51" t="n"/>
    </row>
    <row r="106" ht="12.75" customHeight="1" s="141"/>
    <row r="107" ht="12.75" customHeight="1" s="141">
      <c r="B107" s="53" t="n"/>
      <c r="C107" s="53" t="n"/>
      <c r="D107" s="53" t="n"/>
      <c r="E107" s="53" t="n"/>
      <c r="F107" s="53" t="n"/>
      <c r="G107" s="53" t="n"/>
      <c r="H107" s="53" t="n"/>
      <c r="I107" s="53" t="n"/>
      <c r="J107" s="53" t="n"/>
      <c r="K107" s="53" t="n"/>
      <c r="L107" s="53" t="n"/>
      <c r="M107" s="53" t="n"/>
    </row>
    <row r="108" ht="12.75" customHeight="1" s="141">
      <c r="B108" s="53" t="n"/>
      <c r="C108" s="53" t="n"/>
      <c r="D108" s="53" t="n"/>
      <c r="E108" s="53" t="n"/>
      <c r="F108" s="53" t="n"/>
      <c r="G108" s="53" t="n"/>
      <c r="H108" s="53" t="n"/>
      <c r="I108" s="53" t="n"/>
      <c r="J108" s="53" t="n"/>
      <c r="K108" s="53" t="n"/>
      <c r="L108" s="53" t="n"/>
      <c r="M108" s="53" t="n"/>
    </row>
    <row r="109" ht="12" customHeight="1" s="141">
      <c r="B109" s="53" t="n"/>
      <c r="C109" s="53" t="n"/>
      <c r="D109" s="53" t="n"/>
      <c r="E109" s="53" t="n"/>
      <c r="F109" s="53" t="n"/>
      <c r="G109" s="53" t="n"/>
      <c r="H109" s="53" t="n"/>
      <c r="I109" s="53" t="n"/>
      <c r="J109" s="53" t="n"/>
      <c r="K109" s="53" t="n"/>
      <c r="L109" s="53" t="n"/>
      <c r="M109" s="53" t="n"/>
    </row>
    <row r="110" ht="12.75" customHeight="1" s="141">
      <c r="B110" s="53" t="n"/>
      <c r="C110" s="53" t="n"/>
      <c r="D110" s="53" t="n"/>
      <c r="E110" s="53" t="n"/>
      <c r="F110" s="53" t="n"/>
      <c r="G110" s="53" t="n"/>
      <c r="H110" s="53" t="n"/>
      <c r="I110" s="53" t="n"/>
      <c r="J110" s="53" t="n"/>
      <c r="K110" s="53" t="n"/>
      <c r="L110" s="53" t="n"/>
      <c r="M110" s="53" t="n"/>
    </row>
    <row r="111" ht="12.75" customHeight="1" s="141">
      <c r="B111" s="53" t="n"/>
      <c r="C111" s="53" t="n"/>
      <c r="D111" s="53" t="n"/>
      <c r="E111" s="53" t="n"/>
      <c r="F111" s="53" t="n"/>
      <c r="G111" s="53" t="n"/>
      <c r="H111" s="53" t="n"/>
      <c r="I111" s="53" t="n"/>
      <c r="J111" s="53" t="n"/>
      <c r="K111" s="53" t="n"/>
      <c r="L111" s="53" t="n"/>
      <c r="M111" s="53" t="n"/>
    </row>
    <row r="112" ht="12.75" customHeight="1" s="141">
      <c r="B112" s="53" t="n"/>
      <c r="C112" s="53" t="n"/>
      <c r="D112" s="53" t="n"/>
      <c r="E112" s="53" t="n"/>
      <c r="F112" s="53" t="n"/>
      <c r="G112" s="53" t="n"/>
      <c r="H112" s="53" t="n"/>
      <c r="I112" s="53" t="n"/>
      <c r="J112" s="53" t="n"/>
      <c r="K112" s="53" t="n"/>
      <c r="L112" s="53" t="n"/>
      <c r="M112" s="53" t="n"/>
    </row>
    <row r="113" ht="12.75" customHeight="1" s="141">
      <c r="B113" s="53" t="n"/>
      <c r="C113" s="53" t="n"/>
      <c r="D113" s="53" t="n"/>
      <c r="E113" s="53" t="n"/>
      <c r="F113" s="53" t="n"/>
      <c r="G113" s="53" t="n"/>
      <c r="H113" s="53" t="n"/>
      <c r="I113" s="53" t="n"/>
      <c r="J113" s="53" t="n"/>
      <c r="K113" s="53" t="n"/>
      <c r="L113" s="53" t="n"/>
      <c r="M113" s="53" t="n"/>
    </row>
    <row r="114" ht="12.75" customHeight="1" s="141">
      <c r="B114" s="53" t="n"/>
      <c r="C114" s="53" t="n"/>
      <c r="D114" s="53" t="n"/>
      <c r="E114" s="53" t="n"/>
      <c r="F114" s="53" t="n"/>
      <c r="G114" s="53" t="n"/>
      <c r="H114" s="53" t="n"/>
      <c r="I114" s="53" t="n"/>
      <c r="J114" s="53" t="n"/>
      <c r="K114" s="53" t="n"/>
      <c r="L114" s="53" t="n"/>
      <c r="M114" s="53" t="n"/>
    </row>
    <row r="115" ht="20.25" customHeight="1" s="141">
      <c r="A115" s="54" t="n"/>
      <c r="B115" s="53" t="n"/>
      <c r="C115" s="53" t="n"/>
      <c r="D115" s="53" t="n"/>
      <c r="E115" s="53" t="n"/>
      <c r="F115" s="53" t="n"/>
      <c r="G115" s="53" t="n"/>
      <c r="H115" s="53" t="n"/>
      <c r="I115" s="53" t="n"/>
      <c r="J115" s="53" t="n"/>
      <c r="K115" s="53" t="n"/>
      <c r="L115" s="53" t="n"/>
      <c r="M115" s="53" t="n"/>
    </row>
    <row r="116" ht="15" customHeight="1" s="141">
      <c r="A116" s="55" t="n"/>
      <c r="B116" s="53" t="n"/>
      <c r="C116" s="53" t="n"/>
      <c r="D116" s="53" t="n"/>
      <c r="E116" s="53" t="n"/>
      <c r="F116" s="53" t="n"/>
      <c r="G116" s="53" t="n"/>
      <c r="H116" s="53" t="n"/>
      <c r="I116" s="53" t="n"/>
      <c r="J116" s="53" t="n"/>
      <c r="K116" s="53" t="n"/>
      <c r="L116" s="53" t="n"/>
      <c r="M116" s="53" t="n"/>
    </row>
    <row r="117" ht="12.75" customHeight="1" s="141"/>
    <row r="118" ht="18" customHeight="1" s="141"/>
    <row r="119" ht="18" customHeight="1" s="141"/>
    <row r="120" ht="15" customHeight="1" s="141"/>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84"/>
  <sheetViews>
    <sheetView zoomScale="120" zoomScaleNormal="120" workbookViewId="0">
      <pane ySplit="1" topLeftCell="A771" activePane="bottomLeft" state="frozen"/>
      <selection activeCell="Q21" sqref="Q21"/>
      <selection pane="bottomLeft" activeCell="Q21" sqref="Q21"/>
    </sheetView>
  </sheetViews>
  <sheetFormatPr baseColWidth="8" defaultColWidth="8.81640625" defaultRowHeight="14.5"/>
  <cols>
    <col width="12.6328125" customWidth="1" style="141" min="1" max="1"/>
    <col width="9.6328125" customWidth="1" style="141" min="2" max="7"/>
    <col width="10.6328125" customWidth="1" style="141" min="8" max="10"/>
    <col width="9.6328125" customWidth="1" style="141" min="11" max="11"/>
    <col width="10.6328125" customWidth="1" style="141" min="12" max="12"/>
    <col width="9.6328125" customWidth="1" style="141" min="13" max="13"/>
    <col width="9.1796875" customWidth="1" style="141" min="14" max="256"/>
    <col width="12.6328125" customWidth="1" style="141" min="257" max="257"/>
    <col width="9.6328125" customWidth="1" style="141" min="258" max="262"/>
    <col width="10.6328125" customWidth="1" style="141" min="263" max="266"/>
    <col width="9.6328125" customWidth="1" style="141" min="267" max="267"/>
    <col width="10.6328125" customWidth="1" style="141" min="268" max="268"/>
    <col width="9.6328125" customWidth="1" style="141" min="269" max="269"/>
    <col width="9.1796875" customWidth="1" style="141" min="270" max="512"/>
    <col width="12.6328125" customWidth="1" style="141" min="513" max="513"/>
    <col width="9.6328125" customWidth="1" style="141" min="514" max="518"/>
    <col width="10.6328125" customWidth="1" style="141" min="519" max="522"/>
    <col width="9.6328125" customWidth="1" style="141" min="523" max="523"/>
    <col width="10.6328125" customWidth="1" style="141" min="524" max="524"/>
    <col width="9.6328125" customWidth="1" style="141" min="525" max="525"/>
    <col width="9.1796875" customWidth="1" style="141" min="526" max="768"/>
    <col width="12.6328125" customWidth="1" style="141" min="769" max="769"/>
    <col width="9.6328125" customWidth="1" style="141" min="770" max="774"/>
    <col width="10.6328125" customWidth="1" style="141" min="775" max="778"/>
    <col width="9.6328125" customWidth="1" style="141" min="779" max="779"/>
    <col width="10.6328125" customWidth="1" style="141" min="780" max="780"/>
    <col width="9.6328125" customWidth="1" style="141" min="781" max="781"/>
    <col width="9.1796875" customWidth="1" style="141" min="782" max="1024"/>
    <col width="12.6328125" customWidth="1" style="141" min="1025" max="1025"/>
    <col width="9.6328125" customWidth="1" style="141" min="1026" max="1030"/>
    <col width="10.6328125" customWidth="1" style="141" min="1031" max="1034"/>
    <col width="9.6328125" customWidth="1" style="141" min="1035" max="1035"/>
    <col width="10.6328125" customWidth="1" style="141" min="1036" max="1036"/>
    <col width="9.6328125" customWidth="1" style="141" min="1037" max="1037"/>
    <col width="9.1796875" customWidth="1" style="141" min="1038" max="1280"/>
    <col width="12.6328125" customWidth="1" style="141" min="1281" max="1281"/>
    <col width="9.6328125" customWidth="1" style="141" min="1282" max="1286"/>
    <col width="10.6328125" customWidth="1" style="141" min="1287" max="1290"/>
    <col width="9.6328125" customWidth="1" style="141" min="1291" max="1291"/>
    <col width="10.6328125" customWidth="1" style="141" min="1292" max="1292"/>
    <col width="9.6328125" customWidth="1" style="141" min="1293" max="1293"/>
    <col width="9.1796875" customWidth="1" style="141" min="1294" max="1536"/>
    <col width="12.6328125" customWidth="1" style="141" min="1537" max="1537"/>
    <col width="9.6328125" customWidth="1" style="141" min="1538" max="1542"/>
    <col width="10.6328125" customWidth="1" style="141" min="1543" max="1546"/>
    <col width="9.6328125" customWidth="1" style="141" min="1547" max="1547"/>
    <col width="10.6328125" customWidth="1" style="141" min="1548" max="1548"/>
    <col width="9.6328125" customWidth="1" style="141" min="1549" max="1549"/>
    <col width="9.1796875" customWidth="1" style="141" min="1550" max="1792"/>
    <col width="12.6328125" customWidth="1" style="141" min="1793" max="1793"/>
    <col width="9.6328125" customWidth="1" style="141" min="1794" max="1798"/>
    <col width="10.6328125" customWidth="1" style="141" min="1799" max="1802"/>
    <col width="9.6328125" customWidth="1" style="141" min="1803" max="1803"/>
    <col width="10.6328125" customWidth="1" style="141" min="1804" max="1804"/>
    <col width="9.6328125" customWidth="1" style="141" min="1805" max="1805"/>
    <col width="9.1796875" customWidth="1" style="141" min="1806" max="2048"/>
    <col width="12.6328125" customWidth="1" style="141" min="2049" max="2049"/>
    <col width="9.6328125" customWidth="1" style="141" min="2050" max="2054"/>
    <col width="10.6328125" customWidth="1" style="141" min="2055" max="2058"/>
    <col width="9.6328125" customWidth="1" style="141" min="2059" max="2059"/>
    <col width="10.6328125" customWidth="1" style="141" min="2060" max="2060"/>
    <col width="9.6328125" customWidth="1" style="141" min="2061" max="2061"/>
    <col width="9.1796875" customWidth="1" style="141" min="2062" max="2304"/>
    <col width="12.6328125" customWidth="1" style="141" min="2305" max="2305"/>
    <col width="9.6328125" customWidth="1" style="141" min="2306" max="2310"/>
    <col width="10.6328125" customWidth="1" style="141" min="2311" max="2314"/>
    <col width="9.6328125" customWidth="1" style="141" min="2315" max="2315"/>
    <col width="10.6328125" customWidth="1" style="141" min="2316" max="2316"/>
    <col width="9.6328125" customWidth="1" style="141" min="2317" max="2317"/>
    <col width="9.1796875" customWidth="1" style="141" min="2318" max="2560"/>
    <col width="12.6328125" customWidth="1" style="141" min="2561" max="2561"/>
    <col width="9.6328125" customWidth="1" style="141" min="2562" max="2566"/>
    <col width="10.6328125" customWidth="1" style="141" min="2567" max="2570"/>
    <col width="9.6328125" customWidth="1" style="141" min="2571" max="2571"/>
    <col width="10.6328125" customWidth="1" style="141" min="2572" max="2572"/>
    <col width="9.6328125" customWidth="1" style="141" min="2573" max="2573"/>
    <col width="9.1796875" customWidth="1" style="141" min="2574" max="2816"/>
    <col width="12.6328125" customWidth="1" style="141" min="2817" max="2817"/>
    <col width="9.6328125" customWidth="1" style="141" min="2818" max="2822"/>
    <col width="10.6328125" customWidth="1" style="141" min="2823" max="2826"/>
    <col width="9.6328125" customWidth="1" style="141" min="2827" max="2827"/>
    <col width="10.6328125" customWidth="1" style="141" min="2828" max="2828"/>
    <col width="9.6328125" customWidth="1" style="141" min="2829" max="2829"/>
    <col width="9.1796875" customWidth="1" style="141" min="2830" max="3072"/>
    <col width="12.6328125" customWidth="1" style="141" min="3073" max="3073"/>
    <col width="9.6328125" customWidth="1" style="141" min="3074" max="3078"/>
    <col width="10.6328125" customWidth="1" style="141" min="3079" max="3082"/>
    <col width="9.6328125" customWidth="1" style="141" min="3083" max="3083"/>
    <col width="10.6328125" customWidth="1" style="141" min="3084" max="3084"/>
    <col width="9.6328125" customWidth="1" style="141" min="3085" max="3085"/>
    <col width="9.1796875" customWidth="1" style="141" min="3086" max="3328"/>
    <col width="12.6328125" customWidth="1" style="141" min="3329" max="3329"/>
    <col width="9.6328125" customWidth="1" style="141" min="3330" max="3334"/>
    <col width="10.6328125" customWidth="1" style="141" min="3335" max="3338"/>
    <col width="9.6328125" customWidth="1" style="141" min="3339" max="3339"/>
    <col width="10.6328125" customWidth="1" style="141" min="3340" max="3340"/>
    <col width="9.6328125" customWidth="1" style="141" min="3341" max="3341"/>
    <col width="9.1796875" customWidth="1" style="141" min="3342" max="3584"/>
    <col width="12.6328125" customWidth="1" style="141" min="3585" max="3585"/>
    <col width="9.6328125" customWidth="1" style="141" min="3586" max="3590"/>
    <col width="10.6328125" customWidth="1" style="141" min="3591" max="3594"/>
    <col width="9.6328125" customWidth="1" style="141" min="3595" max="3595"/>
    <col width="10.6328125" customWidth="1" style="141" min="3596" max="3596"/>
    <col width="9.6328125" customWidth="1" style="141" min="3597" max="3597"/>
    <col width="9.1796875" customWidth="1" style="141" min="3598" max="3840"/>
    <col width="12.6328125" customWidth="1" style="141" min="3841" max="3841"/>
    <col width="9.6328125" customWidth="1" style="141" min="3842" max="3846"/>
    <col width="10.6328125" customWidth="1" style="141" min="3847" max="3850"/>
    <col width="9.6328125" customWidth="1" style="141" min="3851" max="3851"/>
    <col width="10.6328125" customWidth="1" style="141" min="3852" max="3852"/>
    <col width="9.6328125" customWidth="1" style="141" min="3853" max="3853"/>
    <col width="9.1796875" customWidth="1" style="141" min="3854" max="4096"/>
    <col width="12.6328125" customWidth="1" style="141" min="4097" max="4097"/>
    <col width="9.6328125" customWidth="1" style="141" min="4098" max="4102"/>
    <col width="10.6328125" customWidth="1" style="141" min="4103" max="4106"/>
    <col width="9.6328125" customWidth="1" style="141" min="4107" max="4107"/>
    <col width="10.6328125" customWidth="1" style="141" min="4108" max="4108"/>
    <col width="9.6328125" customWidth="1" style="141" min="4109" max="4109"/>
    <col width="9.1796875" customWidth="1" style="141" min="4110" max="4352"/>
    <col width="12.6328125" customWidth="1" style="141" min="4353" max="4353"/>
    <col width="9.6328125" customWidth="1" style="141" min="4354" max="4358"/>
    <col width="10.6328125" customWidth="1" style="141" min="4359" max="4362"/>
    <col width="9.6328125" customWidth="1" style="141" min="4363" max="4363"/>
    <col width="10.6328125" customWidth="1" style="141" min="4364" max="4364"/>
    <col width="9.6328125" customWidth="1" style="141" min="4365" max="4365"/>
    <col width="9.1796875" customWidth="1" style="141" min="4366" max="4608"/>
    <col width="12.6328125" customWidth="1" style="141" min="4609" max="4609"/>
    <col width="9.6328125" customWidth="1" style="141" min="4610" max="4614"/>
    <col width="10.6328125" customWidth="1" style="141" min="4615" max="4618"/>
    <col width="9.6328125" customWidth="1" style="141" min="4619" max="4619"/>
    <col width="10.6328125" customWidth="1" style="141" min="4620" max="4620"/>
    <col width="9.6328125" customWidth="1" style="141" min="4621" max="4621"/>
    <col width="9.1796875" customWidth="1" style="141" min="4622" max="4864"/>
    <col width="12.6328125" customWidth="1" style="141" min="4865" max="4865"/>
    <col width="9.6328125" customWidth="1" style="141" min="4866" max="4870"/>
    <col width="10.6328125" customWidth="1" style="141" min="4871" max="4874"/>
    <col width="9.6328125" customWidth="1" style="141" min="4875" max="4875"/>
    <col width="10.6328125" customWidth="1" style="141" min="4876" max="4876"/>
    <col width="9.6328125" customWidth="1" style="141" min="4877" max="4877"/>
    <col width="9.1796875" customWidth="1" style="141" min="4878" max="5120"/>
    <col width="12.6328125" customWidth="1" style="141" min="5121" max="5121"/>
    <col width="9.6328125" customWidth="1" style="141" min="5122" max="5126"/>
    <col width="10.6328125" customWidth="1" style="141" min="5127" max="5130"/>
    <col width="9.6328125" customWidth="1" style="141" min="5131" max="5131"/>
    <col width="10.6328125" customWidth="1" style="141" min="5132" max="5132"/>
    <col width="9.6328125" customWidth="1" style="141" min="5133" max="5133"/>
    <col width="9.1796875" customWidth="1" style="141" min="5134" max="5376"/>
    <col width="12.6328125" customWidth="1" style="141" min="5377" max="5377"/>
    <col width="9.6328125" customWidth="1" style="141" min="5378" max="5382"/>
    <col width="10.6328125" customWidth="1" style="141" min="5383" max="5386"/>
    <col width="9.6328125" customWidth="1" style="141" min="5387" max="5387"/>
    <col width="10.6328125" customWidth="1" style="141" min="5388" max="5388"/>
    <col width="9.6328125" customWidth="1" style="141" min="5389" max="5389"/>
    <col width="9.1796875" customWidth="1" style="141" min="5390" max="5632"/>
    <col width="12.6328125" customWidth="1" style="141" min="5633" max="5633"/>
    <col width="9.6328125" customWidth="1" style="141" min="5634" max="5638"/>
    <col width="10.6328125" customWidth="1" style="141" min="5639" max="5642"/>
    <col width="9.6328125" customWidth="1" style="141" min="5643" max="5643"/>
    <col width="10.6328125" customWidth="1" style="141" min="5644" max="5644"/>
    <col width="9.6328125" customWidth="1" style="141" min="5645" max="5645"/>
    <col width="9.1796875" customWidth="1" style="141" min="5646" max="5888"/>
    <col width="12.6328125" customWidth="1" style="141" min="5889" max="5889"/>
    <col width="9.6328125" customWidth="1" style="141" min="5890" max="5894"/>
    <col width="10.6328125" customWidth="1" style="141" min="5895" max="5898"/>
    <col width="9.6328125" customWidth="1" style="141" min="5899" max="5899"/>
    <col width="10.6328125" customWidth="1" style="141" min="5900" max="5900"/>
    <col width="9.6328125" customWidth="1" style="141" min="5901" max="5901"/>
    <col width="9.1796875" customWidth="1" style="141" min="5902" max="6144"/>
    <col width="12.6328125" customWidth="1" style="141" min="6145" max="6145"/>
    <col width="9.6328125" customWidth="1" style="141" min="6146" max="6150"/>
    <col width="10.6328125" customWidth="1" style="141" min="6151" max="6154"/>
    <col width="9.6328125" customWidth="1" style="141" min="6155" max="6155"/>
    <col width="10.6328125" customWidth="1" style="141" min="6156" max="6156"/>
    <col width="9.6328125" customWidth="1" style="141" min="6157" max="6157"/>
    <col width="9.1796875" customWidth="1" style="141" min="6158" max="6400"/>
    <col width="12.6328125" customWidth="1" style="141" min="6401" max="6401"/>
    <col width="9.6328125" customWidth="1" style="141" min="6402" max="6406"/>
    <col width="10.6328125" customWidth="1" style="141" min="6407" max="6410"/>
    <col width="9.6328125" customWidth="1" style="141" min="6411" max="6411"/>
    <col width="10.6328125" customWidth="1" style="141" min="6412" max="6412"/>
    <col width="9.6328125" customWidth="1" style="141" min="6413" max="6413"/>
    <col width="9.1796875" customWidth="1" style="141" min="6414" max="6656"/>
    <col width="12.6328125" customWidth="1" style="141" min="6657" max="6657"/>
    <col width="9.6328125" customWidth="1" style="141" min="6658" max="6662"/>
    <col width="10.6328125" customWidth="1" style="141" min="6663" max="6666"/>
    <col width="9.6328125" customWidth="1" style="141" min="6667" max="6667"/>
    <col width="10.6328125" customWidth="1" style="141" min="6668" max="6668"/>
    <col width="9.6328125" customWidth="1" style="141" min="6669" max="6669"/>
    <col width="9.1796875" customWidth="1" style="141" min="6670" max="6912"/>
    <col width="12.6328125" customWidth="1" style="141" min="6913" max="6913"/>
    <col width="9.6328125" customWidth="1" style="141" min="6914" max="6918"/>
    <col width="10.6328125" customWidth="1" style="141" min="6919" max="6922"/>
    <col width="9.6328125" customWidth="1" style="141" min="6923" max="6923"/>
    <col width="10.6328125" customWidth="1" style="141" min="6924" max="6924"/>
    <col width="9.6328125" customWidth="1" style="141" min="6925" max="6925"/>
    <col width="9.1796875" customWidth="1" style="141" min="6926" max="7168"/>
    <col width="12.6328125" customWidth="1" style="141" min="7169" max="7169"/>
    <col width="9.6328125" customWidth="1" style="141" min="7170" max="7174"/>
    <col width="10.6328125" customWidth="1" style="141" min="7175" max="7178"/>
    <col width="9.6328125" customWidth="1" style="141" min="7179" max="7179"/>
    <col width="10.6328125" customWidth="1" style="141" min="7180" max="7180"/>
    <col width="9.6328125" customWidth="1" style="141" min="7181" max="7181"/>
    <col width="9.1796875" customWidth="1" style="141" min="7182" max="7424"/>
    <col width="12.6328125" customWidth="1" style="141" min="7425" max="7425"/>
    <col width="9.6328125" customWidth="1" style="141" min="7426" max="7430"/>
    <col width="10.6328125" customWidth="1" style="141" min="7431" max="7434"/>
    <col width="9.6328125" customWidth="1" style="141" min="7435" max="7435"/>
    <col width="10.6328125" customWidth="1" style="141" min="7436" max="7436"/>
    <col width="9.6328125" customWidth="1" style="141" min="7437" max="7437"/>
    <col width="9.1796875" customWidth="1" style="141" min="7438" max="7680"/>
    <col width="12.6328125" customWidth="1" style="141" min="7681" max="7681"/>
    <col width="9.6328125" customWidth="1" style="141" min="7682" max="7686"/>
    <col width="10.6328125" customWidth="1" style="141" min="7687" max="7690"/>
    <col width="9.6328125" customWidth="1" style="141" min="7691" max="7691"/>
    <col width="10.6328125" customWidth="1" style="141" min="7692" max="7692"/>
    <col width="9.6328125" customWidth="1" style="141" min="7693" max="7693"/>
    <col width="9.1796875" customWidth="1" style="141" min="7694" max="7936"/>
    <col width="12.6328125" customWidth="1" style="141" min="7937" max="7937"/>
    <col width="9.6328125" customWidth="1" style="141" min="7938" max="7942"/>
    <col width="10.6328125" customWidth="1" style="141" min="7943" max="7946"/>
    <col width="9.6328125" customWidth="1" style="141" min="7947" max="7947"/>
    <col width="10.6328125" customWidth="1" style="141" min="7948" max="7948"/>
    <col width="9.6328125" customWidth="1" style="141" min="7949" max="7949"/>
    <col width="9.1796875" customWidth="1" style="141" min="7950" max="8192"/>
    <col width="12.6328125" customWidth="1" style="141" min="8193" max="8193"/>
    <col width="9.6328125" customWidth="1" style="141" min="8194" max="8198"/>
    <col width="10.6328125" customWidth="1" style="141" min="8199" max="8202"/>
    <col width="9.6328125" customWidth="1" style="141" min="8203" max="8203"/>
    <col width="10.6328125" customWidth="1" style="141" min="8204" max="8204"/>
    <col width="9.6328125" customWidth="1" style="141" min="8205" max="8205"/>
    <col width="9.1796875" customWidth="1" style="141" min="8206" max="8448"/>
    <col width="12.6328125" customWidth="1" style="141" min="8449" max="8449"/>
    <col width="9.6328125" customWidth="1" style="141" min="8450" max="8454"/>
    <col width="10.6328125" customWidth="1" style="141" min="8455" max="8458"/>
    <col width="9.6328125" customWidth="1" style="141" min="8459" max="8459"/>
    <col width="10.6328125" customWidth="1" style="141" min="8460" max="8460"/>
    <col width="9.6328125" customWidth="1" style="141" min="8461" max="8461"/>
    <col width="9.1796875" customWidth="1" style="141" min="8462" max="8704"/>
    <col width="12.6328125" customWidth="1" style="141" min="8705" max="8705"/>
    <col width="9.6328125" customWidth="1" style="141" min="8706" max="8710"/>
    <col width="10.6328125" customWidth="1" style="141" min="8711" max="8714"/>
    <col width="9.6328125" customWidth="1" style="141" min="8715" max="8715"/>
    <col width="10.6328125" customWidth="1" style="141" min="8716" max="8716"/>
    <col width="9.6328125" customWidth="1" style="141" min="8717" max="8717"/>
    <col width="9.1796875" customWidth="1" style="141" min="8718" max="8960"/>
    <col width="12.6328125" customWidth="1" style="141" min="8961" max="8961"/>
    <col width="9.6328125" customWidth="1" style="141" min="8962" max="8966"/>
    <col width="10.6328125" customWidth="1" style="141" min="8967" max="8970"/>
    <col width="9.6328125" customWidth="1" style="141" min="8971" max="8971"/>
    <col width="10.6328125" customWidth="1" style="141" min="8972" max="8972"/>
    <col width="9.6328125" customWidth="1" style="141" min="8973" max="8973"/>
    <col width="9.1796875" customWidth="1" style="141" min="8974" max="9216"/>
    <col width="12.6328125" customWidth="1" style="141" min="9217" max="9217"/>
    <col width="9.6328125" customWidth="1" style="141" min="9218" max="9222"/>
    <col width="10.6328125" customWidth="1" style="141" min="9223" max="9226"/>
    <col width="9.6328125" customWidth="1" style="141" min="9227" max="9227"/>
    <col width="10.6328125" customWidth="1" style="141" min="9228" max="9228"/>
    <col width="9.6328125" customWidth="1" style="141" min="9229" max="9229"/>
    <col width="9.1796875" customWidth="1" style="141" min="9230" max="9472"/>
    <col width="12.6328125" customWidth="1" style="141" min="9473" max="9473"/>
    <col width="9.6328125" customWidth="1" style="141" min="9474" max="9478"/>
    <col width="10.6328125" customWidth="1" style="141" min="9479" max="9482"/>
    <col width="9.6328125" customWidth="1" style="141" min="9483" max="9483"/>
    <col width="10.6328125" customWidth="1" style="141" min="9484" max="9484"/>
    <col width="9.6328125" customWidth="1" style="141" min="9485" max="9485"/>
    <col width="9.1796875" customWidth="1" style="141" min="9486" max="9728"/>
    <col width="12.6328125" customWidth="1" style="141" min="9729" max="9729"/>
    <col width="9.6328125" customWidth="1" style="141" min="9730" max="9734"/>
    <col width="10.6328125" customWidth="1" style="141" min="9735" max="9738"/>
    <col width="9.6328125" customWidth="1" style="141" min="9739" max="9739"/>
    <col width="10.6328125" customWidth="1" style="141" min="9740" max="9740"/>
    <col width="9.6328125" customWidth="1" style="141" min="9741" max="9741"/>
    <col width="9.1796875" customWidth="1" style="141" min="9742" max="9984"/>
    <col width="12.6328125" customWidth="1" style="141" min="9985" max="9985"/>
    <col width="9.6328125" customWidth="1" style="141" min="9986" max="9990"/>
    <col width="10.6328125" customWidth="1" style="141" min="9991" max="9994"/>
    <col width="9.6328125" customWidth="1" style="141" min="9995" max="9995"/>
    <col width="10.6328125" customWidth="1" style="141" min="9996" max="9996"/>
    <col width="9.6328125" customWidth="1" style="141" min="9997" max="9997"/>
    <col width="9.1796875" customWidth="1" style="141" min="9998" max="10240"/>
    <col width="12.6328125" customWidth="1" style="141" min="10241" max="10241"/>
    <col width="9.6328125" customWidth="1" style="141" min="10242" max="10246"/>
    <col width="10.6328125" customWidth="1" style="141" min="10247" max="10250"/>
    <col width="9.6328125" customWidth="1" style="141" min="10251" max="10251"/>
    <col width="10.6328125" customWidth="1" style="141" min="10252" max="10252"/>
    <col width="9.6328125" customWidth="1" style="141" min="10253" max="10253"/>
    <col width="9.1796875" customWidth="1" style="141" min="10254" max="10496"/>
    <col width="12.6328125" customWidth="1" style="141" min="10497" max="10497"/>
    <col width="9.6328125" customWidth="1" style="141" min="10498" max="10502"/>
    <col width="10.6328125" customWidth="1" style="141" min="10503" max="10506"/>
    <col width="9.6328125" customWidth="1" style="141" min="10507" max="10507"/>
    <col width="10.6328125" customWidth="1" style="141" min="10508" max="10508"/>
    <col width="9.6328125" customWidth="1" style="141" min="10509" max="10509"/>
    <col width="9.1796875" customWidth="1" style="141" min="10510" max="10752"/>
    <col width="12.6328125" customWidth="1" style="141" min="10753" max="10753"/>
    <col width="9.6328125" customWidth="1" style="141" min="10754" max="10758"/>
    <col width="10.6328125" customWidth="1" style="141" min="10759" max="10762"/>
    <col width="9.6328125" customWidth="1" style="141" min="10763" max="10763"/>
    <col width="10.6328125" customWidth="1" style="141" min="10764" max="10764"/>
    <col width="9.6328125" customWidth="1" style="141" min="10765" max="10765"/>
    <col width="9.1796875" customWidth="1" style="141" min="10766" max="11008"/>
    <col width="12.6328125" customWidth="1" style="141" min="11009" max="11009"/>
    <col width="9.6328125" customWidth="1" style="141" min="11010" max="11014"/>
    <col width="10.6328125" customWidth="1" style="141" min="11015" max="11018"/>
    <col width="9.6328125" customWidth="1" style="141" min="11019" max="11019"/>
    <col width="10.6328125" customWidth="1" style="141" min="11020" max="11020"/>
    <col width="9.6328125" customWidth="1" style="141" min="11021" max="11021"/>
    <col width="9.1796875" customWidth="1" style="141" min="11022" max="11264"/>
    <col width="12.6328125" customWidth="1" style="141" min="11265" max="11265"/>
    <col width="9.6328125" customWidth="1" style="141" min="11266" max="11270"/>
    <col width="10.6328125" customWidth="1" style="141" min="11271" max="11274"/>
    <col width="9.6328125" customWidth="1" style="141" min="11275" max="11275"/>
    <col width="10.6328125" customWidth="1" style="141" min="11276" max="11276"/>
    <col width="9.6328125" customWidth="1" style="141" min="11277" max="11277"/>
    <col width="9.1796875" customWidth="1" style="141" min="11278" max="11520"/>
    <col width="12.6328125" customWidth="1" style="141" min="11521" max="11521"/>
    <col width="9.6328125" customWidth="1" style="141" min="11522" max="11526"/>
    <col width="10.6328125" customWidth="1" style="141" min="11527" max="11530"/>
    <col width="9.6328125" customWidth="1" style="141" min="11531" max="11531"/>
    <col width="10.6328125" customWidth="1" style="141" min="11532" max="11532"/>
    <col width="9.6328125" customWidth="1" style="141" min="11533" max="11533"/>
    <col width="9.1796875" customWidth="1" style="141" min="11534" max="11776"/>
    <col width="12.6328125" customWidth="1" style="141" min="11777" max="11777"/>
    <col width="9.6328125" customWidth="1" style="141" min="11778" max="11782"/>
    <col width="10.6328125" customWidth="1" style="141" min="11783" max="11786"/>
    <col width="9.6328125" customWidth="1" style="141" min="11787" max="11787"/>
    <col width="10.6328125" customWidth="1" style="141" min="11788" max="11788"/>
    <col width="9.6328125" customWidth="1" style="141" min="11789" max="11789"/>
    <col width="9.1796875" customWidth="1" style="141" min="11790" max="12032"/>
    <col width="12.6328125" customWidth="1" style="141" min="12033" max="12033"/>
    <col width="9.6328125" customWidth="1" style="141" min="12034" max="12038"/>
    <col width="10.6328125" customWidth="1" style="141" min="12039" max="12042"/>
    <col width="9.6328125" customWidth="1" style="141" min="12043" max="12043"/>
    <col width="10.6328125" customWidth="1" style="141" min="12044" max="12044"/>
    <col width="9.6328125" customWidth="1" style="141" min="12045" max="12045"/>
    <col width="9.1796875" customWidth="1" style="141" min="12046" max="12288"/>
    <col width="12.6328125" customWidth="1" style="141" min="12289" max="12289"/>
    <col width="9.6328125" customWidth="1" style="141" min="12290" max="12294"/>
    <col width="10.6328125" customWidth="1" style="141" min="12295" max="12298"/>
    <col width="9.6328125" customWidth="1" style="141" min="12299" max="12299"/>
    <col width="10.6328125" customWidth="1" style="141" min="12300" max="12300"/>
    <col width="9.6328125" customWidth="1" style="141" min="12301" max="12301"/>
    <col width="9.1796875" customWidth="1" style="141" min="12302" max="12544"/>
    <col width="12.6328125" customWidth="1" style="141" min="12545" max="12545"/>
    <col width="9.6328125" customWidth="1" style="141" min="12546" max="12550"/>
    <col width="10.6328125" customWidth="1" style="141" min="12551" max="12554"/>
    <col width="9.6328125" customWidth="1" style="141" min="12555" max="12555"/>
    <col width="10.6328125" customWidth="1" style="141" min="12556" max="12556"/>
    <col width="9.6328125" customWidth="1" style="141" min="12557" max="12557"/>
    <col width="9.1796875" customWidth="1" style="141" min="12558" max="12800"/>
    <col width="12.6328125" customWidth="1" style="141" min="12801" max="12801"/>
    <col width="9.6328125" customWidth="1" style="141" min="12802" max="12806"/>
    <col width="10.6328125" customWidth="1" style="141" min="12807" max="12810"/>
    <col width="9.6328125" customWidth="1" style="141" min="12811" max="12811"/>
    <col width="10.6328125" customWidth="1" style="141" min="12812" max="12812"/>
    <col width="9.6328125" customWidth="1" style="141" min="12813" max="12813"/>
    <col width="9.1796875" customWidth="1" style="141" min="12814" max="13056"/>
    <col width="12.6328125" customWidth="1" style="141" min="13057" max="13057"/>
    <col width="9.6328125" customWidth="1" style="141" min="13058" max="13062"/>
    <col width="10.6328125" customWidth="1" style="141" min="13063" max="13066"/>
    <col width="9.6328125" customWidth="1" style="141" min="13067" max="13067"/>
    <col width="10.6328125" customWidth="1" style="141" min="13068" max="13068"/>
    <col width="9.6328125" customWidth="1" style="141" min="13069" max="13069"/>
    <col width="9.1796875" customWidth="1" style="141" min="13070" max="13312"/>
    <col width="12.6328125" customWidth="1" style="141" min="13313" max="13313"/>
    <col width="9.6328125" customWidth="1" style="141" min="13314" max="13318"/>
    <col width="10.6328125" customWidth="1" style="141" min="13319" max="13322"/>
    <col width="9.6328125" customWidth="1" style="141" min="13323" max="13323"/>
    <col width="10.6328125" customWidth="1" style="141" min="13324" max="13324"/>
    <col width="9.6328125" customWidth="1" style="141" min="13325" max="13325"/>
    <col width="9.1796875" customWidth="1" style="141" min="13326" max="13568"/>
    <col width="12.6328125" customWidth="1" style="141" min="13569" max="13569"/>
    <col width="9.6328125" customWidth="1" style="141" min="13570" max="13574"/>
    <col width="10.6328125" customWidth="1" style="141" min="13575" max="13578"/>
    <col width="9.6328125" customWidth="1" style="141" min="13579" max="13579"/>
    <col width="10.6328125" customWidth="1" style="141" min="13580" max="13580"/>
    <col width="9.6328125" customWidth="1" style="141" min="13581" max="13581"/>
    <col width="9.1796875" customWidth="1" style="141" min="13582" max="13824"/>
    <col width="12.6328125" customWidth="1" style="141" min="13825" max="13825"/>
    <col width="9.6328125" customWidth="1" style="141" min="13826" max="13830"/>
    <col width="10.6328125" customWidth="1" style="141" min="13831" max="13834"/>
    <col width="9.6328125" customWidth="1" style="141" min="13835" max="13835"/>
    <col width="10.6328125" customWidth="1" style="141" min="13836" max="13836"/>
    <col width="9.6328125" customWidth="1" style="141" min="13837" max="13837"/>
    <col width="9.1796875" customWidth="1" style="141" min="13838" max="14080"/>
    <col width="12.6328125" customWidth="1" style="141" min="14081" max="14081"/>
    <col width="9.6328125" customWidth="1" style="141" min="14082" max="14086"/>
    <col width="10.6328125" customWidth="1" style="141" min="14087" max="14090"/>
    <col width="9.6328125" customWidth="1" style="141" min="14091" max="14091"/>
    <col width="10.6328125" customWidth="1" style="141" min="14092" max="14092"/>
    <col width="9.6328125" customWidth="1" style="141" min="14093" max="14093"/>
    <col width="9.1796875" customWidth="1" style="141" min="14094" max="14336"/>
    <col width="12.6328125" customWidth="1" style="141" min="14337" max="14337"/>
    <col width="9.6328125" customWidth="1" style="141" min="14338" max="14342"/>
    <col width="10.6328125" customWidth="1" style="141" min="14343" max="14346"/>
    <col width="9.6328125" customWidth="1" style="141" min="14347" max="14347"/>
    <col width="10.6328125" customWidth="1" style="141" min="14348" max="14348"/>
    <col width="9.6328125" customWidth="1" style="141" min="14349" max="14349"/>
    <col width="9.1796875" customWidth="1" style="141" min="14350" max="14592"/>
    <col width="12.6328125" customWidth="1" style="141" min="14593" max="14593"/>
    <col width="9.6328125" customWidth="1" style="141" min="14594" max="14598"/>
    <col width="10.6328125" customWidth="1" style="141" min="14599" max="14602"/>
    <col width="9.6328125" customWidth="1" style="141" min="14603" max="14603"/>
    <col width="10.6328125" customWidth="1" style="141" min="14604" max="14604"/>
    <col width="9.6328125" customWidth="1" style="141" min="14605" max="14605"/>
    <col width="9.1796875" customWidth="1" style="141" min="14606" max="14848"/>
    <col width="12.6328125" customWidth="1" style="141" min="14849" max="14849"/>
    <col width="9.6328125" customWidth="1" style="141" min="14850" max="14854"/>
    <col width="10.6328125" customWidth="1" style="141" min="14855" max="14858"/>
    <col width="9.6328125" customWidth="1" style="141" min="14859" max="14859"/>
    <col width="10.6328125" customWidth="1" style="141" min="14860" max="14860"/>
    <col width="9.6328125" customWidth="1" style="141" min="14861" max="14861"/>
    <col width="9.1796875" customWidth="1" style="141" min="14862" max="15104"/>
    <col width="12.6328125" customWidth="1" style="141" min="15105" max="15105"/>
    <col width="9.6328125" customWidth="1" style="141" min="15106" max="15110"/>
    <col width="10.6328125" customWidth="1" style="141" min="15111" max="15114"/>
    <col width="9.6328125" customWidth="1" style="141" min="15115" max="15115"/>
    <col width="10.6328125" customWidth="1" style="141" min="15116" max="15116"/>
    <col width="9.6328125" customWidth="1" style="141" min="15117" max="15117"/>
    <col width="9.1796875" customWidth="1" style="141" min="15118" max="15360"/>
    <col width="12.6328125" customWidth="1" style="141" min="15361" max="15361"/>
    <col width="9.6328125" customWidth="1" style="141" min="15362" max="15366"/>
    <col width="10.6328125" customWidth="1" style="141" min="15367" max="15370"/>
    <col width="9.6328125" customWidth="1" style="141" min="15371" max="15371"/>
    <col width="10.6328125" customWidth="1" style="141" min="15372" max="15372"/>
    <col width="9.6328125" customWidth="1" style="141" min="15373" max="15373"/>
    <col width="9.1796875" customWidth="1" style="141" min="15374" max="15616"/>
    <col width="12.6328125" customWidth="1" style="141" min="15617" max="15617"/>
    <col width="9.6328125" customWidth="1" style="141" min="15618" max="15622"/>
    <col width="10.6328125" customWidth="1" style="141" min="15623" max="15626"/>
    <col width="9.6328125" customWidth="1" style="141" min="15627" max="15627"/>
    <col width="10.6328125" customWidth="1" style="141" min="15628" max="15628"/>
    <col width="9.6328125" customWidth="1" style="141" min="15629" max="15629"/>
    <col width="9.1796875" customWidth="1" style="141" min="15630" max="15872"/>
    <col width="12.6328125" customWidth="1" style="141" min="15873" max="15873"/>
    <col width="9.6328125" customWidth="1" style="141" min="15874" max="15878"/>
    <col width="10.6328125" customWidth="1" style="141" min="15879" max="15882"/>
    <col width="9.6328125" customWidth="1" style="141" min="15883" max="15883"/>
    <col width="10.6328125" customWidth="1" style="141" min="15884" max="15884"/>
    <col width="9.6328125" customWidth="1" style="141" min="15885" max="15885"/>
    <col width="9.1796875" customWidth="1" style="141" min="15886" max="16128"/>
    <col width="12.6328125" customWidth="1" style="141" min="16129" max="16129"/>
    <col width="9.6328125" customWidth="1" style="141" min="16130" max="16134"/>
    <col width="10.6328125" customWidth="1" style="141" min="16135" max="16138"/>
    <col width="9.6328125" customWidth="1" style="141" min="16139" max="16139"/>
    <col width="10.6328125" customWidth="1" style="141" min="16140" max="16140"/>
    <col width="9.6328125" customWidth="1" style="141" min="16141" max="16141"/>
    <col width="9.1796875" customWidth="1" style="141"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24104</v>
      </c>
      <c r="C649" t="n">
        <v>29202</v>
      </c>
      <c r="D649" t="n">
        <v>32842</v>
      </c>
      <c r="E649" t="n">
        <v>23053</v>
      </c>
      <c r="F649" t="n">
        <v>10617</v>
      </c>
      <c r="G649" t="n">
        <v>73843</v>
      </c>
      <c r="H649" t="n">
        <v>213798</v>
      </c>
      <c r="I649" t="n">
        <v>152094</v>
      </c>
      <c r="J649" t="n">
        <v>171132</v>
      </c>
      <c r="K649" t="n">
        <v>64937</v>
      </c>
      <c r="L649" t="n">
        <v>225937</v>
      </c>
      <c r="M649" t="n">
        <v>67679</v>
      </c>
    </row>
    <row r="650">
      <c r="A650" s="148" t="n">
        <v>40940</v>
      </c>
      <c r="B650" t="n">
        <v>23398</v>
      </c>
      <c r="C650" t="n">
        <v>29552</v>
      </c>
      <c r="D650" t="n">
        <v>34644</v>
      </c>
      <c r="E650" t="n">
        <v>24010</v>
      </c>
      <c r="F650" t="n">
        <v>10455</v>
      </c>
      <c r="G650" t="n">
        <v>72500</v>
      </c>
      <c r="H650" t="n">
        <v>215027</v>
      </c>
      <c r="I650" t="n">
        <v>154058</v>
      </c>
      <c r="J650" t="n">
        <v>171804</v>
      </c>
      <c r="K650" t="n">
        <v>66132</v>
      </c>
      <c r="L650" t="n">
        <v>226558</v>
      </c>
      <c r="M650" t="n">
        <v>69936</v>
      </c>
    </row>
    <row r="651">
      <c r="A651" s="148" t="n">
        <v>40969</v>
      </c>
      <c r="B651" t="n">
        <v>22923</v>
      </c>
      <c r="C651" t="n">
        <v>29849</v>
      </c>
      <c r="D651" t="n">
        <v>34973</v>
      </c>
      <c r="E651" t="n">
        <v>22822</v>
      </c>
      <c r="F651" t="n">
        <v>10594</v>
      </c>
      <c r="G651" t="n">
        <v>68043</v>
      </c>
      <c r="H651" t="n">
        <v>207437</v>
      </c>
      <c r="I651" t="n">
        <v>153533</v>
      </c>
      <c r="J651" t="n">
        <v>166352</v>
      </c>
      <c r="K651" t="n">
        <v>67944</v>
      </c>
      <c r="L651" t="n">
        <v>221576</v>
      </c>
      <c r="M651" t="n">
        <v>69580</v>
      </c>
    </row>
    <row r="652">
      <c r="A652" s="148" t="n">
        <v>41000</v>
      </c>
      <c r="B652" t="n">
        <v>23196</v>
      </c>
      <c r="C652" t="n">
        <v>29102</v>
      </c>
      <c r="D652" t="n">
        <v>33135</v>
      </c>
      <c r="E652" t="n">
        <v>23168</v>
      </c>
      <c r="F652" t="n">
        <v>10372</v>
      </c>
      <c r="G652" t="n">
        <v>67322</v>
      </c>
      <c r="H652" t="n">
        <v>208556</v>
      </c>
      <c r="I652" t="n">
        <v>151316</v>
      </c>
      <c r="J652" t="n">
        <v>161545</v>
      </c>
      <c r="K652" t="n">
        <v>66849</v>
      </c>
      <c r="L652" t="n">
        <v>218638</v>
      </c>
      <c r="M652" t="n">
        <v>67425</v>
      </c>
    </row>
    <row r="653">
      <c r="A653" s="148" t="n">
        <v>41030</v>
      </c>
      <c r="B653" t="n">
        <v>21324</v>
      </c>
      <c r="C653" t="n">
        <v>28353</v>
      </c>
      <c r="D653" t="n">
        <v>34295</v>
      </c>
      <c r="E653" t="n">
        <v>23470</v>
      </c>
      <c r="F653" t="n">
        <v>10807</v>
      </c>
      <c r="G653" t="n">
        <v>68699</v>
      </c>
      <c r="H653" t="n">
        <v>209652</v>
      </c>
      <c r="I653" t="n">
        <v>150925</v>
      </c>
      <c r="J653" t="n">
        <v>162417</v>
      </c>
      <c r="K653" t="n">
        <v>67240</v>
      </c>
      <c r="L653" t="n">
        <v>219624</v>
      </c>
      <c r="M653" t="n">
        <v>69367</v>
      </c>
    </row>
    <row r="654">
      <c r="A654" s="148" t="n">
        <v>41061</v>
      </c>
      <c r="B654" t="n">
        <v>20924</v>
      </c>
      <c r="C654" t="n">
        <v>28447</v>
      </c>
      <c r="D654" t="n">
        <v>34148</v>
      </c>
      <c r="E654" t="n">
        <v>21319</v>
      </c>
      <c r="F654" t="n">
        <v>10143</v>
      </c>
      <c r="G654" t="n">
        <v>70107</v>
      </c>
      <c r="H654" t="n">
        <v>201871</v>
      </c>
      <c r="I654" t="n">
        <v>147418</v>
      </c>
      <c r="J654" t="n">
        <v>160849</v>
      </c>
      <c r="K654" t="n">
        <v>67691</v>
      </c>
      <c r="L654" t="n">
        <v>217525</v>
      </c>
      <c r="M654" t="n">
        <v>67393</v>
      </c>
    </row>
    <row r="655">
      <c r="A655" s="148" t="n">
        <v>41091</v>
      </c>
      <c r="B655" t="n">
        <v>20874</v>
      </c>
      <c r="C655" t="n">
        <v>28499</v>
      </c>
      <c r="D655" t="n">
        <v>32080</v>
      </c>
      <c r="E655" t="n">
        <v>21562</v>
      </c>
      <c r="F655" t="n">
        <v>10220</v>
      </c>
      <c r="G655" t="n">
        <v>75919</v>
      </c>
      <c r="H655" t="n">
        <v>210138</v>
      </c>
      <c r="I655" t="n">
        <v>145722</v>
      </c>
      <c r="J655" t="n">
        <v>164835</v>
      </c>
      <c r="K655" t="n">
        <v>66900</v>
      </c>
      <c r="L655" t="n">
        <v>221641</v>
      </c>
      <c r="M655" t="n">
        <v>64908</v>
      </c>
    </row>
    <row r="656">
      <c r="A656" s="148" t="n">
        <v>41122</v>
      </c>
      <c r="B656" t="n">
        <v>20369</v>
      </c>
      <c r="C656" t="n">
        <v>28247</v>
      </c>
      <c r="D656" t="n">
        <v>29838</v>
      </c>
      <c r="E656" t="n">
        <v>20903</v>
      </c>
      <c r="F656" t="n">
        <v>10397</v>
      </c>
      <c r="G656" t="n">
        <v>58499</v>
      </c>
      <c r="H656" t="n">
        <v>192404</v>
      </c>
      <c r="I656" t="n">
        <v>142457</v>
      </c>
      <c r="J656" t="n">
        <v>145633</v>
      </c>
      <c r="K656" t="n">
        <v>65497</v>
      </c>
      <c r="L656" t="n">
        <v>200956</v>
      </c>
      <c r="M656" t="n">
        <v>63687</v>
      </c>
    </row>
    <row r="657">
      <c r="A657" s="148" t="n">
        <v>41153</v>
      </c>
      <c r="B657" t="n">
        <v>21068</v>
      </c>
      <c r="C657" t="n">
        <v>28239</v>
      </c>
      <c r="D657" t="n">
        <v>31202</v>
      </c>
      <c r="E657" t="n">
        <v>20900</v>
      </c>
      <c r="F657" t="n">
        <v>10027</v>
      </c>
      <c r="G657" t="n">
        <v>72843</v>
      </c>
      <c r="H657" t="n">
        <v>205808</v>
      </c>
      <c r="I657" t="n">
        <v>144411</v>
      </c>
      <c r="J657" t="n">
        <v>161858</v>
      </c>
      <c r="K657" t="n">
        <v>65411</v>
      </c>
      <c r="L657" t="n">
        <v>217254</v>
      </c>
      <c r="M657" t="n">
        <v>63839</v>
      </c>
    </row>
    <row r="658">
      <c r="A658" s="148" t="n">
        <v>41183</v>
      </c>
      <c r="B658" t="n">
        <v>21557</v>
      </c>
      <c r="C658" t="n">
        <v>28133</v>
      </c>
      <c r="D658" t="n">
        <v>32859</v>
      </c>
      <c r="E658" t="n">
        <v>21206</v>
      </c>
      <c r="F658" t="n">
        <v>10454</v>
      </c>
      <c r="G658" t="n">
        <v>71858</v>
      </c>
      <c r="H658" t="n">
        <v>206576</v>
      </c>
      <c r="I658" t="n">
        <v>147479</v>
      </c>
      <c r="J658" t="n">
        <v>164091</v>
      </c>
      <c r="K658" t="n">
        <v>65637</v>
      </c>
      <c r="L658" t="n">
        <v>219337</v>
      </c>
      <c r="M658" t="n">
        <v>66094</v>
      </c>
    </row>
    <row r="659">
      <c r="A659" s="148" t="n">
        <v>41214</v>
      </c>
      <c r="B659" t="n">
        <v>21345</v>
      </c>
      <c r="C659" t="n">
        <v>28705</v>
      </c>
      <c r="D659" t="n">
        <v>32576</v>
      </c>
      <c r="E659" t="n">
        <v>21183</v>
      </c>
      <c r="F659" t="n">
        <v>10836</v>
      </c>
      <c r="G659" t="n">
        <v>69389</v>
      </c>
      <c r="H659" t="n">
        <v>203305</v>
      </c>
      <c r="I659" t="n">
        <v>147809</v>
      </c>
      <c r="J659" t="n">
        <v>160510</v>
      </c>
      <c r="K659" t="n">
        <v>67449</v>
      </c>
      <c r="L659" t="n">
        <v>217198</v>
      </c>
      <c r="M659" t="n">
        <v>66502</v>
      </c>
    </row>
    <row r="660">
      <c r="A660" s="148" t="n">
        <v>41244</v>
      </c>
      <c r="B660" t="n">
        <v>21710</v>
      </c>
      <c r="C660" t="n">
        <v>27136</v>
      </c>
      <c r="D660" t="n">
        <v>31662</v>
      </c>
      <c r="E660" t="n">
        <v>21967</v>
      </c>
      <c r="F660" t="n">
        <v>10036</v>
      </c>
      <c r="G660" t="n">
        <v>84193</v>
      </c>
      <c r="H660" t="n">
        <v>211264</v>
      </c>
      <c r="I660" t="n">
        <v>146092</v>
      </c>
      <c r="J660" t="n">
        <v>172843</v>
      </c>
      <c r="K660" t="n">
        <v>67154</v>
      </c>
      <c r="L660" t="n">
        <v>230285</v>
      </c>
      <c r="M660" t="n">
        <v>66498</v>
      </c>
    </row>
    <row r="661">
      <c r="A661" s="148" t="n">
        <v>41275</v>
      </c>
      <c r="B661" t="n">
        <v>22156</v>
      </c>
      <c r="C661" t="n">
        <v>30168</v>
      </c>
      <c r="D661" t="n">
        <v>34156</v>
      </c>
      <c r="E661" t="n">
        <v>21177</v>
      </c>
      <c r="F661" t="n">
        <v>10002</v>
      </c>
      <c r="G661" t="n">
        <v>71942</v>
      </c>
      <c r="H661" t="n">
        <v>213298</v>
      </c>
      <c r="I661" t="n">
        <v>151948</v>
      </c>
      <c r="J661" t="n">
        <v>165087</v>
      </c>
      <c r="K661" t="n">
        <v>66841</v>
      </c>
      <c r="L661" t="n">
        <v>223890</v>
      </c>
      <c r="M661" t="n">
        <v>69905</v>
      </c>
    </row>
    <row r="662">
      <c r="A662" s="148" t="n">
        <v>41306</v>
      </c>
      <c r="B662" t="n">
        <v>22420</v>
      </c>
      <c r="C662" t="n">
        <v>29266</v>
      </c>
      <c r="D662" t="n">
        <v>32634</v>
      </c>
      <c r="E662" t="n">
        <v>20332</v>
      </c>
      <c r="F662" t="n">
        <v>10307</v>
      </c>
      <c r="G662" t="n">
        <v>85441</v>
      </c>
      <c r="H662" t="n">
        <v>220700</v>
      </c>
      <c r="I662" t="n">
        <v>149676</v>
      </c>
      <c r="J662" t="n">
        <v>174434</v>
      </c>
      <c r="K662" t="n">
        <v>67781</v>
      </c>
      <c r="L662" t="n">
        <v>235117</v>
      </c>
      <c r="M662" t="n">
        <v>66325</v>
      </c>
    </row>
    <row r="663">
      <c r="A663" s="148" t="n">
        <v>41334</v>
      </c>
      <c r="B663" t="n">
        <v>21150</v>
      </c>
      <c r="C663" t="n">
        <v>29622</v>
      </c>
      <c r="D663" t="n">
        <v>31175</v>
      </c>
      <c r="E663" t="n">
        <v>19482</v>
      </c>
      <c r="F663" t="n">
        <v>10076</v>
      </c>
      <c r="G663" t="n">
        <v>70825</v>
      </c>
      <c r="H663" t="n">
        <v>210080</v>
      </c>
      <c r="I663" t="n">
        <v>145796</v>
      </c>
      <c r="J663" t="n">
        <v>157502</v>
      </c>
      <c r="K663" t="n">
        <v>67952</v>
      </c>
      <c r="L663" t="n">
        <v>216621</v>
      </c>
      <c r="M663" t="n">
        <v>66024</v>
      </c>
    </row>
    <row r="664">
      <c r="A664" s="148" t="n">
        <v>41365</v>
      </c>
      <c r="B664" t="n">
        <v>21990</v>
      </c>
      <c r="C664" t="n">
        <v>29308</v>
      </c>
      <c r="D664" t="n">
        <v>31988</v>
      </c>
      <c r="E664" t="n">
        <v>21462</v>
      </c>
      <c r="F664" t="n">
        <v>10080</v>
      </c>
      <c r="G664" t="n">
        <v>77239</v>
      </c>
      <c r="H664" t="n">
        <v>216982</v>
      </c>
      <c r="I664" t="n">
        <v>149581</v>
      </c>
      <c r="J664" t="n">
        <v>166395</v>
      </c>
      <c r="K664" t="n">
        <v>66418</v>
      </c>
      <c r="L664" t="n">
        <v>226820</v>
      </c>
      <c r="M664" t="n">
        <v>67563</v>
      </c>
    </row>
    <row r="665">
      <c r="A665" s="148" t="n">
        <v>41395</v>
      </c>
      <c r="B665" t="n">
        <v>21553</v>
      </c>
      <c r="C665" t="n">
        <v>28882</v>
      </c>
      <c r="D665" t="n">
        <v>32467</v>
      </c>
      <c r="E665" t="n">
        <v>21858</v>
      </c>
      <c r="F665" t="n">
        <v>10815</v>
      </c>
      <c r="G665" t="n">
        <v>85681</v>
      </c>
      <c r="H665" t="n">
        <v>224465</v>
      </c>
      <c r="I665" t="n">
        <v>150613</v>
      </c>
      <c r="J665" t="n">
        <v>176059</v>
      </c>
      <c r="K665" t="n">
        <v>67597</v>
      </c>
      <c r="L665" t="n">
        <v>236294</v>
      </c>
      <c r="M665" t="n">
        <v>69498</v>
      </c>
    </row>
    <row r="666">
      <c r="A666" s="148" t="n">
        <v>41426</v>
      </c>
      <c r="B666" t="n">
        <v>22200</v>
      </c>
      <c r="C666" t="n">
        <v>28943</v>
      </c>
      <c r="D666" t="n">
        <v>32305</v>
      </c>
      <c r="E666" t="n">
        <v>21517</v>
      </c>
      <c r="F666" t="n">
        <v>10381</v>
      </c>
      <c r="G666" t="n">
        <v>96028</v>
      </c>
      <c r="H666" t="n">
        <v>235211</v>
      </c>
      <c r="I666" t="n">
        <v>150646</v>
      </c>
      <c r="J666" t="n">
        <v>186438</v>
      </c>
      <c r="K666" t="n">
        <v>66735</v>
      </c>
      <c r="L666" t="n">
        <v>246674</v>
      </c>
      <c r="M666" t="n">
        <v>69361</v>
      </c>
    </row>
    <row r="667">
      <c r="A667" s="148" t="n">
        <v>41456</v>
      </c>
      <c r="B667" t="n">
        <v>21389</v>
      </c>
      <c r="C667" t="n">
        <v>28732</v>
      </c>
      <c r="D667" t="n">
        <v>32164</v>
      </c>
      <c r="E667" t="n">
        <v>21085</v>
      </c>
      <c r="F667" t="n">
        <v>9850</v>
      </c>
      <c r="G667" t="n">
        <v>70604</v>
      </c>
      <c r="H667" t="n">
        <v>209913</v>
      </c>
      <c r="I667" t="n">
        <v>148218</v>
      </c>
      <c r="J667" t="n">
        <v>159979</v>
      </c>
      <c r="K667" t="n">
        <v>65819</v>
      </c>
      <c r="L667" t="n">
        <v>218822</v>
      </c>
      <c r="M667" t="n">
        <v>66295</v>
      </c>
    </row>
    <row r="668">
      <c r="A668" s="148" t="n">
        <v>41487</v>
      </c>
      <c r="B668" t="n">
        <v>21365</v>
      </c>
      <c r="C668" t="n">
        <v>28998</v>
      </c>
      <c r="D668" t="n">
        <v>30819</v>
      </c>
      <c r="E668" t="n">
        <v>20014</v>
      </c>
      <c r="F668" t="n">
        <v>10152</v>
      </c>
      <c r="G668" t="n">
        <v>78784</v>
      </c>
      <c r="H668" t="n">
        <v>211847</v>
      </c>
      <c r="I668" t="n">
        <v>147200</v>
      </c>
      <c r="J668" t="n">
        <v>165813</v>
      </c>
      <c r="K668" t="n">
        <v>66036</v>
      </c>
      <c r="L668" t="n">
        <v>225984</v>
      </c>
      <c r="M668" t="n">
        <v>65861</v>
      </c>
    </row>
    <row r="669">
      <c r="A669" s="148" t="n">
        <v>41518</v>
      </c>
      <c r="B669" t="n">
        <v>21814</v>
      </c>
      <c r="C669" t="n">
        <v>28914</v>
      </c>
      <c r="D669" t="n">
        <v>31410</v>
      </c>
      <c r="E669" t="n">
        <v>20859</v>
      </c>
      <c r="F669" t="n">
        <v>10284</v>
      </c>
      <c r="G669" t="n">
        <v>89913</v>
      </c>
      <c r="H669" t="n">
        <v>225775</v>
      </c>
      <c r="I669" t="n">
        <v>148421</v>
      </c>
      <c r="J669" t="n">
        <v>178483</v>
      </c>
      <c r="K669" t="n">
        <v>65417</v>
      </c>
      <c r="L669" t="n">
        <v>238334</v>
      </c>
      <c r="M669" t="n">
        <v>66552</v>
      </c>
    </row>
    <row r="670">
      <c r="A670" s="148" t="n">
        <v>41548</v>
      </c>
      <c r="B670" t="n">
        <v>22303</v>
      </c>
      <c r="C670" t="n">
        <v>28343</v>
      </c>
      <c r="D670" t="n">
        <v>31258</v>
      </c>
      <c r="E670" t="n">
        <v>21506</v>
      </c>
      <c r="F670" t="n">
        <v>10376</v>
      </c>
      <c r="G670" t="n">
        <v>83673</v>
      </c>
      <c r="H670" t="n">
        <v>223139</v>
      </c>
      <c r="I670" t="n">
        <v>148944</v>
      </c>
      <c r="J670" t="n">
        <v>171591</v>
      </c>
      <c r="K670" t="n">
        <v>65186</v>
      </c>
      <c r="L670" t="n">
        <v>232617</v>
      </c>
      <c r="M670" t="n">
        <v>64968</v>
      </c>
    </row>
    <row r="671">
      <c r="A671" s="148" t="n">
        <v>41579</v>
      </c>
      <c r="B671" t="n">
        <v>21986</v>
      </c>
      <c r="C671" t="n">
        <v>28960</v>
      </c>
      <c r="D671" t="n">
        <v>33363</v>
      </c>
      <c r="E671" t="n">
        <v>21730</v>
      </c>
      <c r="F671" t="n">
        <v>9442</v>
      </c>
      <c r="G671" t="n">
        <v>92224</v>
      </c>
      <c r="H671" t="n">
        <v>232225</v>
      </c>
      <c r="I671" t="n">
        <v>151237</v>
      </c>
      <c r="J671" t="n">
        <v>178802</v>
      </c>
      <c r="K671" t="n">
        <v>68009</v>
      </c>
      <c r="L671" t="n">
        <v>243461</v>
      </c>
      <c r="M671" t="n">
        <v>68431</v>
      </c>
    </row>
    <row r="672">
      <c r="A672" s="148" t="n">
        <v>41609</v>
      </c>
      <c r="B672" t="n">
        <v>20850</v>
      </c>
      <c r="C672" t="n">
        <v>27033</v>
      </c>
      <c r="D672" t="n">
        <v>34357</v>
      </c>
      <c r="E672" t="n">
        <v>20195</v>
      </c>
      <c r="F672" t="n">
        <v>10147</v>
      </c>
      <c r="G672" t="n">
        <v>89492</v>
      </c>
      <c r="H672" t="n">
        <v>227537</v>
      </c>
      <c r="I672" t="n">
        <v>147985</v>
      </c>
      <c r="J672" t="n">
        <v>175566</v>
      </c>
      <c r="K672" t="n">
        <v>67503</v>
      </c>
      <c r="L672" t="n">
        <v>237477</v>
      </c>
      <c r="M672" t="n">
        <v>67378</v>
      </c>
    </row>
    <row r="673">
      <c r="A673" s="148" t="n">
        <v>41640</v>
      </c>
      <c r="B673" t="n">
        <v>21559</v>
      </c>
      <c r="C673" t="n">
        <v>29121</v>
      </c>
      <c r="D673" t="n">
        <v>34141</v>
      </c>
      <c r="E673" t="n">
        <v>21628</v>
      </c>
      <c r="F673" t="n">
        <v>10457</v>
      </c>
      <c r="G673" t="n">
        <v>73296</v>
      </c>
      <c r="H673" t="n">
        <v>216655</v>
      </c>
      <c r="I673" t="n">
        <v>151424</v>
      </c>
      <c r="J673" t="n">
        <v>165024</v>
      </c>
      <c r="K673" t="n">
        <v>66205</v>
      </c>
      <c r="L673" t="n">
        <v>224720</v>
      </c>
      <c r="M673" t="n">
        <v>68462</v>
      </c>
    </row>
    <row r="674">
      <c r="A674" s="148" t="n">
        <v>41671</v>
      </c>
      <c r="B674" t="n">
        <v>21685</v>
      </c>
      <c r="C674" t="n">
        <v>29285</v>
      </c>
      <c r="D674" t="n">
        <v>34296</v>
      </c>
      <c r="E674" t="n">
        <v>21241</v>
      </c>
      <c r="F674" t="n">
        <v>10226</v>
      </c>
      <c r="G674" t="n">
        <v>81002</v>
      </c>
      <c r="H674" t="n">
        <v>219545</v>
      </c>
      <c r="I674" t="n">
        <v>151398</v>
      </c>
      <c r="J674" t="n">
        <v>170686</v>
      </c>
      <c r="K674" t="n">
        <v>67120</v>
      </c>
      <c r="L674" t="n">
        <v>232400</v>
      </c>
      <c r="M674" t="n">
        <v>67297</v>
      </c>
    </row>
    <row r="675">
      <c r="A675" s="148" t="n">
        <v>41699</v>
      </c>
      <c r="B675" t="n">
        <v>22255</v>
      </c>
      <c r="C675" t="n">
        <v>29396</v>
      </c>
      <c r="D675" t="n">
        <v>34136</v>
      </c>
      <c r="E675" t="n">
        <v>21460</v>
      </c>
      <c r="F675" t="n">
        <v>10622</v>
      </c>
      <c r="G675" t="n">
        <v>81726</v>
      </c>
      <c r="H675" t="n">
        <v>223009</v>
      </c>
      <c r="I675" t="n">
        <v>153141</v>
      </c>
      <c r="J675" t="n">
        <v>172815</v>
      </c>
      <c r="K675" t="n">
        <v>68135</v>
      </c>
      <c r="L675" t="n">
        <v>234867</v>
      </c>
      <c r="M675" t="n">
        <v>68270</v>
      </c>
    </row>
    <row r="676">
      <c r="A676" s="148" t="n">
        <v>41730</v>
      </c>
      <c r="B676" t="n">
        <v>21802</v>
      </c>
      <c r="C676" t="n">
        <v>29148</v>
      </c>
      <c r="D676" t="n">
        <v>32811</v>
      </c>
      <c r="E676" t="n">
        <v>21645</v>
      </c>
      <c r="F676" t="n">
        <v>10653</v>
      </c>
      <c r="G676" t="n">
        <v>86242</v>
      </c>
      <c r="H676" t="n">
        <v>216304</v>
      </c>
      <c r="I676" t="n">
        <v>151732</v>
      </c>
      <c r="J676" t="n">
        <v>176105</v>
      </c>
      <c r="K676" t="n">
        <v>66704</v>
      </c>
      <c r="L676" t="n">
        <v>237974</v>
      </c>
      <c r="M676" t="n">
        <v>66211</v>
      </c>
    </row>
    <row r="677">
      <c r="A677" s="148" t="n">
        <v>41760</v>
      </c>
      <c r="B677" t="n">
        <v>22056</v>
      </c>
      <c r="C677" t="n">
        <v>30136</v>
      </c>
      <c r="D677" t="n">
        <v>32965</v>
      </c>
      <c r="E677" t="n">
        <v>20880</v>
      </c>
      <c r="F677" t="n">
        <v>10451</v>
      </c>
      <c r="G677" t="n">
        <v>81351</v>
      </c>
      <c r="H677" t="n">
        <v>217466</v>
      </c>
      <c r="I677" t="n">
        <v>152470</v>
      </c>
      <c r="J677" t="n">
        <v>170049</v>
      </c>
      <c r="K677" t="n">
        <v>67233</v>
      </c>
      <c r="L677" t="n">
        <v>233821</v>
      </c>
      <c r="M677" t="n">
        <v>66135</v>
      </c>
    </row>
    <row r="678">
      <c r="A678" s="148" t="n">
        <v>41791</v>
      </c>
      <c r="B678" t="n">
        <v>22535</v>
      </c>
      <c r="C678" t="n">
        <v>29842</v>
      </c>
      <c r="D678" t="n">
        <v>34985</v>
      </c>
      <c r="E678" t="n">
        <v>21818</v>
      </c>
      <c r="F678" t="n">
        <v>10942</v>
      </c>
      <c r="G678" t="n">
        <v>81818</v>
      </c>
      <c r="H678" t="n">
        <v>226627</v>
      </c>
      <c r="I678" t="n">
        <v>156357</v>
      </c>
      <c r="J678" t="n">
        <v>175787</v>
      </c>
      <c r="K678" t="n">
        <v>67210</v>
      </c>
      <c r="L678" t="n">
        <v>238175</v>
      </c>
      <c r="M678" t="n">
        <v>69674</v>
      </c>
    </row>
    <row r="679">
      <c r="A679" s="148" t="n">
        <v>41821</v>
      </c>
      <c r="B679" t="n">
        <v>22746</v>
      </c>
      <c r="C679" t="n">
        <v>29936</v>
      </c>
      <c r="D679" t="n">
        <v>32700</v>
      </c>
      <c r="E679" t="n">
        <v>21196</v>
      </c>
      <c r="F679" t="n">
        <v>10640</v>
      </c>
      <c r="G679" t="n">
        <v>144061</v>
      </c>
      <c r="H679" t="n">
        <v>293790</v>
      </c>
      <c r="I679" t="n">
        <v>153250</v>
      </c>
      <c r="J679" t="n">
        <v>232542</v>
      </c>
      <c r="K679" t="n">
        <v>67196</v>
      </c>
      <c r="L679" t="n">
        <v>297311</v>
      </c>
      <c r="M679" t="n">
        <v>67698</v>
      </c>
    </row>
    <row r="680">
      <c r="A680" s="148" t="n">
        <v>41852</v>
      </c>
      <c r="B680" t="n">
        <v>21937</v>
      </c>
      <c r="C680" t="n">
        <v>30210</v>
      </c>
      <c r="D680" t="n">
        <v>34290</v>
      </c>
      <c r="E680" t="n">
        <v>21539</v>
      </c>
      <c r="F680" t="n">
        <v>10761</v>
      </c>
      <c r="G680" t="n">
        <v>83191</v>
      </c>
      <c r="H680" t="n">
        <v>224569</v>
      </c>
      <c r="I680" t="n">
        <v>154939</v>
      </c>
      <c r="J680" t="n">
        <v>173888</v>
      </c>
      <c r="K680" t="n">
        <v>69173</v>
      </c>
      <c r="L680" t="n">
        <v>238130</v>
      </c>
      <c r="M680" t="n">
        <v>68436</v>
      </c>
    </row>
    <row r="681">
      <c r="A681" s="148" t="n">
        <v>41883</v>
      </c>
      <c r="B681" t="n">
        <v>22986</v>
      </c>
      <c r="C681" t="n">
        <v>30253</v>
      </c>
      <c r="D681" t="n">
        <v>34619</v>
      </c>
      <c r="E681" t="n">
        <v>21272</v>
      </c>
      <c r="F681" t="n">
        <v>11162</v>
      </c>
      <c r="G681" t="n">
        <v>79900</v>
      </c>
      <c r="H681" t="n">
        <v>229338</v>
      </c>
      <c r="I681" t="n">
        <v>157071</v>
      </c>
      <c r="J681" t="n">
        <v>172233</v>
      </c>
      <c r="K681" t="n">
        <v>69236</v>
      </c>
      <c r="L681" t="n">
        <v>236971</v>
      </c>
      <c r="M681" t="n">
        <v>69437</v>
      </c>
    </row>
    <row r="682">
      <c r="A682" s="148" t="n">
        <v>41913</v>
      </c>
      <c r="B682" t="n">
        <v>21994</v>
      </c>
      <c r="C682" t="n">
        <v>30277</v>
      </c>
      <c r="D682" t="n">
        <v>32443</v>
      </c>
      <c r="E682" t="n">
        <v>20687</v>
      </c>
      <c r="F682" t="n">
        <v>10912</v>
      </c>
      <c r="G682" t="n">
        <v>79931</v>
      </c>
      <c r="H682" t="n">
        <v>219533</v>
      </c>
      <c r="I682" t="n">
        <v>152822</v>
      </c>
      <c r="J682" t="n">
        <v>168002</v>
      </c>
      <c r="K682" t="n">
        <v>66959</v>
      </c>
      <c r="L682" t="n">
        <v>232753</v>
      </c>
      <c r="M682" t="n">
        <v>65888</v>
      </c>
    </row>
    <row r="683">
      <c r="A683" s="148" t="n">
        <v>41944</v>
      </c>
      <c r="B683" t="n">
        <v>21297</v>
      </c>
      <c r="C683" t="n">
        <v>30092</v>
      </c>
      <c r="D683" t="n">
        <v>30999</v>
      </c>
      <c r="E683" t="n">
        <v>19779</v>
      </c>
      <c r="F683" t="n">
        <v>10797</v>
      </c>
      <c r="G683" t="n">
        <v>78596</v>
      </c>
      <c r="H683" t="n">
        <v>221162</v>
      </c>
      <c r="I683" t="n">
        <v>149323</v>
      </c>
      <c r="J683" t="n">
        <v>164859</v>
      </c>
      <c r="K683" t="n">
        <v>65797</v>
      </c>
      <c r="L683" t="n">
        <v>227919</v>
      </c>
      <c r="M683" t="n">
        <v>63737</v>
      </c>
    </row>
    <row r="684">
      <c r="A684" s="148" t="n">
        <v>41974</v>
      </c>
      <c r="B684" t="n">
        <v>21141</v>
      </c>
      <c r="C684" t="n">
        <v>30175</v>
      </c>
      <c r="D684" t="n">
        <v>30981</v>
      </c>
      <c r="E684" t="n">
        <v>19976</v>
      </c>
      <c r="F684" t="n">
        <v>11065</v>
      </c>
      <c r="G684" t="n">
        <v>75027</v>
      </c>
      <c r="H684" t="n">
        <v>213860</v>
      </c>
      <c r="I684" t="n">
        <v>150301</v>
      </c>
      <c r="J684" t="n">
        <v>160393</v>
      </c>
      <c r="K684" t="n">
        <v>67092</v>
      </c>
      <c r="L684" t="n">
        <v>225328</v>
      </c>
      <c r="M684" t="n">
        <v>65806</v>
      </c>
    </row>
    <row r="685">
      <c r="A685" s="148" t="n">
        <v>42005</v>
      </c>
      <c r="B685" t="n">
        <v>20714</v>
      </c>
      <c r="C685" t="n">
        <v>28218</v>
      </c>
      <c r="D685" t="n">
        <v>31966</v>
      </c>
      <c r="E685" t="n">
        <v>19670</v>
      </c>
      <c r="F685" t="n">
        <v>10513</v>
      </c>
      <c r="G685" t="n">
        <v>77577</v>
      </c>
      <c r="H685" t="n">
        <v>211466</v>
      </c>
      <c r="I685" t="n">
        <v>148006</v>
      </c>
      <c r="J685" t="n">
        <v>162304</v>
      </c>
      <c r="K685" t="n">
        <v>65491</v>
      </c>
      <c r="L685" t="n">
        <v>225583</v>
      </c>
      <c r="M685" t="n">
        <v>65049</v>
      </c>
    </row>
    <row r="686">
      <c r="A686" s="148" t="n">
        <v>42036</v>
      </c>
      <c r="B686" t="n">
        <v>20242</v>
      </c>
      <c r="C686" t="n">
        <v>28343</v>
      </c>
      <c r="D686" t="n">
        <v>31456</v>
      </c>
      <c r="E686" t="n">
        <v>19439</v>
      </c>
      <c r="F686" t="n">
        <v>10619</v>
      </c>
      <c r="G686" t="n">
        <v>72805</v>
      </c>
      <c r="H686" t="n">
        <v>209406</v>
      </c>
      <c r="I686" t="n">
        <v>146456</v>
      </c>
      <c r="J686" t="n">
        <v>156142</v>
      </c>
      <c r="K686" t="n">
        <v>65735</v>
      </c>
      <c r="L686" t="n">
        <v>219261</v>
      </c>
      <c r="M686" t="n">
        <v>64129</v>
      </c>
    </row>
    <row r="687">
      <c r="A687" s="148" t="n">
        <v>42064</v>
      </c>
      <c r="B687" t="n">
        <v>19141</v>
      </c>
      <c r="C687" t="n">
        <v>28322</v>
      </c>
      <c r="D687" t="n">
        <v>31164</v>
      </c>
      <c r="E687" t="n">
        <v>21173</v>
      </c>
      <c r="F687" t="n">
        <v>10842</v>
      </c>
      <c r="G687" t="n">
        <v>81834</v>
      </c>
      <c r="H687" t="n">
        <v>217526</v>
      </c>
      <c r="I687" t="n">
        <v>147095</v>
      </c>
      <c r="J687" t="n">
        <v>162973</v>
      </c>
      <c r="K687" t="n">
        <v>66307</v>
      </c>
      <c r="L687" t="n">
        <v>228929</v>
      </c>
      <c r="M687" t="n">
        <v>64661</v>
      </c>
    </row>
    <row r="688">
      <c r="A688" s="148" t="n">
        <v>42095</v>
      </c>
      <c r="B688" t="n">
        <v>19293</v>
      </c>
      <c r="C688" t="n">
        <v>28015</v>
      </c>
      <c r="D688" t="n">
        <v>31048</v>
      </c>
      <c r="E688" t="n">
        <v>20561</v>
      </c>
      <c r="F688" t="n">
        <v>10779</v>
      </c>
      <c r="G688" t="n">
        <v>79867</v>
      </c>
      <c r="H688" t="n">
        <v>215883</v>
      </c>
      <c r="I688" t="n">
        <v>146533</v>
      </c>
      <c r="J688" t="n">
        <v>161233</v>
      </c>
      <c r="K688" t="n">
        <v>65722</v>
      </c>
      <c r="L688" t="n">
        <v>226400</v>
      </c>
      <c r="M688" t="n">
        <v>64203</v>
      </c>
    </row>
    <row r="689">
      <c r="A689" s="148" t="n">
        <v>42125</v>
      </c>
      <c r="B689" t="n">
        <v>19268</v>
      </c>
      <c r="C689" t="n">
        <v>28073</v>
      </c>
      <c r="D689" t="n">
        <v>30743</v>
      </c>
      <c r="E689" t="n">
        <v>20142</v>
      </c>
      <c r="F689" t="n">
        <v>10241</v>
      </c>
      <c r="G689" t="n">
        <v>73050</v>
      </c>
      <c r="H689" t="n">
        <v>204127</v>
      </c>
      <c r="I689" t="n">
        <v>144723</v>
      </c>
      <c r="J689" t="n">
        <v>152817</v>
      </c>
      <c r="K689" t="n">
        <v>64884</v>
      </c>
      <c r="L689" t="n">
        <v>217773</v>
      </c>
      <c r="M689" t="n">
        <v>62510</v>
      </c>
    </row>
    <row r="690">
      <c r="A690" s="148" t="n">
        <v>42156</v>
      </c>
      <c r="B690" t="n">
        <v>19258</v>
      </c>
      <c r="C690" t="n">
        <v>28709</v>
      </c>
      <c r="D690" t="n">
        <v>31227</v>
      </c>
      <c r="E690" t="n">
        <v>20822</v>
      </c>
      <c r="F690" t="n">
        <v>10679</v>
      </c>
      <c r="G690" t="n">
        <v>82200</v>
      </c>
      <c r="H690" t="n">
        <v>222452</v>
      </c>
      <c r="I690" t="n">
        <v>147662</v>
      </c>
      <c r="J690" t="n">
        <v>163579</v>
      </c>
      <c r="K690" t="n">
        <v>65496</v>
      </c>
      <c r="L690" t="n">
        <v>229862</v>
      </c>
      <c r="M690" t="n">
        <v>63839</v>
      </c>
    </row>
    <row r="691">
      <c r="A691" s="148" t="n">
        <v>42186</v>
      </c>
      <c r="B691" t="n">
        <v>17876</v>
      </c>
      <c r="C691" t="n">
        <v>28598</v>
      </c>
      <c r="D691" t="n">
        <v>30850</v>
      </c>
      <c r="E691" t="n">
        <v>20789</v>
      </c>
      <c r="F691" t="n">
        <v>10578</v>
      </c>
      <c r="G691" t="n">
        <v>79329</v>
      </c>
      <c r="H691" t="n">
        <v>216416</v>
      </c>
      <c r="I691" t="n">
        <v>145878</v>
      </c>
      <c r="J691" t="n">
        <v>158451</v>
      </c>
      <c r="K691" t="n">
        <v>64938</v>
      </c>
      <c r="L691" t="n">
        <v>225207</v>
      </c>
      <c r="M691" t="n">
        <v>63633</v>
      </c>
    </row>
    <row r="692">
      <c r="A692" s="148" t="n">
        <v>42217</v>
      </c>
      <c r="B692" t="n">
        <v>18305</v>
      </c>
      <c r="C692" t="n">
        <v>27768</v>
      </c>
      <c r="D692" t="n">
        <v>31670</v>
      </c>
      <c r="E692" t="n">
        <v>20505</v>
      </c>
      <c r="F692" t="n">
        <v>10572</v>
      </c>
      <c r="G692" t="n">
        <v>77600</v>
      </c>
      <c r="H692" t="n">
        <v>215447</v>
      </c>
      <c r="I692" t="n">
        <v>146017</v>
      </c>
      <c r="J692" t="n">
        <v>157681</v>
      </c>
      <c r="K692" t="n">
        <v>64879</v>
      </c>
      <c r="L692" t="n">
        <v>223617</v>
      </c>
      <c r="M692" t="n">
        <v>63189</v>
      </c>
    </row>
    <row r="693">
      <c r="A693" s="148" t="n">
        <v>42248</v>
      </c>
      <c r="B693" t="n">
        <v>18087</v>
      </c>
      <c r="C693" t="n">
        <v>28364</v>
      </c>
      <c r="D693" t="n">
        <v>31063</v>
      </c>
      <c r="E693" t="n">
        <v>20414</v>
      </c>
      <c r="F693" t="n">
        <v>10510</v>
      </c>
      <c r="G693" t="n">
        <v>72548</v>
      </c>
      <c r="H693" t="n">
        <v>209174</v>
      </c>
      <c r="I693" t="n">
        <v>145738</v>
      </c>
      <c r="J693" t="n">
        <v>151617</v>
      </c>
      <c r="K693" t="n">
        <v>64821</v>
      </c>
      <c r="L693" t="n">
        <v>218286</v>
      </c>
      <c r="M693" t="n">
        <v>63210</v>
      </c>
    </row>
    <row r="694">
      <c r="A694" s="148" t="n">
        <v>42278</v>
      </c>
      <c r="B694" t="n">
        <v>17882</v>
      </c>
      <c r="C694" t="n">
        <v>27486</v>
      </c>
      <c r="D694" t="n">
        <v>31440</v>
      </c>
      <c r="E694" t="n">
        <v>20253</v>
      </c>
      <c r="F694" t="n">
        <v>10198</v>
      </c>
      <c r="G694" t="n">
        <v>81374</v>
      </c>
      <c r="H694" t="n">
        <v>210661</v>
      </c>
      <c r="I694" t="n">
        <v>144628</v>
      </c>
      <c r="J694" t="n">
        <v>160475</v>
      </c>
      <c r="K694" t="n">
        <v>64110</v>
      </c>
      <c r="L694" t="n">
        <v>226002</v>
      </c>
      <c r="M694" t="n">
        <v>63348</v>
      </c>
    </row>
    <row r="695">
      <c r="A695" s="148" t="n">
        <v>42309</v>
      </c>
      <c r="B695" t="n">
        <v>17558</v>
      </c>
      <c r="C695" t="n">
        <v>27790</v>
      </c>
      <c r="D695" t="n">
        <v>30618</v>
      </c>
      <c r="E695" t="n">
        <v>20042</v>
      </c>
      <c r="F695" t="n">
        <v>10368</v>
      </c>
      <c r="G695" t="n">
        <v>80425</v>
      </c>
      <c r="H695" t="n">
        <v>212466</v>
      </c>
      <c r="I695" t="n">
        <v>143848</v>
      </c>
      <c r="J695" t="n">
        <v>158117</v>
      </c>
      <c r="K695" t="n">
        <v>63224</v>
      </c>
      <c r="L695" t="n">
        <v>224273</v>
      </c>
      <c r="M695" t="n">
        <v>62051</v>
      </c>
    </row>
    <row r="696">
      <c r="A696" s="148" t="n">
        <v>42339</v>
      </c>
      <c r="B696" t="n">
        <v>17125</v>
      </c>
      <c r="C696" t="n">
        <v>27949</v>
      </c>
      <c r="D696" t="n">
        <v>28340</v>
      </c>
      <c r="E696" t="n">
        <v>20494</v>
      </c>
      <c r="F696" t="n">
        <v>10624</v>
      </c>
      <c r="G696" t="n">
        <v>76326</v>
      </c>
      <c r="H696" t="n">
        <v>209769</v>
      </c>
      <c r="I696" t="n">
        <v>142025</v>
      </c>
      <c r="J696" t="n">
        <v>152563</v>
      </c>
      <c r="K696" t="n">
        <v>63244</v>
      </c>
      <c r="L696" t="n">
        <v>218351</v>
      </c>
      <c r="M696" t="n">
        <v>60189</v>
      </c>
    </row>
    <row r="697">
      <c r="A697" s="148" t="n">
        <v>42370</v>
      </c>
      <c r="B697" t="n">
        <v>17069</v>
      </c>
      <c r="C697" t="n">
        <v>28482</v>
      </c>
      <c r="D697" t="n">
        <v>30163</v>
      </c>
      <c r="E697" t="n">
        <v>20929</v>
      </c>
      <c r="F697" t="n">
        <v>10577</v>
      </c>
      <c r="G697" t="n">
        <v>83920</v>
      </c>
      <c r="H697" t="n">
        <v>212421</v>
      </c>
      <c r="I697" t="n">
        <v>144456</v>
      </c>
      <c r="J697" t="n">
        <v>161897</v>
      </c>
      <c r="K697" t="n">
        <v>62116</v>
      </c>
      <c r="L697" t="n">
        <v>228376</v>
      </c>
      <c r="M697" t="n">
        <v>61890</v>
      </c>
    </row>
    <row r="698">
      <c r="A698" s="148" t="n">
        <v>42401</v>
      </c>
      <c r="B698" t="n">
        <v>16655</v>
      </c>
      <c r="C698" t="n">
        <v>28128</v>
      </c>
      <c r="D698" t="n">
        <v>29386</v>
      </c>
      <c r="E698" t="n">
        <v>21343</v>
      </c>
      <c r="F698" t="n">
        <v>10141</v>
      </c>
      <c r="G698" t="n">
        <v>75628</v>
      </c>
      <c r="H698" t="n">
        <v>208470</v>
      </c>
      <c r="I698" t="n">
        <v>142696</v>
      </c>
      <c r="J698" t="n">
        <v>151444</v>
      </c>
      <c r="K698" t="n">
        <v>61521</v>
      </c>
      <c r="L698" t="n">
        <v>218324</v>
      </c>
      <c r="M698" t="n">
        <v>61084</v>
      </c>
    </row>
    <row r="699">
      <c r="A699" s="148" t="n">
        <v>42430</v>
      </c>
      <c r="B699" t="n">
        <v>16573</v>
      </c>
      <c r="C699" t="n">
        <v>27211</v>
      </c>
      <c r="D699" t="n">
        <v>28922</v>
      </c>
      <c r="E699" t="n">
        <v>21036</v>
      </c>
      <c r="F699" t="n">
        <v>9890</v>
      </c>
      <c r="G699" t="n">
        <v>76600</v>
      </c>
      <c r="H699" t="n">
        <v>201996</v>
      </c>
      <c r="I699" t="n">
        <v>141346</v>
      </c>
      <c r="J699" t="n">
        <v>152350</v>
      </c>
      <c r="K699" t="n">
        <v>61133</v>
      </c>
      <c r="L699" t="n">
        <v>217946</v>
      </c>
      <c r="M699" t="n">
        <v>60622</v>
      </c>
    </row>
    <row r="700">
      <c r="A700" s="148" t="n">
        <v>42461</v>
      </c>
      <c r="B700" t="n">
        <v>16611</v>
      </c>
      <c r="C700" t="n">
        <v>28263</v>
      </c>
      <c r="D700" t="n">
        <v>28714</v>
      </c>
      <c r="E700" t="n">
        <v>21744</v>
      </c>
      <c r="F700" t="n">
        <v>9922</v>
      </c>
      <c r="G700" t="n">
        <v>87618</v>
      </c>
      <c r="H700" t="n">
        <v>211258</v>
      </c>
      <c r="I700" t="n">
        <v>142471</v>
      </c>
      <c r="J700" t="n">
        <v>163624</v>
      </c>
      <c r="K700" t="n">
        <v>61671</v>
      </c>
      <c r="L700" t="n">
        <v>230089</v>
      </c>
      <c r="M700" t="n">
        <v>61040</v>
      </c>
    </row>
    <row r="701">
      <c r="A701" s="148" t="n">
        <v>42491</v>
      </c>
      <c r="B701" t="n">
        <v>16582</v>
      </c>
      <c r="C701" t="n">
        <v>28035</v>
      </c>
      <c r="D701" t="n">
        <v>28051</v>
      </c>
      <c r="E701" t="n">
        <v>21608</v>
      </c>
      <c r="F701" t="n">
        <v>9825</v>
      </c>
      <c r="G701" t="n">
        <v>81081</v>
      </c>
      <c r="H701" t="n">
        <v>211188</v>
      </c>
      <c r="I701" t="n">
        <v>141262</v>
      </c>
      <c r="J701" t="n">
        <v>157768</v>
      </c>
      <c r="K701" t="n">
        <v>61126</v>
      </c>
      <c r="L701" t="n">
        <v>222343</v>
      </c>
      <c r="M701" t="n">
        <v>59328</v>
      </c>
    </row>
    <row r="702">
      <c r="A702" s="148" t="n">
        <v>42522</v>
      </c>
      <c r="B702" t="n">
        <v>16346</v>
      </c>
      <c r="C702" t="n">
        <v>27538</v>
      </c>
      <c r="D702" t="n">
        <v>28145</v>
      </c>
      <c r="E702" t="n">
        <v>21538</v>
      </c>
      <c r="F702" t="n">
        <v>9934</v>
      </c>
      <c r="G702" t="n">
        <v>66846</v>
      </c>
      <c r="H702" t="n">
        <v>202807</v>
      </c>
      <c r="I702" t="n">
        <v>140471</v>
      </c>
      <c r="J702" t="n">
        <v>142438</v>
      </c>
      <c r="K702" t="n">
        <v>60609</v>
      </c>
      <c r="L702" t="n">
        <v>207317</v>
      </c>
      <c r="M702" t="n">
        <v>59502</v>
      </c>
    </row>
    <row r="703">
      <c r="A703" s="148" t="n">
        <v>42552</v>
      </c>
      <c r="B703" t="n">
        <v>16780</v>
      </c>
      <c r="C703" t="n">
        <v>27789</v>
      </c>
      <c r="D703" t="n">
        <v>28818</v>
      </c>
      <c r="E703" t="n">
        <v>21499</v>
      </c>
      <c r="F703" t="n">
        <v>10201</v>
      </c>
      <c r="G703" t="n">
        <v>72961</v>
      </c>
      <c r="H703" t="n">
        <v>204914</v>
      </c>
      <c r="I703" t="n">
        <v>141653</v>
      </c>
      <c r="J703" t="n">
        <v>150613</v>
      </c>
      <c r="K703" t="n">
        <v>59441</v>
      </c>
      <c r="L703" t="n">
        <v>214614</v>
      </c>
      <c r="M703" t="n">
        <v>59742</v>
      </c>
    </row>
    <row r="704">
      <c r="A704" s="148" t="n">
        <v>42583</v>
      </c>
      <c r="B704" t="n">
        <v>16666</v>
      </c>
      <c r="C704" t="n">
        <v>27501</v>
      </c>
      <c r="D704" t="n">
        <v>29314</v>
      </c>
      <c r="E704" t="n">
        <v>21476</v>
      </c>
      <c r="F704" t="n">
        <v>10080</v>
      </c>
      <c r="G704" t="n">
        <v>76336</v>
      </c>
      <c r="H704" t="n">
        <v>209179</v>
      </c>
      <c r="I704" t="n">
        <v>141857</v>
      </c>
      <c r="J704" t="n">
        <v>153965</v>
      </c>
      <c r="K704" t="n">
        <v>59905</v>
      </c>
      <c r="L704" t="n">
        <v>218193</v>
      </c>
      <c r="M704" t="n">
        <v>61564</v>
      </c>
    </row>
    <row r="705">
      <c r="A705" s="148" t="n">
        <v>42614</v>
      </c>
      <c r="B705" t="n">
        <v>16647</v>
      </c>
      <c r="C705" t="n">
        <v>27275</v>
      </c>
      <c r="D705" t="n">
        <v>29035</v>
      </c>
      <c r="E705" t="n">
        <v>21150</v>
      </c>
      <c r="F705" t="n">
        <v>10185</v>
      </c>
      <c r="G705" t="n">
        <v>75666</v>
      </c>
      <c r="H705" t="n">
        <v>201229</v>
      </c>
      <c r="I705" t="n">
        <v>141070</v>
      </c>
      <c r="J705" t="n">
        <v>152211</v>
      </c>
      <c r="K705" t="n">
        <v>59991</v>
      </c>
      <c r="L705" t="n">
        <v>216736</v>
      </c>
      <c r="M705" t="n">
        <v>59476</v>
      </c>
    </row>
    <row r="706">
      <c r="A706" s="148" t="n">
        <v>42644</v>
      </c>
      <c r="B706" t="n">
        <v>16817</v>
      </c>
      <c r="C706" t="n">
        <v>28278</v>
      </c>
      <c r="D706" t="n">
        <v>28992</v>
      </c>
      <c r="E706" t="n">
        <v>20904</v>
      </c>
      <c r="F706" t="n">
        <v>10103</v>
      </c>
      <c r="G706" t="n">
        <v>91178</v>
      </c>
      <c r="H706" t="n">
        <v>225358</v>
      </c>
      <c r="I706" t="n">
        <v>141983</v>
      </c>
      <c r="J706" t="n">
        <v>169427</v>
      </c>
      <c r="K706" t="n">
        <v>59411</v>
      </c>
      <c r="L706" t="n">
        <v>233161</v>
      </c>
      <c r="M706" t="n">
        <v>59343</v>
      </c>
    </row>
    <row r="707">
      <c r="A707" s="148" t="n">
        <v>42675</v>
      </c>
      <c r="B707" t="n">
        <v>17253</v>
      </c>
      <c r="C707" t="n">
        <v>28224</v>
      </c>
      <c r="D707" t="n">
        <v>28914</v>
      </c>
      <c r="E707" t="n">
        <v>20834</v>
      </c>
      <c r="F707" t="n">
        <v>10306</v>
      </c>
      <c r="G707" t="n">
        <v>75252</v>
      </c>
      <c r="H707" t="n">
        <v>202565</v>
      </c>
      <c r="I707" t="n">
        <v>142505</v>
      </c>
      <c r="J707" t="n">
        <v>154279</v>
      </c>
      <c r="K707" t="n">
        <v>59487</v>
      </c>
      <c r="L707" t="n">
        <v>217757</v>
      </c>
      <c r="M707" t="n">
        <v>59361</v>
      </c>
    </row>
    <row r="708">
      <c r="A708" s="148" t="n">
        <v>42705</v>
      </c>
      <c r="B708" t="n">
        <v>17415</v>
      </c>
      <c r="C708" t="n">
        <v>27514</v>
      </c>
      <c r="D708" t="n">
        <v>29056</v>
      </c>
      <c r="E708" t="n">
        <v>21387</v>
      </c>
      <c r="F708" t="n">
        <v>10625</v>
      </c>
      <c r="G708" t="n">
        <v>76593</v>
      </c>
      <c r="H708" t="n">
        <v>201103</v>
      </c>
      <c r="I708" t="n">
        <v>142913</v>
      </c>
      <c r="J708" t="n">
        <v>154814</v>
      </c>
      <c r="K708" t="n">
        <v>60013</v>
      </c>
      <c r="L708" t="n">
        <v>219506</v>
      </c>
      <c r="M708" t="n">
        <v>59536</v>
      </c>
    </row>
    <row r="709">
      <c r="A709" s="148" t="n">
        <v>42736</v>
      </c>
      <c r="B709" t="n">
        <v>17775</v>
      </c>
      <c r="C709" t="n">
        <v>28086</v>
      </c>
      <c r="D709" t="n">
        <v>29710</v>
      </c>
      <c r="E709" t="n">
        <v>21198</v>
      </c>
      <c r="F709" t="n">
        <v>10545</v>
      </c>
      <c r="G709" t="n">
        <v>73931</v>
      </c>
      <c r="H709" t="n">
        <v>206243</v>
      </c>
      <c r="I709" t="n">
        <v>145028</v>
      </c>
      <c r="J709" t="n">
        <v>154200</v>
      </c>
      <c r="K709" t="n">
        <v>59778</v>
      </c>
      <c r="L709" t="n">
        <v>218959</v>
      </c>
      <c r="M709" t="n">
        <v>60621</v>
      </c>
    </row>
    <row r="710">
      <c r="A710" s="148" t="n">
        <v>42767</v>
      </c>
      <c r="B710" t="n">
        <v>18225</v>
      </c>
      <c r="C710" t="n">
        <v>27457</v>
      </c>
      <c r="D710" t="n">
        <v>29672</v>
      </c>
      <c r="E710" t="n">
        <v>21693</v>
      </c>
      <c r="F710" t="n">
        <v>10551</v>
      </c>
      <c r="G710" t="n">
        <v>77348</v>
      </c>
      <c r="H710" t="n">
        <v>210003</v>
      </c>
      <c r="I710" t="n">
        <v>145362</v>
      </c>
      <c r="J710" t="n">
        <v>158892</v>
      </c>
      <c r="K710" t="n">
        <v>59987</v>
      </c>
      <c r="L710" t="n">
        <v>222710</v>
      </c>
      <c r="M710" t="n">
        <v>60902</v>
      </c>
    </row>
    <row r="711">
      <c r="A711" s="148" t="n">
        <v>42795</v>
      </c>
      <c r="B711" t="n">
        <v>18418</v>
      </c>
      <c r="C711" t="n">
        <v>29007</v>
      </c>
      <c r="D711" t="n">
        <v>30385</v>
      </c>
      <c r="E711" t="n">
        <v>21036</v>
      </c>
      <c r="F711" t="n">
        <v>10639</v>
      </c>
      <c r="G711" t="n">
        <v>75327</v>
      </c>
      <c r="H711" t="n">
        <v>210478</v>
      </c>
      <c r="I711" t="n">
        <v>147054</v>
      </c>
      <c r="J711" t="n">
        <v>158853</v>
      </c>
      <c r="K711" t="n">
        <v>60681</v>
      </c>
      <c r="L711" t="n">
        <v>222381</v>
      </c>
      <c r="M711" t="n">
        <v>61306</v>
      </c>
    </row>
    <row r="712">
      <c r="A712" s="148" t="n">
        <v>42826</v>
      </c>
      <c r="B712" t="n">
        <v>18341</v>
      </c>
      <c r="C712" t="n">
        <v>28228</v>
      </c>
      <c r="D712" t="n">
        <v>30356</v>
      </c>
      <c r="E712" t="n">
        <v>21286</v>
      </c>
      <c r="F712" t="n">
        <v>10305</v>
      </c>
      <c r="G712" t="n">
        <v>77930</v>
      </c>
      <c r="H712" t="n">
        <v>211179</v>
      </c>
      <c r="I712" t="n">
        <v>146026</v>
      </c>
      <c r="J712" t="n">
        <v>160555</v>
      </c>
      <c r="K712" t="n">
        <v>60445</v>
      </c>
      <c r="L712" t="n">
        <v>223956</v>
      </c>
      <c r="M712" t="n">
        <v>61205</v>
      </c>
    </row>
    <row r="713">
      <c r="A713" s="148" t="n">
        <v>42856</v>
      </c>
      <c r="B713" t="n">
        <v>18393</v>
      </c>
      <c r="C713" t="n">
        <v>28679</v>
      </c>
      <c r="D713" t="n">
        <v>30663</v>
      </c>
      <c r="E713" t="n">
        <v>21337</v>
      </c>
      <c r="F713" t="n">
        <v>10434</v>
      </c>
      <c r="G713" t="n">
        <v>75943</v>
      </c>
      <c r="H713" t="n">
        <v>209836</v>
      </c>
      <c r="I713" t="n">
        <v>147070</v>
      </c>
      <c r="J713" t="n">
        <v>158144</v>
      </c>
      <c r="K713" t="n">
        <v>61109</v>
      </c>
      <c r="L713" t="n">
        <v>223013</v>
      </c>
      <c r="M713" t="n">
        <v>61225</v>
      </c>
    </row>
    <row r="714">
      <c r="A714" s="148" t="n">
        <v>42887</v>
      </c>
      <c r="B714" t="n">
        <v>18444</v>
      </c>
      <c r="C714" t="n">
        <v>28438</v>
      </c>
      <c r="D714" t="n">
        <v>30392</v>
      </c>
      <c r="E714" t="n">
        <v>21001</v>
      </c>
      <c r="F714" t="n">
        <v>10050</v>
      </c>
      <c r="G714" t="n">
        <v>90397</v>
      </c>
      <c r="H714" t="n">
        <v>226112</v>
      </c>
      <c r="I714" t="n">
        <v>145909</v>
      </c>
      <c r="J714" t="n">
        <v>172196</v>
      </c>
      <c r="K714" t="n">
        <v>60720</v>
      </c>
      <c r="L714" t="n">
        <v>236306</v>
      </c>
      <c r="M714" t="n">
        <v>60319</v>
      </c>
    </row>
    <row r="715">
      <c r="A715" s="148" t="n">
        <v>42917</v>
      </c>
      <c r="B715" t="n">
        <v>18875</v>
      </c>
      <c r="C715" t="n">
        <v>28835</v>
      </c>
      <c r="D715" t="n">
        <v>30421</v>
      </c>
      <c r="E715" t="n">
        <v>21759</v>
      </c>
      <c r="F715" t="n">
        <v>10014</v>
      </c>
      <c r="G715" t="n">
        <v>69209</v>
      </c>
      <c r="H715" t="n">
        <v>208934</v>
      </c>
      <c r="I715" t="n">
        <v>147708</v>
      </c>
      <c r="J715" t="n">
        <v>154382</v>
      </c>
      <c r="K715" t="n">
        <v>60854</v>
      </c>
      <c r="L715" t="n">
        <v>216917</v>
      </c>
      <c r="M715" t="n">
        <v>61221</v>
      </c>
    </row>
    <row r="716">
      <c r="A716" s="148" t="n">
        <v>42948</v>
      </c>
      <c r="B716" t="n">
        <v>19391</v>
      </c>
      <c r="C716" t="n">
        <v>29023</v>
      </c>
      <c r="D716" t="n">
        <v>30247</v>
      </c>
      <c r="E716" t="n">
        <v>21745</v>
      </c>
      <c r="F716" t="n">
        <v>10295</v>
      </c>
      <c r="G716" t="n">
        <v>73569</v>
      </c>
      <c r="H716" t="n">
        <v>211561</v>
      </c>
      <c r="I716" t="n">
        <v>148588</v>
      </c>
      <c r="J716" t="n">
        <v>157880</v>
      </c>
      <c r="K716" t="n">
        <v>61707</v>
      </c>
      <c r="L716" t="n">
        <v>222157</v>
      </c>
      <c r="M716" t="n">
        <v>61434</v>
      </c>
    </row>
    <row r="717">
      <c r="A717" s="148" t="n">
        <v>42979</v>
      </c>
      <c r="B717" t="n">
        <v>18626</v>
      </c>
      <c r="C717" t="n">
        <v>29748</v>
      </c>
      <c r="D717" t="n">
        <v>30853</v>
      </c>
      <c r="E717" t="n">
        <v>22570</v>
      </c>
      <c r="F717" t="n">
        <v>10565</v>
      </c>
      <c r="G717" t="n">
        <v>77877</v>
      </c>
      <c r="H717" t="n">
        <v>214530</v>
      </c>
      <c r="I717" t="n">
        <v>150497</v>
      </c>
      <c r="J717" t="n">
        <v>164458</v>
      </c>
      <c r="K717" t="n">
        <v>62405</v>
      </c>
      <c r="L717" t="n">
        <v>228374</v>
      </c>
      <c r="M717" t="n">
        <v>63614</v>
      </c>
    </row>
    <row r="718">
      <c r="A718" s="148" t="n">
        <v>43009</v>
      </c>
      <c r="B718" t="n">
        <v>19783</v>
      </c>
      <c r="C718" t="n">
        <v>29645</v>
      </c>
      <c r="D718" t="n">
        <v>32042</v>
      </c>
      <c r="E718" t="n">
        <v>22176</v>
      </c>
      <c r="F718" t="n">
        <v>10654</v>
      </c>
      <c r="G718" t="n">
        <v>74741</v>
      </c>
      <c r="H718" t="n">
        <v>218187</v>
      </c>
      <c r="I718" t="n">
        <v>153026</v>
      </c>
      <c r="J718" t="n">
        <v>162359</v>
      </c>
      <c r="K718" t="n">
        <v>62741</v>
      </c>
      <c r="L718" t="n">
        <v>227767</v>
      </c>
      <c r="M718" t="n">
        <v>63787</v>
      </c>
    </row>
    <row r="719">
      <c r="A719" s="148" t="n">
        <v>43040</v>
      </c>
      <c r="B719" t="n">
        <v>19633</v>
      </c>
      <c r="C719" t="n">
        <v>30011</v>
      </c>
      <c r="D719" t="n">
        <v>31152</v>
      </c>
      <c r="E719" t="n">
        <v>22730</v>
      </c>
      <c r="F719" t="n">
        <v>10769</v>
      </c>
      <c r="G719" t="n">
        <v>78281</v>
      </c>
      <c r="H719" t="n">
        <v>223365</v>
      </c>
      <c r="I719" t="n">
        <v>153651</v>
      </c>
      <c r="J719" t="n">
        <v>165858</v>
      </c>
      <c r="K719" t="n">
        <v>63498</v>
      </c>
      <c r="L719" t="n">
        <v>231932</v>
      </c>
      <c r="M719" t="n">
        <v>63929</v>
      </c>
    </row>
    <row r="720">
      <c r="A720" s="148" t="n">
        <v>43070</v>
      </c>
      <c r="B720" t="n">
        <v>19741</v>
      </c>
      <c r="C720" t="n">
        <v>30444</v>
      </c>
      <c r="D720" t="n">
        <v>31957</v>
      </c>
      <c r="E720" t="n">
        <v>21952</v>
      </c>
      <c r="F720" t="n">
        <v>10771</v>
      </c>
      <c r="G720" t="n">
        <v>86518</v>
      </c>
      <c r="H720" t="n">
        <v>226348</v>
      </c>
      <c r="I720" t="n">
        <v>154472</v>
      </c>
      <c r="J720" t="n">
        <v>175302</v>
      </c>
      <c r="K720" t="n">
        <v>63977</v>
      </c>
      <c r="L720" t="n">
        <v>240990</v>
      </c>
      <c r="M720" t="n">
        <v>63743</v>
      </c>
    </row>
    <row r="721">
      <c r="A721" s="148" t="n">
        <v>43101</v>
      </c>
      <c r="B721" t="n">
        <v>19759</v>
      </c>
      <c r="C721" t="n">
        <v>31084</v>
      </c>
      <c r="D721" t="n">
        <v>31935</v>
      </c>
      <c r="E721" t="n">
        <v>21735</v>
      </c>
      <c r="F721" t="n">
        <v>10516</v>
      </c>
      <c r="G721" t="n">
        <v>72820</v>
      </c>
      <c r="H721" t="n">
        <v>215201</v>
      </c>
      <c r="I721" t="n">
        <v>154211</v>
      </c>
      <c r="J721" t="n">
        <v>160615</v>
      </c>
      <c r="K721" t="n">
        <v>63556</v>
      </c>
      <c r="L721" t="n">
        <v>227031</v>
      </c>
      <c r="M721" t="n">
        <v>63726</v>
      </c>
    </row>
    <row r="722">
      <c r="A722" s="148" t="n">
        <v>43132</v>
      </c>
      <c r="B722" t="n">
        <v>20392</v>
      </c>
      <c r="C722" t="n">
        <v>31433</v>
      </c>
      <c r="D722" t="n">
        <v>33265</v>
      </c>
      <c r="E722" t="n">
        <v>21926</v>
      </c>
      <c r="F722" t="n">
        <v>10782</v>
      </c>
      <c r="G722" t="n">
        <v>77104</v>
      </c>
      <c r="H722" t="n">
        <v>216508</v>
      </c>
      <c r="I722" t="n">
        <v>157303</v>
      </c>
      <c r="J722" t="n">
        <v>167171</v>
      </c>
      <c r="K722" t="n">
        <v>64012</v>
      </c>
      <c r="L722" t="n">
        <v>234407</v>
      </c>
      <c r="M722" t="n">
        <v>65524</v>
      </c>
    </row>
    <row r="723">
      <c r="A723" s="148" t="n">
        <v>43160</v>
      </c>
      <c r="B723" t="n">
        <v>20927</v>
      </c>
      <c r="C723" t="n">
        <v>32240</v>
      </c>
      <c r="D723" t="n">
        <v>32211</v>
      </c>
      <c r="E723" t="n">
        <v>21619</v>
      </c>
      <c r="F723" t="n">
        <v>10858</v>
      </c>
      <c r="G723" t="n">
        <v>84592</v>
      </c>
      <c r="H723" t="n">
        <v>228341</v>
      </c>
      <c r="I723" t="n">
        <v>157512</v>
      </c>
      <c r="J723" t="n">
        <v>175135</v>
      </c>
      <c r="K723" t="n">
        <v>63867</v>
      </c>
      <c r="L723" t="n">
        <v>242104</v>
      </c>
      <c r="M723" t="n">
        <v>64174</v>
      </c>
    </row>
    <row r="724">
      <c r="A724" s="148" t="n">
        <v>43191</v>
      </c>
      <c r="B724" t="n">
        <v>21591</v>
      </c>
      <c r="C724" t="n">
        <v>32613</v>
      </c>
      <c r="D724" t="n">
        <v>32526</v>
      </c>
      <c r="E724" t="n">
        <v>22095</v>
      </c>
      <c r="F724" t="n">
        <v>10873</v>
      </c>
      <c r="G724" t="n">
        <v>81373</v>
      </c>
      <c r="H724" t="n">
        <v>228749</v>
      </c>
      <c r="I724" t="n">
        <v>159613</v>
      </c>
      <c r="J724" t="n">
        <v>171483</v>
      </c>
      <c r="K724" t="n">
        <v>65011</v>
      </c>
      <c r="L724" t="n">
        <v>240986</v>
      </c>
      <c r="M724" t="n">
        <v>65156</v>
      </c>
    </row>
    <row r="725">
      <c r="A725" s="148" t="n">
        <v>43221</v>
      </c>
      <c r="B725" t="n">
        <v>21565</v>
      </c>
      <c r="C725" t="n">
        <v>32620</v>
      </c>
      <c r="D725" t="n">
        <v>33661</v>
      </c>
      <c r="E725" t="n">
        <v>22434</v>
      </c>
      <c r="F725" t="n">
        <v>11000</v>
      </c>
      <c r="G725" t="n">
        <v>80874</v>
      </c>
      <c r="H725" t="n">
        <v>226554</v>
      </c>
      <c r="I725" t="n">
        <v>161386</v>
      </c>
      <c r="J725" t="n">
        <v>175823</v>
      </c>
      <c r="K725" t="n">
        <v>65092</v>
      </c>
      <c r="L725" t="n">
        <v>242260</v>
      </c>
      <c r="M725" t="n">
        <v>66727</v>
      </c>
    </row>
    <row r="726">
      <c r="A726" s="148" t="n">
        <v>43252</v>
      </c>
      <c r="B726" t="n">
        <v>21586</v>
      </c>
      <c r="C726" t="n">
        <v>32641</v>
      </c>
      <c r="D726" t="n">
        <v>33926</v>
      </c>
      <c r="E726" t="n">
        <v>22514</v>
      </c>
      <c r="F726" t="n">
        <v>11016</v>
      </c>
      <c r="G726" t="n">
        <v>79336</v>
      </c>
      <c r="H726" t="n">
        <v>226427</v>
      </c>
      <c r="I726" t="n">
        <v>161808</v>
      </c>
      <c r="J726" t="n">
        <v>173220</v>
      </c>
      <c r="K726" t="n">
        <v>65980</v>
      </c>
      <c r="L726" t="n">
        <v>241144</v>
      </c>
      <c r="M726" t="n">
        <v>67648</v>
      </c>
    </row>
    <row r="727">
      <c r="A727" s="148" t="n">
        <v>43282</v>
      </c>
      <c r="B727" t="n">
        <v>21850</v>
      </c>
      <c r="C727" t="n">
        <v>32665</v>
      </c>
      <c r="D727" t="n">
        <v>34539</v>
      </c>
      <c r="E727" t="n">
        <v>22520</v>
      </c>
      <c r="F727" t="n">
        <v>11076</v>
      </c>
      <c r="G727" t="n">
        <v>69968</v>
      </c>
      <c r="H727" t="n">
        <v>222741</v>
      </c>
      <c r="I727" t="n">
        <v>162723</v>
      </c>
      <c r="J727" t="n">
        <v>163811</v>
      </c>
      <c r="K727" t="n">
        <v>66517</v>
      </c>
      <c r="L727" t="n">
        <v>232691</v>
      </c>
      <c r="M727" t="n">
        <v>68164</v>
      </c>
    </row>
    <row r="728">
      <c r="A728" s="148" t="n">
        <v>43313</v>
      </c>
      <c r="B728" t="n">
        <v>21429</v>
      </c>
      <c r="C728" t="n">
        <v>32267</v>
      </c>
      <c r="D728" t="n">
        <v>33686</v>
      </c>
      <c r="E728" t="n">
        <v>22405</v>
      </c>
      <c r="F728" t="n">
        <v>11206</v>
      </c>
      <c r="G728" t="n">
        <v>81983</v>
      </c>
      <c r="H728" t="n">
        <v>230514</v>
      </c>
      <c r="I728" t="n">
        <v>160720</v>
      </c>
      <c r="J728" t="n">
        <v>174469</v>
      </c>
      <c r="K728" t="n">
        <v>66126</v>
      </c>
      <c r="L728" t="n">
        <v>242703</v>
      </c>
      <c r="M728" t="n">
        <v>67274</v>
      </c>
    </row>
    <row r="729">
      <c r="A729" s="148" t="n">
        <v>43344</v>
      </c>
      <c r="B729" t="n">
        <v>21719</v>
      </c>
      <c r="C729" t="n">
        <v>31697</v>
      </c>
      <c r="D729" t="n">
        <v>34041</v>
      </c>
      <c r="E729" t="n">
        <v>22075</v>
      </c>
      <c r="F729" t="n">
        <v>10927</v>
      </c>
      <c r="G729" t="n">
        <v>84792</v>
      </c>
      <c r="H729" t="n">
        <v>225632</v>
      </c>
      <c r="I729" t="n">
        <v>160323</v>
      </c>
      <c r="J729" t="n">
        <v>176493</v>
      </c>
      <c r="K729" t="n">
        <v>65978</v>
      </c>
      <c r="L729" t="n">
        <v>245115</v>
      </c>
      <c r="M729" t="n">
        <v>67080</v>
      </c>
    </row>
    <row r="730">
      <c r="A730" s="148" t="n">
        <v>43374</v>
      </c>
      <c r="B730" t="n">
        <v>21545</v>
      </c>
      <c r="C730" t="n">
        <v>32031</v>
      </c>
      <c r="D730" t="n">
        <v>34561</v>
      </c>
      <c r="E730" t="n">
        <v>22841</v>
      </c>
      <c r="F730" t="n">
        <v>11198</v>
      </c>
      <c r="G730" t="n">
        <v>75210</v>
      </c>
      <c r="H730" t="n">
        <v>224668</v>
      </c>
      <c r="I730" t="n">
        <v>161895</v>
      </c>
      <c r="J730" t="n">
        <v>168153</v>
      </c>
      <c r="K730" t="n">
        <v>66450</v>
      </c>
      <c r="L730" t="n">
        <v>237105</v>
      </c>
      <c r="M730" t="n">
        <v>67701</v>
      </c>
    </row>
    <row r="731">
      <c r="A731" s="148" t="n">
        <v>43405</v>
      </c>
      <c r="B731" t="n">
        <v>21083</v>
      </c>
      <c r="C731" t="n">
        <v>32482</v>
      </c>
      <c r="D731" t="n">
        <v>32426</v>
      </c>
      <c r="E731" t="n">
        <v>22873</v>
      </c>
      <c r="F731" t="n">
        <v>10950</v>
      </c>
      <c r="G731" t="n">
        <v>74439</v>
      </c>
      <c r="H731" t="n">
        <v>214673</v>
      </c>
      <c r="I731" t="n">
        <v>159065</v>
      </c>
      <c r="J731" t="n">
        <v>165075</v>
      </c>
      <c r="K731" t="n">
        <v>65739</v>
      </c>
      <c r="L731" t="n">
        <v>233504</v>
      </c>
      <c r="M731" t="n">
        <v>65840</v>
      </c>
    </row>
    <row r="732">
      <c r="A732" s="148" t="n">
        <v>43435</v>
      </c>
      <c r="B732" t="n">
        <v>21594</v>
      </c>
      <c r="C732" t="n">
        <v>32632</v>
      </c>
      <c r="D732" t="n">
        <v>32900</v>
      </c>
      <c r="E732" t="n">
        <v>22712</v>
      </c>
      <c r="F732" t="n">
        <v>10756</v>
      </c>
      <c r="G732" t="n">
        <v>79635</v>
      </c>
      <c r="H732" t="n">
        <v>230978</v>
      </c>
      <c r="I732" t="n">
        <v>159892</v>
      </c>
      <c r="J732" t="n">
        <v>170959</v>
      </c>
      <c r="K732" t="n">
        <v>66066</v>
      </c>
      <c r="L732" t="n">
        <v>239527</v>
      </c>
      <c r="M732" t="n">
        <v>65773</v>
      </c>
    </row>
    <row r="733">
      <c r="A733" s="148" t="n">
        <v>43466</v>
      </c>
      <c r="B733" t="n">
        <v>20087</v>
      </c>
      <c r="C733" t="n">
        <v>32448</v>
      </c>
      <c r="D733" t="n">
        <v>33662</v>
      </c>
      <c r="E733" t="n">
        <v>22517</v>
      </c>
      <c r="F733" t="n">
        <v>11063</v>
      </c>
      <c r="G733" t="n">
        <v>75224</v>
      </c>
      <c r="H733" t="n">
        <v>239654</v>
      </c>
      <c r="I733" t="n">
        <v>158988</v>
      </c>
      <c r="J733" t="n">
        <v>165691</v>
      </c>
      <c r="K733" t="n">
        <v>65825</v>
      </c>
      <c r="L733" t="n">
        <v>234212</v>
      </c>
      <c r="M733" t="n">
        <v>66817</v>
      </c>
    </row>
    <row r="734">
      <c r="A734" s="148" t="n">
        <v>43497</v>
      </c>
      <c r="B734" t="n">
        <v>20832</v>
      </c>
      <c r="C734" t="n">
        <v>32580</v>
      </c>
      <c r="D734" t="n">
        <v>33602</v>
      </c>
      <c r="E734" t="n">
        <v>22550</v>
      </c>
      <c r="F734" t="n">
        <v>10991</v>
      </c>
      <c r="G734" t="n">
        <v>66184</v>
      </c>
      <c r="H734" t="n">
        <v>230943</v>
      </c>
      <c r="I734" t="n">
        <v>159854</v>
      </c>
      <c r="J734" t="n">
        <v>157174</v>
      </c>
      <c r="K734" t="n">
        <v>65952</v>
      </c>
      <c r="L734" t="n">
        <v>226038</v>
      </c>
      <c r="M734" t="n">
        <v>67061</v>
      </c>
    </row>
    <row r="735">
      <c r="A735" s="148" t="n">
        <v>43525</v>
      </c>
      <c r="B735" t="n">
        <v>20500</v>
      </c>
      <c r="C735" t="n">
        <v>31869</v>
      </c>
      <c r="D735" t="n">
        <v>33174</v>
      </c>
      <c r="E735" t="n">
        <v>22780</v>
      </c>
      <c r="F735" t="n">
        <v>11265</v>
      </c>
      <c r="G735" t="n">
        <v>75997</v>
      </c>
      <c r="H735" t="n">
        <v>239381</v>
      </c>
      <c r="I735" t="n">
        <v>158893</v>
      </c>
      <c r="J735" t="n">
        <v>166655</v>
      </c>
      <c r="K735" t="n">
        <v>65892</v>
      </c>
      <c r="L735" t="n">
        <v>234890</v>
      </c>
      <c r="M735" t="n">
        <v>67584</v>
      </c>
    </row>
    <row r="736">
      <c r="A736" s="148" t="n">
        <v>43556</v>
      </c>
      <c r="B736" t="n">
        <v>20379</v>
      </c>
      <c r="C736" t="n">
        <v>32606</v>
      </c>
      <c r="D736" t="n">
        <v>33112</v>
      </c>
      <c r="E736" t="n">
        <v>23148</v>
      </c>
      <c r="F736" t="n">
        <v>11278</v>
      </c>
      <c r="G736" t="n">
        <v>68026</v>
      </c>
      <c r="H736" t="n">
        <v>237159</v>
      </c>
      <c r="I736" t="n">
        <v>159686</v>
      </c>
      <c r="J736" t="n">
        <v>159989</v>
      </c>
      <c r="K736" t="n">
        <v>66315</v>
      </c>
      <c r="L736" t="n">
        <v>227712</v>
      </c>
      <c r="M736" t="n">
        <v>66822</v>
      </c>
    </row>
    <row r="737">
      <c r="A737" s="148" t="n">
        <v>43586</v>
      </c>
      <c r="B737" t="n">
        <v>19581</v>
      </c>
      <c r="C737" t="n">
        <v>32379</v>
      </c>
      <c r="D737" t="n">
        <v>33162</v>
      </c>
      <c r="E737" t="n">
        <v>22946</v>
      </c>
      <c r="F737" t="n">
        <v>11401</v>
      </c>
      <c r="G737" t="n">
        <v>62606</v>
      </c>
      <c r="H737" t="n">
        <v>225087</v>
      </c>
      <c r="I737" t="n">
        <v>158955</v>
      </c>
      <c r="J737" t="n">
        <v>153317</v>
      </c>
      <c r="K737" t="n">
        <v>66597</v>
      </c>
      <c r="L737" t="n">
        <v>221561</v>
      </c>
      <c r="M737" t="n">
        <v>66778</v>
      </c>
    </row>
    <row r="738">
      <c r="A738" s="148" t="n">
        <v>43617</v>
      </c>
      <c r="B738" t="n">
        <v>20213</v>
      </c>
      <c r="C738" t="n">
        <v>32798</v>
      </c>
      <c r="D738" t="n">
        <v>32893</v>
      </c>
      <c r="E738" t="n">
        <v>22712</v>
      </c>
      <c r="F738" t="n">
        <v>11439</v>
      </c>
      <c r="G738" t="n">
        <v>60899</v>
      </c>
      <c r="H738" t="n">
        <v>236096</v>
      </c>
      <c r="I738" t="n">
        <v>159614</v>
      </c>
      <c r="J738" t="n">
        <v>151313</v>
      </c>
      <c r="K738" t="n">
        <v>66297</v>
      </c>
      <c r="L738" t="n">
        <v>220513</v>
      </c>
      <c r="M738" t="n">
        <v>65972</v>
      </c>
    </row>
    <row r="739">
      <c r="A739" s="148" t="n">
        <v>43647</v>
      </c>
      <c r="B739" t="n">
        <v>19481</v>
      </c>
      <c r="C739" t="n">
        <v>32596</v>
      </c>
      <c r="D739" t="n">
        <v>32121</v>
      </c>
      <c r="E739" t="n">
        <v>22519</v>
      </c>
      <c r="F739" t="n">
        <v>11540</v>
      </c>
      <c r="G739" t="n">
        <v>67925</v>
      </c>
      <c r="H739" t="n">
        <v>236007</v>
      </c>
      <c r="I739" t="n">
        <v>157500</v>
      </c>
      <c r="J739" t="n">
        <v>157831</v>
      </c>
      <c r="K739" t="n">
        <v>65881</v>
      </c>
      <c r="L739" t="n">
        <v>225425</v>
      </c>
      <c r="M739" t="n">
        <v>65471</v>
      </c>
    </row>
    <row r="740">
      <c r="A740" s="148" t="n">
        <v>43678</v>
      </c>
      <c r="B740" t="n">
        <v>19190</v>
      </c>
      <c r="C740" t="n">
        <v>32775</v>
      </c>
      <c r="D740" t="n">
        <v>32584</v>
      </c>
      <c r="E740" t="n">
        <v>22217</v>
      </c>
      <c r="F740" t="n">
        <v>11349</v>
      </c>
      <c r="G740" t="n">
        <v>67844</v>
      </c>
      <c r="H740" t="n">
        <v>230663</v>
      </c>
      <c r="I740" t="n">
        <v>157248</v>
      </c>
      <c r="J740" t="n">
        <v>157058</v>
      </c>
      <c r="K740" t="n">
        <v>65847</v>
      </c>
      <c r="L740" t="n">
        <v>225092</v>
      </c>
      <c r="M740" t="n">
        <v>65693</v>
      </c>
    </row>
    <row r="741">
      <c r="A741" s="148" t="n">
        <v>43709</v>
      </c>
      <c r="B741" t="n">
        <v>19098</v>
      </c>
      <c r="C741" t="n">
        <v>31738</v>
      </c>
      <c r="D741" t="n">
        <v>32694</v>
      </c>
      <c r="E741" t="n">
        <v>22181</v>
      </c>
      <c r="F741" t="n">
        <v>11269</v>
      </c>
      <c r="G741" t="n">
        <v>66785</v>
      </c>
      <c r="H741" t="n">
        <v>228583</v>
      </c>
      <c r="I741" t="n">
        <v>155985</v>
      </c>
      <c r="J741" t="n">
        <v>155680</v>
      </c>
      <c r="K741" t="n">
        <v>65250</v>
      </c>
      <c r="L741" t="n">
        <v>222770</v>
      </c>
      <c r="M741" t="n">
        <v>64871</v>
      </c>
    </row>
    <row r="742">
      <c r="A742" s="148" t="n">
        <v>43739</v>
      </c>
      <c r="B742" t="n">
        <v>18320</v>
      </c>
      <c r="C742" t="n">
        <v>32137</v>
      </c>
      <c r="D742" t="n">
        <v>32710</v>
      </c>
      <c r="E742" t="n">
        <v>21823</v>
      </c>
      <c r="F742" t="n">
        <v>11291</v>
      </c>
      <c r="G742" t="n">
        <v>67336</v>
      </c>
      <c r="H742" t="n">
        <v>231646</v>
      </c>
      <c r="I742" t="n">
        <v>155262</v>
      </c>
      <c r="J742" t="n">
        <v>156562</v>
      </c>
      <c r="K742" t="n">
        <v>65403</v>
      </c>
      <c r="L742" t="n">
        <v>222598</v>
      </c>
      <c r="M742" t="n">
        <v>64835</v>
      </c>
    </row>
    <row r="743">
      <c r="A743" s="148" t="n">
        <v>43770</v>
      </c>
      <c r="B743" t="n">
        <v>18509</v>
      </c>
      <c r="C743" t="n">
        <v>32162</v>
      </c>
      <c r="D743" t="n">
        <v>32175</v>
      </c>
      <c r="E743" t="n">
        <v>21634</v>
      </c>
      <c r="F743" t="n">
        <v>11411</v>
      </c>
      <c r="G743" t="n">
        <v>59666</v>
      </c>
      <c r="H743" t="n">
        <v>223422</v>
      </c>
      <c r="I743" t="n">
        <v>154411</v>
      </c>
      <c r="J743" t="n">
        <v>148744</v>
      </c>
      <c r="K743" t="n">
        <v>65034</v>
      </c>
      <c r="L743" t="n">
        <v>214077</v>
      </c>
      <c r="M743" t="n">
        <v>63893</v>
      </c>
    </row>
    <row r="744">
      <c r="A744" s="148" t="n">
        <v>43800</v>
      </c>
      <c r="B744" t="n">
        <v>17831</v>
      </c>
      <c r="C744" t="n">
        <v>31667</v>
      </c>
      <c r="D744" t="n">
        <v>31124</v>
      </c>
      <c r="E744" t="n">
        <v>21726</v>
      </c>
      <c r="F744" t="n">
        <v>11413</v>
      </c>
      <c r="G744" t="n">
        <v>64237</v>
      </c>
      <c r="H744" t="n">
        <v>220138</v>
      </c>
      <c r="I744" t="n">
        <v>151958</v>
      </c>
      <c r="J744" t="n">
        <v>151973</v>
      </c>
      <c r="K744" t="n">
        <v>65223</v>
      </c>
      <c r="L744" t="n">
        <v>216195</v>
      </c>
      <c r="M744" t="n">
        <v>62812</v>
      </c>
    </row>
    <row r="745">
      <c r="A745" s="148" t="n">
        <v>43831</v>
      </c>
      <c r="B745" t="n">
        <v>17415</v>
      </c>
      <c r="C745" t="n">
        <v>30793</v>
      </c>
      <c r="D745" t="n">
        <v>31181</v>
      </c>
      <c r="E745" t="n">
        <v>21895</v>
      </c>
      <c r="F745" t="n">
        <v>11211</v>
      </c>
      <c r="G745" t="n">
        <v>79622</v>
      </c>
      <c r="H745" t="n">
        <v>216266</v>
      </c>
      <c r="I745" t="n">
        <v>150421</v>
      </c>
      <c r="J745" t="n">
        <v>166363</v>
      </c>
      <c r="K745" t="n">
        <v>65297</v>
      </c>
      <c r="L745" t="n">
        <v>230043</v>
      </c>
      <c r="M745" t="n">
        <v>61904</v>
      </c>
    </row>
    <row r="746">
      <c r="A746" s="148" t="n">
        <v>43862</v>
      </c>
      <c r="B746" t="n">
        <v>17691</v>
      </c>
      <c r="C746" t="n">
        <v>30406</v>
      </c>
      <c r="D746" t="n">
        <v>30990</v>
      </c>
      <c r="E746" t="n">
        <v>21919</v>
      </c>
      <c r="F746" t="n">
        <v>11240</v>
      </c>
      <c r="G746" t="n">
        <v>83593</v>
      </c>
      <c r="H746" t="n">
        <v>214429</v>
      </c>
      <c r="I746" t="n">
        <v>150073</v>
      </c>
      <c r="J746" t="n">
        <v>167622</v>
      </c>
      <c r="K746" t="n">
        <v>64967</v>
      </c>
      <c r="L746" t="n">
        <v>233666</v>
      </c>
      <c r="M746" t="n">
        <v>61111</v>
      </c>
    </row>
    <row r="747">
      <c r="A747" s="148" t="n">
        <v>43891</v>
      </c>
      <c r="B747" t="n">
        <v>15825</v>
      </c>
      <c r="C747" t="n">
        <v>28607</v>
      </c>
      <c r="D747" t="n">
        <v>30650</v>
      </c>
      <c r="E747" t="n">
        <v>21591</v>
      </c>
      <c r="F747" t="n">
        <v>11404</v>
      </c>
      <c r="G747" t="n">
        <v>53633</v>
      </c>
      <c r="H747" t="n">
        <v>166862</v>
      </c>
      <c r="I747" t="n">
        <v>145459</v>
      </c>
      <c r="J747" t="n">
        <v>142714</v>
      </c>
      <c r="K747" t="n">
        <v>64064</v>
      </c>
      <c r="L747" t="n">
        <v>199092</v>
      </c>
      <c r="M747" t="n">
        <v>60452</v>
      </c>
    </row>
    <row r="748">
      <c r="A748" s="148" t="n">
        <v>43922</v>
      </c>
      <c r="B748" t="n">
        <v>13225</v>
      </c>
      <c r="C748" t="n">
        <v>24666</v>
      </c>
      <c r="D748" t="n">
        <v>27202</v>
      </c>
      <c r="E748" t="n">
        <v>21523</v>
      </c>
      <c r="F748" t="n">
        <v>10155</v>
      </c>
      <c r="G748" t="n">
        <v>29144</v>
      </c>
      <c r="H748" t="n">
        <v>149372</v>
      </c>
      <c r="I748" t="n">
        <v>131513</v>
      </c>
      <c r="J748" t="n">
        <v>122767</v>
      </c>
      <c r="K748" t="n">
        <v>59402</v>
      </c>
      <c r="L748" t="n">
        <v>160657</v>
      </c>
      <c r="M748" t="n">
        <v>55156</v>
      </c>
    </row>
    <row r="749">
      <c r="A749" s="148" t="n">
        <v>43952</v>
      </c>
      <c r="B749" t="n">
        <v>14183</v>
      </c>
      <c r="C749" t="n">
        <v>26170</v>
      </c>
      <c r="D749" t="n">
        <v>28133</v>
      </c>
      <c r="E749" t="n">
        <v>21465</v>
      </c>
      <c r="F749" t="n">
        <v>10312</v>
      </c>
      <c r="G749" t="n">
        <v>45333</v>
      </c>
      <c r="H749" t="n">
        <v>166186</v>
      </c>
      <c r="I749" t="n">
        <v>136312</v>
      </c>
      <c r="J749" t="n">
        <v>138919</v>
      </c>
      <c r="K749" t="n">
        <v>60874</v>
      </c>
      <c r="L749" t="n">
        <v>181645</v>
      </c>
      <c r="M749" t="n">
        <v>56113</v>
      </c>
    </row>
    <row r="750">
      <c r="A750" s="148" t="n">
        <v>43983</v>
      </c>
      <c r="B750" t="n">
        <v>15432</v>
      </c>
      <c r="C750" t="n">
        <v>28665</v>
      </c>
      <c r="D750" t="n">
        <v>29068</v>
      </c>
      <c r="E750" t="n">
        <v>21614</v>
      </c>
      <c r="F750" t="n">
        <v>10450</v>
      </c>
      <c r="G750" t="n">
        <v>55613</v>
      </c>
      <c r="H750" t="n">
        <v>187472</v>
      </c>
      <c r="I750" t="n">
        <v>143331</v>
      </c>
      <c r="J750" t="n">
        <v>135915</v>
      </c>
      <c r="K750" t="n">
        <v>63672</v>
      </c>
      <c r="L750" t="n">
        <v>198944</v>
      </c>
      <c r="M750" t="n">
        <v>58096</v>
      </c>
    </row>
    <row r="751">
      <c r="A751" s="148" t="n">
        <v>44013</v>
      </c>
      <c r="B751" t="n">
        <v>15603</v>
      </c>
      <c r="C751" t="n">
        <v>29850</v>
      </c>
      <c r="D751" t="n">
        <v>29680</v>
      </c>
      <c r="E751" t="n">
        <v>21770</v>
      </c>
      <c r="F751" t="n">
        <v>11270</v>
      </c>
      <c r="G751" t="n">
        <v>70882</v>
      </c>
      <c r="H751" t="n">
        <v>205339</v>
      </c>
      <c r="I751" t="n">
        <v>147510</v>
      </c>
      <c r="J751" t="n">
        <v>146515</v>
      </c>
      <c r="K751" t="n">
        <v>65681</v>
      </c>
      <c r="L751" t="n">
        <v>218392</v>
      </c>
      <c r="M751" t="n">
        <v>59442</v>
      </c>
    </row>
    <row r="752">
      <c r="A752" s="148" t="n">
        <v>44044</v>
      </c>
      <c r="B752" t="n">
        <v>16700</v>
      </c>
      <c r="C752" t="n">
        <v>29510</v>
      </c>
      <c r="D752" t="n">
        <v>30073</v>
      </c>
      <c r="E752" t="n">
        <v>21944</v>
      </c>
      <c r="F752" t="n">
        <v>11005</v>
      </c>
      <c r="G752" t="n">
        <v>72048</v>
      </c>
      <c r="H752" t="n">
        <v>210181</v>
      </c>
      <c r="I752" t="n">
        <v>149077</v>
      </c>
      <c r="J752" t="n">
        <v>149965</v>
      </c>
      <c r="K752" t="n">
        <v>67055</v>
      </c>
      <c r="L752" t="n">
        <v>221125</v>
      </c>
      <c r="M752" t="n">
        <v>59972</v>
      </c>
    </row>
    <row r="753">
      <c r="A753" s="148" t="n">
        <v>44075</v>
      </c>
      <c r="B753" t="n">
        <v>17920</v>
      </c>
      <c r="C753" t="n">
        <v>31147</v>
      </c>
      <c r="D753" t="n">
        <v>30628</v>
      </c>
      <c r="E753" t="n">
        <v>22099</v>
      </c>
      <c r="F753" t="n">
        <v>11253</v>
      </c>
      <c r="G753" t="n">
        <v>73043</v>
      </c>
      <c r="H753" t="n">
        <v>215572</v>
      </c>
      <c r="I753" t="n">
        <v>153330</v>
      </c>
      <c r="J753" t="n">
        <v>154255</v>
      </c>
      <c r="K753" t="n">
        <v>67319</v>
      </c>
      <c r="L753" t="n">
        <v>226373</v>
      </c>
      <c r="M753" t="n">
        <v>61416</v>
      </c>
    </row>
    <row r="754">
      <c r="A754" s="148" t="n">
        <v>44105</v>
      </c>
      <c r="B754" t="n">
        <v>18151</v>
      </c>
      <c r="C754" t="n">
        <v>31149</v>
      </c>
      <c r="D754" t="n">
        <v>31079</v>
      </c>
      <c r="E754" t="n">
        <v>22924</v>
      </c>
      <c r="F754" t="n">
        <v>11349</v>
      </c>
      <c r="G754" t="n">
        <v>75274</v>
      </c>
      <c r="H754" t="n">
        <v>215790</v>
      </c>
      <c r="I754" t="n">
        <v>155729</v>
      </c>
      <c r="J754" t="n">
        <v>159458</v>
      </c>
      <c r="K754" t="n">
        <v>68790</v>
      </c>
      <c r="L754" t="n">
        <v>231003</v>
      </c>
      <c r="M754" t="n">
        <v>62292</v>
      </c>
    </row>
    <row r="755">
      <c r="A755" s="148" t="n">
        <v>44136</v>
      </c>
      <c r="B755" t="n">
        <v>19151</v>
      </c>
      <c r="C755" t="n">
        <v>31040</v>
      </c>
      <c r="D755" t="n">
        <v>30965</v>
      </c>
      <c r="E755" t="n">
        <v>22745</v>
      </c>
      <c r="F755" t="n">
        <v>11430</v>
      </c>
      <c r="G755" t="n">
        <v>73763</v>
      </c>
      <c r="H755" t="n">
        <v>220355</v>
      </c>
      <c r="I755" t="n">
        <v>156929</v>
      </c>
      <c r="J755" t="n">
        <v>158478</v>
      </c>
      <c r="K755" t="n">
        <v>69601</v>
      </c>
      <c r="L755" t="n">
        <v>230692</v>
      </c>
      <c r="M755" t="n">
        <v>62330</v>
      </c>
    </row>
    <row r="756">
      <c r="A756" s="148" t="n">
        <v>44166</v>
      </c>
      <c r="B756" t="n">
        <v>20245</v>
      </c>
      <c r="C756" t="n">
        <v>32105</v>
      </c>
      <c r="D756" t="n">
        <v>32630</v>
      </c>
      <c r="E756" t="n">
        <v>22841</v>
      </c>
      <c r="F756" t="n">
        <v>12105</v>
      </c>
      <c r="G756" t="n">
        <v>72561</v>
      </c>
      <c r="H756" t="n">
        <v>226260</v>
      </c>
      <c r="I756" t="n">
        <v>162098</v>
      </c>
      <c r="J756" t="n">
        <v>162138</v>
      </c>
      <c r="K756" t="n">
        <v>70042</v>
      </c>
      <c r="L756" t="n">
        <v>234659</v>
      </c>
      <c r="M756" t="n">
        <v>63719</v>
      </c>
    </row>
    <row r="757">
      <c r="A757" s="148" t="n">
        <v>44197</v>
      </c>
      <c r="B757" t="n">
        <v>21761</v>
      </c>
      <c r="C757" t="n">
        <v>33328</v>
      </c>
      <c r="D757" t="n">
        <v>32072</v>
      </c>
      <c r="E757" t="n">
        <v>21839</v>
      </c>
      <c r="F757" t="n">
        <v>12186</v>
      </c>
      <c r="G757" t="n">
        <v>80747</v>
      </c>
      <c r="H757" t="n">
        <v>227501</v>
      </c>
      <c r="I757" t="n">
        <v>164188</v>
      </c>
      <c r="J757" t="n">
        <v>171470</v>
      </c>
      <c r="K757" t="n">
        <v>71414</v>
      </c>
      <c r="L757" t="n">
        <v>244935</v>
      </c>
      <c r="M757" t="n">
        <v>64783</v>
      </c>
    </row>
    <row r="758">
      <c r="A758" s="148" t="n">
        <v>44228</v>
      </c>
      <c r="B758" t="n">
        <v>22389</v>
      </c>
      <c r="C758" t="n">
        <v>33762</v>
      </c>
      <c r="D758" t="n">
        <v>33067</v>
      </c>
      <c r="E758" t="n">
        <v>21908</v>
      </c>
      <c r="F758" t="n">
        <v>12493</v>
      </c>
      <c r="G758" t="n">
        <v>78696</v>
      </c>
      <c r="H758" t="n">
        <v>230452</v>
      </c>
      <c r="I758" t="n">
        <v>165962</v>
      </c>
      <c r="J758" t="n">
        <v>174703</v>
      </c>
      <c r="K758" t="n">
        <v>70785</v>
      </c>
      <c r="L758" t="n">
        <v>244658</v>
      </c>
      <c r="M758" t="n">
        <v>65028</v>
      </c>
    </row>
    <row r="759">
      <c r="A759" s="148" t="n">
        <v>44256</v>
      </c>
      <c r="B759" t="n">
        <v>20704</v>
      </c>
      <c r="C759" t="n">
        <v>35435</v>
      </c>
      <c r="D759" t="n">
        <v>34141</v>
      </c>
      <c r="E759" t="n">
        <v>21913</v>
      </c>
      <c r="F759" t="n">
        <v>12036</v>
      </c>
      <c r="G759" t="n">
        <v>78421</v>
      </c>
      <c r="H759" t="n">
        <v>235711</v>
      </c>
      <c r="I759" t="n">
        <v>168054</v>
      </c>
      <c r="J759" t="n">
        <v>175517</v>
      </c>
      <c r="K759" t="n">
        <v>71883</v>
      </c>
      <c r="L759" t="n">
        <v>246475</v>
      </c>
      <c r="M759" t="n">
        <v>66317</v>
      </c>
    </row>
    <row r="760">
      <c r="A760" s="148" t="n">
        <v>44287</v>
      </c>
      <c r="B760" t="n">
        <v>21788</v>
      </c>
      <c r="C760" t="n">
        <v>36404</v>
      </c>
      <c r="D760" t="n">
        <v>34749</v>
      </c>
      <c r="E760" t="n">
        <v>22078</v>
      </c>
      <c r="F760" t="n">
        <v>12418</v>
      </c>
      <c r="G760" t="n">
        <v>73587</v>
      </c>
      <c r="H760" t="n">
        <v>236886</v>
      </c>
      <c r="I760" t="n">
        <v>171866</v>
      </c>
      <c r="J760" t="n">
        <v>176644</v>
      </c>
      <c r="K760" t="n">
        <v>72559</v>
      </c>
      <c r="L760" t="n">
        <v>245453</v>
      </c>
      <c r="M760" t="n">
        <v>68209</v>
      </c>
    </row>
    <row r="761">
      <c r="A761" s="148" t="n">
        <v>44317</v>
      </c>
      <c r="B761" t="n">
        <v>23546</v>
      </c>
      <c r="C761" t="n">
        <v>34174</v>
      </c>
      <c r="D761" t="n">
        <v>34693</v>
      </c>
      <c r="E761" t="n">
        <v>21991</v>
      </c>
      <c r="F761" t="n">
        <v>12627</v>
      </c>
      <c r="G761" t="n">
        <v>78030</v>
      </c>
      <c r="H761" t="n">
        <v>243568</v>
      </c>
      <c r="I761" t="n">
        <v>172013</v>
      </c>
      <c r="J761" t="n">
        <v>179635</v>
      </c>
      <c r="K761" t="n">
        <v>73260</v>
      </c>
      <c r="L761" t="n">
        <v>250043</v>
      </c>
      <c r="M761" t="n">
        <v>66660</v>
      </c>
    </row>
    <row r="762">
      <c r="A762" s="148" t="n">
        <v>44348</v>
      </c>
      <c r="B762" t="n">
        <v>24089</v>
      </c>
      <c r="C762" t="n">
        <v>34768</v>
      </c>
      <c r="D762" t="n">
        <v>34705</v>
      </c>
      <c r="E762" t="n">
        <v>22129</v>
      </c>
      <c r="F762" t="n">
        <v>12761</v>
      </c>
      <c r="G762" t="n">
        <v>79941</v>
      </c>
      <c r="H762" t="n">
        <v>245971</v>
      </c>
      <c r="I762" t="n">
        <v>173632</v>
      </c>
      <c r="J762" t="n">
        <v>183859</v>
      </c>
      <c r="K762" t="n">
        <v>73732</v>
      </c>
      <c r="L762" t="n">
        <v>253573</v>
      </c>
      <c r="M762" t="n">
        <v>67612</v>
      </c>
    </row>
    <row r="763">
      <c r="A763" s="148" t="n">
        <v>44378</v>
      </c>
      <c r="B763" t="n">
        <v>25335</v>
      </c>
      <c r="C763" t="n">
        <v>34100</v>
      </c>
      <c r="D763" t="n">
        <v>35844</v>
      </c>
      <c r="E763" t="n">
        <v>21889</v>
      </c>
      <c r="F763" t="n">
        <v>12483</v>
      </c>
      <c r="G763" t="n">
        <v>78082</v>
      </c>
      <c r="H763" t="n">
        <v>244787</v>
      </c>
      <c r="I763" t="n">
        <v>174873</v>
      </c>
      <c r="J763" t="n">
        <v>180037</v>
      </c>
      <c r="K763" t="n">
        <v>74393</v>
      </c>
      <c r="L763" t="n">
        <v>252955</v>
      </c>
      <c r="M763" t="n">
        <v>68094</v>
      </c>
    </row>
    <row r="764">
      <c r="A764" s="148" t="n">
        <v>44409</v>
      </c>
      <c r="B764" t="n">
        <v>26029</v>
      </c>
      <c r="C764" t="n">
        <v>35686</v>
      </c>
      <c r="D764" t="n">
        <v>35648</v>
      </c>
      <c r="E764" t="n">
        <v>22494</v>
      </c>
      <c r="F764" t="n">
        <v>12657</v>
      </c>
      <c r="G764" t="n">
        <v>81187</v>
      </c>
      <c r="H764" t="n">
        <v>250697</v>
      </c>
      <c r="I764" t="n">
        <v>177549</v>
      </c>
      <c r="J764" t="n">
        <v>187611</v>
      </c>
      <c r="K764" t="n">
        <v>74956</v>
      </c>
      <c r="L764" t="n">
        <v>258736</v>
      </c>
      <c r="M764" t="n">
        <v>68667</v>
      </c>
    </row>
    <row r="765">
      <c r="A765" s="148" t="n">
        <v>44440</v>
      </c>
      <c r="B765" t="n">
        <v>26279</v>
      </c>
      <c r="C765" t="n">
        <v>35735</v>
      </c>
      <c r="D765" t="n">
        <v>35749</v>
      </c>
      <c r="E765" t="n">
        <v>22389</v>
      </c>
      <c r="F765" t="n">
        <v>12886</v>
      </c>
      <c r="G765" t="n">
        <v>76213</v>
      </c>
      <c r="H765" t="n">
        <v/>
      </c>
      <c r="I765" t="n">
        <v>178546</v>
      </c>
      <c r="J765" t="n">
        <v>184877</v>
      </c>
      <c r="K765" t="n">
        <v/>
      </c>
      <c r="L765" t="n">
        <v>254759</v>
      </c>
      <c r="M765" t="n">
        <v>68862</v>
      </c>
    </row>
    <row r="766">
      <c r="A766" s="148" t="n">
        <v>44470</v>
      </c>
      <c r="B766" t="n">
        <v>26583</v>
      </c>
      <c r="C766" t="n">
        <v>35388</v>
      </c>
      <c r="D766" t="n">
        <v>36442</v>
      </c>
      <c r="E766" t="n">
        <v>22315</v>
      </c>
      <c r="F766" t="n">
        <v>13054</v>
      </c>
      <c r="G766" t="n">
        <v>78636</v>
      </c>
      <c r="H766" t="n">
        <v/>
      </c>
      <c r="I766" t="n">
        <v>179180</v>
      </c>
      <c r="J766" t="n">
        <v>185634</v>
      </c>
      <c r="K766" t="n">
        <v/>
      </c>
      <c r="L766" t="n">
        <v>257816</v>
      </c>
      <c r="M766" t="n">
        <v>70048</v>
      </c>
    </row>
    <row r="767">
      <c r="A767" s="148" t="n">
        <v>44501</v>
      </c>
      <c r="B767" t="n">
        <v>26400</v>
      </c>
      <c r="C767" t="n">
        <v>35261</v>
      </c>
      <c r="D767" t="n">
        <v>36473</v>
      </c>
      <c r="E767" t="n">
        <v>23298</v>
      </c>
      <c r="F767" t="n">
        <v>13173</v>
      </c>
      <c r="G767" t="n">
        <v>80510</v>
      </c>
      <c r="H767" t="n">
        <v/>
      </c>
      <c r="I767" t="n">
        <v>181141</v>
      </c>
      <c r="J767" t="n">
        <v>187604</v>
      </c>
      <c r="K767" t="n">
        <v/>
      </c>
      <c r="L767" t="n">
        <v>261651</v>
      </c>
      <c r="M767" t="n">
        <v>70265</v>
      </c>
    </row>
    <row r="768">
      <c r="A768" s="148" t="n">
        <v>44531</v>
      </c>
      <c r="B768" t="n">
        <v>28379</v>
      </c>
      <c r="C768" t="n">
        <v>37086</v>
      </c>
      <c r="D768" t="n">
        <v>36811</v>
      </c>
      <c r="E768" t="n">
        <v>23224</v>
      </c>
      <c r="F768" t="n">
        <v>13427</v>
      </c>
      <c r="G768" t="n">
        <v>81977</v>
      </c>
      <c r="H768" t="n">
        <v/>
      </c>
      <c r="I768" t="n">
        <v>185773</v>
      </c>
      <c r="J768" t="n">
        <v>192700</v>
      </c>
      <c r="K768" t="n">
        <v/>
      </c>
      <c r="L768" t="n">
        <v>267750</v>
      </c>
      <c r="M768" t="n">
        <v>71429</v>
      </c>
    </row>
    <row r="769">
      <c r="A769" s="148" t="n">
        <v>44562</v>
      </c>
      <c r="B769" t="n">
        <v>27016</v>
      </c>
      <c r="C769" t="n">
        <v>35723</v>
      </c>
      <c r="D769" t="n">
        <v>36593</v>
      </c>
      <c r="E769" t="n">
        <v>23532</v>
      </c>
      <c r="F769" t="n">
        <v>12778</v>
      </c>
      <c r="G769" t="n">
        <v>90431</v>
      </c>
      <c r="H769" t="n">
        <v/>
      </c>
      <c r="I769" t="n">
        <v>182720</v>
      </c>
      <c r="J769" t="n">
        <v>198137</v>
      </c>
      <c r="K769" t="n">
        <v/>
      </c>
      <c r="L769" t="n">
        <v>273151</v>
      </c>
      <c r="M769" t="n">
        <v>70596</v>
      </c>
    </row>
    <row r="770">
      <c r="A770" s="148" t="n">
        <v>44593</v>
      </c>
      <c r="B770" t="n">
        <v>26702</v>
      </c>
      <c r="C770" t="n">
        <v>35897</v>
      </c>
      <c r="D770" t="n">
        <v>36575</v>
      </c>
      <c r="E770" t="n">
        <v>23329</v>
      </c>
      <c r="F770" t="n">
        <v>13089</v>
      </c>
      <c r="G770" t="n">
        <v>85627</v>
      </c>
      <c r="H770" t="n">
        <v/>
      </c>
      <c r="I770" t="n">
        <v>183564</v>
      </c>
      <c r="J770" t="n">
        <v>193264</v>
      </c>
      <c r="K770" t="n">
        <v/>
      </c>
      <c r="L770" t="n">
        <v>269191</v>
      </c>
      <c r="M770" t="n">
        <v>70905</v>
      </c>
    </row>
    <row r="771">
      <c r="A771" s="148" t="n">
        <v>44621</v>
      </c>
      <c r="B771" t="n">
        <v>27818</v>
      </c>
      <c r="C771" t="n">
        <v>35773</v>
      </c>
      <c r="D771" t="n">
        <v>36953</v>
      </c>
      <c r="E771" t="n">
        <v>23577</v>
      </c>
      <c r="F771" t="n">
        <v>13431</v>
      </c>
      <c r="G771" t="n">
        <v>83398</v>
      </c>
      <c r="H771" t="n">
        <v/>
      </c>
      <c r="I771" t="n">
        <v>185437</v>
      </c>
      <c r="J771" t="n">
        <v>190731</v>
      </c>
      <c r="K771" t="n">
        <v/>
      </c>
      <c r="L771" t="n">
        <v>268835</v>
      </c>
      <c r="M771" t="n">
        <v>71759</v>
      </c>
    </row>
    <row r="772">
      <c r="A772" s="148" t="n">
        <v>44652</v>
      </c>
      <c r="B772" t="n">
        <v>27581</v>
      </c>
      <c r="C772" t="n">
        <v>36022</v>
      </c>
      <c r="D772" t="n">
        <v>37106</v>
      </c>
      <c r="E772" t="n">
        <v>23647</v>
      </c>
      <c r="F772" t="n">
        <v>13487</v>
      </c>
      <c r="G772" t="n">
        <v>85823</v>
      </c>
      <c r="H772" t="n">
        <v/>
      </c>
      <c r="I772" t="n">
        <v>185718</v>
      </c>
      <c r="J772" t="n">
        <v>192760</v>
      </c>
      <c r="K772" t="n">
        <v/>
      </c>
      <c r="L772" t="n">
        <v>271541</v>
      </c>
      <c r="M772" t="n">
        <v>72177</v>
      </c>
    </row>
    <row r="773">
      <c r="A773" s="148" t="n">
        <v>44682</v>
      </c>
      <c r="B773" t="n">
        <v>28109</v>
      </c>
      <c r="C773" t="n">
        <v>35785</v>
      </c>
      <c r="D773" t="n">
        <v>37439</v>
      </c>
      <c r="E773" t="n">
        <v>23656</v>
      </c>
      <c r="F773" t="n">
        <v>13269</v>
      </c>
      <c r="G773" t="n">
        <v>87157</v>
      </c>
      <c r="H773" t="n">
        <v/>
      </c>
      <c r="I773" t="n">
        <v>186211</v>
      </c>
      <c r="J773" t="n">
        <v>193837</v>
      </c>
      <c r="K773" t="n">
        <v/>
      </c>
      <c r="L773" t="n">
        <v>273368</v>
      </c>
      <c r="M773" t="n">
        <v>72444</v>
      </c>
    </row>
    <row r="774">
      <c r="A774" s="148" t="n">
        <v>44713</v>
      </c>
      <c r="B774" t="n">
        <v>27843</v>
      </c>
      <c r="C774" t="n">
        <v>35572</v>
      </c>
      <c r="D774" t="n">
        <v>37475</v>
      </c>
      <c r="E774" t="n">
        <v>23866</v>
      </c>
      <c r="F774" t="n">
        <v>13584</v>
      </c>
      <c r="G774" t="n">
        <v>91510</v>
      </c>
      <c r="H774" t="n">
        <v/>
      </c>
      <c r="I774" t="n">
        <v>186188</v>
      </c>
      <c r="J774" t="n">
        <v>198090</v>
      </c>
      <c r="K774" t="n">
        <v/>
      </c>
      <c r="L774" t="n">
        <v>277698</v>
      </c>
      <c r="M774" t="n">
        <v>72732</v>
      </c>
    </row>
    <row r="775">
      <c r="A775" s="148" t="n">
        <v>44743</v>
      </c>
      <c r="B775" t="n">
        <v>26648</v>
      </c>
      <c r="C775" t="n">
        <v>35862</v>
      </c>
      <c r="D775" t="n">
        <v>37484</v>
      </c>
      <c r="E775" t="n">
        <v>24080</v>
      </c>
      <c r="F775" t="n">
        <v>13372</v>
      </c>
      <c r="G775" t="n">
        <v>90266</v>
      </c>
      <c r="H775" t="n">
        <v/>
      </c>
      <c r="I775" t="n">
        <v>185189</v>
      </c>
      <c r="J775" t="n">
        <v>196463</v>
      </c>
      <c r="K775" t="n">
        <v/>
      </c>
      <c r="L775" t="n">
        <v>275455</v>
      </c>
      <c r="M775" t="n">
        <v>72998</v>
      </c>
    </row>
    <row r="776">
      <c r="A776" s="148" t="n">
        <v>44774</v>
      </c>
      <c r="B776" t="n">
        <v>25920</v>
      </c>
      <c r="C776" t="n">
        <v>35738</v>
      </c>
      <c r="D776" t="n">
        <v>37716</v>
      </c>
      <c r="E776" t="n">
        <v>24151</v>
      </c>
      <c r="F776" t="n">
        <v>13596</v>
      </c>
      <c r="G776" t="n">
        <v>90080</v>
      </c>
      <c r="H776" t="n">
        <v/>
      </c>
      <c r="I776" t="n">
        <v>184983</v>
      </c>
      <c r="J776" t="n">
        <v>195597</v>
      </c>
      <c r="K776" t="n">
        <v/>
      </c>
      <c r="L776" t="n">
        <v>275063</v>
      </c>
      <c r="M776" t="n">
        <v>73674</v>
      </c>
    </row>
    <row r="777">
      <c r="A777" s="148" t="n">
        <v>44805</v>
      </c>
      <c r="B777" t="n">
        <v>26995</v>
      </c>
      <c r="C777" t="n">
        <v>35282</v>
      </c>
      <c r="D777" t="n">
        <v>37453</v>
      </c>
      <c r="E777" t="n">
        <v>24036</v>
      </c>
      <c r="F777" t="n">
        <v>13503</v>
      </c>
      <c r="G777" t="n">
        <v>90892</v>
      </c>
      <c r="H777" t="n">
        <v/>
      </c>
      <c r="I777" t="n">
        <v>184965</v>
      </c>
      <c r="J777" t="n">
        <v>194698</v>
      </c>
      <c r="K777" t="n">
        <v/>
      </c>
      <c r="L777" t="n">
        <v>275857</v>
      </c>
      <c r="M777" t="n">
        <v>72742</v>
      </c>
    </row>
    <row r="778">
      <c r="A778" s="148" t="n">
        <v>44835</v>
      </c>
      <c r="B778" t="n">
        <v>26616</v>
      </c>
      <c r="C778" t="n">
        <v>35275</v>
      </c>
      <c r="D778" t="n">
        <v>37915</v>
      </c>
      <c r="E778" t="n">
        <v>23848</v>
      </c>
      <c r="F778" t="n">
        <v>13570</v>
      </c>
      <c r="G778" t="n">
        <v>93588</v>
      </c>
      <c r="H778" t="n">
        <v/>
      </c>
      <c r="I778" t="n">
        <v>184924</v>
      </c>
      <c r="J778" t="n">
        <v>197920</v>
      </c>
      <c r="K778" t="n">
        <v/>
      </c>
      <c r="L778" t="n">
        <v>278512</v>
      </c>
      <c r="M778" t="n">
        <v>73365</v>
      </c>
    </row>
    <row r="779">
      <c r="A779" s="148" t="n">
        <v>44866</v>
      </c>
      <c r="B779" t="n">
        <v>26182</v>
      </c>
      <c r="C779" t="n">
        <v>35114</v>
      </c>
      <c r="D779" t="n">
        <v>37801</v>
      </c>
      <c r="E779" t="n">
        <v>23922</v>
      </c>
      <c r="F779" t="n">
        <v>12984</v>
      </c>
      <c r="G779" t="n">
        <v>85875</v>
      </c>
      <c r="H779" t="n">
        <v/>
      </c>
      <c r="I779" t="n">
        <v>183908</v>
      </c>
      <c r="J779" t="n">
        <v>189167</v>
      </c>
      <c r="K779" t="n">
        <v/>
      </c>
      <c r="L779" t="n">
        <v>269783</v>
      </c>
      <c r="M779" t="n">
        <v>72533</v>
      </c>
    </row>
    <row r="780">
      <c r="A780" s="148" t="n">
        <v>44896</v>
      </c>
      <c r="B780" t="n">
        <v>26366</v>
      </c>
      <c r="C780" t="n">
        <v>35224</v>
      </c>
      <c r="D780" t="n">
        <v>37178</v>
      </c>
      <c r="E780" t="n">
        <v>23886</v>
      </c>
      <c r="F780" t="n">
        <v>13586</v>
      </c>
      <c r="G780" t="n">
        <v>97559</v>
      </c>
      <c r="H780" t="n">
        <v/>
      </c>
      <c r="I780" t="n">
        <v>184407</v>
      </c>
      <c r="J780" t="n">
        <v>201181</v>
      </c>
      <c r="K780" t="n">
        <v/>
      </c>
      <c r="L780" t="n">
        <v>281966</v>
      </c>
      <c r="M780" t="n">
        <v>72985</v>
      </c>
    </row>
    <row r="781">
      <c r="A781" s="148" t="n">
        <v>44927</v>
      </c>
      <c r="B781" t="n">
        <v>26548</v>
      </c>
      <c r="C781" t="n">
        <v>34958</v>
      </c>
      <c r="D781" t="n">
        <v>37254</v>
      </c>
      <c r="E781" t="n">
        <v>23850</v>
      </c>
      <c r="F781" t="n">
        <v>13975</v>
      </c>
      <c r="G781" t="n">
        <v>93449</v>
      </c>
      <c r="H781" t="n">
        <v/>
      </c>
      <c r="I781" t="n">
        <v>184923</v>
      </c>
      <c r="J781" t="n">
        <v>197315</v>
      </c>
      <c r="K781" t="n">
        <v/>
      </c>
      <c r="L781" t="n">
        <v>278372</v>
      </c>
      <c r="M781" t="n">
        <v>73619</v>
      </c>
    </row>
    <row r="782">
      <c r="A782" s="148" t="n">
        <v>44958</v>
      </c>
      <c r="B782" t="n">
        <v>26708</v>
      </c>
      <c r="C782" t="n">
        <v>35056</v>
      </c>
      <c r="D782" t="n">
        <v>37201</v>
      </c>
      <c r="E782" t="n">
        <v>23976</v>
      </c>
      <c r="F782" t="n">
        <v>14165</v>
      </c>
      <c r="G782" t="n">
        <v>85719</v>
      </c>
      <c r="H782" t="n">
        <v/>
      </c>
      <c r="I782" t="n">
        <v>185106</v>
      </c>
      <c r="J782" t="n">
        <v>190665</v>
      </c>
      <c r="K782" t="n">
        <v/>
      </c>
      <c r="L782" t="n">
        <v>270825</v>
      </c>
      <c r="M782" t="n">
        <v>73468</v>
      </c>
    </row>
    <row r="783">
      <c r="A783" s="148" t="n">
        <v>44986</v>
      </c>
      <c r="B783" t="n">
        <v>26830</v>
      </c>
      <c r="C783" t="n">
        <v>35290</v>
      </c>
      <c r="D783" t="n">
        <v>37160</v>
      </c>
      <c r="E783" t="n">
        <v>24409</v>
      </c>
      <c r="F783" t="n">
        <v>14226</v>
      </c>
      <c r="G783" t="n">
        <v>94157</v>
      </c>
      <c r="H783" t="n">
        <v/>
      </c>
      <c r="I783" t="n">
        <v>185680</v>
      </c>
      <c r="J783" t="n">
        <v>199496</v>
      </c>
      <c r="K783" t="n">
        <v/>
      </c>
      <c r="L783" t="n">
        <v>279837</v>
      </c>
      <c r="M783" t="n">
        <v>73034</v>
      </c>
    </row>
    <row r="784">
      <c r="A784" s="148" t="n">
        <v>45017</v>
      </c>
      <c r="B784" t="n">
        <v>26668</v>
      </c>
      <c r="C784" t="n">
        <v>35278</v>
      </c>
      <c r="D784" t="n">
        <v>37516</v>
      </c>
      <c r="E784" t="n">
        <v>24066</v>
      </c>
      <c r="F784" t="n">
        <v>13978</v>
      </c>
      <c r="G784" t="n">
        <v>97684</v>
      </c>
      <c r="H784" t="n">
        <v/>
      </c>
      <c r="I784" t="n">
        <v>185149</v>
      </c>
      <c r="J784" t="n">
        <v>202861</v>
      </c>
      <c r="K784" t="n">
        <v/>
      </c>
      <c r="L784" t="n">
        <v>282833</v>
      </c>
      <c r="M784" t="n">
        <v>73982</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92"/>
  <sheetViews>
    <sheetView zoomScale="90" zoomScaleNormal="90" workbookViewId="0">
      <pane xSplit="2" ySplit="6" topLeftCell="C68" activePane="bottomRight" state="frozen"/>
      <selection activeCell="Q21" sqref="Q21"/>
      <selection pane="topRight" activeCell="Q21" sqref="Q21"/>
      <selection pane="bottomLeft" activeCell="Q21" sqref="Q21"/>
      <selection pane="bottomRight" activeCell="Y87" sqref="Y87"/>
    </sheetView>
  </sheetViews>
  <sheetFormatPr baseColWidth="8" defaultColWidth="9.1796875" defaultRowHeight="14.5"/>
  <cols>
    <col width="9.1796875" customWidth="1" style="122" min="1" max="1"/>
    <col width="10.6328125" bestFit="1" customWidth="1" style="122" min="2" max="2"/>
    <col width="9.1796875" customWidth="1" style="122" min="3" max="21"/>
    <col width="9.1796875" customWidth="1" style="122" min="22" max="16384"/>
  </cols>
  <sheetData>
    <row r="3" ht="16" customHeight="1" s="141" thickBot="1"/>
    <row r="4" ht="19" customHeight="1" s="141">
      <c r="C4" s="143" t="inlineStr">
        <is>
          <t>New Orders</t>
        </is>
      </c>
      <c r="D4" s="144" t="n"/>
      <c r="E4" s="143" t="inlineStr">
        <is>
          <t>New Orders ex Transport</t>
        </is>
      </c>
      <c r="F4" s="144" t="n"/>
      <c r="G4" s="145" t="inlineStr">
        <is>
          <t>New Orders Nondefense = Core</t>
        </is>
      </c>
      <c r="H4" s="144" t="n"/>
      <c r="I4" s="143" t="inlineStr">
        <is>
          <t>Manufacturing</t>
        </is>
      </c>
      <c r="J4" s="144" t="n"/>
      <c r="K4" s="143" t="inlineStr">
        <is>
          <t>Transportation Equipment</t>
        </is>
      </c>
      <c r="L4" s="144" t="n"/>
      <c r="M4" s="143" t="inlineStr">
        <is>
          <t>Fabricated Metal Products</t>
        </is>
      </c>
      <c r="N4" s="144" t="n"/>
      <c r="O4" s="143" t="inlineStr">
        <is>
          <t xml:space="preserve"> Machinery</t>
        </is>
      </c>
      <c r="P4" s="144" t="n"/>
      <c r="Q4" s="143" t="inlineStr">
        <is>
          <t>Computers</t>
        </is>
      </c>
      <c r="R4" s="144" t="n"/>
      <c r="S4" s="143" t="inlineStr">
        <is>
          <t>Primary Metals</t>
        </is>
      </c>
      <c r="T4" s="144" t="n"/>
      <c r="U4" s="143" t="inlineStr">
        <is>
          <t>Electrical Equipment</t>
        </is>
      </c>
      <c r="V4" s="144" t="n"/>
    </row>
    <row r="5" ht="15.75" customHeight="1" s="141"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row r="89">
      <c r="B89" s="93" t="n">
        <v>44866</v>
      </c>
      <c r="C89" s="94">
        <f>VLOOKUP(B89,Database!$A:$M,MATCH(Recap!$C$5,Database!$A$1:$M$1,),)</f>
        <v/>
      </c>
      <c r="D89" s="96">
        <f>(C89-C88)/C88</f>
        <v/>
      </c>
      <c r="E89" s="94">
        <f>VLOOKUP(B89,Database!$A:$M,MATCH(Recap!$E$5,Database!$A$1:$M$1,),)</f>
        <v/>
      </c>
      <c r="F89" s="96">
        <f>(E89-E88)/E88</f>
        <v/>
      </c>
      <c r="G89" s="94">
        <f>VLOOKUP(B89,Database!$A:$M,MATCH(Recap!$G$5,Database!$A$1:$M$1,),)</f>
        <v/>
      </c>
      <c r="H89" s="96">
        <f>(G89-G88)/G88</f>
        <v/>
      </c>
      <c r="I89" s="94">
        <f>VLOOKUP(B89,Database!$A:$M,MATCH(Recap!$I$5,Database!$A$1:$M$1,),)</f>
        <v/>
      </c>
      <c r="J89" s="96">
        <f>(I89-I88)/I88</f>
        <v/>
      </c>
      <c r="K89" s="94">
        <f>VLOOKUP(B89,Database!$A:$M,MATCH(Recap!$K$5,Database!$A$1:$M$1,),)</f>
        <v/>
      </c>
      <c r="L89" s="96">
        <f>(K89-K88)/K88</f>
        <v/>
      </c>
      <c r="M89" s="94">
        <f>VLOOKUP(B89,Database!$A:$M,MATCH(Recap!$M$5,Database!$A$1:$M$1,),)</f>
        <v/>
      </c>
      <c r="N89" s="96">
        <f>(M89-M88)/M88</f>
        <v/>
      </c>
      <c r="O89" s="94">
        <f>VLOOKUP(B89,Database!$A:$M,MATCH(Recap!$O$5,Database!$A$1:$M$1,),)</f>
        <v/>
      </c>
      <c r="P89" s="96">
        <f>(O89-O88)/O88</f>
        <v/>
      </c>
      <c r="Q89" s="94">
        <f>VLOOKUP(B89,Database!$A:$M,MATCH(Recap!$Q$5,Database!$A$1:$M$1,),)</f>
        <v/>
      </c>
      <c r="R89" s="96">
        <f>(Q89-Q88)/Q88</f>
        <v/>
      </c>
      <c r="S89" s="94">
        <f>VLOOKUP(B89,Database!$A:$M,MATCH(Recap!$S$5,Database!$A$1:$M$1,),)</f>
        <v/>
      </c>
      <c r="T89" s="96">
        <f>(S89-S88)/S88</f>
        <v/>
      </c>
      <c r="U89" s="94">
        <f>VLOOKUP(B89,Database!$A:$M,MATCH(Recap!$U$5,Database!$A$1:$M$1,),)</f>
        <v/>
      </c>
      <c r="V89" s="96">
        <f>(U89-U88)/U88</f>
        <v/>
      </c>
    </row>
    <row r="90">
      <c r="B90" s="93" t="n">
        <v>44896</v>
      </c>
      <c r="C90" s="94">
        <f>VLOOKUP(B90,Database!$A:$M,MATCH(Recap!$C$5,Database!$A$1:$M$1,),)</f>
        <v/>
      </c>
      <c r="D90" s="96">
        <f>(C90-C89)/C89</f>
        <v/>
      </c>
      <c r="E90" s="94">
        <f>VLOOKUP(B90,Database!$A:$M,MATCH(Recap!$E$5,Database!$A$1:$M$1,),)</f>
        <v/>
      </c>
      <c r="F90" s="96">
        <f>(E90-E89)/E89</f>
        <v/>
      </c>
      <c r="G90" s="94">
        <f>VLOOKUP(B90,Database!$A:$M,MATCH(Recap!$G$5,Database!$A$1:$M$1,),)</f>
        <v/>
      </c>
      <c r="H90" s="96">
        <f>(G90-G89)/G89</f>
        <v/>
      </c>
      <c r="I90" s="94">
        <f>VLOOKUP(B90,Database!$A:$M,MATCH(Recap!$I$5,Database!$A$1:$M$1,),)</f>
        <v/>
      </c>
      <c r="J90" s="96">
        <f>(I90-I89)/I89</f>
        <v/>
      </c>
      <c r="K90" s="94">
        <f>VLOOKUP(B90,Database!$A:$M,MATCH(Recap!$K$5,Database!$A$1:$M$1,),)</f>
        <v/>
      </c>
      <c r="L90" s="96">
        <f>(K90-K89)/K89</f>
        <v/>
      </c>
      <c r="M90" s="94">
        <f>VLOOKUP(B90,Database!$A:$M,MATCH(Recap!$M$5,Database!$A$1:$M$1,),)</f>
        <v/>
      </c>
      <c r="N90" s="96">
        <f>(M90-M89)/M89</f>
        <v/>
      </c>
      <c r="O90" s="94">
        <f>VLOOKUP(B90,Database!$A:$M,MATCH(Recap!$O$5,Database!$A$1:$M$1,),)</f>
        <v/>
      </c>
      <c r="P90" s="96">
        <f>(O90-O89)/O89</f>
        <v/>
      </c>
      <c r="Q90" s="94">
        <f>VLOOKUP(B90,Database!$A:$M,MATCH(Recap!$Q$5,Database!$A$1:$M$1,),)</f>
        <v/>
      </c>
      <c r="R90" s="96">
        <f>(Q90-Q89)/Q89</f>
        <v/>
      </c>
      <c r="S90" s="94">
        <f>VLOOKUP(B90,Database!$A:$M,MATCH(Recap!$S$5,Database!$A$1:$M$1,),)</f>
        <v/>
      </c>
      <c r="T90" s="96">
        <f>(S90-S89)/S89</f>
        <v/>
      </c>
      <c r="U90" s="94">
        <f>VLOOKUP(B90,Database!$A:$M,MATCH(Recap!$U$5,Database!$A$1:$M$1,),)</f>
        <v/>
      </c>
      <c r="V90" s="96">
        <f>(U90-U89)/U89</f>
        <v/>
      </c>
    </row>
    <row r="91">
      <c r="B91" s="93" t="n">
        <v>44927</v>
      </c>
      <c r="C91" s="94">
        <f>VLOOKUP(B91,Database!$A:$M,MATCH(Recap!$C$5,Database!$A$1:$M$1,),)</f>
        <v/>
      </c>
      <c r="D91" s="96">
        <f>(C91-C90)/C90</f>
        <v/>
      </c>
      <c r="E91" s="94">
        <f>VLOOKUP(B91,Database!$A:$M,MATCH(Recap!$E$5,Database!$A$1:$M$1,),)</f>
        <v/>
      </c>
      <c r="F91" s="96">
        <f>(E91-E90)/E90</f>
        <v/>
      </c>
      <c r="G91" s="94">
        <f>VLOOKUP(B91,Database!$A:$M,MATCH(Recap!$G$5,Database!$A$1:$M$1,),)</f>
        <v/>
      </c>
      <c r="H91" s="96">
        <f>(G91-G90)/G90</f>
        <v/>
      </c>
      <c r="I91" s="94">
        <f>VLOOKUP(B91,Database!$A:$M,MATCH(Recap!$I$5,Database!$A$1:$M$1,),)</f>
        <v/>
      </c>
      <c r="J91" s="96">
        <f>(I91-I90)/I90</f>
        <v/>
      </c>
      <c r="K91" s="94">
        <f>VLOOKUP(B91,Database!$A:$M,MATCH(Recap!$K$5,Database!$A$1:$M$1,),)</f>
        <v/>
      </c>
      <c r="L91" s="96">
        <f>(K91-K90)/K90</f>
        <v/>
      </c>
      <c r="M91" s="94">
        <f>VLOOKUP(B91,Database!$A:$M,MATCH(Recap!$M$5,Database!$A$1:$M$1,),)</f>
        <v/>
      </c>
      <c r="N91" s="96">
        <f>(M91-M90)/M90</f>
        <v/>
      </c>
      <c r="O91" s="94">
        <f>VLOOKUP(B91,Database!$A:$M,MATCH(Recap!$O$5,Database!$A$1:$M$1,),)</f>
        <v/>
      </c>
      <c r="P91" s="96">
        <f>(O91-O90)/O90</f>
        <v/>
      </c>
      <c r="Q91" s="94">
        <f>VLOOKUP(B91,Database!$A:$M,MATCH(Recap!$Q$5,Database!$A$1:$M$1,),)</f>
        <v/>
      </c>
      <c r="R91" s="96">
        <f>(Q91-Q90)/Q90</f>
        <v/>
      </c>
      <c r="S91" s="94">
        <f>VLOOKUP(B91,Database!$A:$M,MATCH(Recap!$S$5,Database!$A$1:$M$1,),)</f>
        <v/>
      </c>
      <c r="T91" s="96">
        <f>(S91-S90)/S90</f>
        <v/>
      </c>
      <c r="U91" s="94">
        <f>VLOOKUP(B91,Database!$A:$M,MATCH(Recap!$U$5,Database!$A$1:$M$1,),)</f>
        <v/>
      </c>
      <c r="V91" s="96">
        <f>(U91-U90)/U90</f>
        <v/>
      </c>
    </row>
    <row r="92">
      <c r="B92" s="93" t="n">
        <v>44958</v>
      </c>
      <c r="C92" s="94">
        <f>VLOOKUP(B92,Database!$A:$M,MATCH(Recap!$C$5,Database!$A$1:$M$1,),)</f>
        <v/>
      </c>
      <c r="D92" s="96">
        <f>(C92-C91)/C91</f>
        <v/>
      </c>
      <c r="E92" s="94">
        <f>VLOOKUP(B92,Database!$A:$M,MATCH(Recap!$E$5,Database!$A$1:$M$1,),)</f>
        <v/>
      </c>
      <c r="F92" s="96">
        <f>(E92-E91)/E91</f>
        <v/>
      </c>
      <c r="G92" s="94">
        <f>VLOOKUP(B92,Database!$A:$M,MATCH(Recap!$G$5,Database!$A$1:$M$1,),)</f>
        <v/>
      </c>
      <c r="H92" s="96">
        <f>(G92-G91)/G91</f>
        <v/>
      </c>
      <c r="I92" s="94">
        <f>VLOOKUP(B92,Database!$A:$M,MATCH(Recap!$I$5,Database!$A$1:$M$1,),)</f>
        <v/>
      </c>
      <c r="J92" s="96">
        <f>(I92-I91)/I91</f>
        <v/>
      </c>
      <c r="K92" s="94">
        <f>VLOOKUP(B92,Database!$A:$M,MATCH(Recap!$K$5,Database!$A$1:$M$1,),)</f>
        <v/>
      </c>
      <c r="L92" s="96">
        <f>(K92-K91)/K91</f>
        <v/>
      </c>
      <c r="M92" s="94">
        <f>VLOOKUP(B92,Database!$A:$M,MATCH(Recap!$M$5,Database!$A$1:$M$1,),)</f>
        <v/>
      </c>
      <c r="N92" s="96">
        <f>(M92-M91)/M91</f>
        <v/>
      </c>
      <c r="O92" s="94">
        <f>VLOOKUP(B92,Database!$A:$M,MATCH(Recap!$O$5,Database!$A$1:$M$1,),)</f>
        <v/>
      </c>
      <c r="P92" s="96">
        <f>(O92-O91)/O91</f>
        <v/>
      </c>
      <c r="Q92" s="94">
        <f>VLOOKUP(B92,Database!$A:$M,MATCH(Recap!$Q$5,Database!$A$1:$M$1,),)</f>
        <v/>
      </c>
      <c r="R92" s="96">
        <f>(Q92-Q91)/Q91</f>
        <v/>
      </c>
      <c r="S92" s="94">
        <f>VLOOKUP(B92,Database!$A:$M,MATCH(Recap!$S$5,Database!$A$1:$M$1,),)</f>
        <v/>
      </c>
      <c r="T92" s="96">
        <f>(S92-S91)/S91</f>
        <v/>
      </c>
      <c r="U92" s="94">
        <f>VLOOKUP(B92,Database!$A:$M,MATCH(Recap!$U$5,Database!$A$1:$M$1,),)</f>
        <v/>
      </c>
      <c r="V92" s="96">
        <f>(U92-U91)/U91</f>
        <v/>
      </c>
    </row>
  </sheetData>
  <mergeCells count="10">
    <mergeCell ref="M4:N4"/>
    <mergeCell ref="O4:P4"/>
    <mergeCell ref="Q4:R4"/>
    <mergeCell ref="S4:T4"/>
    <mergeCell ref="U4:V4"/>
    <mergeCell ref="C4:D4"/>
    <mergeCell ref="E4:F4"/>
    <mergeCell ref="G4:H4"/>
    <mergeCell ref="I4:J4"/>
    <mergeCell ref="K4:L4"/>
  </mergeCells>
  <conditionalFormatting sqref="D8:D92">
    <cfRule type="colorScale" priority="11">
      <colorScale>
        <cfvo type="min"/>
        <cfvo type="percentile" val="50"/>
        <cfvo type="max"/>
        <color rgb="FFF8696B"/>
        <color rgb="FFFFEB84"/>
        <color rgb="FF63BE7B"/>
      </colorScale>
    </cfRule>
  </conditionalFormatting>
  <conditionalFormatting sqref="F8:F92">
    <cfRule type="colorScale" priority="12">
      <colorScale>
        <cfvo type="min"/>
        <cfvo type="percentile" val="50"/>
        <cfvo type="max"/>
        <color rgb="FFF8696B"/>
        <color rgb="FFFFEB84"/>
        <color rgb="FF63BE7B"/>
      </colorScale>
    </cfRule>
  </conditionalFormatting>
  <conditionalFormatting sqref="H8:H92">
    <cfRule type="colorScale" priority="13">
      <colorScale>
        <cfvo type="min"/>
        <cfvo type="percentile" val="50"/>
        <cfvo type="max"/>
        <color rgb="FFF8696B"/>
        <color rgb="FFFFEB84"/>
        <color rgb="FF63BE7B"/>
      </colorScale>
    </cfRule>
  </conditionalFormatting>
  <conditionalFormatting sqref="J8:J92">
    <cfRule type="colorScale" priority="14">
      <colorScale>
        <cfvo type="min"/>
        <cfvo type="percentile" val="50"/>
        <cfvo type="max"/>
        <color rgb="FFF8696B"/>
        <color rgb="FFFFEB84"/>
        <color rgb="FF63BE7B"/>
      </colorScale>
    </cfRule>
  </conditionalFormatting>
  <conditionalFormatting sqref="L8:L92">
    <cfRule type="colorScale" priority="15">
      <colorScale>
        <cfvo type="min"/>
        <cfvo type="percentile" val="50"/>
        <cfvo type="max"/>
        <color rgb="FFF8696B"/>
        <color rgb="FFFFEB84"/>
        <color rgb="FF63BE7B"/>
      </colorScale>
    </cfRule>
  </conditionalFormatting>
  <conditionalFormatting sqref="N8:N92">
    <cfRule type="colorScale" priority="16">
      <colorScale>
        <cfvo type="min"/>
        <cfvo type="percentile" val="50"/>
        <cfvo type="max"/>
        <color rgb="FFF8696B"/>
        <color rgb="FFFFEB84"/>
        <color rgb="FF63BE7B"/>
      </colorScale>
    </cfRule>
  </conditionalFormatting>
  <conditionalFormatting sqref="P8:P92">
    <cfRule type="colorScale" priority="17">
      <colorScale>
        <cfvo type="min"/>
        <cfvo type="percentile" val="50"/>
        <cfvo type="max"/>
        <color rgb="FFF8696B"/>
        <color rgb="FFFFEB84"/>
        <color rgb="FF63BE7B"/>
      </colorScale>
    </cfRule>
  </conditionalFormatting>
  <conditionalFormatting sqref="R8:R92">
    <cfRule type="colorScale" priority="18">
      <colorScale>
        <cfvo type="min"/>
        <cfvo type="percentile" val="50"/>
        <cfvo type="max"/>
        <color rgb="FFF8696B"/>
        <color rgb="FFFFEB84"/>
        <color rgb="FF63BE7B"/>
      </colorScale>
    </cfRule>
  </conditionalFormatting>
  <conditionalFormatting sqref="T8:T92">
    <cfRule type="colorScale" priority="19">
      <colorScale>
        <cfvo type="min"/>
        <cfvo type="percentile" val="50"/>
        <cfvo type="max"/>
        <color rgb="FFF8696B"/>
        <color rgb="FFFFEB84"/>
        <color rgb="FF63BE7B"/>
      </colorScale>
    </cfRule>
  </conditionalFormatting>
  <conditionalFormatting sqref="V8:V92">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8"/>
  <sheetViews>
    <sheetView zoomScale="80" zoomScaleNormal="80" workbookViewId="0">
      <pane ySplit="5" topLeftCell="A351" activePane="bottomLeft" state="frozen"/>
      <selection pane="bottomLeft" activeCell="Y368" sqref="Y368"/>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1" t="inlineStr">
        <is>
          <t>DGORDER</t>
        </is>
      </c>
      <c r="C1" s="70" t="n"/>
    </row>
    <row r="2">
      <c r="A2" s="71" t="inlineStr">
        <is>
          <t>Manufacturers' New Orders: Durable Goods</t>
        </is>
      </c>
      <c r="B2" s="68" t="n"/>
      <c r="C2" s="69" t="n"/>
    </row>
    <row r="3">
      <c r="B3" s="68" t="n"/>
      <c r="C3" s="69" t="n"/>
    </row>
    <row r="4" ht="16" customHeight="1" s="141" thickBot="1"/>
    <row r="5" ht="68.25" customHeight="1" s="141">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row r="375">
      <c r="A375" s="74" t="n">
        <v>44866</v>
      </c>
      <c r="B375" s="75">
        <f>VLOOKUP(A375,Database!A:M,MATCH($A$1,Database!$A$1:$M$1,),)</f>
        <v/>
      </c>
      <c r="C375" s="113">
        <f>(Table53514[[#This Row],[Manufacturers'' New Orders: Durable Goods]]-B374)/B374</f>
        <v/>
      </c>
    </row>
    <row r="376">
      <c r="A376" s="74" t="n">
        <v>44896</v>
      </c>
      <c r="B376" s="75">
        <f>VLOOKUP(A376,Database!A:M,MATCH($A$1,Database!$A$1:$M$1,),)</f>
        <v/>
      </c>
      <c r="C376" s="113">
        <f>(Table53514[[#This Row],[Manufacturers'' New Orders: Durable Goods]]-B375)/B375</f>
        <v/>
      </c>
    </row>
    <row r="377">
      <c r="A377" s="74" t="n">
        <v>44927</v>
      </c>
      <c r="B377" s="75">
        <f>VLOOKUP(A377,Database!A:M,MATCH($A$1,Database!$A$1:$M$1,),)</f>
        <v/>
      </c>
      <c r="C377" s="113">
        <f>(Table53514[[#This Row],[Manufacturers'' New Orders: Durable Goods]]-B376)/B376</f>
        <v/>
      </c>
    </row>
    <row r="378">
      <c r="A378" s="74" t="n">
        <v>44958</v>
      </c>
      <c r="B378" s="75">
        <f>VLOOKUP(A378,Database!A:M,MATCH($A$1,Database!$A$1:$M$1,),)</f>
        <v/>
      </c>
      <c r="C378" s="113">
        <f>(Table53514[[#This Row],[Manufacturers'' New Orders: Durable Goods]]-B377)/B377</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8"/>
  <sheetViews>
    <sheetView zoomScale="90" zoomScaleNormal="90" workbookViewId="0">
      <pane ySplit="5" topLeftCell="A357" activePane="bottomLeft" state="frozen"/>
      <selection activeCell="Q21" sqref="Q21"/>
      <selection pane="bottomLeft" activeCell="A371" sqref="A371:C378"/>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1" thickBot="1"/>
    <row r="5" ht="68.25" customHeight="1" s="141">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row r="375">
      <c r="A375" s="74" t="n">
        <v>44866</v>
      </c>
      <c r="B375" s="75">
        <f>VLOOKUP(A375,Database!A:M,MATCH($A$1,Database!$A$1:$M$1,),)</f>
        <v/>
      </c>
      <c r="C375" s="113">
        <f>(Table535[[#This Row],[New Orders - Nondefense Capital Goods Excluding Aircraft]]-B374)/B374</f>
        <v/>
      </c>
    </row>
    <row r="376">
      <c r="A376" s="74" t="n">
        <v>44896</v>
      </c>
      <c r="B376" s="75">
        <f>VLOOKUP(A376,Database!A:M,MATCH($A$1,Database!$A$1:$M$1,),)</f>
        <v/>
      </c>
      <c r="C376" s="113">
        <f>(Table535[[#This Row],[New Orders - Nondefense Capital Goods Excluding Aircraft]]-B375)/B375</f>
        <v/>
      </c>
    </row>
    <row r="377">
      <c r="A377" s="74" t="n">
        <v>44927</v>
      </c>
      <c r="B377" s="75">
        <f>VLOOKUP(A377,Database!A:M,MATCH($A$1,Database!$A$1:$M$1,),)</f>
        <v/>
      </c>
      <c r="C377" s="113">
        <f>(Table535[[#This Row],[New Orders - Nondefense Capital Goods Excluding Aircraft]]-B376)/B376</f>
        <v/>
      </c>
    </row>
    <row r="378">
      <c r="A378" s="74" t="n">
        <v>44958</v>
      </c>
      <c r="B378" s="75">
        <f>VLOOKUP(A378,Database!A:M,MATCH($A$1,Database!$A$1:$M$1,),)</f>
        <v/>
      </c>
      <c r="C378" s="113">
        <f>(Table535[[#This Row],[New Orders - Nondefense Capital Goods Excluding Aircraft]]-B377)/B377</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8"/>
  <sheetViews>
    <sheetView zoomScale="80" zoomScaleNormal="80" workbookViewId="0">
      <pane ySplit="5" topLeftCell="A352" activePane="bottomLeft" state="frozen"/>
      <selection pane="bottomLeft" activeCell="AB372" sqref="AB372"/>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1" t="inlineStr">
        <is>
          <t>ADXTNO</t>
        </is>
      </c>
      <c r="B1" s="123" t="inlineStr">
        <is>
          <t>New Orders ex Transport</t>
        </is>
      </c>
    </row>
    <row r="2" ht="15" customHeight="1" s="141">
      <c r="A2" s="71" t="n"/>
      <c r="B2" s="68" t="n"/>
      <c r="C2" s="69" t="n"/>
    </row>
    <row r="3">
      <c r="B3" s="68" t="n"/>
      <c r="C3" s="69" t="n"/>
    </row>
    <row r="4" ht="16" customHeight="1" s="141" thickBot="1"/>
    <row r="5" ht="68.25" customHeight="1" s="141">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row r="375">
      <c r="A375" s="74" t="n">
        <v>44866</v>
      </c>
      <c r="B375" s="75">
        <f>VLOOKUP(A375,Database!A:M,MATCH($A$1,Database!$A$1:$M$1,),)</f>
        <v/>
      </c>
      <c r="C375" s="113">
        <f>(Table5351415[[#This Row],[New Orders ex Transport]]-B374)/B374</f>
        <v/>
      </c>
    </row>
    <row r="376">
      <c r="A376" s="74" t="n">
        <v>44896</v>
      </c>
      <c r="B376" s="75">
        <f>VLOOKUP(A376,Database!A:M,MATCH($A$1,Database!$A$1:$M$1,),)</f>
        <v/>
      </c>
      <c r="C376" s="113">
        <f>(Table5351415[[#This Row],[New Orders ex Transport]]-B375)/B375</f>
        <v/>
      </c>
    </row>
    <row r="377">
      <c r="A377" s="74" t="n">
        <v>44927</v>
      </c>
      <c r="B377" s="75">
        <f>VLOOKUP(A377,Database!A:M,MATCH($A$1,Database!$A$1:$M$1,),)</f>
        <v/>
      </c>
      <c r="C377" s="113">
        <f>(Table5351415[[#This Row],[New Orders ex Transport]]-B376)/B376</f>
        <v/>
      </c>
    </row>
    <row r="378">
      <c r="A378" s="74" t="n">
        <v>44958</v>
      </c>
      <c r="B378" s="75">
        <f>VLOOKUP(A378,Database!A:M,MATCH($A$1,Database!$A$1:$M$1,),)</f>
        <v/>
      </c>
      <c r="C378" s="113">
        <f>(Table5351415[[#This Row],[New Orders ex Transport]]-B377)/B377</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8"/>
  <sheetViews>
    <sheetView zoomScale="90" zoomScaleNormal="90" workbookViewId="0">
      <pane ySplit="5" topLeftCell="A365" activePane="bottomLeft" state="frozen"/>
      <selection activeCell="Q21" sqref="Q21"/>
      <selection pane="bottomLeft" activeCell="D387" sqref="D387"/>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85" t="inlineStr">
        <is>
          <t>AMTUNO</t>
        </is>
      </c>
      <c r="B1" s="123">
        <f>VLOOKUP(A1,Note!U16:V25,2,)</f>
        <v/>
      </c>
      <c r="G1" s="84" t="inlineStr">
        <is>
          <t>*Modify name from Note List</t>
        </is>
      </c>
    </row>
    <row r="2" ht="15" customHeight="1" s="141">
      <c r="A2" s="71" t="n"/>
      <c r="B2" s="68" t="n"/>
      <c r="C2" s="69" t="n"/>
      <c r="G2" s="84" t="inlineStr">
        <is>
          <t>example AMTUNO for Manufacturing</t>
        </is>
      </c>
    </row>
    <row r="3">
      <c r="B3" s="68" t="n"/>
      <c r="C3" s="69" t="n"/>
    </row>
    <row r="4" ht="16" customHeight="1" s="141" thickBot="1"/>
    <row r="5" ht="68.25" customHeight="1" s="141"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row r="375">
      <c r="A375" s="74" t="n">
        <v>44866</v>
      </c>
      <c r="B375" s="75">
        <f>VLOOKUP(A375,Database!A:M,MATCH($A$1,Database!$A$1:$M$1,),)</f>
        <v/>
      </c>
      <c r="C375" s="113">
        <f>(Table535141516[[#This Row],[Durable Goods]]-B374)/B374</f>
        <v/>
      </c>
    </row>
    <row r="376">
      <c r="A376" s="74" t="n">
        <v>44896</v>
      </c>
      <c r="B376" s="75">
        <f>VLOOKUP(A376,Database!A:M,MATCH($A$1,Database!$A$1:$M$1,),)</f>
        <v/>
      </c>
      <c r="C376" s="113">
        <f>(Table535141516[[#This Row],[Durable Goods]]-B375)/B375</f>
        <v/>
      </c>
    </row>
    <row r="377">
      <c r="A377" s="74" t="n">
        <v>44927</v>
      </c>
      <c r="B377" s="75">
        <f>VLOOKUP(A377,Database!A:M,MATCH($A$1,Database!$A$1:$M$1,),)</f>
        <v/>
      </c>
      <c r="C377" s="113">
        <f>(Table535141516[[#This Row],[Durable Goods]]-B376)/B376</f>
        <v/>
      </c>
    </row>
    <row r="378">
      <c r="A378" s="74" t="n">
        <v>44958</v>
      </c>
      <c r="B378" s="75">
        <f>VLOOKUP(A378,Database!A:M,MATCH($A$1,Database!$A$1:$M$1,),)</f>
        <v/>
      </c>
      <c r="C378" s="113">
        <f>(Table535141516[[#This Row],[Durable Goods]]-B377)/B377</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2023-04-15T17:01:23Z</dcterms:modified>
  <cp:lastModifiedBy>Mark Mukherjee</cp:lastModifiedBy>
</cp:coreProperties>
</file>