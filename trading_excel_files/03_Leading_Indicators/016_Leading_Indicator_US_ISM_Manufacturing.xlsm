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drawings/drawing3.xml" ContentType="application/vnd.openxmlformats-officedocument.drawing+xml"/>
  <Override PartName="/xl/worksheets/sheet10.xml" ContentType="application/vnd.openxmlformats-officedocument.spreadsheetml.worksheet+xml"/>
  <Override PartName="/xl/drawings/drawing4.xml" ContentType="application/vnd.openxmlformats-officedocument.drawing+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tables/table1.xml" ContentType="application/vnd.openxmlformats-officedocument.spreadsheetml.table+xml"/>
  <Override PartName="/xl/worksheets/sheet14.xml" ContentType="application/vnd.openxmlformats-officedocument.spreadsheetml.worksheet+xml"/>
  <Override PartName="/xl/drawings/drawing6.xml" ContentType="application/vnd.openxmlformats-officedocument.drawing+xml"/>
  <Override PartName="/xl/worksheets/sheet15.xml" ContentType="application/vnd.openxmlformats-officedocument.spreadsheetml.worksheet+xml"/>
  <Override PartName="/xl/drawings/drawing7.xml" ContentType="application/vnd.openxmlformats-officedocument.drawing+xml"/>
  <Override PartName="/xl/tables/table2.xml" ContentType="application/vnd.openxmlformats-officedocument.spreadsheetml.table+xml"/>
  <Override PartName="/xl/worksheets/sheet16.xml" ContentType="application/vnd.openxmlformats-officedocument.spreadsheetml.worksheet+xml"/>
  <Override PartName="/xl/drawings/drawing8.xml" ContentType="application/vnd.openxmlformats-officedocument.drawing+xml"/>
  <Override PartName="/xl/tables/table3.xml" ContentType="application/vnd.openxmlformats-officedocument.spreadsheetml.table+xml"/>
  <Override PartName="/xl/worksheets/sheet17.xml" ContentType="application/vnd.openxmlformats-officedocument.spreadsheetml.worksheet+xml"/>
  <Override PartName="/xl/drawings/drawing9.xml" ContentType="application/vnd.openxmlformats-officedocument.drawing+xml"/>
  <Override PartName="/xl/tables/table4.xml" ContentType="application/vnd.openxmlformats-officedocument.spreadsheetml.table+xml"/>
  <Override PartName="/xl/worksheets/sheet18.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8260" yWindow="100" windowWidth="68800" windowHeight="17500" tabRatio="600" firstSheet="0" activeTab="7"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OLD ISM" sheetId="3" state="visible" r:id="rId3"/>
    <sheet xmlns:r="http://schemas.openxmlformats.org/officeDocument/2006/relationships" name="DB OLD New Orders" sheetId="4" state="visible" r:id="rId4"/>
    <sheet xmlns:r="http://schemas.openxmlformats.org/officeDocument/2006/relationships" name="DB OLD Production" sheetId="5" state="visible" r:id="rId5"/>
    <sheet xmlns:r="http://schemas.openxmlformats.org/officeDocument/2006/relationships" name="DB Manufacturing ISM" sheetId="6" state="visible" r:id="rId6"/>
    <sheet xmlns:r="http://schemas.openxmlformats.org/officeDocument/2006/relationships" name="DB New Orders" sheetId="7" state="visible" r:id="rId7"/>
    <sheet xmlns:r="http://schemas.openxmlformats.org/officeDocument/2006/relationships" name="DB Production" sheetId="8" state="visible" r:id="rId8"/>
    <sheet xmlns:r="http://schemas.openxmlformats.org/officeDocument/2006/relationships" name="SectorsProduction" sheetId="9" state="visible" r:id="rId9"/>
    <sheet xmlns:r="http://schemas.openxmlformats.org/officeDocument/2006/relationships" name="SectorsNewOrders" sheetId="10" state="visible" r:id="rId10"/>
    <sheet xmlns:r="http://schemas.openxmlformats.org/officeDocument/2006/relationships" name="Sectors" sheetId="11" state="visible" r:id="rId11"/>
    <sheet xmlns:r="http://schemas.openxmlformats.org/officeDocument/2006/relationships" name="Sectors Trend" sheetId="12" state="visible" r:id="rId12"/>
    <sheet xmlns:r="http://schemas.openxmlformats.org/officeDocument/2006/relationships" name="Details" sheetId="13" state="visible" r:id="rId13"/>
    <sheet xmlns:r="http://schemas.openxmlformats.org/officeDocument/2006/relationships" name="Graphs" sheetId="14" state="visible" r:id="rId14"/>
    <sheet xmlns:r="http://schemas.openxmlformats.org/officeDocument/2006/relationships" name="ISM Manufacturing vs GDP" sheetId="15" state="visible" r:id="rId15"/>
    <sheet xmlns:r="http://schemas.openxmlformats.org/officeDocument/2006/relationships" name="ISM Manufacturing vs SPX" sheetId="16" state="visible" r:id="rId16"/>
    <sheet xmlns:r="http://schemas.openxmlformats.org/officeDocument/2006/relationships" name="ISM Manufacturing" sheetId="17" state="visible" r:id="rId17"/>
    <sheet xmlns:r="http://schemas.openxmlformats.org/officeDocument/2006/relationships" name="Industry Comments" sheetId="18" state="visible" r:id="rId18"/>
  </sheets>
  <definedNames>
    <definedName name="_xlnm._FilterDatabase" localSheetId="17" hidden="1">'Industry Comments'!$B$2:$D$343</definedName>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6">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Arial"/>
      <family val="2"/>
      <b val="1"/>
      <color theme="0"/>
      <sz val="11"/>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b val="1"/>
      <color theme="1"/>
      <sz val="8"/>
      <scheme val="minor"/>
    </font>
    <font>
      <name val="Calibri"/>
      <family val="2"/>
      <i val="1"/>
      <color theme="1"/>
      <sz val="11"/>
      <scheme val="minor"/>
    </font>
    <font>
      <name val="Arial"/>
      <family val="2"/>
      <color rgb="FF000000"/>
      <sz val="12"/>
    </font>
    <font>
      <name val="Calibri"/>
      <family val="2"/>
      <b val="1"/>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s>
  <cellStyleXfs count="4">
    <xf numFmtId="0" fontId="20" fillId="0" borderId="0"/>
    <xf numFmtId="0" fontId="7" fillId="0" borderId="0"/>
    <xf numFmtId="0" fontId="9" fillId="0" borderId="0"/>
    <xf numFmtId="9" fontId="20" fillId="0" borderId="0"/>
  </cellStyleXfs>
  <cellXfs count="144">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9" pivotButton="0" quotePrefix="0" xfId="0"/>
    <xf numFmtId="0" fontId="2" fillId="2" borderId="12" pivotButton="0" quotePrefix="0" xfId="0"/>
    <xf numFmtId="0" fontId="2" fillId="2" borderId="6" pivotButton="0" quotePrefix="0" xfId="0"/>
    <xf numFmtId="0" fontId="2" fillId="2" borderId="8" pivotButton="0" quotePrefix="0" xfId="0"/>
    <xf numFmtId="0" fontId="2" fillId="2" borderId="11"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3" fillId="2" borderId="4" applyAlignment="1" pivotButton="0" quotePrefix="0" xfId="0">
      <alignment horizontal="center" vertical="center"/>
    </xf>
    <xf numFmtId="17" fontId="13" fillId="2" borderId="6" applyAlignment="1" pivotButton="0" quotePrefix="0" xfId="0">
      <alignment horizontal="center" vertical="center"/>
    </xf>
    <xf numFmtId="17" fontId="13" fillId="2" borderId="5" applyAlignment="1" pivotButton="0" quotePrefix="0" xfId="0">
      <alignment horizontal="center" vertical="center"/>
    </xf>
    <xf numFmtId="17" fontId="13" fillId="2" borderId="10" applyAlignment="1" pivotButton="0" quotePrefix="0" xfId="0">
      <alignment horizontal="center" vertical="center"/>
    </xf>
    <xf numFmtId="17" fontId="13" fillId="2" borderId="23" applyAlignment="1" pivotButton="0" quotePrefix="0" xfId="0">
      <alignment horizontal="center" vertical="center"/>
    </xf>
    <xf numFmtId="17" fontId="13" fillId="2" borderId="7" applyAlignment="1" pivotButton="0" quotePrefix="0" xfId="0">
      <alignment horizontal="center" vertical="center"/>
    </xf>
    <xf numFmtId="0" fontId="16" fillId="0" borderId="0" pivotButton="0" quotePrefix="0" xfId="0"/>
    <xf numFmtId="0" fontId="0" fillId="2" borderId="0" applyAlignment="1" pivotButton="0" quotePrefix="0" xfId="0">
      <alignment vertical="center"/>
    </xf>
    <xf numFmtId="17" fontId="18" fillId="2" borderId="0" pivotButton="0" quotePrefix="0" xfId="0"/>
    <xf numFmtId="0" fontId="18" fillId="2" borderId="0" pivotButton="0" quotePrefix="0" xfId="0"/>
    <xf numFmtId="0" fontId="12" fillId="3" borderId="0" applyAlignment="1" pivotButton="0" quotePrefix="0" xfId="0">
      <alignment horizontal="center"/>
    </xf>
    <xf numFmtId="0" fontId="10" fillId="3" borderId="0" applyAlignment="1" pivotButton="0" quotePrefix="0" xfId="0">
      <alignment horizontal="center"/>
    </xf>
    <xf numFmtId="17" fontId="10" fillId="3" borderId="0" applyAlignment="1" pivotButton="0" quotePrefix="0" xfId="0">
      <alignment horizontal="center"/>
    </xf>
    <xf numFmtId="0" fontId="13" fillId="2" borderId="2" applyAlignment="1" pivotButton="0" quotePrefix="0" xfId="0">
      <alignment vertical="center" wrapText="1"/>
    </xf>
    <xf numFmtId="0" fontId="13" fillId="2" borderId="14" applyAlignment="1" pivotButton="0" quotePrefix="0" xfId="0">
      <alignment vertical="center" wrapText="1"/>
    </xf>
    <xf numFmtId="0" fontId="0" fillId="2" borderId="16" pivotButton="0" quotePrefix="0" xfId="0"/>
    <xf numFmtId="0" fontId="0" fillId="2" borderId="17" pivotButton="0" quotePrefix="0" xfId="0"/>
    <xf numFmtId="0" fontId="0" fillId="2" borderId="20" pivotButton="0" quotePrefix="0" xfId="0"/>
    <xf numFmtId="0" fontId="13" fillId="2" borderId="3" applyAlignment="1" pivotButton="0" quotePrefix="0" xfId="0">
      <alignment vertical="center" wrapText="1"/>
    </xf>
    <xf numFmtId="0" fontId="13" fillId="2" borderId="18" applyAlignment="1" pivotButton="0" quotePrefix="0" xfId="0">
      <alignment vertical="center" wrapText="1"/>
    </xf>
    <xf numFmtId="0" fontId="0" fillId="2" borderId="25" applyAlignment="1" pivotButton="0" quotePrefix="0" xfId="0">
      <alignment wrapText="1"/>
    </xf>
    <xf numFmtId="17" fontId="0" fillId="2" borderId="0" applyAlignment="1" pivotButton="0" quotePrefix="0" xfId="0">
      <alignment horizontal="center"/>
    </xf>
    <xf numFmtId="14" fontId="6" fillId="2" borderId="24" applyAlignment="1" pivotButton="0" quotePrefix="0" xfId="0">
      <alignment horizontal="center" vertical="center"/>
    </xf>
    <xf numFmtId="14" fontId="6" fillId="2" borderId="15" applyAlignment="1" pivotButton="0" quotePrefix="0" xfId="0">
      <alignment horizontal="center" vertical="center"/>
    </xf>
    <xf numFmtId="14" fontId="6" fillId="2" borderId="0" applyAlignment="1" pivotButton="0" quotePrefix="0" xfId="0">
      <alignment horizontal="center" vertical="center"/>
    </xf>
    <xf numFmtId="14" fontId="6" fillId="2" borderId="19" applyAlignment="1" pivotButton="0" quotePrefix="0" xfId="0">
      <alignment horizontal="center" vertical="center"/>
    </xf>
    <xf numFmtId="0" fontId="0" fillId="3" borderId="14"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1" fillId="3" borderId="14" applyAlignment="1" pivotButton="0" quotePrefix="0" xfId="0">
      <alignment horizontal="center"/>
    </xf>
    <xf numFmtId="0" fontId="11" fillId="3" borderId="15" applyAlignment="1" pivotButton="0" quotePrefix="0" xfId="0">
      <alignment horizontal="center"/>
    </xf>
    <xf numFmtId="0" fontId="11" fillId="3" borderId="16" applyAlignment="1" pivotButton="0" quotePrefix="0" xfId="0">
      <alignment horizontal="center"/>
    </xf>
    <xf numFmtId="14" fontId="0" fillId="2" borderId="1" applyAlignment="1" pivotButton="0" quotePrefix="0" xfId="0">
      <alignment horizontal="center"/>
    </xf>
    <xf numFmtId="164" fontId="3" fillId="2" borderId="1" applyAlignment="1" pivotButton="0" quotePrefix="0" xfId="0">
      <alignment horizontal="center" vertical="center"/>
    </xf>
    <xf numFmtId="10" fontId="0" fillId="2" borderId="1" applyAlignment="1" pivotButton="0" quotePrefix="0" xfId="0">
      <alignment horizontal="center"/>
    </xf>
    <xf numFmtId="14" fontId="1" fillId="2" borderId="11" pivotButton="0" quotePrefix="0" xfId="0"/>
    <xf numFmtId="164" fontId="3" fillId="2" borderId="11" applyAlignment="1" pivotButton="0" quotePrefix="0" xfId="0">
      <alignment horizontal="center" vertical="center"/>
    </xf>
    <xf numFmtId="10" fontId="0" fillId="2" borderId="11" applyAlignment="1" pivotButton="0" quotePrefix="0" xfId="0">
      <alignment horizontal="center"/>
    </xf>
    <xf numFmtId="0" fontId="15" fillId="3" borderId="27" applyAlignment="1" pivotButton="0" quotePrefix="0" xfId="0">
      <alignment horizontal="center" vertical="center"/>
    </xf>
    <xf numFmtId="164" fontId="19" fillId="3" borderId="28" applyAlignment="1" pivotButton="0" quotePrefix="0" xfId="0">
      <alignment horizontal="center" vertical="center" wrapText="1"/>
    </xf>
    <xf numFmtId="10" fontId="19" fillId="3" borderId="29" applyAlignment="1" pivotButton="0" quotePrefix="0" xfId="0">
      <alignment horizontal="center" vertical="center" wrapText="1"/>
    </xf>
    <xf numFmtId="164" fontId="19" fillId="3" borderId="29" applyAlignment="1" pivotButton="0" quotePrefix="0" xfId="0">
      <alignment horizontal="center" vertical="center" wrapText="1"/>
    </xf>
    <xf numFmtId="2" fontId="19" fillId="3" borderId="30" applyAlignment="1" pivotButton="0" quotePrefix="0" xfId="0">
      <alignment horizontal="center" vertical="center" wrapText="1"/>
    </xf>
    <xf numFmtId="2" fontId="1" fillId="2" borderId="1" applyAlignment="1" pivotButton="0" quotePrefix="0" xfId="0">
      <alignment horizontal="center"/>
    </xf>
    <xf numFmtId="14" fontId="1" fillId="2" borderId="11" applyAlignment="1" pivotButton="0" quotePrefix="0" xfId="0">
      <alignment horizontal="center"/>
    </xf>
    <xf numFmtId="2" fontId="1" fillId="2" borderId="11" applyAlignment="1" pivotButton="0" quotePrefix="0" xfId="0">
      <alignment horizontal="center"/>
    </xf>
    <xf numFmtId="0" fontId="1" fillId="2" borderId="11" applyAlignment="1" pivotButton="0" quotePrefix="0" xfId="0">
      <alignment horizontal="center"/>
    </xf>
    <xf numFmtId="0" fontId="0" fillId="2" borderId="11" applyAlignment="1" pivotButton="0" quotePrefix="0" xfId="0">
      <alignment horizontal="center"/>
    </xf>
    <xf numFmtId="0" fontId="11" fillId="3" borderId="2" applyAlignment="1" pivotButton="0" quotePrefix="0" xfId="0">
      <alignment horizontal="center" wrapText="1"/>
    </xf>
    <xf numFmtId="0" fontId="11" fillId="3" borderId="24" applyAlignment="1" pivotButton="0" quotePrefix="0" xfId="0">
      <alignment horizontal="center" wrapText="1"/>
    </xf>
    <xf numFmtId="0" fontId="11" fillId="3" borderId="25" applyAlignment="1" pivotButton="0" quotePrefix="0" xfId="0">
      <alignment horizontal="center" wrapText="1"/>
    </xf>
    <xf numFmtId="17" fontId="0" fillId="2" borderId="0" pivotButton="0" quotePrefix="0" xfId="0"/>
    <xf numFmtId="0" fontId="12" fillId="3" borderId="34" applyAlignment="1" pivotButton="0" quotePrefix="0" xfId="0">
      <alignment horizontal="center" wrapText="1"/>
    </xf>
    <xf numFmtId="17" fontId="0" fillId="2" borderId="35" pivotButton="0" quotePrefix="0" xfId="0"/>
    <xf numFmtId="0" fontId="0" fillId="2" borderId="36" pivotButton="0" quotePrefix="0" xfId="0"/>
    <xf numFmtId="0" fontId="0" fillId="2" borderId="37" pivotButton="0" quotePrefix="0" xfId="0"/>
    <xf numFmtId="17" fontId="0" fillId="2" borderId="38" pivotButton="0" quotePrefix="0" xfId="0"/>
    <xf numFmtId="0" fontId="0" fillId="2" borderId="39" pivotButton="0" quotePrefix="0" xfId="0"/>
    <xf numFmtId="17" fontId="0" fillId="2" borderId="40" pivotButton="0" quotePrefix="0" xfId="0"/>
    <xf numFmtId="0" fontId="0" fillId="2" borderId="31" pivotButton="0" quotePrefix="0" xfId="0"/>
    <xf numFmtId="0" fontId="0" fillId="2" borderId="41" pivotButton="0" quotePrefix="0" xfId="0"/>
    <xf numFmtId="0" fontId="0" fillId="2" borderId="5" applyAlignment="1" pivotButton="0" quotePrefix="0" xfId="0">
      <alignment horizontal="center"/>
    </xf>
    <xf numFmtId="14" fontId="21" fillId="2" borderId="21" applyAlignment="1" pivotButton="0" quotePrefix="0" xfId="0">
      <alignment horizontal="center"/>
    </xf>
    <xf numFmtId="14" fontId="11" fillId="2" borderId="21" applyAlignment="1" pivotButton="0" quotePrefix="0" xfId="0">
      <alignment horizontal="center"/>
    </xf>
    <xf numFmtId="0" fontId="11" fillId="2" borderId="16" applyAlignment="1" pivotButton="0" quotePrefix="0" xfId="0">
      <alignment horizontal="center"/>
    </xf>
    <xf numFmtId="0" fontId="11" fillId="2" borderId="42" applyAlignment="1" pivotButton="0" quotePrefix="0" xfId="0">
      <alignment horizontal="center"/>
    </xf>
    <xf numFmtId="0" fontId="11" fillId="2" borderId="17" applyAlignment="1" pivotButton="0" quotePrefix="0" xfId="0">
      <alignment horizontal="center"/>
    </xf>
    <xf numFmtId="0" fontId="0" fillId="2" borderId="36" applyAlignment="1" pivotButton="0" quotePrefix="0" xfId="0">
      <alignment horizontal="center"/>
    </xf>
    <xf numFmtId="164" fontId="0" fillId="2" borderId="37" applyAlignment="1" pivotButton="0" quotePrefix="0" xfId="3">
      <alignment horizontal="center"/>
    </xf>
    <xf numFmtId="164" fontId="0" fillId="2" borderId="39" applyAlignment="1" pivotButton="0" quotePrefix="0" xfId="3">
      <alignment horizontal="center"/>
    </xf>
    <xf numFmtId="0" fontId="0" fillId="2" borderId="31" applyAlignment="1" pivotButton="0" quotePrefix="0" xfId="0">
      <alignment horizontal="center"/>
    </xf>
    <xf numFmtId="164" fontId="0" fillId="2" borderId="41" applyAlignment="1" pivotButton="0" quotePrefix="0" xfId="3">
      <alignment horizontal="center"/>
    </xf>
    <xf numFmtId="0" fontId="12" fillId="3" borderId="32" applyAlignment="1" pivotButton="0" quotePrefix="0" xfId="0">
      <alignment horizontal="center" wrapText="1"/>
    </xf>
    <xf numFmtId="0" fontId="12" fillId="3" borderId="33" applyAlignment="1" pivotButton="0" quotePrefix="0" xfId="0">
      <alignment horizontal="center" wrapText="1"/>
    </xf>
    <xf numFmtId="0" fontId="11" fillId="4" borderId="1" pivotButton="0" quotePrefix="0" xfId="0"/>
    <xf numFmtId="0" fontId="22" fillId="4" borderId="1" pivotButton="0" quotePrefix="0" xfId="0"/>
    <xf numFmtId="0" fontId="23" fillId="2" borderId="0" pivotButton="0" quotePrefix="0" xfId="0"/>
    <xf numFmtId="0" fontId="24" fillId="2" borderId="0" pivotButton="0" quotePrefix="0" xfId="0"/>
    <xf numFmtId="0" fontId="0" fillId="5" borderId="0" pivotButton="0" quotePrefix="0" xfId="0"/>
    <xf numFmtId="0" fontId="25" fillId="4" borderId="1" pivotButton="0" quotePrefix="0" xfId="0"/>
    <xf numFmtId="165" fontId="0" fillId="0" borderId="0" pivotButton="0" quotePrefix="0" xfId="0"/>
    <xf numFmtId="0" fontId="0" fillId="2" borderId="0" pivotButton="0" quotePrefix="0" xfId="0"/>
    <xf numFmtId="0" fontId="11" fillId="2" borderId="0" pivotButton="0" quotePrefix="0" xfId="0"/>
    <xf numFmtId="0" fontId="0" fillId="2" borderId="0" applyAlignment="1" pivotButton="0" quotePrefix="0" xfId="0">
      <alignment wrapText="1"/>
    </xf>
    <xf numFmtId="0" fontId="9" fillId="2" borderId="0" pivotButton="0" quotePrefix="0" xfId="2"/>
    <xf numFmtId="0" fontId="0" fillId="2" borderId="1" applyAlignment="1" pivotButton="0" quotePrefix="0" xfId="0">
      <alignment horizontal="center"/>
    </xf>
    <xf numFmtId="165" fontId="0" fillId="0" borderId="0" pivotButton="0" quotePrefix="0" xfId="0"/>
    <xf numFmtId="0" fontId="0" fillId="0" borderId="0" applyAlignment="1" pivotButton="0" quotePrefix="0" xfId="0">
      <alignment vertical="center"/>
    </xf>
    <xf numFmtId="0" fontId="0" fillId="2" borderId="0" pivotButton="0" quotePrefix="0" xfId="0"/>
    <xf numFmtId="0" fontId="11" fillId="2" borderId="0" pivotButton="0" quotePrefix="0" xfId="0"/>
    <xf numFmtId="0" fontId="11" fillId="4" borderId="38" applyAlignment="1" pivotButton="0" quotePrefix="0" xfId="0">
      <alignment horizontal="center" wrapText="1"/>
    </xf>
    <xf numFmtId="0" fontId="0" fillId="0" borderId="13" pivotButton="0" quotePrefix="0" xfId="0"/>
    <xf numFmtId="0" fontId="11" fillId="4" borderId="40" applyAlignment="1" pivotButton="0" quotePrefix="0" xfId="0">
      <alignment horizontal="center" wrapText="1"/>
    </xf>
    <xf numFmtId="0" fontId="0" fillId="0" borderId="45" pivotButton="0" quotePrefix="0" xfId="0"/>
    <xf numFmtId="0" fontId="0" fillId="2" borderId="0" applyAlignment="1" pivotButton="0" quotePrefix="0" xfId="0">
      <alignment wrapText="1"/>
    </xf>
    <xf numFmtId="0" fontId="11" fillId="4" borderId="43" applyAlignment="1" pivotButton="0" quotePrefix="0" xfId="0">
      <alignment horizontal="center"/>
    </xf>
    <xf numFmtId="0" fontId="0" fillId="0" borderId="24" pivotButton="0" quotePrefix="0" xfId="0"/>
    <xf numFmtId="0" fontId="0" fillId="0" borderId="25" pivotButton="0" quotePrefix="0" xfId="0"/>
    <xf numFmtId="0" fontId="11" fillId="4" borderId="1" applyAlignment="1" pivotButton="0" quotePrefix="0" xfId="0">
      <alignment horizontal="center"/>
    </xf>
    <xf numFmtId="0" fontId="0" fillId="0" borderId="26" pivotButton="0" quotePrefix="0" xfId="0"/>
    <xf numFmtId="0" fontId="11" fillId="4" borderId="35" applyAlignment="1" pivotButton="0" quotePrefix="0" xfId="0">
      <alignment horizontal="center" wrapText="1"/>
    </xf>
    <xf numFmtId="0" fontId="0" fillId="0" borderId="44" pivotButton="0" quotePrefix="0" xfId="0"/>
    <xf numFmtId="0" fontId="9" fillId="2" borderId="0" pivotButton="0" quotePrefix="0" xfId="2"/>
    <xf numFmtId="0" fontId="11" fillId="2" borderId="19" applyAlignment="1" pivotButton="0" quotePrefix="0" xfId="0">
      <alignment horizontal="center" vertical="center"/>
    </xf>
    <xf numFmtId="0" fontId="0" fillId="0" borderId="19" pivotButton="0" quotePrefix="0" xfId="0"/>
    <xf numFmtId="0" fontId="12" fillId="3" borderId="43" applyAlignment="1" pivotButton="0" quotePrefix="0" xfId="0">
      <alignment horizontal="center"/>
    </xf>
    <xf numFmtId="0" fontId="17" fillId="2" borderId="0" applyAlignment="1" pivotButton="0" quotePrefix="0" xfId="0">
      <alignment wrapText="1"/>
    </xf>
    <xf numFmtId="0" fontId="14" fillId="3" borderId="43" applyAlignment="1" pivotButton="0" quotePrefix="0" xfId="0">
      <alignment horizontal="center" vertical="center"/>
    </xf>
    <xf numFmtId="0" fontId="0" fillId="0" borderId="22" pivotButton="0" quotePrefix="0" xfId="0"/>
    <xf numFmtId="0" fontId="18" fillId="2" borderId="0" applyAlignment="1" pivotButton="0" quotePrefix="0" xfId="0">
      <alignment horizontal="center"/>
    </xf>
    <xf numFmtId="0" fontId="0" fillId="2" borderId="1" applyAlignment="1" pivotButton="0" quotePrefix="0" xfId="0">
      <alignment horizontal="center"/>
    </xf>
    <xf numFmtId="0" fontId="13" fillId="2" borderId="5" applyAlignment="1" pivotButton="0" quotePrefix="0" xfId="0">
      <alignment horizontal="center" vertical="center"/>
    </xf>
    <xf numFmtId="0" fontId="0" fillId="0" borderId="8" pivotButton="0" quotePrefix="0" xfId="0"/>
    <xf numFmtId="0" fontId="14" fillId="3" borderId="21" applyAlignment="1" pivotButton="0" quotePrefix="0" xfId="0">
      <alignment horizontal="center" vertic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65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6"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55.3</v>
                </pt>
                <pt idx="16">
                  <v>55.5</v>
                </pt>
                <pt idx="17">
                  <v>56.7</v>
                </pt>
                <pt idx="18">
                  <v>56.5</v>
                </pt>
                <pt idx="19">
                  <v>59.3</v>
                </pt>
                <pt idx="20">
                  <v>60.2</v>
                </pt>
                <pt idx="21">
                  <v>58.5</v>
                </pt>
                <pt idx="22">
                  <v>58.2</v>
                </pt>
                <pt idx="23">
                  <v>59.3</v>
                </pt>
                <pt idx="24">
                  <v>59.1</v>
                </pt>
                <pt idx="25">
                  <v>60.8</v>
                </pt>
                <pt idx="26">
                  <v>59.3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Details!$A$6:$A$903</f>
              <numCache>
                <formatCode>m/d/yy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Details!$B$6:$B$903</f>
              <numCache>
                <formatCode>0.00</formatCode>
                <ptCount val="898"/>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SectorsProduction!$C$6:$C$11</f>
              <numCache>
                <formatCode>General</formatCode>
                <ptCount val="6"/>
                <pt idx="0">
                  <v>10</v>
                </pt>
                <pt idx="1">
                  <v>3</v>
                </pt>
                <pt idx="2">
                  <v>6</v>
                </pt>
                <pt idx="3">
                  <v>7</v>
                </pt>
                <pt idx="4">
                  <v>9</v>
                </pt>
                <pt idx="5">
                  <v>10</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SectorsProduction!$B$6:$B$11</f>
              <numCache>
                <formatCode>General</formatCode>
                <ptCount val="6"/>
                <pt idx="0">
                  <v>11</v>
                </pt>
                <pt idx="1">
                  <v>12</v>
                </pt>
                <pt idx="2">
                  <v>9</v>
                </pt>
                <pt idx="3">
                  <v>11</v>
                </pt>
                <pt idx="4">
                  <v>2</v>
                </pt>
                <pt idx="5">
                  <v>6</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SectorsProduction!$D$6:$D$11</f>
              <numCache>
                <formatCode>General</formatCode>
                <ptCount val="6"/>
                <pt idx="0">
                  <v>0</v>
                </pt>
                <pt idx="1">
                  <v>-1</v>
                </pt>
                <pt idx="2">
                  <v>-1</v>
                </pt>
                <pt idx="3">
                  <v>0</v>
                </pt>
                <pt idx="4">
                  <v>6</v>
                </pt>
                <pt idx="5">
                  <v>-2</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SectorsProduction!$E$6:$E$11</f>
              <numCache>
                <formatCode>General</formatCode>
                <ptCount val="6"/>
                <pt idx="0">
                  <v>0</v>
                </pt>
                <pt idx="1">
                  <v>0</v>
                </pt>
                <pt idx="2">
                  <v>0</v>
                </pt>
                <pt idx="3">
                  <v>0</v>
                </pt>
                <pt idx="4">
                  <v>0</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SectorsProduction!$F$6:$F$11</f>
              <numCache>
                <formatCode>General</formatCode>
                <ptCount val="6"/>
                <pt idx="0">
                  <v>0</v>
                </pt>
                <pt idx="1">
                  <v>-2</v>
                </pt>
                <pt idx="2">
                  <v>-2</v>
                </pt>
                <pt idx="3">
                  <v>-1</v>
                </pt>
                <pt idx="4">
                  <v>16</v>
                </pt>
                <pt idx="5">
                  <v>11</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SectorsProduction!$G$6:$G$11</f>
              <numCache>
                <formatCode>General</formatCode>
                <ptCount val="6"/>
                <pt idx="0">
                  <v>9</v>
                </pt>
                <pt idx="1">
                  <v>13</v>
                </pt>
                <pt idx="2">
                  <v>10</v>
                </pt>
                <pt idx="3">
                  <v>9</v>
                </pt>
                <pt idx="4">
                  <v>12</v>
                </pt>
                <pt idx="5">
                  <v>4</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SectorsProduction!$H$6:$H$11</f>
              <numCache>
                <formatCode>General</formatCode>
                <ptCount val="6"/>
                <pt idx="0">
                  <v>3</v>
                </pt>
                <pt idx="1">
                  <v>1</v>
                </pt>
                <pt idx="2">
                  <v>13</v>
                </pt>
                <pt idx="3">
                  <v>12</v>
                </pt>
                <pt idx="4">
                  <v>8</v>
                </pt>
                <pt idx="5">
                  <v>-3</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SectorsProduction!$I$6:$I$11</f>
              <numCache>
                <formatCode>General</formatCode>
                <ptCount val="6"/>
                <pt idx="0">
                  <v>12</v>
                </pt>
                <pt idx="1">
                  <v>11</v>
                </pt>
                <pt idx="2">
                  <v>0</v>
                </pt>
                <pt idx="3">
                  <v>14</v>
                </pt>
                <pt idx="4">
                  <v>10</v>
                </pt>
                <pt idx="5">
                  <v>7</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SectorsProduction!$J$6:$J$11</f>
              <numCache>
                <formatCode>General</formatCode>
                <ptCount val="6"/>
                <pt idx="0">
                  <v>1</v>
                </pt>
                <pt idx="1">
                  <v>7</v>
                </pt>
                <pt idx="2">
                  <v>11</v>
                </pt>
                <pt idx="3">
                  <v>4</v>
                </pt>
                <pt idx="4">
                  <v>1</v>
                </pt>
                <pt idx="5">
                  <v>-1</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1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SectorsProduction!$K$6:$K$11</f>
              <numCache>
                <formatCode>General</formatCode>
                <ptCount val="6"/>
                <pt idx="0">
                  <v>2</v>
                </pt>
                <pt idx="1">
                  <v>10</v>
                </pt>
                <pt idx="2">
                  <v>3</v>
                </pt>
                <pt idx="3">
                  <v>2</v>
                </pt>
                <pt idx="4">
                  <v>11</v>
                </pt>
                <pt idx="5">
                  <v>2</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SectorsProduction!$L$6:$L$11</f>
              <numCache>
                <formatCode>General</formatCode>
                <ptCount val="6"/>
                <pt idx="0">
                  <v>8</v>
                </pt>
                <pt idx="1">
                  <v>6</v>
                </pt>
                <pt idx="2">
                  <v>4</v>
                </pt>
                <pt idx="3">
                  <v>1</v>
                </pt>
                <pt idx="4">
                  <v>4</v>
                </pt>
                <pt idx="5">
                  <v>3</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SectorsProduction!$M$6:$M$11</f>
              <numCache>
                <formatCode>General</formatCode>
                <ptCount val="6"/>
                <pt idx="0">
                  <v>6</v>
                </pt>
                <pt idx="1">
                  <v>8</v>
                </pt>
                <pt idx="2">
                  <v>12</v>
                </pt>
                <pt idx="3">
                  <v>6</v>
                </pt>
                <pt idx="4">
                  <v>13</v>
                </pt>
                <pt idx="5">
                  <v>13</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SectorsProduction!$N$6:$N$11</f>
              <numCache>
                <formatCode>General</formatCode>
                <ptCount val="6"/>
                <pt idx="0">
                  <v>5</v>
                </pt>
                <pt idx="1">
                  <v>0</v>
                </pt>
                <pt idx="2">
                  <v>2</v>
                </pt>
                <pt idx="3">
                  <v>3</v>
                </pt>
                <pt idx="4">
                  <v>7</v>
                </pt>
                <pt idx="5">
                  <v>1</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1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SectorsProduction!$O$6:$O$11</f>
              <numCache>
                <formatCode>General</formatCode>
                <ptCount val="6"/>
                <pt idx="0">
                  <v>4</v>
                </pt>
                <pt idx="1">
                  <v>5</v>
                </pt>
                <pt idx="2">
                  <v>5</v>
                </pt>
                <pt idx="3">
                  <v>10</v>
                </pt>
                <pt idx="4">
                  <v>15</v>
                </pt>
                <pt idx="5">
                  <v>8</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1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SectorsProduction!$P$6:$P$11</f>
              <numCache>
                <formatCode>General</formatCode>
                <ptCount val="6"/>
                <pt idx="0">
                  <v>7</v>
                </pt>
                <pt idx="1">
                  <v>9</v>
                </pt>
                <pt idx="2">
                  <v>7</v>
                </pt>
                <pt idx="3">
                  <v>5</v>
                </pt>
                <pt idx="4">
                  <v>3</v>
                </pt>
                <pt idx="5">
                  <v>5</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1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SectorsProduction!$Q$6:$Q$11</f>
              <numCache>
                <formatCode>General</formatCode>
                <ptCount val="6"/>
                <pt idx="0">
                  <v>13</v>
                </pt>
                <pt idx="1">
                  <v>14</v>
                </pt>
                <pt idx="2">
                  <v>1</v>
                </pt>
                <pt idx="3">
                  <v>13</v>
                </pt>
                <pt idx="4">
                  <v>5</v>
                </pt>
                <pt idx="5">
                  <v>9</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1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SectorsProduction!$R$6:$R$11</f>
              <numCache>
                <formatCode>General</formatCode>
                <ptCount val="6"/>
                <pt idx="0">
                  <v>14</v>
                </pt>
                <pt idx="1">
                  <v>2</v>
                </pt>
                <pt idx="2">
                  <v>0</v>
                </pt>
                <pt idx="3">
                  <v>0</v>
                </pt>
                <pt idx="4">
                  <v>-1</v>
                </pt>
                <pt idx="5">
                  <v>-4</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44287</v>
                </pt>
                <pt idx="1">
                  <v>44317</v>
                </pt>
                <pt idx="2">
                  <v>44348</v>
                </pt>
                <pt idx="3">
                  <v>44378</v>
                </pt>
                <pt idx="4">
                  <v>44409</v>
                </pt>
                <pt idx="5">
                  <v>44440</v>
                </pt>
              </numCache>
            </numRef>
          </cat>
          <val>
            <numRef>
              <f>SectorsProduction!$S$6:$S$11</f>
              <numCache>
                <formatCode>General</formatCode>
                <ptCount val="6"/>
                <pt idx="0">
                  <v>0</v>
                </pt>
                <pt idx="1">
                  <v>4</v>
                </pt>
                <pt idx="2">
                  <v>8</v>
                </pt>
                <pt idx="3">
                  <v>8</v>
                </pt>
                <pt idx="4">
                  <v>14</v>
                </pt>
                <pt idx="5">
                  <v>12</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SectorsNewOrders!$C$6:$C$11</f>
              <numCache>
                <formatCode>General</formatCode>
                <ptCount val="6"/>
                <pt idx="0">
                  <v>7</v>
                </pt>
                <pt idx="1">
                  <v>2</v>
                </pt>
                <pt idx="2">
                  <v>11</v>
                </pt>
                <pt idx="3">
                  <v>7</v>
                </pt>
                <pt idx="4">
                  <v>14</v>
                </pt>
                <pt idx="5">
                  <v>13</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SectorsNewOrders!$B$6:$B$11</f>
              <numCache>
                <formatCode>General</formatCode>
                <ptCount val="6"/>
                <pt idx="0">
                  <v>9</v>
                </pt>
                <pt idx="1">
                  <v>11</v>
                </pt>
                <pt idx="2">
                  <v>9</v>
                </pt>
                <pt idx="3">
                  <v>9</v>
                </pt>
                <pt idx="4">
                  <v>12</v>
                </pt>
                <pt idx="5">
                  <v>11</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SectorsNewOrders!$D$6:$D$11</f>
              <numCache>
                <formatCode>General</formatCode>
                <ptCount val="6"/>
                <pt idx="0">
                  <v>12</v>
                </pt>
                <pt idx="1">
                  <v>12</v>
                </pt>
                <pt idx="2">
                  <v>13</v>
                </pt>
                <pt idx="3">
                  <v>5</v>
                </pt>
                <pt idx="4">
                  <v>10</v>
                </pt>
                <pt idx="5">
                  <v>10</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SectorsNewOrders!$E$6:$E$11</f>
              <numCache>
                <formatCode>General</formatCode>
                <ptCount val="6"/>
                <pt idx="0">
                  <v>15</v>
                </pt>
                <pt idx="1">
                  <v>0</v>
                </pt>
                <pt idx="2">
                  <v>0</v>
                </pt>
                <pt idx="3">
                  <v>0</v>
                </pt>
                <pt idx="4">
                  <v>0</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SectorsNewOrders!$F$6:$F$11</f>
              <numCache>
                <formatCode>General</formatCode>
                <ptCount val="6"/>
                <pt idx="0">
                  <v>0</v>
                </pt>
                <pt idx="1">
                  <v>-1</v>
                </pt>
                <pt idx="2">
                  <v>-1</v>
                </pt>
                <pt idx="3">
                  <v>14</v>
                </pt>
                <pt idx="4">
                  <v>13</v>
                </pt>
                <pt idx="5">
                  <v>12</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SectorsNewOrders!$G$6:$G$11</f>
              <numCache>
                <formatCode>General</formatCode>
                <ptCount val="6"/>
                <pt idx="0">
                  <v>5</v>
                </pt>
                <pt idx="1">
                  <v>13</v>
                </pt>
                <pt idx="2">
                  <v>12</v>
                </pt>
                <pt idx="3">
                  <v>2</v>
                </pt>
                <pt idx="4">
                  <v>1</v>
                </pt>
                <pt idx="5">
                  <v>8</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SectorsNewOrders!$H$6:$H$11</f>
              <numCache>
                <formatCode>General</formatCode>
                <ptCount val="6"/>
                <pt idx="0">
                  <v>11</v>
                </pt>
                <pt idx="1">
                  <v>10</v>
                </pt>
                <pt idx="2">
                  <v>16</v>
                </pt>
                <pt idx="3">
                  <v>11</v>
                </pt>
                <pt idx="4">
                  <v>3</v>
                </pt>
                <pt idx="5">
                  <v>-1</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SectorsNewOrders!$I$6:$I$11</f>
              <numCache>
                <formatCode>General</formatCode>
                <ptCount val="6"/>
                <pt idx="0">
                  <v>0</v>
                </pt>
                <pt idx="1">
                  <v>1</v>
                </pt>
                <pt idx="2">
                  <v>3</v>
                </pt>
                <pt idx="3">
                  <v>3</v>
                </pt>
                <pt idx="4">
                  <v>4</v>
                </pt>
                <pt idx="5">
                  <v>6</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SectorsNewOrders!$J$6:$J$11</f>
              <numCache>
                <formatCode>General</formatCode>
                <ptCount val="6"/>
                <pt idx="0">
                  <v>2</v>
                </pt>
                <pt idx="1">
                  <v>3</v>
                </pt>
                <pt idx="2">
                  <v>10</v>
                </pt>
                <pt idx="3">
                  <v>4</v>
                </pt>
                <pt idx="4">
                  <v>2</v>
                </pt>
                <pt idx="5">
                  <v>7</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SectorsNewOrders!$K$6:$K$11</f>
              <numCache>
                <formatCode>General</formatCode>
                <ptCount val="6"/>
                <pt idx="0">
                  <v>1</v>
                </pt>
                <pt idx="1">
                  <v>7</v>
                </pt>
                <pt idx="2">
                  <v>1</v>
                </pt>
                <pt idx="3">
                  <v>12</v>
                </pt>
                <pt idx="4">
                  <v>11</v>
                </pt>
                <pt idx="5">
                  <v>4</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SectorsNewOrders!$L$6:$L$11</f>
              <numCache>
                <formatCode>General</formatCode>
                <ptCount val="6"/>
                <pt idx="0">
                  <v>6</v>
                </pt>
                <pt idx="1">
                  <v>6</v>
                </pt>
                <pt idx="2">
                  <v>5</v>
                </pt>
                <pt idx="3">
                  <v>1</v>
                </pt>
                <pt idx="4">
                  <v>7</v>
                </pt>
                <pt idx="5">
                  <v>9</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SectorsNewOrders!$M$6:$M$11</f>
              <numCache>
                <formatCode>General</formatCode>
                <ptCount val="6"/>
                <pt idx="0">
                  <v>10</v>
                </pt>
                <pt idx="1">
                  <v>8</v>
                </pt>
                <pt idx="2">
                  <v>15</v>
                </pt>
                <pt idx="3">
                  <v>15</v>
                </pt>
                <pt idx="4">
                  <v>15</v>
                </pt>
                <pt idx="5">
                  <v>14</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SectorsNewOrders!$N$6:$N$11</f>
              <numCache>
                <formatCode>General</formatCode>
                <ptCount val="6"/>
                <pt idx="0">
                  <v>4</v>
                </pt>
                <pt idx="1">
                  <v>5</v>
                </pt>
                <pt idx="2">
                  <v>2</v>
                </pt>
                <pt idx="3">
                  <v>13</v>
                </pt>
                <pt idx="4">
                  <v>6</v>
                </pt>
                <pt idx="5">
                  <v>3</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SectorsNewOrders!$O$6:$O$11</f>
              <numCache>
                <formatCode>General</formatCode>
                <ptCount val="6"/>
                <pt idx="0">
                  <v>3</v>
                </pt>
                <pt idx="1">
                  <v>9</v>
                </pt>
                <pt idx="2">
                  <v>8</v>
                </pt>
                <pt idx="3">
                  <v>8</v>
                </pt>
                <pt idx="4">
                  <v>8</v>
                </pt>
                <pt idx="5">
                  <v>5</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SectorsNewOrders!$P$6:$P$11</f>
              <numCache>
                <formatCode>General</formatCode>
                <ptCount val="6"/>
                <pt idx="0">
                  <v>8</v>
                </pt>
                <pt idx="1">
                  <v>14</v>
                </pt>
                <pt idx="2">
                  <v>6</v>
                </pt>
                <pt idx="3">
                  <v>6</v>
                </pt>
                <pt idx="4">
                  <v>5</v>
                </pt>
                <pt idx="5">
                  <v>2</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SectorsNewOrders!$Q$6:$Q$11</f>
              <numCache>
                <formatCode>General</formatCode>
                <ptCount val="6"/>
                <pt idx="0">
                  <v>14</v>
                </pt>
                <pt idx="1">
                  <v>0</v>
                </pt>
                <pt idx="2">
                  <v>14</v>
                </pt>
                <pt idx="3">
                  <v>10</v>
                </pt>
                <pt idx="4">
                  <v>9</v>
                </pt>
                <pt idx="5">
                  <v>1</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SectorsNewOrders!$R$6:$R$11</f>
              <numCache>
                <formatCode>General</formatCode>
                <ptCount val="6"/>
                <pt idx="0">
                  <v>13</v>
                </pt>
                <pt idx="1">
                  <v>15</v>
                </pt>
                <pt idx="2">
                  <v>7</v>
                </pt>
                <pt idx="3">
                  <v>0</v>
                </pt>
                <pt idx="4">
                  <v>-1</v>
                </pt>
                <pt idx="5">
                  <v>0</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44287</v>
                </pt>
                <pt idx="1">
                  <v>44317</v>
                </pt>
                <pt idx="2">
                  <v>44348</v>
                </pt>
                <pt idx="3">
                  <v>44378</v>
                </pt>
                <pt idx="4">
                  <v>44409</v>
                </pt>
                <pt idx="5">
                  <v>44440</v>
                </pt>
              </numCache>
            </numRef>
          </cat>
          <val>
            <numRef>
              <f>SectorsNewOrders!$S$6:$S$11</f>
              <numCache>
                <formatCode>General</formatCode>
                <ptCount val="6"/>
                <pt idx="0">
                  <v>-1</v>
                </pt>
                <pt idx="1">
                  <v>4</v>
                </pt>
                <pt idx="2">
                  <v>4</v>
                </pt>
                <pt idx="3">
                  <v>-1</v>
                </pt>
                <pt idx="4">
                  <v>0</v>
                </pt>
                <pt idx="5">
                  <v>0</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Sectors!$C$6:$C$11</f>
              <numCache>
                <formatCode>General</formatCode>
                <ptCount val="6"/>
                <pt idx="0">
                  <v>14</v>
                </pt>
                <pt idx="1">
                  <v>8</v>
                </pt>
                <pt idx="2">
                  <v>11</v>
                </pt>
                <pt idx="3">
                  <v>14</v>
                </pt>
                <pt idx="4">
                  <v>13</v>
                </pt>
                <pt idx="5">
                  <v>14</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Sectors!$B$6:$B$11</f>
              <numCache>
                <formatCode>General</formatCode>
                <ptCount val="6"/>
                <pt idx="0">
                  <v>15</v>
                </pt>
                <pt idx="1">
                  <v>15</v>
                </pt>
                <pt idx="2">
                  <v>7</v>
                </pt>
                <pt idx="3">
                  <v>16</v>
                </pt>
                <pt idx="4">
                  <v>11</v>
                </pt>
                <pt idx="5">
                  <v>13</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4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Sectors!$D$6:$D$11</f>
              <numCache>
                <formatCode>General</formatCode>
                <ptCount val="6"/>
                <pt idx="0">
                  <v>7</v>
                </pt>
                <pt idx="1">
                  <v>4</v>
                </pt>
                <pt idx="2">
                  <v>2</v>
                </pt>
                <pt idx="3">
                  <v>4</v>
                </pt>
                <pt idx="4">
                  <v>9</v>
                </pt>
                <pt idx="5">
                  <v>2</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4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Sectors!$E$6:$E$11</f>
              <numCache>
                <formatCode>General</formatCode>
                <ptCount val="6"/>
                <pt idx="0">
                  <v>13</v>
                </pt>
                <pt idx="1">
                  <v>6</v>
                </pt>
                <pt idx="2">
                  <v>0</v>
                </pt>
                <pt idx="3">
                  <v>0</v>
                </pt>
                <pt idx="4">
                  <v>15</v>
                </pt>
                <pt idx="5">
                  <v>0</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4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Sectors!$F$6:$F$11</f>
              <numCache>
                <formatCode>General</formatCode>
                <ptCount val="6"/>
                <pt idx="0">
                  <v>2</v>
                </pt>
                <pt idx="1">
                  <v>2</v>
                </pt>
                <pt idx="2">
                  <v>-1</v>
                </pt>
                <pt idx="3">
                  <v>3</v>
                </pt>
                <pt idx="4">
                  <v>16</v>
                </pt>
                <pt idx="5">
                  <v>3</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4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Sectors!$G$6:$G$11</f>
              <numCache>
                <formatCode>General</formatCode>
                <ptCount val="6"/>
                <pt idx="0">
                  <v>9</v>
                </pt>
                <pt idx="1">
                  <v>13</v>
                </pt>
                <pt idx="2">
                  <v>12</v>
                </pt>
                <pt idx="3">
                  <v>6</v>
                </pt>
                <pt idx="4">
                  <v>6</v>
                </pt>
                <pt idx="5">
                  <v>12</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4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Sectors!$H$6:$H$11</f>
              <numCache>
                <formatCode>General</formatCode>
                <ptCount val="6"/>
                <pt idx="0">
                  <v>4</v>
                </pt>
                <pt idx="1">
                  <v>7</v>
                </pt>
                <pt idx="2">
                  <v>15</v>
                </pt>
                <pt idx="3">
                  <v>8</v>
                </pt>
                <pt idx="4">
                  <v>12</v>
                </pt>
                <pt idx="5">
                  <v>-1</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4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Sectors!$I$6:$I$11</f>
              <numCache>
                <formatCode>General</formatCode>
                <ptCount val="6"/>
                <pt idx="0">
                  <v>1</v>
                </pt>
                <pt idx="1">
                  <v>3</v>
                </pt>
                <pt idx="2">
                  <v>1</v>
                </pt>
                <pt idx="3">
                  <v>1</v>
                </pt>
                <pt idx="4">
                  <v>1</v>
                </pt>
                <pt idx="5">
                  <v>1</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4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Sectors!$J$6:$J$11</f>
              <numCache>
                <formatCode>General</formatCode>
                <ptCount val="6"/>
                <pt idx="0">
                  <v>8</v>
                </pt>
                <pt idx="1">
                  <v>10</v>
                </pt>
                <pt idx="2">
                  <v>14</v>
                </pt>
                <pt idx="3">
                  <v>13</v>
                </pt>
                <pt idx="4">
                  <v>5</v>
                </pt>
                <pt idx="5">
                  <v>9</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4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Sectors!$K$6:$K$11</f>
              <numCache>
                <formatCode>General</formatCode>
                <ptCount val="6"/>
                <pt idx="0">
                  <v>3</v>
                </pt>
                <pt idx="1">
                  <v>12</v>
                </pt>
                <pt idx="2">
                  <v>5</v>
                </pt>
                <pt idx="3">
                  <v>9</v>
                </pt>
                <pt idx="4">
                  <v>14</v>
                </pt>
                <pt idx="5">
                  <v>7</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4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Sectors!$L$6:$L$11</f>
              <numCache>
                <formatCode>General</formatCode>
                <ptCount val="6"/>
                <pt idx="0">
                  <v>10</v>
                </pt>
                <pt idx="1">
                  <v>9</v>
                </pt>
                <pt idx="2">
                  <v>8</v>
                </pt>
                <pt idx="3">
                  <v>5</v>
                </pt>
                <pt idx="4">
                  <v>7</v>
                </pt>
                <pt idx="5">
                  <v>6</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5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Sectors!$M$6:$M$11</f>
              <numCache>
                <formatCode>General</formatCode>
                <ptCount val="6"/>
                <pt idx="0">
                  <v>12</v>
                </pt>
                <pt idx="1">
                  <v>16</v>
                </pt>
                <pt idx="2">
                  <v>16</v>
                </pt>
                <pt idx="3">
                  <v>17</v>
                </pt>
                <pt idx="4">
                  <v>17</v>
                </pt>
                <pt idx="5">
                  <v>15</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5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Sectors!$N$6:$N$11</f>
              <numCache>
                <formatCode>General</formatCode>
                <ptCount val="6"/>
                <pt idx="0">
                  <v>6</v>
                </pt>
                <pt idx="1">
                  <v>5</v>
                </pt>
                <pt idx="2">
                  <v>4</v>
                </pt>
                <pt idx="3">
                  <v>10</v>
                </pt>
                <pt idx="4">
                  <v>4</v>
                </pt>
                <pt idx="5">
                  <v>5</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5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Sectors!$O$6:$O$11</f>
              <numCache>
                <formatCode>General</formatCode>
                <ptCount val="6"/>
                <pt idx="0">
                  <v>5</v>
                </pt>
                <pt idx="1">
                  <v>11</v>
                </pt>
                <pt idx="2">
                  <v>6</v>
                </pt>
                <pt idx="3">
                  <v>12</v>
                </pt>
                <pt idx="4">
                  <v>8</v>
                </pt>
                <pt idx="5">
                  <v>8</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5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Sectors!$P$6:$P$11</f>
              <numCache>
                <formatCode>General</formatCode>
                <ptCount val="6"/>
                <pt idx="0">
                  <v>11</v>
                </pt>
                <pt idx="1">
                  <v>14</v>
                </pt>
                <pt idx="2">
                  <v>9</v>
                </pt>
                <pt idx="3">
                  <v>11</v>
                </pt>
                <pt idx="4">
                  <v>10</v>
                </pt>
                <pt idx="5">
                  <v>10</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5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Sectors!$Q$6:$Q$11</f>
              <numCache>
                <formatCode>General</formatCode>
                <ptCount val="6"/>
                <pt idx="0">
                  <v>16</v>
                </pt>
                <pt idx="1">
                  <v>0</v>
                </pt>
                <pt idx="2">
                  <v>10</v>
                </pt>
                <pt idx="3">
                  <v>15</v>
                </pt>
                <pt idx="4">
                  <v>3</v>
                </pt>
                <pt idx="5">
                  <v>11</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5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Sectors!$R$6:$R$11</f>
              <numCache>
                <formatCode>General</formatCode>
                <ptCount val="6"/>
                <pt idx="0">
                  <v>17</v>
                </pt>
                <pt idx="1">
                  <v>17</v>
                </pt>
                <pt idx="2">
                  <v>13</v>
                </pt>
                <pt idx="3">
                  <v>7</v>
                </pt>
                <pt idx="4">
                  <v>-1</v>
                </pt>
                <pt idx="5">
                  <v>-2</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5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44287</v>
                </pt>
                <pt idx="1">
                  <v>44317</v>
                </pt>
                <pt idx="2">
                  <v>44348</v>
                </pt>
                <pt idx="3">
                  <v>44378</v>
                </pt>
                <pt idx="4">
                  <v>44409</v>
                </pt>
                <pt idx="5">
                  <v>44440</v>
                </pt>
              </numCache>
            </numRef>
          </cat>
          <val>
            <numRef>
              <f>Sectors!$S$6:$S$11</f>
              <numCache>
                <formatCode>General</formatCode>
                <ptCount val="6"/>
                <pt idx="0">
                  <v>0</v>
                </pt>
                <pt idx="1">
                  <v>1</v>
                </pt>
                <pt idx="2">
                  <v>3</v>
                </pt>
                <pt idx="3">
                  <v>2</v>
                </pt>
                <pt idx="4">
                  <v>2</v>
                </pt>
                <pt idx="5">
                  <v>4</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Details!$B$6:$B$890</f>
              <numCache>
                <formatCode>0.00</formatCode>
                <ptCount val="885"/>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Details!$B$6:$B$890</f>
              <numCache>
                <formatCode>0.00</formatCode>
                <ptCount val="885"/>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Details!$C$6:$C$890</f>
              <numCache>
                <formatCode>General</formatCode>
                <ptCount val="885"/>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formatCode>0.00</formatCode>
                  <v>55.5</v>
                </pt>
                <pt idx="745">
                  <formatCode>0.00</formatCode>
                  <v>55.5</v>
                </pt>
                <pt idx="746">
                  <formatCode>0.00</formatCode>
                  <v>55.9</v>
                </pt>
                <pt idx="747">
                  <formatCode>0.00</formatCode>
                  <v>56.9</v>
                </pt>
                <pt idx="748">
                  <formatCode>0.00</formatCode>
                  <v>55.6</v>
                </pt>
                <pt idx="749">
                  <formatCode>0.00</formatCode>
                  <v>58.2</v>
                </pt>
                <pt idx="750">
                  <formatCode>0.00</formatCode>
                  <v>53</v>
                </pt>
                <pt idx="751">
                  <formatCode>0.00</formatCode>
                  <v>55.2</v>
                </pt>
                <pt idx="752">
                  <formatCode>0.00</formatCode>
                  <v>53.8</v>
                </pt>
                <pt idx="753">
                  <formatCode>0.00</formatCode>
                  <v>48.7</v>
                </pt>
                <pt idx="754">
                  <formatCode>0.00</formatCode>
                  <v>50.6</v>
                </pt>
                <pt idx="755">
                  <formatCode>0.00</formatCode>
                  <v>48.4</v>
                </pt>
                <pt idx="756">
                  <formatCode>0.00</formatCode>
                  <v>51.4</v>
                </pt>
                <pt idx="757">
                  <formatCode>0.00</formatCode>
                  <v>54</v>
                </pt>
                <pt idx="758">
                  <formatCode>0.00</formatCode>
                  <v>50.4</v>
                </pt>
                <pt idx="759">
                  <formatCode>0.00</formatCode>
                  <v>53.4</v>
                </pt>
                <pt idx="760">
                  <formatCode>0.00</formatCode>
                  <v>55.1</v>
                </pt>
                <pt idx="761">
                  <formatCode>0.00</formatCode>
                  <v>50.9</v>
                </pt>
                <pt idx="762">
                  <formatCode>0.00</formatCode>
                  <v>51.3</v>
                </pt>
                <pt idx="763">
                  <formatCode>0.00</formatCode>
                  <v>55.1</v>
                </pt>
                <pt idx="764">
                  <formatCode>0.00</formatCode>
                  <v>53.1</v>
                </pt>
                <pt idx="765">
                  <formatCode>0.00</formatCode>
                  <v>48.2</v>
                </pt>
                <pt idx="766">
                  <formatCode>0.00</formatCode>
                  <v>49.5</v>
                </pt>
                <pt idx="767">
                  <formatCode>0.00</formatCode>
                  <v>53.8</v>
                </pt>
                <pt idx="768">
                  <formatCode>0.00</formatCode>
                  <v>51.4</v>
                </pt>
                <pt idx="769">
                  <formatCode>0.00</formatCode>
                  <v>53.6</v>
                </pt>
                <pt idx="770">
                  <formatCode>0.00</formatCode>
                  <v>53.8</v>
                </pt>
                <pt idx="771">
                  <formatCode>0.00</formatCode>
                  <v>52.4</v>
                </pt>
                <pt idx="772">
                  <formatCode>0.00</formatCode>
                  <v>53.7</v>
                </pt>
                <pt idx="773">
                  <formatCode>0.00</formatCode>
                  <v>50</v>
                </pt>
                <pt idx="774">
                  <formatCode>0.00</formatCode>
                  <v>51.3</v>
                </pt>
                <pt idx="775">
                  <formatCode>0.00</formatCode>
                  <v>49</v>
                </pt>
                <pt idx="776">
                  <formatCode>0.00</formatCode>
                  <v>50.8</v>
                </pt>
                <pt idx="777">
                  <formatCode>0.00</formatCode>
                  <v>48.3</v>
                </pt>
                <pt idx="778">
                  <formatCode>0.00</formatCode>
                  <v>48.8</v>
                </pt>
                <pt idx="779">
                  <formatCode>0.00</formatCode>
                  <v>51.2</v>
                </pt>
                <pt idx="780">
                  <formatCode>0.00</formatCode>
                  <v>49.4</v>
                </pt>
                <pt idx="781">
                  <formatCode>0.00</formatCode>
                  <v>53.8</v>
                </pt>
                <pt idx="782">
                  <formatCode>0.00</formatCode>
                  <v>54.5</v>
                </pt>
                <pt idx="783">
                  <formatCode>0.00</formatCode>
                  <v>53.8</v>
                </pt>
                <pt idx="784">
                  <formatCode>0.00</formatCode>
                  <v>53.3</v>
                </pt>
                <pt idx="785">
                  <formatCode>0.00</formatCode>
                  <v>55.9</v>
                </pt>
                <pt idx="786">
                  <formatCode>0.00</formatCode>
                  <v>57.2</v>
                </pt>
                <pt idx="787">
                  <formatCode>0.00</formatCode>
                  <v>57.6</v>
                </pt>
                <pt idx="788">
                  <formatCode>0.00</formatCode>
                  <v>53.2</v>
                </pt>
                <pt idx="789">
                  <formatCode>0.00</formatCode>
                  <v>54</v>
                </pt>
                <pt idx="790">
                  <formatCode>0.00</formatCode>
                  <v>54.5</v>
                </pt>
                <pt idx="791">
                  <formatCode>0.00</formatCode>
                  <v>56</v>
                </pt>
                <pt idx="792">
                  <formatCode>0.00</formatCode>
                  <v>52.6</v>
                </pt>
                <pt idx="793">
                  <formatCode>0.00</formatCode>
                  <v>53.1</v>
                </pt>
                <pt idx="794">
                  <formatCode>0.00</formatCode>
                  <v>55.2</v>
                </pt>
                <pt idx="795">
                  <formatCode>0.00</formatCode>
                  <v>58.4</v>
                </pt>
                <pt idx="796">
                  <formatCode>0.00</formatCode>
                  <v>53.3</v>
                </pt>
                <pt idx="797">
                  <formatCode>0.00</formatCode>
                  <v>56.3</v>
                </pt>
                <pt idx="798">
                  <formatCode>0.00</formatCode>
                  <v>51.3</v>
                </pt>
                <pt idx="799">
                  <formatCode>0.00</formatCode>
                  <v>56.5</v>
                </pt>
                <pt idx="800">
                  <formatCode>0.00</formatCode>
                  <v>53.4</v>
                </pt>
                <pt idx="801">
                  <formatCode>0.00</formatCode>
                  <v>53.8</v>
                </pt>
                <pt idx="802">
                  <formatCode>0.00</formatCode>
                  <v>57.1</v>
                </pt>
                <pt idx="803">
                  <formatCode>0.00</formatCode>
                  <v>55.3</v>
                </pt>
                <pt idx="804">
                  <formatCode>0.00</formatCode>
                  <v>55.3</v>
                </pt>
                <pt idx="805">
                  <formatCode>0.00</formatCode>
                  <v>53.1</v>
                </pt>
                <pt idx="806">
                  <formatCode>0.00</formatCode>
                  <v>51.4</v>
                </pt>
                <pt idx="807">
                  <formatCode>0.00</formatCode>
                  <v>52.8</v>
                </pt>
                <pt idx="808">
                  <formatCode>0.00</formatCode>
                  <v>54.5</v>
                </pt>
                <pt idx="809">
                  <formatCode>0.00</formatCode>
                  <v>53.5</v>
                </pt>
                <pt idx="810">
                  <formatCode>0.00</formatCode>
                  <v>51.8</v>
                </pt>
                <pt idx="811">
                  <formatCode>0.00</formatCode>
                  <v>52.2</v>
                </pt>
                <pt idx="812">
                  <formatCode>0.00</formatCode>
                  <v>50.2</v>
                </pt>
                <pt idx="813">
                  <formatCode>0.00</formatCode>
                  <v>48.8</v>
                </pt>
                <pt idx="814">
                  <formatCode>0.00</formatCode>
                  <v>49.4</v>
                </pt>
                <pt idx="815">
                  <formatCode>0.00</formatCode>
                  <v>46</v>
                </pt>
                <pt idx="816">
                  <formatCode>0.00</formatCode>
                  <v>51.4</v>
                </pt>
                <pt idx="817">
                  <formatCode>0.00</formatCode>
                  <v>48.6</v>
                </pt>
                <pt idx="818">
                  <formatCode>0.00</formatCode>
                  <v>48.8</v>
                </pt>
                <pt idx="819">
                  <formatCode>0.00</formatCode>
                  <v>50</v>
                </pt>
                <pt idx="820">
                  <formatCode>0.00</formatCode>
                  <v>49</v>
                </pt>
                <pt idx="821">
                  <formatCode>0.00</formatCode>
                  <v>51.1</v>
                </pt>
                <pt idx="822">
                  <formatCode>0.00</formatCode>
                  <v>52.2</v>
                </pt>
                <pt idx="823">
                  <formatCode>0.00</formatCode>
                  <v>46.8</v>
                </pt>
                <pt idx="824">
                  <formatCode>0.00</formatCode>
                  <v>49.4</v>
                </pt>
                <pt idx="825">
                  <formatCode>0.00</formatCode>
                  <v>51.6</v>
                </pt>
                <pt idx="826">
                  <formatCode>0.00</formatCode>
                  <v>50.5</v>
                </pt>
                <pt idx="827">
                  <formatCode>0.00</formatCode>
                  <v>49.8</v>
                </pt>
                <pt idx="828">
                  <formatCode>0.00</formatCode>
                  <v>49.2</v>
                </pt>
                <pt idx="829">
                  <formatCode>0.00</formatCode>
                  <v>55.1</v>
                </pt>
                <pt idx="830">
                  <formatCode>0.00</formatCode>
                  <v>53.5</v>
                </pt>
                <pt idx="831">
                  <formatCode>0.00</formatCode>
                  <v>54.9</v>
                </pt>
                <pt idx="832">
                  <formatCode>0.00</formatCode>
                  <v>52.3</v>
                </pt>
                <pt idx="833">
                  <formatCode>0.00</formatCode>
                  <v>53.5</v>
                </pt>
                <pt idx="834">
                  <formatCode>0.00</formatCode>
                  <v>56.4</v>
                </pt>
                <pt idx="835">
                  <formatCode>0.00</formatCode>
                  <v>54.3</v>
                </pt>
                <pt idx="836">
                  <formatCode>0.00</formatCode>
                  <v>53.8</v>
                </pt>
                <pt idx="837">
                  <formatCode>0.00</formatCode>
                  <v>54.3</v>
                </pt>
                <pt idx="838">
                  <formatCode>0.00</formatCode>
                  <v>54.3</v>
                </pt>
                <pt idx="839">
                  <formatCode>0.00</formatCode>
                  <v>56.5</v>
                </pt>
                <pt idx="840">
                  <formatCode>0.00</formatCode>
                  <v>58.4</v>
                </pt>
                <pt idx="841">
                  <formatCode>0.00</formatCode>
                  <v>60.5</v>
                </pt>
                <pt idx="842">
                  <formatCode>0.00</formatCode>
                  <v>59.7</v>
                </pt>
                <pt idx="843">
                  <formatCode>0.00</formatCode>
                  <v>57.8</v>
                </pt>
                <pt idx="844">
                  <formatCode>0.00</formatCode>
                  <v>54.1</v>
                </pt>
                <pt idx="845">
                  <formatCode>0.00</formatCode>
                  <v>59</v>
                </pt>
                <pt idx="846">
                  <formatCode>0.00</formatCode>
                  <v>54.7</v>
                </pt>
                <pt idx="847">
                  <formatCode>0.00</formatCode>
                  <v>53.9</v>
                </pt>
                <pt idx="848">
                  <formatCode>0.00</formatCode>
                  <v>54.5</v>
                </pt>
                <pt idx="849">
                  <formatCode>0.00</formatCode>
                  <v>54.3</v>
                </pt>
                <pt idx="850">
                  <formatCode>0.00</formatCode>
                  <v>53.6</v>
                </pt>
                <pt idx="851">
                  <formatCode>0.00</formatCode>
                  <v>52.7</v>
                </pt>
                <pt idx="852">
                  <formatCode>0.00</formatCode>
                  <v>53.8</v>
                </pt>
                <pt idx="853">
                  <formatCode>0.00</formatCode>
                  <v>55.3</v>
                </pt>
                <pt idx="854">
                  <formatCode>0.00</formatCode>
                  <v>51.1</v>
                </pt>
                <pt idx="855">
                  <formatCode>0.00</formatCode>
                  <v>49.8</v>
                </pt>
                <pt idx="856">
                  <formatCode>0.00</formatCode>
                  <v>49.4</v>
                </pt>
                <pt idx="857">
                  <formatCode>0.00</formatCode>
                  <v>50</v>
                </pt>
                <pt idx="858">
                  <formatCode>0.00</formatCode>
                  <v>47</v>
                </pt>
                <pt idx="859">
                  <formatCode>0.00</formatCode>
                  <v>46</v>
                </pt>
                <pt idx="860">
                  <formatCode>0.00</formatCode>
                  <v>48.1</v>
                </pt>
                <pt idx="861">
                  <formatCode>0.00</formatCode>
                  <v>45.3</v>
                </pt>
                <pt idx="862">
                  <formatCode>0.00</formatCode>
                  <v>48.3</v>
                </pt>
                <pt idx="863">
                  <formatCode>0.00</formatCode>
                  <v>48.8</v>
                </pt>
                <pt idx="864">
                  <formatCode>0.00</formatCode>
                  <v>51.3</v>
                </pt>
                <pt idx="865">
                  <formatCode>0.00</formatCode>
                  <v>42.6</v>
                </pt>
                <pt idx="866">
                  <formatCode>0.00</formatCode>
                  <v>42.1</v>
                </pt>
                <pt idx="867">
                  <formatCode>0.00</formatCode>
                  <v>42.7</v>
                </pt>
                <pt idx="868">
                  <formatCode>0.00</formatCode>
                  <v>41.3</v>
                </pt>
                <pt idx="869">
                  <formatCode>0.00</formatCode>
                  <v>48.8</v>
                </pt>
                <pt idx="870">
                  <formatCode>0.00</formatCode>
                  <v>53.1</v>
                </pt>
                <pt idx="871">
                  <formatCode>0.00</formatCode>
                  <v>55.6</v>
                </pt>
                <pt idx="872">
                  <formatCode>0.00</formatCode>
                  <v>54</v>
                </pt>
                <pt idx="873">
                  <formatCode>0.00</formatCode>
                  <v>58.1</v>
                </pt>
                <pt idx="874">
                  <formatCode>0.00</formatCode>
                  <v>55.1</v>
                </pt>
                <pt idx="875">
                  <formatCode>0.00</formatCode>
                  <v>54.6</v>
                </pt>
                <pt idx="876">
                  <formatCode>0.00</formatCode>
                  <v>56.8</v>
                </pt>
                <pt idx="877">
                  <formatCode>0.00</formatCode>
                  <v>56.1</v>
                </pt>
                <pt idx="878">
                  <formatCode>0.00</formatCode>
                  <v>56.7</v>
                </pt>
                <pt idx="879">
                  <formatCode>0.00</formatCode>
                  <v>52.2</v>
                </pt>
                <pt idx="880">
                  <formatCode>0.00</formatCode>
                  <v>54</v>
                </pt>
                <pt idx="881">
                  <formatCode>0.00</formatCode>
                  <v>61</v>
                </pt>
                <pt idx="882">
                  <formatCode>0.00</formatCode>
                  <v>53.7</v>
                </pt>
                <pt idx="883">
                  <formatCode>0.00</formatCode>
                  <v>54.3</v>
                </pt>
                <pt idx="884">
                  <formatCode>0.00</formatCode>
                  <v>54.9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Details!$C$6:$C$890</f>
              <numCache>
                <formatCode>General</formatCode>
                <ptCount val="885"/>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formatCode>0.00</formatCode>
                  <v>55.5</v>
                </pt>
                <pt idx="745">
                  <formatCode>0.00</formatCode>
                  <v>55.5</v>
                </pt>
                <pt idx="746">
                  <formatCode>0.00</formatCode>
                  <v>55.9</v>
                </pt>
                <pt idx="747">
                  <formatCode>0.00</formatCode>
                  <v>56.9</v>
                </pt>
                <pt idx="748">
                  <formatCode>0.00</formatCode>
                  <v>55.6</v>
                </pt>
                <pt idx="749">
                  <formatCode>0.00</formatCode>
                  <v>58.2</v>
                </pt>
                <pt idx="750">
                  <formatCode>0.00</formatCode>
                  <v>53</v>
                </pt>
                <pt idx="751">
                  <formatCode>0.00</formatCode>
                  <v>55.2</v>
                </pt>
                <pt idx="752">
                  <formatCode>0.00</formatCode>
                  <v>53.8</v>
                </pt>
                <pt idx="753">
                  <formatCode>0.00</formatCode>
                  <v>48.7</v>
                </pt>
                <pt idx="754">
                  <formatCode>0.00</formatCode>
                  <v>50.6</v>
                </pt>
                <pt idx="755">
                  <formatCode>0.00</formatCode>
                  <v>48.4</v>
                </pt>
                <pt idx="756">
                  <formatCode>0.00</formatCode>
                  <v>51.4</v>
                </pt>
                <pt idx="757">
                  <formatCode>0.00</formatCode>
                  <v>54</v>
                </pt>
                <pt idx="758">
                  <formatCode>0.00</formatCode>
                  <v>50.4</v>
                </pt>
                <pt idx="759">
                  <formatCode>0.00</formatCode>
                  <v>53.4</v>
                </pt>
                <pt idx="760">
                  <formatCode>0.00</formatCode>
                  <v>55.1</v>
                </pt>
                <pt idx="761">
                  <formatCode>0.00</formatCode>
                  <v>50.9</v>
                </pt>
                <pt idx="762">
                  <formatCode>0.00</formatCode>
                  <v>51.3</v>
                </pt>
                <pt idx="763">
                  <formatCode>0.00</formatCode>
                  <v>55.1</v>
                </pt>
                <pt idx="764">
                  <formatCode>0.00</formatCode>
                  <v>53.1</v>
                </pt>
                <pt idx="765">
                  <formatCode>0.00</formatCode>
                  <v>48.2</v>
                </pt>
                <pt idx="766">
                  <formatCode>0.00</formatCode>
                  <v>49.5</v>
                </pt>
                <pt idx="767">
                  <formatCode>0.00</formatCode>
                  <v>53.8</v>
                </pt>
                <pt idx="768">
                  <formatCode>0.00</formatCode>
                  <v>51.4</v>
                </pt>
                <pt idx="769">
                  <formatCode>0.00</formatCode>
                  <v>53.6</v>
                </pt>
                <pt idx="770">
                  <formatCode>0.00</formatCode>
                  <v>53.8</v>
                </pt>
                <pt idx="771">
                  <formatCode>0.00</formatCode>
                  <v>52.4</v>
                </pt>
                <pt idx="772">
                  <formatCode>0.00</formatCode>
                  <v>53.7</v>
                </pt>
                <pt idx="773">
                  <formatCode>0.00</formatCode>
                  <v>50</v>
                </pt>
                <pt idx="774">
                  <formatCode>0.00</formatCode>
                  <v>51.3</v>
                </pt>
                <pt idx="775">
                  <formatCode>0.00</formatCode>
                  <v>49</v>
                </pt>
                <pt idx="776">
                  <formatCode>0.00</formatCode>
                  <v>50.8</v>
                </pt>
                <pt idx="777">
                  <formatCode>0.00</formatCode>
                  <v>48.3</v>
                </pt>
                <pt idx="778">
                  <formatCode>0.00</formatCode>
                  <v>48.8</v>
                </pt>
                <pt idx="779">
                  <formatCode>0.00</formatCode>
                  <v>51.2</v>
                </pt>
                <pt idx="780">
                  <formatCode>0.00</formatCode>
                  <v>49.4</v>
                </pt>
                <pt idx="781">
                  <formatCode>0.00</formatCode>
                  <v>53.8</v>
                </pt>
                <pt idx="782">
                  <formatCode>0.00</formatCode>
                  <v>54.5</v>
                </pt>
                <pt idx="783">
                  <formatCode>0.00</formatCode>
                  <v>53.8</v>
                </pt>
                <pt idx="784">
                  <formatCode>0.00</formatCode>
                  <v>53.3</v>
                </pt>
                <pt idx="785">
                  <formatCode>0.00</formatCode>
                  <v>55.9</v>
                </pt>
                <pt idx="786">
                  <formatCode>0.00</formatCode>
                  <v>57.2</v>
                </pt>
                <pt idx="787">
                  <formatCode>0.00</formatCode>
                  <v>57.6</v>
                </pt>
                <pt idx="788">
                  <formatCode>0.00</formatCode>
                  <v>53.2</v>
                </pt>
                <pt idx="789">
                  <formatCode>0.00</formatCode>
                  <v>54</v>
                </pt>
                <pt idx="790">
                  <formatCode>0.00</formatCode>
                  <v>54.5</v>
                </pt>
                <pt idx="791">
                  <formatCode>0.00</formatCode>
                  <v>56</v>
                </pt>
                <pt idx="792">
                  <formatCode>0.00</formatCode>
                  <v>52.6</v>
                </pt>
                <pt idx="793">
                  <formatCode>0.00</formatCode>
                  <v>53.1</v>
                </pt>
                <pt idx="794">
                  <formatCode>0.00</formatCode>
                  <v>55.2</v>
                </pt>
                <pt idx="795">
                  <formatCode>0.00</formatCode>
                  <v>58.4</v>
                </pt>
                <pt idx="796">
                  <formatCode>0.00</formatCode>
                  <v>53.3</v>
                </pt>
                <pt idx="797">
                  <formatCode>0.00</formatCode>
                  <v>56.3</v>
                </pt>
                <pt idx="798">
                  <formatCode>0.00</formatCode>
                  <v>51.3</v>
                </pt>
                <pt idx="799">
                  <formatCode>0.00</formatCode>
                  <v>56.5</v>
                </pt>
                <pt idx="800">
                  <formatCode>0.00</formatCode>
                  <v>53.4</v>
                </pt>
                <pt idx="801">
                  <formatCode>0.00</formatCode>
                  <v>53.8</v>
                </pt>
                <pt idx="802">
                  <formatCode>0.00</formatCode>
                  <v>57.1</v>
                </pt>
                <pt idx="803">
                  <formatCode>0.00</formatCode>
                  <v>55.3</v>
                </pt>
                <pt idx="804">
                  <formatCode>0.00</formatCode>
                  <v>55.3</v>
                </pt>
                <pt idx="805">
                  <formatCode>0.00</formatCode>
                  <v>53.1</v>
                </pt>
                <pt idx="806">
                  <formatCode>0.00</formatCode>
                  <v>51.4</v>
                </pt>
                <pt idx="807">
                  <formatCode>0.00</formatCode>
                  <v>52.8</v>
                </pt>
                <pt idx="808">
                  <formatCode>0.00</formatCode>
                  <v>54.5</v>
                </pt>
                <pt idx="809">
                  <formatCode>0.00</formatCode>
                  <v>53.5</v>
                </pt>
                <pt idx="810">
                  <formatCode>0.00</formatCode>
                  <v>51.8</v>
                </pt>
                <pt idx="811">
                  <formatCode>0.00</formatCode>
                  <v>52.2</v>
                </pt>
                <pt idx="812">
                  <formatCode>0.00</formatCode>
                  <v>50.2</v>
                </pt>
                <pt idx="813">
                  <formatCode>0.00</formatCode>
                  <v>48.8</v>
                </pt>
                <pt idx="814">
                  <formatCode>0.00</formatCode>
                  <v>49.4</v>
                </pt>
                <pt idx="815">
                  <formatCode>0.00</formatCode>
                  <v>46</v>
                </pt>
                <pt idx="816">
                  <formatCode>0.00</formatCode>
                  <v>51.4</v>
                </pt>
                <pt idx="817">
                  <formatCode>0.00</formatCode>
                  <v>48.6</v>
                </pt>
                <pt idx="818">
                  <formatCode>0.00</formatCode>
                  <v>48.8</v>
                </pt>
                <pt idx="819">
                  <formatCode>0.00</formatCode>
                  <v>50</v>
                </pt>
                <pt idx="820">
                  <formatCode>0.00</formatCode>
                  <v>49</v>
                </pt>
                <pt idx="821">
                  <formatCode>0.00</formatCode>
                  <v>51.1</v>
                </pt>
                <pt idx="822">
                  <formatCode>0.00</formatCode>
                  <v>52.2</v>
                </pt>
                <pt idx="823">
                  <formatCode>0.00</formatCode>
                  <v>46.8</v>
                </pt>
                <pt idx="824">
                  <formatCode>0.00</formatCode>
                  <v>49.4</v>
                </pt>
                <pt idx="825">
                  <formatCode>0.00</formatCode>
                  <v>51.6</v>
                </pt>
                <pt idx="826">
                  <formatCode>0.00</formatCode>
                  <v>50.5</v>
                </pt>
                <pt idx="827">
                  <formatCode>0.00</formatCode>
                  <v>49.8</v>
                </pt>
                <pt idx="828">
                  <formatCode>0.00</formatCode>
                  <v>49.2</v>
                </pt>
                <pt idx="829">
                  <formatCode>0.00</formatCode>
                  <v>55.1</v>
                </pt>
                <pt idx="830">
                  <formatCode>0.00</formatCode>
                  <v>53.5</v>
                </pt>
                <pt idx="831">
                  <formatCode>0.00</formatCode>
                  <v>54.9</v>
                </pt>
                <pt idx="832">
                  <formatCode>0.00</formatCode>
                  <v>52.3</v>
                </pt>
                <pt idx="833">
                  <formatCode>0.00</formatCode>
                  <v>53.5</v>
                </pt>
                <pt idx="834">
                  <formatCode>0.00</formatCode>
                  <v>56.4</v>
                </pt>
                <pt idx="835">
                  <formatCode>0.00</formatCode>
                  <v>54.3</v>
                </pt>
                <pt idx="836">
                  <formatCode>0.00</formatCode>
                  <v>53.8</v>
                </pt>
                <pt idx="837">
                  <formatCode>0.00</formatCode>
                  <v>54.3</v>
                </pt>
                <pt idx="838">
                  <formatCode>0.00</formatCode>
                  <v>54.3</v>
                </pt>
                <pt idx="839">
                  <formatCode>0.00</formatCode>
                  <v>56.5</v>
                </pt>
                <pt idx="840">
                  <formatCode>0.00</formatCode>
                  <v>58.4</v>
                </pt>
                <pt idx="841">
                  <formatCode>0.00</formatCode>
                  <v>60.5</v>
                </pt>
                <pt idx="842">
                  <formatCode>0.00</formatCode>
                  <v>59.7</v>
                </pt>
                <pt idx="843">
                  <formatCode>0.00</formatCode>
                  <v>57.8</v>
                </pt>
                <pt idx="844">
                  <formatCode>0.00</formatCode>
                  <v>54.1</v>
                </pt>
                <pt idx="845">
                  <formatCode>0.00</formatCode>
                  <v>59</v>
                </pt>
                <pt idx="846">
                  <formatCode>0.00</formatCode>
                  <v>54.7</v>
                </pt>
                <pt idx="847">
                  <formatCode>0.00</formatCode>
                  <v>53.9</v>
                </pt>
                <pt idx="848">
                  <formatCode>0.00</formatCode>
                  <v>54.5</v>
                </pt>
                <pt idx="849">
                  <formatCode>0.00</formatCode>
                  <v>54.3</v>
                </pt>
                <pt idx="850">
                  <formatCode>0.00</formatCode>
                  <v>53.6</v>
                </pt>
                <pt idx="851">
                  <formatCode>0.00</formatCode>
                  <v>52.7</v>
                </pt>
                <pt idx="852">
                  <formatCode>0.00</formatCode>
                  <v>53.8</v>
                </pt>
                <pt idx="853">
                  <formatCode>0.00</formatCode>
                  <v>55.3</v>
                </pt>
                <pt idx="854">
                  <formatCode>0.00</formatCode>
                  <v>51.1</v>
                </pt>
                <pt idx="855">
                  <formatCode>0.00</formatCode>
                  <v>49.8</v>
                </pt>
                <pt idx="856">
                  <formatCode>0.00</formatCode>
                  <v>49.4</v>
                </pt>
                <pt idx="857">
                  <formatCode>0.00</formatCode>
                  <v>50</v>
                </pt>
                <pt idx="858">
                  <formatCode>0.00</formatCode>
                  <v>47</v>
                </pt>
                <pt idx="859">
                  <formatCode>0.00</formatCode>
                  <v>46</v>
                </pt>
                <pt idx="860">
                  <formatCode>0.00</formatCode>
                  <v>48.1</v>
                </pt>
                <pt idx="861">
                  <formatCode>0.00</formatCode>
                  <v>45.3</v>
                </pt>
                <pt idx="862">
                  <formatCode>0.00</formatCode>
                  <v>48.3</v>
                </pt>
                <pt idx="863">
                  <formatCode>0.00</formatCode>
                  <v>48.8</v>
                </pt>
                <pt idx="864">
                  <formatCode>0.00</formatCode>
                  <v>51.3</v>
                </pt>
                <pt idx="865">
                  <formatCode>0.00</formatCode>
                  <v>42.6</v>
                </pt>
                <pt idx="866">
                  <formatCode>0.00</formatCode>
                  <v>42.1</v>
                </pt>
                <pt idx="867">
                  <formatCode>0.00</formatCode>
                  <v>42.7</v>
                </pt>
                <pt idx="868">
                  <formatCode>0.00</formatCode>
                  <v>41.3</v>
                </pt>
                <pt idx="869">
                  <formatCode>0.00</formatCode>
                  <v>48.8</v>
                </pt>
                <pt idx="870">
                  <formatCode>0.00</formatCode>
                  <v>53.1</v>
                </pt>
                <pt idx="871">
                  <formatCode>0.00</formatCode>
                  <v>55.6</v>
                </pt>
                <pt idx="872">
                  <formatCode>0.00</formatCode>
                  <v>54</v>
                </pt>
                <pt idx="873">
                  <formatCode>0.00</formatCode>
                  <v>58.1</v>
                </pt>
                <pt idx="874">
                  <formatCode>0.00</formatCode>
                  <v>55.1</v>
                </pt>
                <pt idx="875">
                  <formatCode>0.00</formatCode>
                  <v>54.6</v>
                </pt>
                <pt idx="876">
                  <formatCode>0.00</formatCode>
                  <v>56.8</v>
                </pt>
                <pt idx="877">
                  <formatCode>0.00</formatCode>
                  <v>56.1</v>
                </pt>
                <pt idx="878">
                  <formatCode>0.00</formatCode>
                  <v>56.7</v>
                </pt>
                <pt idx="879">
                  <formatCode>0.00</formatCode>
                  <v>52.2</v>
                </pt>
                <pt idx="880">
                  <formatCode>0.00</formatCode>
                  <v>54</v>
                </pt>
                <pt idx="881">
                  <formatCode>0.00</formatCode>
                  <v>61</v>
                </pt>
                <pt idx="882">
                  <formatCode>0.00</formatCode>
                  <v>53.7</v>
                </pt>
                <pt idx="883">
                  <formatCode>0.00</formatCode>
                  <v>54.3</v>
                </pt>
                <pt idx="884">
                  <formatCode>0.00</formatCode>
                  <v>54.9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Details!$D$6:$D$890</f>
              <numCache>
                <formatCode>General</formatCode>
                <ptCount val="885"/>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formatCode>0.00</formatCode>
                  <v>53.2</v>
                </pt>
                <pt idx="745">
                  <formatCode>0.00</formatCode>
                  <v>58.8</v>
                </pt>
                <pt idx="746">
                  <formatCode>0.00</formatCode>
                  <v>54.7</v>
                </pt>
                <pt idx="747">
                  <formatCode>0.00</formatCode>
                  <v>57</v>
                </pt>
                <pt idx="748">
                  <formatCode>0.00</formatCode>
                  <v>56.3</v>
                </pt>
                <pt idx="749">
                  <formatCode>0.00</formatCode>
                  <v>57.6</v>
                </pt>
                <pt idx="750">
                  <formatCode>0.00</formatCode>
                  <v>54</v>
                </pt>
                <pt idx="751">
                  <formatCode>0.00</formatCode>
                  <v>51.5</v>
                </pt>
                <pt idx="752">
                  <formatCode>0.00</formatCode>
                  <v>44.4</v>
                </pt>
                <pt idx="753">
                  <formatCode>0.00</formatCode>
                  <v>45.1</v>
                </pt>
                <pt idx="754">
                  <formatCode>0.00</formatCode>
                  <v>48.7</v>
                </pt>
                <pt idx="755">
                  <formatCode>0.00</formatCode>
                  <v>46.3</v>
                </pt>
                <pt idx="756">
                  <formatCode>0.00</formatCode>
                  <v>57.1</v>
                </pt>
                <pt idx="757">
                  <formatCode>0.00</formatCode>
                  <v>55.6</v>
                </pt>
                <pt idx="758">
                  <formatCode>0.00</formatCode>
                  <v>52.8</v>
                </pt>
                <pt idx="759">
                  <formatCode>0.00</formatCode>
                  <v>59.2</v>
                </pt>
                <pt idx="760">
                  <formatCode>0.00</formatCode>
                  <v>50.1</v>
                </pt>
                <pt idx="761">
                  <formatCode>0.00</formatCode>
                  <v>52.5</v>
                </pt>
                <pt idx="762">
                  <formatCode>0.00</formatCode>
                  <v>49.8</v>
                </pt>
                <pt idx="763">
                  <formatCode>0.00</formatCode>
                  <v>46.3</v>
                </pt>
                <pt idx="764">
                  <formatCode>0.00</formatCode>
                  <v>43.7</v>
                </pt>
                <pt idx="765">
                  <formatCode>0.00</formatCode>
                  <v>48</v>
                </pt>
                <pt idx="766">
                  <formatCode>0.00</formatCode>
                  <v>46.8</v>
                </pt>
                <pt idx="767">
                  <formatCode>0.00</formatCode>
                  <v>48.2</v>
                </pt>
                <pt idx="768">
                  <formatCode>0.00</formatCode>
                  <v>52</v>
                </pt>
                <pt idx="769">
                  <formatCode>0.00</formatCode>
                  <v>50.4</v>
                </pt>
                <pt idx="770">
                  <formatCode>0.00</formatCode>
                  <v>52</v>
                </pt>
                <pt idx="771">
                  <formatCode>0.00</formatCode>
                  <v>47.6</v>
                </pt>
                <pt idx="772">
                  <formatCode>0.00</formatCode>
                  <v>44.2</v>
                </pt>
                <pt idx="773">
                  <formatCode>0.00</formatCode>
                  <v>41.2</v>
                </pt>
                <pt idx="774">
                  <formatCode>0.00</formatCode>
                  <v>42.1</v>
                </pt>
                <pt idx="775">
                  <formatCode>0.00</formatCode>
                  <v>41.9</v>
                </pt>
                <pt idx="776">
                  <formatCode>0.00</formatCode>
                  <v>46.4</v>
                </pt>
                <pt idx="777">
                  <formatCode>0.00</formatCode>
                  <v>42.4</v>
                </pt>
                <pt idx="778">
                  <formatCode>0.00</formatCode>
                  <v>42.1</v>
                </pt>
                <pt idx="779">
                  <formatCode>0.00</formatCode>
                  <v>47.3</v>
                </pt>
                <pt idx="780">
                  <formatCode>0.00</formatCode>
                  <v>45.2</v>
                </pt>
                <pt idx="781">
                  <formatCode>0.00</formatCode>
                  <v>53.1</v>
                </pt>
                <pt idx="782">
                  <formatCode>0.00</formatCode>
                  <v>49.7</v>
                </pt>
                <pt idx="783">
                  <formatCode>0.00</formatCode>
                  <v>51.4</v>
                </pt>
                <pt idx="784">
                  <formatCode>0.00</formatCode>
                  <v>48.1</v>
                </pt>
                <pt idx="785">
                  <formatCode>0.00</formatCode>
                  <v>45.1</v>
                </pt>
                <pt idx="786">
                  <formatCode>0.00</formatCode>
                  <v>45.4</v>
                </pt>
                <pt idx="787">
                  <formatCode>0.00</formatCode>
                  <v>46.4</v>
                </pt>
                <pt idx="788">
                  <formatCode>0.00</formatCode>
                  <v>50.1</v>
                </pt>
                <pt idx="789">
                  <formatCode>0.00</formatCode>
                  <v>51.2</v>
                </pt>
                <pt idx="790">
                  <formatCode>0.00</formatCode>
                  <v>54.1</v>
                </pt>
                <pt idx="791">
                  <formatCode>0.00</formatCode>
                  <v>51</v>
                </pt>
                <pt idx="792">
                  <formatCode>0.00</formatCode>
                  <v>46.6</v>
                </pt>
                <pt idx="793">
                  <formatCode>0.00</formatCode>
                  <v>50.5</v>
                </pt>
                <pt idx="794">
                  <formatCode>0.00</formatCode>
                  <v>57</v>
                </pt>
                <pt idx="795">
                  <formatCode>0.00</formatCode>
                  <v>54</v>
                </pt>
                <pt idx="796">
                  <formatCode>0.00</formatCode>
                  <v>51.5</v>
                </pt>
                <pt idx="797">
                  <formatCode>0.00</formatCode>
                  <v>46</v>
                </pt>
                <pt idx="798">
                  <formatCode>0.00</formatCode>
                  <v>49.5</v>
                </pt>
                <pt idx="799">
                  <formatCode>0.00</formatCode>
                  <v>53.6</v>
                </pt>
                <pt idx="800">
                  <formatCode>0.00</formatCode>
                  <v>46.8</v>
                </pt>
                <pt idx="801">
                  <formatCode>0.00</formatCode>
                  <v>52.5</v>
                </pt>
                <pt idx="802">
                  <formatCode>0.00</formatCode>
                  <v>53.7</v>
                </pt>
                <pt idx="803">
                  <formatCode>0.00</formatCode>
                  <v>52</v>
                </pt>
                <pt idx="804">
                  <formatCode>0.00</formatCode>
                  <v>45.8</v>
                </pt>
                <pt idx="805">
                  <formatCode>0.00</formatCode>
                  <v>50.1</v>
                </pt>
                <pt idx="806">
                  <formatCode>0.00</formatCode>
                  <v>47.4</v>
                </pt>
                <pt idx="807">
                  <formatCode>0.00</formatCode>
                  <v>48.2</v>
                </pt>
                <pt idx="808">
                  <formatCode>0.00</formatCode>
                  <v>52.9</v>
                </pt>
                <pt idx="809">
                  <formatCode>0.00</formatCode>
                  <v>45.2</v>
                </pt>
                <pt idx="810">
                  <formatCode>0.00</formatCode>
                  <v>43.6</v>
                </pt>
                <pt idx="811">
                  <formatCode>0.00</formatCode>
                  <v>46.6</v>
                </pt>
                <pt idx="812">
                  <formatCode>0.00</formatCode>
                  <v>40.7</v>
                </pt>
                <pt idx="813">
                  <formatCode>0.00</formatCode>
                  <v>44.4</v>
                </pt>
                <pt idx="814">
                  <formatCode>0.00</formatCode>
                  <v>43.3</v>
                </pt>
                <pt idx="815">
                  <formatCode>0.00</formatCode>
                  <v>41.7</v>
                </pt>
                <pt idx="816">
                  <formatCode>0.00</formatCode>
                  <v>42.6</v>
                </pt>
                <pt idx="817">
                  <formatCode>0.00</formatCode>
                  <v>48.3</v>
                </pt>
                <pt idx="818">
                  <formatCode>0.00</formatCode>
                  <v>50.6</v>
                </pt>
                <pt idx="819">
                  <formatCode>0.00</formatCode>
                  <v>49.7</v>
                </pt>
                <pt idx="820">
                  <formatCode>0.00</formatCode>
                  <v>46.3</v>
                </pt>
                <pt idx="821">
                  <formatCode>0.00</formatCode>
                  <v>52.7</v>
                </pt>
                <pt idx="822">
                  <formatCode>0.00</formatCode>
                  <v>48.5</v>
                </pt>
                <pt idx="823">
                  <formatCode>0.00</formatCode>
                  <v>47.4</v>
                </pt>
                <pt idx="824">
                  <formatCode>0.00</formatCode>
                  <v>48.6</v>
                </pt>
                <pt idx="825">
                  <formatCode>0.00</formatCode>
                  <v>45.8</v>
                </pt>
                <pt idx="826">
                  <formatCode>0.00</formatCode>
                  <v>48.7</v>
                </pt>
                <pt idx="827">
                  <formatCode>0.00</formatCode>
                  <v>48.6</v>
                </pt>
                <pt idx="828">
                  <formatCode>0.00</formatCode>
                  <v>48.6</v>
                </pt>
                <pt idx="829">
                  <formatCode>0.00</formatCode>
                  <v>57.1</v>
                </pt>
                <pt idx="830">
                  <formatCode>0.00</formatCode>
                  <v>57.5</v>
                </pt>
                <pt idx="831">
                  <formatCode>0.00</formatCode>
                  <v>56.9</v>
                </pt>
                <pt idx="832">
                  <formatCode>0.00</formatCode>
                  <v>54</v>
                </pt>
                <pt idx="833">
                  <formatCode>0.00</formatCode>
                  <v>56.5</v>
                </pt>
                <pt idx="834">
                  <formatCode>0.00</formatCode>
                  <v>54.3</v>
                </pt>
                <pt idx="835">
                  <formatCode>0.00</formatCode>
                  <v>56.5</v>
                </pt>
                <pt idx="836">
                  <formatCode>0.00</formatCode>
                  <v>56.9</v>
                </pt>
                <pt idx="837">
                  <formatCode>0.00</formatCode>
                  <v>53.9</v>
                </pt>
                <pt idx="838">
                  <formatCode>0.00</formatCode>
                  <v>54.3</v>
                </pt>
                <pt idx="839">
                  <formatCode>0.00</formatCode>
                  <v>54.9</v>
                </pt>
                <pt idx="840">
                  <formatCode>0.00</formatCode>
                  <v>56.2</v>
                </pt>
                <pt idx="841">
                  <formatCode>0.00</formatCode>
                  <v>59.8</v>
                </pt>
                <pt idx="842">
                  <formatCode>0.00</formatCode>
                  <v>59.8</v>
                </pt>
                <pt idx="843">
                  <formatCode>0.00</formatCode>
                  <v>62</v>
                </pt>
                <pt idx="844">
                  <formatCode>0.00</formatCode>
                  <v>63.5</v>
                </pt>
                <pt idx="845">
                  <formatCode>0.00</formatCode>
                  <v>60.1</v>
                </pt>
                <pt idx="846">
                  <formatCode>0.00</formatCode>
                  <v>54.7</v>
                </pt>
                <pt idx="847">
                  <formatCode>0.00</formatCode>
                  <v>57.5</v>
                </pt>
                <pt idx="848">
                  <formatCode>0.00</formatCode>
                  <v>55.7</v>
                </pt>
                <pt idx="849">
                  <formatCode>0.00</formatCode>
                  <v>55.8</v>
                </pt>
                <pt idx="850">
                  <formatCode>0.00</formatCode>
                  <v>56.4</v>
                </pt>
                <pt idx="851">
                  <formatCode>0.00</formatCode>
                  <v>50</v>
                </pt>
                <pt idx="852">
                  <formatCode>0.00</formatCode>
                  <v>50.3</v>
                </pt>
                <pt idx="853">
                  <formatCode>0.00</formatCode>
                  <v>52.3</v>
                </pt>
                <pt idx="854">
                  <formatCode>0.00</formatCode>
                  <v>50.4</v>
                </pt>
                <pt idx="855">
                  <formatCode>0.00</formatCode>
                  <v>53.9</v>
                </pt>
                <pt idx="856">
                  <formatCode>0.00</formatCode>
                  <v>47.2</v>
                </pt>
                <pt idx="857">
                  <formatCode>0.00</formatCode>
                  <v>47.4</v>
                </pt>
                <pt idx="858">
                  <formatCode>0.00</formatCode>
                  <v>43.1</v>
                </pt>
                <pt idx="859">
                  <formatCode>0.00</formatCode>
                  <v>46.3</v>
                </pt>
                <pt idx="860">
                  <formatCode>0.00</formatCode>
                  <v>45.1</v>
                </pt>
                <pt idx="861">
                  <formatCode>0.00</formatCode>
                  <v>44.1</v>
                </pt>
                <pt idx="862">
                  <formatCode>0.00</formatCode>
                  <v>43</v>
                </pt>
                <pt idx="863">
                  <formatCode>0.00</formatCode>
                  <v>43.3</v>
                </pt>
                <pt idx="864">
                  <formatCode>0.00</formatCode>
                  <v>45.7</v>
                </pt>
                <pt idx="865">
                  <formatCode>0.00</formatCode>
                  <v>50.3</v>
                </pt>
                <pt idx="866">
                  <formatCode>0.00</formatCode>
                  <v>45.9</v>
                </pt>
                <pt idx="867">
                  <formatCode>0.00</formatCode>
                  <v>37.8</v>
                </pt>
                <pt idx="868">
                  <formatCode>0.00</formatCode>
                  <v>38.2</v>
                </pt>
                <pt idx="869">
                  <formatCode>0.00</formatCode>
                  <v>45.3</v>
                </pt>
                <pt idx="870">
                  <formatCode>0.00</formatCode>
                  <v>51.8</v>
                </pt>
                <pt idx="871">
                  <formatCode>0.00</formatCode>
                  <v>54.6</v>
                </pt>
                <pt idx="872">
                  <formatCode>0.00</formatCode>
                  <v>55.2</v>
                </pt>
                <pt idx="873">
                  <formatCode>0.00</formatCode>
                  <v>55.7</v>
                </pt>
                <pt idx="874">
                  <formatCode>0.00</formatCode>
                  <v>56.9</v>
                </pt>
                <pt idx="875">
                  <formatCode>0.00</formatCode>
                  <v>59.1</v>
                </pt>
                <pt idx="876">
                  <formatCode>0.00</formatCode>
                  <v>59.7</v>
                </pt>
                <pt idx="877">
                  <formatCode>0.00</formatCode>
                  <v>64</v>
                </pt>
                <pt idx="878">
                  <formatCode>0.00</formatCode>
                  <v>67.5</v>
                </pt>
                <pt idx="879">
                  <formatCode>0.00</formatCode>
                  <v>68.2</v>
                </pt>
                <pt idx="880">
                  <formatCode>0.00</formatCode>
                  <v>70.59999999999999</v>
                </pt>
                <pt idx="881">
                  <formatCode>0.00</formatCode>
                  <v>64.5</v>
                </pt>
                <pt idx="882">
                  <formatCode>0.00</formatCode>
                  <v>65</v>
                </pt>
                <pt idx="883">
                  <formatCode>0.00</formatCode>
                  <v>68.2</v>
                </pt>
                <pt idx="884">
                  <formatCode>0.00</formatCode>
                  <v>64.8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Details!$D$6:$D$890</f>
              <numCache>
                <formatCode>General</formatCode>
                <ptCount val="885"/>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formatCode>0.00</formatCode>
                  <v>53.2</v>
                </pt>
                <pt idx="745">
                  <formatCode>0.00</formatCode>
                  <v>58.8</v>
                </pt>
                <pt idx="746">
                  <formatCode>0.00</formatCode>
                  <v>54.7</v>
                </pt>
                <pt idx="747">
                  <formatCode>0.00</formatCode>
                  <v>57</v>
                </pt>
                <pt idx="748">
                  <formatCode>0.00</formatCode>
                  <v>56.3</v>
                </pt>
                <pt idx="749">
                  <formatCode>0.00</formatCode>
                  <v>57.6</v>
                </pt>
                <pt idx="750">
                  <formatCode>0.00</formatCode>
                  <v>54</v>
                </pt>
                <pt idx="751">
                  <formatCode>0.00</formatCode>
                  <v>51.5</v>
                </pt>
                <pt idx="752">
                  <formatCode>0.00</formatCode>
                  <v>44.4</v>
                </pt>
                <pt idx="753">
                  <formatCode>0.00</formatCode>
                  <v>45.1</v>
                </pt>
                <pt idx="754">
                  <formatCode>0.00</formatCode>
                  <v>48.7</v>
                </pt>
                <pt idx="755">
                  <formatCode>0.00</formatCode>
                  <v>46.3</v>
                </pt>
                <pt idx="756">
                  <formatCode>0.00</formatCode>
                  <v>57.1</v>
                </pt>
                <pt idx="757">
                  <formatCode>0.00</formatCode>
                  <v>55.6</v>
                </pt>
                <pt idx="758">
                  <formatCode>0.00</formatCode>
                  <v>52.8</v>
                </pt>
                <pt idx="759">
                  <formatCode>0.00</formatCode>
                  <v>59.2</v>
                </pt>
                <pt idx="760">
                  <formatCode>0.00</formatCode>
                  <v>50.1</v>
                </pt>
                <pt idx="761">
                  <formatCode>0.00</formatCode>
                  <v>52.5</v>
                </pt>
                <pt idx="762">
                  <formatCode>0.00</formatCode>
                  <v>49.8</v>
                </pt>
                <pt idx="763">
                  <formatCode>0.00</formatCode>
                  <v>46.3</v>
                </pt>
                <pt idx="764">
                  <formatCode>0.00</formatCode>
                  <v>43.7</v>
                </pt>
                <pt idx="765">
                  <formatCode>0.00</formatCode>
                  <v>48</v>
                </pt>
                <pt idx="766">
                  <formatCode>0.00</formatCode>
                  <v>46.8</v>
                </pt>
                <pt idx="767">
                  <formatCode>0.00</formatCode>
                  <v>48.2</v>
                </pt>
                <pt idx="768">
                  <formatCode>0.00</formatCode>
                  <v>52</v>
                </pt>
                <pt idx="769">
                  <formatCode>0.00</formatCode>
                  <v>50.4</v>
                </pt>
                <pt idx="770">
                  <formatCode>0.00</formatCode>
                  <v>52</v>
                </pt>
                <pt idx="771">
                  <formatCode>0.00</formatCode>
                  <v>47.6</v>
                </pt>
                <pt idx="772">
                  <formatCode>0.00</formatCode>
                  <v>44.2</v>
                </pt>
                <pt idx="773">
                  <formatCode>0.00</formatCode>
                  <v>41.2</v>
                </pt>
                <pt idx="774">
                  <formatCode>0.00</formatCode>
                  <v>42.1</v>
                </pt>
                <pt idx="775">
                  <formatCode>0.00</formatCode>
                  <v>41.9</v>
                </pt>
                <pt idx="776">
                  <formatCode>0.00</formatCode>
                  <v>46.4</v>
                </pt>
                <pt idx="777">
                  <formatCode>0.00</formatCode>
                  <v>42.4</v>
                </pt>
                <pt idx="778">
                  <formatCode>0.00</formatCode>
                  <v>42.1</v>
                </pt>
                <pt idx="779">
                  <formatCode>0.00</formatCode>
                  <v>47.3</v>
                </pt>
                <pt idx="780">
                  <formatCode>0.00</formatCode>
                  <v>45.2</v>
                </pt>
                <pt idx="781">
                  <formatCode>0.00</formatCode>
                  <v>53.1</v>
                </pt>
                <pt idx="782">
                  <formatCode>0.00</formatCode>
                  <v>49.7</v>
                </pt>
                <pt idx="783">
                  <formatCode>0.00</formatCode>
                  <v>51.4</v>
                </pt>
                <pt idx="784">
                  <formatCode>0.00</formatCode>
                  <v>48.1</v>
                </pt>
                <pt idx="785">
                  <formatCode>0.00</formatCode>
                  <v>45.1</v>
                </pt>
                <pt idx="786">
                  <formatCode>0.00</formatCode>
                  <v>45.4</v>
                </pt>
                <pt idx="787">
                  <formatCode>0.00</formatCode>
                  <v>46.4</v>
                </pt>
                <pt idx="788">
                  <formatCode>0.00</formatCode>
                  <v>50.1</v>
                </pt>
                <pt idx="789">
                  <formatCode>0.00</formatCode>
                  <v>51.2</v>
                </pt>
                <pt idx="790">
                  <formatCode>0.00</formatCode>
                  <v>54.1</v>
                </pt>
                <pt idx="791">
                  <formatCode>0.00</formatCode>
                  <v>51</v>
                </pt>
                <pt idx="792">
                  <formatCode>0.00</formatCode>
                  <v>46.6</v>
                </pt>
                <pt idx="793">
                  <formatCode>0.00</formatCode>
                  <v>50.5</v>
                </pt>
                <pt idx="794">
                  <formatCode>0.00</formatCode>
                  <v>57</v>
                </pt>
                <pt idx="795">
                  <formatCode>0.00</formatCode>
                  <v>54</v>
                </pt>
                <pt idx="796">
                  <formatCode>0.00</formatCode>
                  <v>51.5</v>
                </pt>
                <pt idx="797">
                  <formatCode>0.00</formatCode>
                  <v>46</v>
                </pt>
                <pt idx="798">
                  <formatCode>0.00</formatCode>
                  <v>49.5</v>
                </pt>
                <pt idx="799">
                  <formatCode>0.00</formatCode>
                  <v>53.6</v>
                </pt>
                <pt idx="800">
                  <formatCode>0.00</formatCode>
                  <v>46.8</v>
                </pt>
                <pt idx="801">
                  <formatCode>0.00</formatCode>
                  <v>52.5</v>
                </pt>
                <pt idx="802">
                  <formatCode>0.00</formatCode>
                  <v>53.7</v>
                </pt>
                <pt idx="803">
                  <formatCode>0.00</formatCode>
                  <v>52</v>
                </pt>
                <pt idx="804">
                  <formatCode>0.00</formatCode>
                  <v>45.8</v>
                </pt>
                <pt idx="805">
                  <formatCode>0.00</formatCode>
                  <v>50.1</v>
                </pt>
                <pt idx="806">
                  <formatCode>0.00</formatCode>
                  <v>47.4</v>
                </pt>
                <pt idx="807">
                  <formatCode>0.00</formatCode>
                  <v>48.2</v>
                </pt>
                <pt idx="808">
                  <formatCode>0.00</formatCode>
                  <v>52.9</v>
                </pt>
                <pt idx="809">
                  <formatCode>0.00</formatCode>
                  <v>45.2</v>
                </pt>
                <pt idx="810">
                  <formatCode>0.00</formatCode>
                  <v>43.6</v>
                </pt>
                <pt idx="811">
                  <formatCode>0.00</formatCode>
                  <v>46.6</v>
                </pt>
                <pt idx="812">
                  <formatCode>0.00</formatCode>
                  <v>40.7</v>
                </pt>
                <pt idx="813">
                  <formatCode>0.00</formatCode>
                  <v>44.4</v>
                </pt>
                <pt idx="814">
                  <formatCode>0.00</formatCode>
                  <v>43.3</v>
                </pt>
                <pt idx="815">
                  <formatCode>0.00</formatCode>
                  <v>41.7</v>
                </pt>
                <pt idx="816">
                  <formatCode>0.00</formatCode>
                  <v>42.6</v>
                </pt>
                <pt idx="817">
                  <formatCode>0.00</formatCode>
                  <v>48.3</v>
                </pt>
                <pt idx="818">
                  <formatCode>0.00</formatCode>
                  <v>50.6</v>
                </pt>
                <pt idx="819">
                  <formatCode>0.00</formatCode>
                  <v>49.7</v>
                </pt>
                <pt idx="820">
                  <formatCode>0.00</formatCode>
                  <v>46.3</v>
                </pt>
                <pt idx="821">
                  <formatCode>0.00</formatCode>
                  <v>52.7</v>
                </pt>
                <pt idx="822">
                  <formatCode>0.00</formatCode>
                  <v>48.5</v>
                </pt>
                <pt idx="823">
                  <formatCode>0.00</formatCode>
                  <v>47.4</v>
                </pt>
                <pt idx="824">
                  <formatCode>0.00</formatCode>
                  <v>48.6</v>
                </pt>
                <pt idx="825">
                  <formatCode>0.00</formatCode>
                  <v>45.8</v>
                </pt>
                <pt idx="826">
                  <formatCode>0.00</formatCode>
                  <v>48.7</v>
                </pt>
                <pt idx="827">
                  <formatCode>0.00</formatCode>
                  <v>48.6</v>
                </pt>
                <pt idx="828">
                  <formatCode>0.00</formatCode>
                  <v>48.6</v>
                </pt>
                <pt idx="829">
                  <formatCode>0.00</formatCode>
                  <v>57.1</v>
                </pt>
                <pt idx="830">
                  <formatCode>0.00</formatCode>
                  <v>57.5</v>
                </pt>
                <pt idx="831">
                  <formatCode>0.00</formatCode>
                  <v>56.9</v>
                </pt>
                <pt idx="832">
                  <formatCode>0.00</formatCode>
                  <v>54</v>
                </pt>
                <pt idx="833">
                  <formatCode>0.00</formatCode>
                  <v>56.5</v>
                </pt>
                <pt idx="834">
                  <formatCode>0.00</formatCode>
                  <v>54.3</v>
                </pt>
                <pt idx="835">
                  <formatCode>0.00</formatCode>
                  <v>56.5</v>
                </pt>
                <pt idx="836">
                  <formatCode>0.00</formatCode>
                  <v>56.9</v>
                </pt>
                <pt idx="837">
                  <formatCode>0.00</formatCode>
                  <v>53.9</v>
                </pt>
                <pt idx="838">
                  <formatCode>0.00</formatCode>
                  <v>54.3</v>
                </pt>
                <pt idx="839">
                  <formatCode>0.00</formatCode>
                  <v>54.9</v>
                </pt>
                <pt idx="840">
                  <formatCode>0.00</formatCode>
                  <v>56.2</v>
                </pt>
                <pt idx="841">
                  <formatCode>0.00</formatCode>
                  <v>59.8</v>
                </pt>
                <pt idx="842">
                  <formatCode>0.00</formatCode>
                  <v>59.8</v>
                </pt>
                <pt idx="843">
                  <formatCode>0.00</formatCode>
                  <v>62</v>
                </pt>
                <pt idx="844">
                  <formatCode>0.00</formatCode>
                  <v>63.5</v>
                </pt>
                <pt idx="845">
                  <formatCode>0.00</formatCode>
                  <v>60.1</v>
                </pt>
                <pt idx="846">
                  <formatCode>0.00</formatCode>
                  <v>54.7</v>
                </pt>
                <pt idx="847">
                  <formatCode>0.00</formatCode>
                  <v>57.5</v>
                </pt>
                <pt idx="848">
                  <formatCode>0.00</formatCode>
                  <v>55.7</v>
                </pt>
                <pt idx="849">
                  <formatCode>0.00</formatCode>
                  <v>55.8</v>
                </pt>
                <pt idx="850">
                  <formatCode>0.00</formatCode>
                  <v>56.4</v>
                </pt>
                <pt idx="851">
                  <formatCode>0.00</formatCode>
                  <v>50</v>
                </pt>
                <pt idx="852">
                  <formatCode>0.00</formatCode>
                  <v>50.3</v>
                </pt>
                <pt idx="853">
                  <formatCode>0.00</formatCode>
                  <v>52.3</v>
                </pt>
                <pt idx="854">
                  <formatCode>0.00</formatCode>
                  <v>50.4</v>
                </pt>
                <pt idx="855">
                  <formatCode>0.00</formatCode>
                  <v>53.9</v>
                </pt>
                <pt idx="856">
                  <formatCode>0.00</formatCode>
                  <v>47.2</v>
                </pt>
                <pt idx="857">
                  <formatCode>0.00</formatCode>
                  <v>47.4</v>
                </pt>
                <pt idx="858">
                  <formatCode>0.00</formatCode>
                  <v>43.1</v>
                </pt>
                <pt idx="859">
                  <formatCode>0.00</formatCode>
                  <v>46.3</v>
                </pt>
                <pt idx="860">
                  <formatCode>0.00</formatCode>
                  <v>45.1</v>
                </pt>
                <pt idx="861">
                  <formatCode>0.00</formatCode>
                  <v>44.1</v>
                </pt>
                <pt idx="862">
                  <formatCode>0.00</formatCode>
                  <v>43</v>
                </pt>
                <pt idx="863">
                  <formatCode>0.00</formatCode>
                  <v>43.3</v>
                </pt>
                <pt idx="864">
                  <formatCode>0.00</formatCode>
                  <v>45.7</v>
                </pt>
                <pt idx="865">
                  <formatCode>0.00</formatCode>
                  <v>50.3</v>
                </pt>
                <pt idx="866">
                  <formatCode>0.00</formatCode>
                  <v>45.9</v>
                </pt>
                <pt idx="867">
                  <formatCode>0.00</formatCode>
                  <v>37.8</v>
                </pt>
                <pt idx="868">
                  <formatCode>0.00</formatCode>
                  <v>38.2</v>
                </pt>
                <pt idx="869">
                  <formatCode>0.00</formatCode>
                  <v>45.3</v>
                </pt>
                <pt idx="870">
                  <formatCode>0.00</formatCode>
                  <v>51.8</v>
                </pt>
                <pt idx="871">
                  <formatCode>0.00</formatCode>
                  <v>54.6</v>
                </pt>
                <pt idx="872">
                  <formatCode>0.00</formatCode>
                  <v>55.2</v>
                </pt>
                <pt idx="873">
                  <formatCode>0.00</formatCode>
                  <v>55.7</v>
                </pt>
                <pt idx="874">
                  <formatCode>0.00</formatCode>
                  <v>56.9</v>
                </pt>
                <pt idx="875">
                  <formatCode>0.00</formatCode>
                  <v>59.1</v>
                </pt>
                <pt idx="876">
                  <formatCode>0.00</formatCode>
                  <v>59.7</v>
                </pt>
                <pt idx="877">
                  <formatCode>0.00</formatCode>
                  <v>64</v>
                </pt>
                <pt idx="878">
                  <formatCode>0.00</formatCode>
                  <v>67.5</v>
                </pt>
                <pt idx="879">
                  <formatCode>0.00</formatCode>
                  <v>68.2</v>
                </pt>
                <pt idx="880">
                  <formatCode>0.00</formatCode>
                  <v>70.59999999999999</v>
                </pt>
                <pt idx="881">
                  <formatCode>0.00</formatCode>
                  <v>64.5</v>
                </pt>
                <pt idx="882">
                  <formatCode>0.00</formatCode>
                  <v>65</v>
                </pt>
                <pt idx="883">
                  <formatCode>0.00</formatCode>
                  <v>68.2</v>
                </pt>
                <pt idx="884">
                  <formatCode>0.00</formatCode>
                  <v>64.8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Details!$E$6:$E$890</f>
              <numCache>
                <formatCode>General</formatCode>
                <ptCount val="885"/>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formatCode>0.00</formatCode>
                  <v>68</v>
                </pt>
                <pt idx="745">
                  <formatCode>0.00</formatCode>
                  <v>65.09999999999999</v>
                </pt>
                <pt idx="746">
                  <formatCode>0.00</formatCode>
                  <v>75.2</v>
                </pt>
                <pt idx="747">
                  <formatCode>0.00</formatCode>
                  <v>78</v>
                </pt>
                <pt idx="748">
                  <formatCode>0.00</formatCode>
                  <v>77</v>
                </pt>
                <pt idx="749">
                  <formatCode>0.00</formatCode>
                  <v>54.9</v>
                </pt>
                <pt idx="750">
                  <formatCode>0.00</formatCode>
                  <v>55.6</v>
                </pt>
                <pt idx="751">
                  <formatCode>0.00</formatCode>
                  <v>61.8</v>
                </pt>
                <pt idx="752">
                  <formatCode>0.00</formatCode>
                  <v>69.8</v>
                </pt>
                <pt idx="753">
                  <formatCode>0.00</formatCode>
                  <v>73.8</v>
                </pt>
                <pt idx="754">
                  <formatCode>0.00</formatCode>
                  <v>69</v>
                </pt>
                <pt idx="755">
                  <formatCode>0.00</formatCode>
                  <v>73.3</v>
                </pt>
                <pt idx="756">
                  <formatCode>0.00</formatCode>
                  <v>79.59999999999999</v>
                </pt>
                <pt idx="757">
                  <formatCode>0.00</formatCode>
                  <v>80.2</v>
                </pt>
                <pt idx="758">
                  <formatCode>0.00</formatCode>
                  <v>82.3</v>
                </pt>
                <pt idx="759">
                  <formatCode>0.00</formatCode>
                  <v>82.59999999999999</v>
                </pt>
                <pt idx="760">
                  <formatCode>0.00</formatCode>
                  <v>77.90000000000001</v>
                </pt>
                <pt idx="761">
                  <formatCode>0.00</formatCode>
                  <v>70.3</v>
                </pt>
                <pt idx="762">
                  <formatCode>0.00</formatCode>
                  <v>59.1</v>
                </pt>
                <pt idx="763">
                  <formatCode>0.00</formatCode>
                  <v>57.5</v>
                </pt>
                <pt idx="764">
                  <formatCode>0.00</formatCode>
                  <v>57</v>
                </pt>
                <pt idx="765">
                  <formatCode>0.00</formatCode>
                  <v>41.4</v>
                </pt>
                <pt idx="766">
                  <formatCode>0.00</formatCode>
                  <v>48.1</v>
                </pt>
                <pt idx="767">
                  <formatCode>0.00</formatCode>
                  <v>45.4</v>
                </pt>
                <pt idx="768">
                  <formatCode>0.00</formatCode>
                  <v>53.5</v>
                </pt>
                <pt idx="769">
                  <formatCode>0.00</formatCode>
                  <v>60.1</v>
                </pt>
                <pt idx="770">
                  <formatCode>0.00</formatCode>
                  <v>62.3</v>
                </pt>
                <pt idx="771">
                  <formatCode>0.00</formatCode>
                  <v>61</v>
                </pt>
                <pt idx="772">
                  <formatCode>0.00</formatCode>
                  <v>47.2</v>
                </pt>
                <pt idx="773">
                  <formatCode>0.00</formatCode>
                  <v>35.7</v>
                </pt>
                <pt idx="774">
                  <formatCode>0.00</formatCode>
                  <v>39.4</v>
                </pt>
                <pt idx="775">
                  <formatCode>0.00</formatCode>
                  <v>54.4</v>
                </pt>
                <pt idx="776">
                  <formatCode>0.00</formatCode>
                  <v>60</v>
                </pt>
                <pt idx="777">
                  <formatCode>0.00</formatCode>
                  <v>55.5</v>
                </pt>
                <pt idx="778">
                  <formatCode>0.00</formatCode>
                  <v>52.1</v>
                </pt>
                <pt idx="779">
                  <formatCode>0.00</formatCode>
                  <v>54</v>
                </pt>
                <pt idx="780">
                  <formatCode>0.00</formatCode>
                  <v>56.9</v>
                </pt>
                <pt idx="781">
                  <formatCode>0.00</formatCode>
                  <v>62.2</v>
                </pt>
                <pt idx="782">
                  <formatCode>0.00</formatCode>
                  <v>53.7</v>
                </pt>
                <pt idx="783">
                  <formatCode>0.00</formatCode>
                  <v>48.5</v>
                </pt>
                <pt idx="784">
                  <formatCode>0.00</formatCode>
                  <v>49.9</v>
                </pt>
                <pt idx="785">
                  <formatCode>0.00</formatCode>
                  <v>50.7</v>
                </pt>
                <pt idx="786">
                  <formatCode>0.00</formatCode>
                  <v>48.4</v>
                </pt>
                <pt idx="787">
                  <formatCode>0.00</formatCode>
                  <v>52.8</v>
                </pt>
                <pt idx="788">
                  <formatCode>0.00</formatCode>
                  <v>57.4</v>
                </pt>
                <pt idx="789">
                  <formatCode>0.00</formatCode>
                  <v>55</v>
                </pt>
                <pt idx="790">
                  <formatCode>0.00</formatCode>
                  <v>51.7</v>
                </pt>
                <pt idx="791">
                  <formatCode>0.00</formatCode>
                  <v>51.7</v>
                </pt>
                <pt idx="792">
                  <formatCode>0.00</formatCode>
                  <v>60.3</v>
                </pt>
                <pt idx="793">
                  <formatCode>0.00</formatCode>
                  <v>59.8</v>
                </pt>
                <pt idx="794">
                  <formatCode>0.00</formatCode>
                  <v>59</v>
                </pt>
                <pt idx="795">
                  <formatCode>0.00</formatCode>
                  <v>55.9</v>
                </pt>
                <pt idx="796">
                  <formatCode>0.00</formatCode>
                  <v>58.7</v>
                </pt>
                <pt idx="797">
                  <formatCode>0.00</formatCode>
                  <v>57</v>
                </pt>
                <pt idx="798">
                  <formatCode>0.00</formatCode>
                  <v>60.1</v>
                </pt>
                <pt idx="799">
                  <formatCode>0.00</formatCode>
                  <v>56.9</v>
                </pt>
                <pt idx="800">
                  <formatCode>0.00</formatCode>
                  <v>58.7</v>
                </pt>
                <pt idx="801">
                  <formatCode>0.00</formatCode>
                  <v>52.7</v>
                </pt>
                <pt idx="802">
                  <formatCode>0.00</formatCode>
                  <v>44.4</v>
                </pt>
                <pt idx="803">
                  <formatCode>0.00</formatCode>
                  <v>37.8</v>
                </pt>
                <pt idx="804">
                  <formatCode>0.00</formatCode>
                  <v>35.1</v>
                </pt>
                <pt idx="805">
                  <formatCode>0.00</formatCode>
                  <v>35.2</v>
                </pt>
                <pt idx="806">
                  <formatCode>0.00</formatCode>
                  <v>40.1</v>
                </pt>
                <pt idx="807">
                  <formatCode>0.00</formatCode>
                  <v>41.6</v>
                </pt>
                <pt idx="808">
                  <formatCode>0.00</formatCode>
                  <v>49</v>
                </pt>
                <pt idx="809">
                  <formatCode>0.00</formatCode>
                  <v>49.7</v>
                </pt>
                <pt idx="810">
                  <formatCode>0.00</formatCode>
                  <v>45.1</v>
                </pt>
                <pt idx="811">
                  <formatCode>0.00</formatCode>
                  <v>38.8</v>
                </pt>
                <pt idx="812">
                  <formatCode>0.00</formatCode>
                  <v>37.6</v>
                </pt>
                <pt idx="813">
                  <formatCode>0.00</formatCode>
                  <v>39.8</v>
                </pt>
                <pt idx="814">
                  <formatCode>0.00</formatCode>
                  <v>35.7</v>
                </pt>
                <pt idx="815">
                  <formatCode>0.00</formatCode>
                  <v>33.9</v>
                </pt>
                <pt idx="816">
                  <formatCode>0.00</formatCode>
                  <v>33.9</v>
                </pt>
                <pt idx="817">
                  <formatCode>0.00</formatCode>
                  <v>38.3</v>
                </pt>
                <pt idx="818">
                  <formatCode>0.00</formatCode>
                  <v>52.1</v>
                </pt>
                <pt idx="819">
                  <formatCode>0.00</formatCode>
                  <v>57.9</v>
                </pt>
                <pt idx="820">
                  <formatCode>0.00</formatCode>
                  <v>61.4</v>
                </pt>
                <pt idx="821">
                  <formatCode>0.00</formatCode>
                  <v>59.8</v>
                </pt>
                <pt idx="822">
                  <formatCode>0.00</formatCode>
                  <v>54.9</v>
                </pt>
                <pt idx="823">
                  <formatCode>0.00</formatCode>
                  <v>53.6</v>
                </pt>
                <pt idx="824">
                  <formatCode>0.00</formatCode>
                  <v>53.1</v>
                </pt>
                <pt idx="825">
                  <formatCode>0.00</formatCode>
                  <v>54.8</v>
                </pt>
                <pt idx="826">
                  <formatCode>0.00</formatCode>
                  <v>53.5</v>
                </pt>
                <pt idx="827">
                  <formatCode>0.00</formatCode>
                  <v>64.2</v>
                </pt>
                <pt idx="828">
                  <formatCode>0.00</formatCode>
                  <v>67.90000000000001</v>
                </pt>
                <pt idx="829">
                  <formatCode>0.00</formatCode>
                  <v>66.90000000000001</v>
                </pt>
                <pt idx="830">
                  <formatCode>0.00</formatCode>
                  <v>68.8</v>
                </pt>
                <pt idx="831">
                  <formatCode>0.00</formatCode>
                  <v>68.3</v>
                </pt>
                <pt idx="832">
                  <formatCode>0.00</formatCode>
                  <v>59.5</v>
                </pt>
                <pt idx="833">
                  <formatCode>0.00</formatCode>
                  <v>53</v>
                </pt>
                <pt idx="834">
                  <formatCode>0.00</formatCode>
                  <v>61.7</v>
                </pt>
                <pt idx="835">
                  <formatCode>0.00</formatCode>
                  <v>61.7</v>
                </pt>
                <pt idx="836">
                  <formatCode>0.00</formatCode>
                  <v>71.5</v>
                </pt>
                <pt idx="837">
                  <formatCode>0.00</formatCode>
                  <v>68.09999999999999</v>
                </pt>
                <pt idx="838">
                  <formatCode>0.00</formatCode>
                  <v>64.8</v>
                </pt>
                <pt idx="839">
                  <formatCode>0.00</formatCode>
                  <v>68.3</v>
                </pt>
                <pt idx="840">
                  <formatCode>0.00</formatCode>
                  <v>72.7</v>
                </pt>
                <pt idx="841">
                  <formatCode>0.00</formatCode>
                  <v>74.2</v>
                </pt>
                <pt idx="842">
                  <formatCode>0.00</formatCode>
                  <v>78.09999999999999</v>
                </pt>
                <pt idx="843">
                  <formatCode>0.00</formatCode>
                  <v>79.3</v>
                </pt>
                <pt idx="844">
                  <formatCode>0.00</formatCode>
                  <v>79.5</v>
                </pt>
                <pt idx="845">
                  <formatCode>0.00</formatCode>
                  <v>76.8</v>
                </pt>
                <pt idx="846">
                  <formatCode>0.00</formatCode>
                  <v>73.2</v>
                </pt>
                <pt idx="847">
                  <formatCode>0.00</formatCode>
                  <v>72.09999999999999</v>
                </pt>
                <pt idx="848">
                  <formatCode>0.00</formatCode>
                  <v>66.90000000000001</v>
                </pt>
                <pt idx="849">
                  <formatCode>0.00</formatCode>
                  <v>71.59999999999999</v>
                </pt>
                <pt idx="850">
                  <formatCode>0.00</formatCode>
                  <v>60.7</v>
                </pt>
                <pt idx="851">
                  <formatCode>0.00</formatCode>
                  <v>54.9</v>
                </pt>
                <pt idx="852">
                  <formatCode>0.00</formatCode>
                  <v>49.6</v>
                </pt>
                <pt idx="853">
                  <formatCode>0.00</formatCode>
                  <v>49.4</v>
                </pt>
                <pt idx="854">
                  <formatCode>0.00</formatCode>
                  <v>54.3</v>
                </pt>
                <pt idx="855">
                  <formatCode>0.00</formatCode>
                  <v>50</v>
                </pt>
                <pt idx="856">
                  <formatCode>0.00</formatCode>
                  <v>53.2</v>
                </pt>
                <pt idx="857">
                  <formatCode>0.00</formatCode>
                  <v>47.9</v>
                </pt>
                <pt idx="858">
                  <formatCode>0.00</formatCode>
                  <v>45.1</v>
                </pt>
                <pt idx="859">
                  <formatCode>0.00</formatCode>
                  <v>46</v>
                </pt>
                <pt idx="860">
                  <formatCode>0.00</formatCode>
                  <v>49.7</v>
                </pt>
                <pt idx="861">
                  <formatCode>0.00</formatCode>
                  <v>45.5</v>
                </pt>
                <pt idx="862">
                  <formatCode>0.00</formatCode>
                  <v>46.7</v>
                </pt>
                <pt idx="863">
                  <formatCode>0.00</formatCode>
                  <v>51.7</v>
                </pt>
                <pt idx="864">
                  <formatCode>0.00</formatCode>
                  <v>53.3</v>
                </pt>
                <pt idx="865">
                  <formatCode>0.00</formatCode>
                  <v>45.9</v>
                </pt>
                <pt idx="866">
                  <formatCode>0.00</formatCode>
                  <v>37.4</v>
                </pt>
                <pt idx="867">
                  <formatCode>0.00</formatCode>
                  <v>35.3</v>
                </pt>
                <pt idx="868">
                  <formatCode>0.00</formatCode>
                  <v>40.8</v>
                </pt>
                <pt idx="869">
                  <formatCode>0.00</formatCode>
                  <v>51.3</v>
                </pt>
                <pt idx="870">
                  <formatCode>0.00</formatCode>
                  <v>53.2</v>
                </pt>
                <pt idx="871">
                  <formatCode>0.00</formatCode>
                  <v>59.5</v>
                </pt>
                <pt idx="872">
                  <formatCode>0.00</formatCode>
                  <v>62.8</v>
                </pt>
                <pt idx="873">
                  <formatCode>0.00</formatCode>
                  <v>65.5</v>
                </pt>
                <pt idx="874">
                  <formatCode>0.00</formatCode>
                  <v>65.40000000000001</v>
                </pt>
                <pt idx="875">
                  <formatCode>0.00</formatCode>
                  <v>77.59999999999999</v>
                </pt>
                <pt idx="876">
                  <formatCode>0.00</formatCode>
                  <v>82.09999999999999</v>
                </pt>
                <pt idx="877">
                  <formatCode>0.00</formatCode>
                  <v>86</v>
                </pt>
                <pt idx="878">
                  <formatCode>0.00</formatCode>
                  <v>85.59999999999999</v>
                </pt>
                <pt idx="879">
                  <formatCode>0.00</formatCode>
                  <v>89.59999999999999</v>
                </pt>
                <pt idx="880">
                  <formatCode>0.00</formatCode>
                  <v>88</v>
                </pt>
                <pt idx="881">
                  <formatCode>0.00</formatCode>
                  <v>92.09999999999999</v>
                </pt>
                <pt idx="882">
                  <formatCode>0.00</formatCode>
                  <v>85.7</v>
                </pt>
                <pt idx="883">
                  <formatCode>0.00</formatCode>
                  <v>79.40000000000001</v>
                </pt>
                <pt idx="884">
                  <formatCode>0.00</formatCode>
                  <v>81.2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Details!$E$6:$E$890</f>
              <numCache>
                <formatCode>General</formatCode>
                <ptCount val="885"/>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formatCode>0.00</formatCode>
                  <v>68</v>
                </pt>
                <pt idx="745">
                  <formatCode>0.00</formatCode>
                  <v>65.09999999999999</v>
                </pt>
                <pt idx="746">
                  <formatCode>0.00</formatCode>
                  <v>75.2</v>
                </pt>
                <pt idx="747">
                  <formatCode>0.00</formatCode>
                  <v>78</v>
                </pt>
                <pt idx="748">
                  <formatCode>0.00</formatCode>
                  <v>77</v>
                </pt>
                <pt idx="749">
                  <formatCode>0.00</formatCode>
                  <v>54.9</v>
                </pt>
                <pt idx="750">
                  <formatCode>0.00</formatCode>
                  <v>55.6</v>
                </pt>
                <pt idx="751">
                  <formatCode>0.00</formatCode>
                  <v>61.8</v>
                </pt>
                <pt idx="752">
                  <formatCode>0.00</formatCode>
                  <v>69.8</v>
                </pt>
                <pt idx="753">
                  <formatCode>0.00</formatCode>
                  <v>73.8</v>
                </pt>
                <pt idx="754">
                  <formatCode>0.00</formatCode>
                  <v>69</v>
                </pt>
                <pt idx="755">
                  <formatCode>0.00</formatCode>
                  <v>73.3</v>
                </pt>
                <pt idx="756">
                  <formatCode>0.00</formatCode>
                  <v>79.59999999999999</v>
                </pt>
                <pt idx="757">
                  <formatCode>0.00</formatCode>
                  <v>80.2</v>
                </pt>
                <pt idx="758">
                  <formatCode>0.00</formatCode>
                  <v>82.3</v>
                </pt>
                <pt idx="759">
                  <formatCode>0.00</formatCode>
                  <v>82.59999999999999</v>
                </pt>
                <pt idx="760">
                  <formatCode>0.00</formatCode>
                  <v>77.90000000000001</v>
                </pt>
                <pt idx="761">
                  <formatCode>0.00</formatCode>
                  <v>70.3</v>
                </pt>
                <pt idx="762">
                  <formatCode>0.00</formatCode>
                  <v>59.1</v>
                </pt>
                <pt idx="763">
                  <formatCode>0.00</formatCode>
                  <v>57.5</v>
                </pt>
                <pt idx="764">
                  <formatCode>0.00</formatCode>
                  <v>57</v>
                </pt>
                <pt idx="765">
                  <formatCode>0.00</formatCode>
                  <v>41.4</v>
                </pt>
                <pt idx="766">
                  <formatCode>0.00</formatCode>
                  <v>48.1</v>
                </pt>
                <pt idx="767">
                  <formatCode>0.00</formatCode>
                  <v>45.4</v>
                </pt>
                <pt idx="768">
                  <formatCode>0.00</formatCode>
                  <v>53.5</v>
                </pt>
                <pt idx="769">
                  <formatCode>0.00</formatCode>
                  <v>60.1</v>
                </pt>
                <pt idx="770">
                  <formatCode>0.00</formatCode>
                  <v>62.3</v>
                </pt>
                <pt idx="771">
                  <formatCode>0.00</formatCode>
                  <v>61</v>
                </pt>
                <pt idx="772">
                  <formatCode>0.00</formatCode>
                  <v>47.2</v>
                </pt>
                <pt idx="773">
                  <formatCode>0.00</formatCode>
                  <v>35.7</v>
                </pt>
                <pt idx="774">
                  <formatCode>0.00</formatCode>
                  <v>39.4</v>
                </pt>
                <pt idx="775">
                  <formatCode>0.00</formatCode>
                  <v>54.4</v>
                </pt>
                <pt idx="776">
                  <formatCode>0.00</formatCode>
                  <v>60</v>
                </pt>
                <pt idx="777">
                  <formatCode>0.00</formatCode>
                  <v>55.5</v>
                </pt>
                <pt idx="778">
                  <formatCode>0.00</formatCode>
                  <v>52.1</v>
                </pt>
                <pt idx="779">
                  <formatCode>0.00</formatCode>
                  <v>54</v>
                </pt>
                <pt idx="780">
                  <formatCode>0.00</formatCode>
                  <v>56.9</v>
                </pt>
                <pt idx="781">
                  <formatCode>0.00</formatCode>
                  <v>62.2</v>
                </pt>
                <pt idx="782">
                  <formatCode>0.00</formatCode>
                  <v>53.7</v>
                </pt>
                <pt idx="783">
                  <formatCode>0.00</formatCode>
                  <v>48.5</v>
                </pt>
                <pt idx="784">
                  <formatCode>0.00</formatCode>
                  <v>49.9</v>
                </pt>
                <pt idx="785">
                  <formatCode>0.00</formatCode>
                  <v>50.7</v>
                </pt>
                <pt idx="786">
                  <formatCode>0.00</formatCode>
                  <v>48.4</v>
                </pt>
                <pt idx="787">
                  <formatCode>0.00</formatCode>
                  <v>52.8</v>
                </pt>
                <pt idx="788">
                  <formatCode>0.00</formatCode>
                  <v>57.4</v>
                </pt>
                <pt idx="789">
                  <formatCode>0.00</formatCode>
                  <v>55</v>
                </pt>
                <pt idx="790">
                  <formatCode>0.00</formatCode>
                  <v>51.7</v>
                </pt>
                <pt idx="791">
                  <formatCode>0.00</formatCode>
                  <v>51.7</v>
                </pt>
                <pt idx="792">
                  <formatCode>0.00</formatCode>
                  <v>60.3</v>
                </pt>
                <pt idx="793">
                  <formatCode>0.00</formatCode>
                  <v>59.8</v>
                </pt>
                <pt idx="794">
                  <formatCode>0.00</formatCode>
                  <v>59</v>
                </pt>
                <pt idx="795">
                  <formatCode>0.00</formatCode>
                  <v>55.9</v>
                </pt>
                <pt idx="796">
                  <formatCode>0.00</formatCode>
                  <v>58.7</v>
                </pt>
                <pt idx="797">
                  <formatCode>0.00</formatCode>
                  <v>57</v>
                </pt>
                <pt idx="798">
                  <formatCode>0.00</formatCode>
                  <v>60.1</v>
                </pt>
                <pt idx="799">
                  <formatCode>0.00</formatCode>
                  <v>56.9</v>
                </pt>
                <pt idx="800">
                  <formatCode>0.00</formatCode>
                  <v>58.7</v>
                </pt>
                <pt idx="801">
                  <formatCode>0.00</formatCode>
                  <v>52.7</v>
                </pt>
                <pt idx="802">
                  <formatCode>0.00</formatCode>
                  <v>44.4</v>
                </pt>
                <pt idx="803">
                  <formatCode>0.00</formatCode>
                  <v>37.8</v>
                </pt>
                <pt idx="804">
                  <formatCode>0.00</formatCode>
                  <v>35.1</v>
                </pt>
                <pt idx="805">
                  <formatCode>0.00</formatCode>
                  <v>35.2</v>
                </pt>
                <pt idx="806">
                  <formatCode>0.00</formatCode>
                  <v>40.1</v>
                </pt>
                <pt idx="807">
                  <formatCode>0.00</formatCode>
                  <v>41.6</v>
                </pt>
                <pt idx="808">
                  <formatCode>0.00</formatCode>
                  <v>49</v>
                </pt>
                <pt idx="809">
                  <formatCode>0.00</formatCode>
                  <v>49.7</v>
                </pt>
                <pt idx="810">
                  <formatCode>0.00</formatCode>
                  <v>45.1</v>
                </pt>
                <pt idx="811">
                  <formatCode>0.00</formatCode>
                  <v>38.8</v>
                </pt>
                <pt idx="812">
                  <formatCode>0.00</formatCode>
                  <v>37.6</v>
                </pt>
                <pt idx="813">
                  <formatCode>0.00</formatCode>
                  <v>39.8</v>
                </pt>
                <pt idx="814">
                  <formatCode>0.00</formatCode>
                  <v>35.7</v>
                </pt>
                <pt idx="815">
                  <formatCode>0.00</formatCode>
                  <v>33.9</v>
                </pt>
                <pt idx="816">
                  <formatCode>0.00</formatCode>
                  <v>33.9</v>
                </pt>
                <pt idx="817">
                  <formatCode>0.00</formatCode>
                  <v>38.3</v>
                </pt>
                <pt idx="818">
                  <formatCode>0.00</formatCode>
                  <v>52.1</v>
                </pt>
                <pt idx="819">
                  <formatCode>0.00</formatCode>
                  <v>57.9</v>
                </pt>
                <pt idx="820">
                  <formatCode>0.00</formatCode>
                  <v>61.4</v>
                </pt>
                <pt idx="821">
                  <formatCode>0.00</formatCode>
                  <v>59.8</v>
                </pt>
                <pt idx="822">
                  <formatCode>0.00</formatCode>
                  <v>54.9</v>
                </pt>
                <pt idx="823">
                  <formatCode>0.00</formatCode>
                  <v>53.6</v>
                </pt>
                <pt idx="824">
                  <formatCode>0.00</formatCode>
                  <v>53.1</v>
                </pt>
                <pt idx="825">
                  <formatCode>0.00</formatCode>
                  <v>54.8</v>
                </pt>
                <pt idx="826">
                  <formatCode>0.00</formatCode>
                  <v>53.5</v>
                </pt>
                <pt idx="827">
                  <formatCode>0.00</formatCode>
                  <v>64.2</v>
                </pt>
                <pt idx="828">
                  <formatCode>0.00</formatCode>
                  <v>67.90000000000001</v>
                </pt>
                <pt idx="829">
                  <formatCode>0.00</formatCode>
                  <v>66.90000000000001</v>
                </pt>
                <pt idx="830">
                  <formatCode>0.00</formatCode>
                  <v>68.8</v>
                </pt>
                <pt idx="831">
                  <formatCode>0.00</formatCode>
                  <v>68.3</v>
                </pt>
                <pt idx="832">
                  <formatCode>0.00</formatCode>
                  <v>59.5</v>
                </pt>
                <pt idx="833">
                  <formatCode>0.00</formatCode>
                  <v>53</v>
                </pt>
                <pt idx="834">
                  <formatCode>0.00</formatCode>
                  <v>61.7</v>
                </pt>
                <pt idx="835">
                  <formatCode>0.00</formatCode>
                  <v>61.7</v>
                </pt>
                <pt idx="836">
                  <formatCode>0.00</formatCode>
                  <v>71.5</v>
                </pt>
                <pt idx="837">
                  <formatCode>0.00</formatCode>
                  <v>68.09999999999999</v>
                </pt>
                <pt idx="838">
                  <formatCode>0.00</formatCode>
                  <v>64.8</v>
                </pt>
                <pt idx="839">
                  <formatCode>0.00</formatCode>
                  <v>68.3</v>
                </pt>
                <pt idx="840">
                  <formatCode>0.00</formatCode>
                  <v>72.7</v>
                </pt>
                <pt idx="841">
                  <formatCode>0.00</formatCode>
                  <v>74.2</v>
                </pt>
                <pt idx="842">
                  <formatCode>0.00</formatCode>
                  <v>78.09999999999999</v>
                </pt>
                <pt idx="843">
                  <formatCode>0.00</formatCode>
                  <v>79.3</v>
                </pt>
                <pt idx="844">
                  <formatCode>0.00</formatCode>
                  <v>79.5</v>
                </pt>
                <pt idx="845">
                  <formatCode>0.00</formatCode>
                  <v>76.8</v>
                </pt>
                <pt idx="846">
                  <formatCode>0.00</formatCode>
                  <v>73.2</v>
                </pt>
                <pt idx="847">
                  <formatCode>0.00</formatCode>
                  <v>72.09999999999999</v>
                </pt>
                <pt idx="848">
                  <formatCode>0.00</formatCode>
                  <v>66.90000000000001</v>
                </pt>
                <pt idx="849">
                  <formatCode>0.00</formatCode>
                  <v>71.59999999999999</v>
                </pt>
                <pt idx="850">
                  <formatCode>0.00</formatCode>
                  <v>60.7</v>
                </pt>
                <pt idx="851">
                  <formatCode>0.00</formatCode>
                  <v>54.9</v>
                </pt>
                <pt idx="852">
                  <formatCode>0.00</formatCode>
                  <v>49.6</v>
                </pt>
                <pt idx="853">
                  <formatCode>0.00</formatCode>
                  <v>49.4</v>
                </pt>
                <pt idx="854">
                  <formatCode>0.00</formatCode>
                  <v>54.3</v>
                </pt>
                <pt idx="855">
                  <formatCode>0.00</formatCode>
                  <v>50</v>
                </pt>
                <pt idx="856">
                  <formatCode>0.00</formatCode>
                  <v>53.2</v>
                </pt>
                <pt idx="857">
                  <formatCode>0.00</formatCode>
                  <v>47.9</v>
                </pt>
                <pt idx="858">
                  <formatCode>0.00</formatCode>
                  <v>45.1</v>
                </pt>
                <pt idx="859">
                  <formatCode>0.00</formatCode>
                  <v>46</v>
                </pt>
                <pt idx="860">
                  <formatCode>0.00</formatCode>
                  <v>49.7</v>
                </pt>
                <pt idx="861">
                  <formatCode>0.00</formatCode>
                  <v>45.5</v>
                </pt>
                <pt idx="862">
                  <formatCode>0.00</formatCode>
                  <v>46.7</v>
                </pt>
                <pt idx="863">
                  <formatCode>0.00</formatCode>
                  <v>51.7</v>
                </pt>
                <pt idx="864">
                  <formatCode>0.00</formatCode>
                  <v>53.3</v>
                </pt>
                <pt idx="865">
                  <formatCode>0.00</formatCode>
                  <v>45.9</v>
                </pt>
                <pt idx="866">
                  <formatCode>0.00</formatCode>
                  <v>37.4</v>
                </pt>
                <pt idx="867">
                  <formatCode>0.00</formatCode>
                  <v>35.3</v>
                </pt>
                <pt idx="868">
                  <formatCode>0.00</formatCode>
                  <v>40.8</v>
                </pt>
                <pt idx="869">
                  <formatCode>0.00</formatCode>
                  <v>51.3</v>
                </pt>
                <pt idx="870">
                  <formatCode>0.00</formatCode>
                  <v>53.2</v>
                </pt>
                <pt idx="871">
                  <formatCode>0.00</formatCode>
                  <v>59.5</v>
                </pt>
                <pt idx="872">
                  <formatCode>0.00</formatCode>
                  <v>62.8</v>
                </pt>
                <pt idx="873">
                  <formatCode>0.00</formatCode>
                  <v>65.5</v>
                </pt>
                <pt idx="874">
                  <formatCode>0.00</formatCode>
                  <v>65.40000000000001</v>
                </pt>
                <pt idx="875">
                  <formatCode>0.00</formatCode>
                  <v>77.59999999999999</v>
                </pt>
                <pt idx="876">
                  <formatCode>0.00</formatCode>
                  <v>82.09999999999999</v>
                </pt>
                <pt idx="877">
                  <formatCode>0.00</formatCode>
                  <v>86</v>
                </pt>
                <pt idx="878">
                  <formatCode>0.00</formatCode>
                  <v>85.59999999999999</v>
                </pt>
                <pt idx="879">
                  <formatCode>0.00</formatCode>
                  <v>89.59999999999999</v>
                </pt>
                <pt idx="880">
                  <formatCode>0.00</formatCode>
                  <v>88</v>
                </pt>
                <pt idx="881">
                  <formatCode>0.00</formatCode>
                  <v>92.09999999999999</v>
                </pt>
                <pt idx="882">
                  <formatCode>0.00</formatCode>
                  <v>85.7</v>
                </pt>
                <pt idx="883">
                  <formatCode>0.00</formatCode>
                  <v>79.40000000000001</v>
                </pt>
                <pt idx="884">
                  <formatCode>0.00</formatCode>
                  <v>81.2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Details!$F$6:$F$890</f>
              <numCache>
                <formatCode>General</formatCode>
                <ptCount val="885"/>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formatCode>0.00</formatCode>
                  <v>62.8</v>
                </pt>
                <pt idx="745">
                  <formatCode>0.00</formatCode>
                  <v>57</v>
                </pt>
                <pt idx="746">
                  <formatCode>0.00</formatCode>
                  <v>57.3</v>
                </pt>
                <pt idx="747">
                  <formatCode>0.00</formatCode>
                  <v>62.3</v>
                </pt>
                <pt idx="748">
                  <formatCode>0.00</formatCode>
                  <v>62.1</v>
                </pt>
                <pt idx="749">
                  <formatCode>0.00</formatCode>
                  <v>63</v>
                </pt>
                <pt idx="750">
                  <formatCode>0.00</formatCode>
                  <v>56.1</v>
                </pt>
                <pt idx="751">
                  <formatCode>0.00</formatCode>
                  <v>56.3</v>
                </pt>
                <pt idx="752">
                  <formatCode>0.00</formatCode>
                  <v>57.3</v>
                </pt>
                <pt idx="753">
                  <formatCode>0.00</formatCode>
                  <v>61.5</v>
                </pt>
                <pt idx="754">
                  <formatCode>0.00</formatCode>
                  <v>55.7</v>
                </pt>
                <pt idx="755">
                  <formatCode>0.00</formatCode>
                  <v>62.5</v>
                </pt>
                <pt idx="756">
                  <formatCode>0.00</formatCode>
                  <v>65.3</v>
                </pt>
                <pt idx="757">
                  <formatCode>0.00</formatCode>
                  <v>63.8</v>
                </pt>
                <pt idx="758">
                  <formatCode>0.00</formatCode>
                  <v>61.9</v>
                </pt>
                <pt idx="759">
                  <formatCode>0.00</formatCode>
                  <v>59</v>
                </pt>
                <pt idx="760">
                  <formatCode>0.00</formatCode>
                  <v>54.8</v>
                </pt>
                <pt idx="761">
                  <formatCode>0.00</formatCode>
                  <v>54.5</v>
                </pt>
                <pt idx="762">
                  <formatCode>0.00</formatCode>
                  <v>54.6</v>
                </pt>
                <pt idx="763">
                  <formatCode>0.00</formatCode>
                  <v>51.4</v>
                </pt>
                <pt idx="764">
                  <formatCode>0.00</formatCode>
                  <v>54.7</v>
                </pt>
                <pt idx="765">
                  <formatCode>0.00</formatCode>
                  <v>52.3</v>
                </pt>
                <pt idx="766">
                  <formatCode>0.00</formatCode>
                  <v>56.6</v>
                </pt>
                <pt idx="767">
                  <formatCode>0.00</formatCode>
                  <v>60.9</v>
                </pt>
                <pt idx="768">
                  <formatCode>0.00</formatCode>
                  <v>53.9</v>
                </pt>
                <pt idx="769">
                  <formatCode>0.00</formatCode>
                  <v>57.4</v>
                </pt>
                <pt idx="770">
                  <formatCode>0.00</formatCode>
                  <v>56.8</v>
                </pt>
                <pt idx="771">
                  <formatCode>0.00</formatCode>
                  <v>57.1</v>
                </pt>
                <pt idx="772">
                  <formatCode>0.00</formatCode>
                  <v>55.5</v>
                </pt>
                <pt idx="773">
                  <formatCode>0.00</formatCode>
                  <v>52.7</v>
                </pt>
                <pt idx="774">
                  <formatCode>0.00</formatCode>
                  <v>50.8</v>
                </pt>
                <pt idx="775">
                  <formatCode>0.00</formatCode>
                  <v>49.8</v>
                </pt>
                <pt idx="776">
                  <formatCode>0.00</formatCode>
                  <v>51.8</v>
                </pt>
                <pt idx="777">
                  <formatCode>0.00</formatCode>
                  <v>49.8</v>
                </pt>
                <pt idx="778">
                  <formatCode>0.00</formatCode>
                  <v>50.2</v>
                </pt>
                <pt idx="779">
                  <formatCode>0.00</formatCode>
                  <v>51</v>
                </pt>
                <pt idx="780">
                  <formatCode>0.00</formatCode>
                  <v>53</v>
                </pt>
                <pt idx="781">
                  <formatCode>0.00</formatCode>
                  <v>56.9</v>
                </pt>
                <pt idx="782">
                  <formatCode>0.00</formatCode>
                  <v>54.4</v>
                </pt>
                <pt idx="783">
                  <formatCode>0.00</formatCode>
                  <v>51.2</v>
                </pt>
                <pt idx="784">
                  <formatCode>0.00</formatCode>
                  <v>53</v>
                </pt>
                <pt idx="785">
                  <formatCode>0.00</formatCode>
                  <v>54.7</v>
                </pt>
                <pt idx="786">
                  <formatCode>0.00</formatCode>
                  <v>60.2</v>
                </pt>
                <pt idx="787">
                  <formatCode>0.00</formatCode>
                  <v>61.7</v>
                </pt>
                <pt idx="788">
                  <formatCode>0.00</formatCode>
                  <v>57.9</v>
                </pt>
                <pt idx="789">
                  <formatCode>0.00</formatCode>
                  <v>58.5</v>
                </pt>
                <pt idx="790">
                  <formatCode>0.00</formatCode>
                  <v>60.2</v>
                </pt>
                <pt idx="791">
                  <formatCode>0.00</formatCode>
                  <v>60.1</v>
                </pt>
                <pt idx="792">
                  <formatCode>0.00</formatCode>
                  <v>54.5</v>
                </pt>
                <pt idx="793">
                  <formatCode>0.00</formatCode>
                  <v>52.3</v>
                </pt>
                <pt idx="794">
                  <formatCode>0.00</formatCode>
                  <v>57.5</v>
                </pt>
                <pt idx="795">
                  <formatCode>0.00</formatCode>
                  <v>56.5</v>
                </pt>
                <pt idx="796">
                  <formatCode>0.00</formatCode>
                  <v>61.1</v>
                </pt>
                <pt idx="797">
                  <formatCode>0.00</formatCode>
                  <v>59</v>
                </pt>
                <pt idx="798">
                  <formatCode>0.00</formatCode>
                  <v>59.8</v>
                </pt>
                <pt idx="799">
                  <formatCode>0.00</formatCode>
                  <v>62.2</v>
                </pt>
                <pt idx="800">
                  <formatCode>0.00</formatCode>
                  <v>61.2</v>
                </pt>
                <pt idx="801">
                  <formatCode>0.00</formatCode>
                  <v>61.4</v>
                </pt>
                <pt idx="802">
                  <formatCode>0.00</formatCode>
                  <v>61.5</v>
                </pt>
                <pt idx="803">
                  <formatCode>0.00</formatCode>
                  <v>57</v>
                </pt>
                <pt idx="804">
                  <formatCode>0.00</formatCode>
                  <v>57.2</v>
                </pt>
                <pt idx="805">
                  <formatCode>0.00</formatCode>
                  <v>54</v>
                </pt>
                <pt idx="806">
                  <formatCode>0.00</formatCode>
                  <v>53.6</v>
                </pt>
                <pt idx="807">
                  <formatCode>0.00</formatCode>
                  <v>55.3</v>
                </pt>
                <pt idx="808">
                  <formatCode>0.00</formatCode>
                  <v>55.2</v>
                </pt>
                <pt idx="809">
                  <formatCode>0.00</formatCode>
                  <v>52.5</v>
                </pt>
                <pt idx="810">
                  <formatCode>0.00</formatCode>
                  <v>54</v>
                </pt>
                <pt idx="811">
                  <formatCode>0.00</formatCode>
                  <v>53.5</v>
                </pt>
                <pt idx="812">
                  <formatCode>0.00</formatCode>
                  <v>51.5</v>
                </pt>
                <pt idx="813">
                  <formatCode>0.00</formatCode>
                  <v>53.4</v>
                </pt>
                <pt idx="814">
                  <formatCode>0.00</formatCode>
                  <v>49.5</v>
                </pt>
                <pt idx="815">
                  <formatCode>0.00</formatCode>
                  <v>49.7</v>
                </pt>
                <pt idx="816">
                  <formatCode>0.00</formatCode>
                  <v>49.9</v>
                </pt>
                <pt idx="817">
                  <formatCode>0.00</formatCode>
                  <v>51.9</v>
                </pt>
                <pt idx="818">
                  <formatCode>0.00</formatCode>
                  <v>54.8</v>
                </pt>
                <pt idx="819">
                  <formatCode>0.00</formatCode>
                  <v>53.7</v>
                </pt>
                <pt idx="820">
                  <formatCode>0.00</formatCode>
                  <v>52.7</v>
                </pt>
                <pt idx="821">
                  <formatCode>0.00</formatCode>
                  <v>54.7</v>
                </pt>
                <pt idx="822">
                  <formatCode>0.00</formatCode>
                  <v>55.2</v>
                </pt>
                <pt idx="823">
                  <formatCode>0.00</formatCode>
                  <v>50</v>
                </pt>
                <pt idx="824">
                  <formatCode>0.00</formatCode>
                  <v>53.8</v>
                </pt>
                <pt idx="825">
                  <formatCode>0.00</formatCode>
                  <v>54.2</v>
                </pt>
                <pt idx="826">
                  <formatCode>0.00</formatCode>
                  <v>55.4</v>
                </pt>
                <pt idx="827">
                  <formatCode>0.00</formatCode>
                  <v>59.2</v>
                </pt>
                <pt idx="828">
                  <formatCode>0.00</formatCode>
                  <v>60.5</v>
                </pt>
                <pt idx="829">
                  <formatCode>0.00</formatCode>
                  <v>61.7</v>
                </pt>
                <pt idx="830">
                  <formatCode>0.00</formatCode>
                  <v>57.3</v>
                </pt>
                <pt idx="831">
                  <formatCode>0.00</formatCode>
                  <v>58.9</v>
                </pt>
                <pt idx="832">
                  <formatCode>0.00</formatCode>
                  <v>57.5</v>
                </pt>
                <pt idx="833">
                  <formatCode>0.00</formatCode>
                  <v>60.9</v>
                </pt>
                <pt idx="834">
                  <formatCode>0.00</formatCode>
                  <v>60.4</v>
                </pt>
                <pt idx="835">
                  <formatCode>0.00</formatCode>
                  <v>62</v>
                </pt>
                <pt idx="836">
                  <formatCode>0.00</formatCode>
                  <v>61.9</v>
                </pt>
                <pt idx="837">
                  <formatCode>0.00</formatCode>
                  <v>61</v>
                </pt>
                <pt idx="838">
                  <formatCode>0.00</formatCode>
                  <v>64.3</v>
                </pt>
                <pt idx="839">
                  <formatCode>0.00</formatCode>
                  <v>65.2</v>
                </pt>
                <pt idx="840">
                  <formatCode>0.00</formatCode>
                  <v>64.5</v>
                </pt>
                <pt idx="841">
                  <formatCode>0.00</formatCode>
                  <v>62</v>
                </pt>
                <pt idx="842">
                  <formatCode>0.00</formatCode>
                  <v>61</v>
                </pt>
                <pt idx="843">
                  <formatCode>0.00</formatCode>
                  <v>57.2</v>
                </pt>
                <pt idx="844">
                  <formatCode>0.00</formatCode>
                  <v>61.5</v>
                </pt>
                <pt idx="845">
                  <formatCode>0.00</formatCode>
                  <v>62.3</v>
                </pt>
                <pt idx="846">
                  <formatCode>0.00</formatCode>
                  <v>58.5</v>
                </pt>
                <pt idx="847">
                  <formatCode>0.00</formatCode>
                  <v>63.3</v>
                </pt>
                <pt idx="848">
                  <formatCode>0.00</formatCode>
                  <v>63.9</v>
                </pt>
                <pt idx="849">
                  <formatCode>0.00</formatCode>
                  <v>59.9</v>
                </pt>
                <pt idx="850">
                  <formatCode>0.00</formatCode>
                  <v>60.6</v>
                </pt>
                <pt idx="851">
                  <formatCode>0.00</formatCode>
                  <v>54.3</v>
                </pt>
                <pt idx="852">
                  <formatCode>0.00</formatCode>
                  <v>60.5</v>
                </pt>
                <pt idx="853">
                  <formatCode>0.00</formatCode>
                  <v>54.8</v>
                </pt>
                <pt idx="854">
                  <formatCode>0.00</formatCode>
                  <v>55.8</v>
                </pt>
                <pt idx="855">
                  <formatCode>0.00</formatCode>
                  <v>52.3</v>
                </pt>
                <pt idx="856">
                  <formatCode>0.00</formatCode>
                  <v>51.3</v>
                </pt>
                <pt idx="857">
                  <formatCode>0.00</formatCode>
                  <v>54.1</v>
                </pt>
                <pt idx="858">
                  <formatCode>0.00</formatCode>
                  <v>50.8</v>
                </pt>
                <pt idx="859">
                  <formatCode>0.00</formatCode>
                  <v>49.5</v>
                </pt>
                <pt idx="860">
                  <formatCode>0.00</formatCode>
                  <v>47.3</v>
                </pt>
                <pt idx="861">
                  <formatCode>0.00</formatCode>
                  <v>46.2</v>
                </pt>
                <pt idx="862">
                  <formatCode>0.00</formatCode>
                  <v>49.1</v>
                </pt>
                <pt idx="863">
                  <formatCode>0.00</formatCode>
                  <v>44.8</v>
                </pt>
                <pt idx="864">
                  <formatCode>0.00</formatCode>
                  <v>54.3</v>
                </pt>
                <pt idx="865">
                  <formatCode>0.00</formatCode>
                  <v>50.3</v>
                </pt>
                <pt idx="866">
                  <formatCode>0.00</formatCode>
                  <v>47.7</v>
                </pt>
                <pt idx="867">
                  <formatCode>0.00</formatCode>
                  <v>27.5</v>
                </pt>
                <pt idx="868">
                  <formatCode>0.00</formatCode>
                  <v>33.2</v>
                </pt>
                <pt idx="869">
                  <formatCode>0.00</formatCode>
                  <v>57.3</v>
                </pt>
                <pt idx="870">
                  <formatCode>0.00</formatCode>
                  <v>62.1</v>
                </pt>
                <pt idx="871">
                  <formatCode>0.00</formatCode>
                  <v>63.3</v>
                </pt>
                <pt idx="872">
                  <formatCode>0.00</formatCode>
                  <v>61</v>
                </pt>
                <pt idx="873">
                  <formatCode>0.00</formatCode>
                  <v>63</v>
                </pt>
                <pt idx="874">
                  <formatCode>0.00</formatCode>
                  <v>60.8</v>
                </pt>
                <pt idx="875">
                  <formatCode>0.00</formatCode>
                  <v>64.7</v>
                </pt>
                <pt idx="876">
                  <formatCode>0.00</formatCode>
                  <v>60.7</v>
                </pt>
                <pt idx="877">
                  <formatCode>0.00</formatCode>
                  <v>63.2</v>
                </pt>
                <pt idx="878">
                  <formatCode>0.00</formatCode>
                  <v>68.09999999999999</v>
                </pt>
                <pt idx="879">
                  <formatCode>0.00</formatCode>
                  <v>62.5</v>
                </pt>
                <pt idx="880">
                  <formatCode>0.00</formatCode>
                  <v>58.5</v>
                </pt>
                <pt idx="881">
                  <formatCode>0.00</formatCode>
                  <v>60.8</v>
                </pt>
                <pt idx="882">
                  <formatCode>0.00</formatCode>
                  <v>58.4</v>
                </pt>
                <pt idx="883">
                  <formatCode>0.00</formatCode>
                  <v>60</v>
                </pt>
                <pt idx="884">
                  <formatCode>0.00</formatCode>
                  <v>59.4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Details!$F$6:$F$890</f>
              <numCache>
                <formatCode>General</formatCode>
                <ptCount val="885"/>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formatCode>0.00</formatCode>
                  <v>62.8</v>
                </pt>
                <pt idx="745">
                  <formatCode>0.00</formatCode>
                  <v>57</v>
                </pt>
                <pt idx="746">
                  <formatCode>0.00</formatCode>
                  <v>57.3</v>
                </pt>
                <pt idx="747">
                  <formatCode>0.00</formatCode>
                  <v>62.3</v>
                </pt>
                <pt idx="748">
                  <formatCode>0.00</formatCode>
                  <v>62.1</v>
                </pt>
                <pt idx="749">
                  <formatCode>0.00</formatCode>
                  <v>63</v>
                </pt>
                <pt idx="750">
                  <formatCode>0.00</formatCode>
                  <v>56.1</v>
                </pt>
                <pt idx="751">
                  <formatCode>0.00</formatCode>
                  <v>56.3</v>
                </pt>
                <pt idx="752">
                  <formatCode>0.00</formatCode>
                  <v>57.3</v>
                </pt>
                <pt idx="753">
                  <formatCode>0.00</formatCode>
                  <v>61.5</v>
                </pt>
                <pt idx="754">
                  <formatCode>0.00</formatCode>
                  <v>55.7</v>
                </pt>
                <pt idx="755">
                  <formatCode>0.00</formatCode>
                  <v>62.5</v>
                </pt>
                <pt idx="756">
                  <formatCode>0.00</formatCode>
                  <v>65.3</v>
                </pt>
                <pt idx="757">
                  <formatCode>0.00</formatCode>
                  <v>63.8</v>
                </pt>
                <pt idx="758">
                  <formatCode>0.00</formatCode>
                  <v>61.9</v>
                </pt>
                <pt idx="759">
                  <formatCode>0.00</formatCode>
                  <v>59</v>
                </pt>
                <pt idx="760">
                  <formatCode>0.00</formatCode>
                  <v>54.8</v>
                </pt>
                <pt idx="761">
                  <formatCode>0.00</formatCode>
                  <v>54.5</v>
                </pt>
                <pt idx="762">
                  <formatCode>0.00</formatCode>
                  <v>54.6</v>
                </pt>
                <pt idx="763">
                  <formatCode>0.00</formatCode>
                  <v>51.4</v>
                </pt>
                <pt idx="764">
                  <formatCode>0.00</formatCode>
                  <v>54.7</v>
                </pt>
                <pt idx="765">
                  <formatCode>0.00</formatCode>
                  <v>52.3</v>
                </pt>
                <pt idx="766">
                  <formatCode>0.00</formatCode>
                  <v>56.6</v>
                </pt>
                <pt idx="767">
                  <formatCode>0.00</formatCode>
                  <v>60.9</v>
                </pt>
                <pt idx="768">
                  <formatCode>0.00</formatCode>
                  <v>53.9</v>
                </pt>
                <pt idx="769">
                  <formatCode>0.00</formatCode>
                  <v>57.4</v>
                </pt>
                <pt idx="770">
                  <formatCode>0.00</formatCode>
                  <v>56.8</v>
                </pt>
                <pt idx="771">
                  <formatCode>0.00</formatCode>
                  <v>57.1</v>
                </pt>
                <pt idx="772">
                  <formatCode>0.00</formatCode>
                  <v>55.5</v>
                </pt>
                <pt idx="773">
                  <formatCode>0.00</formatCode>
                  <v>52.7</v>
                </pt>
                <pt idx="774">
                  <formatCode>0.00</formatCode>
                  <v>50.8</v>
                </pt>
                <pt idx="775">
                  <formatCode>0.00</formatCode>
                  <v>49.8</v>
                </pt>
                <pt idx="776">
                  <formatCode>0.00</formatCode>
                  <v>51.8</v>
                </pt>
                <pt idx="777">
                  <formatCode>0.00</formatCode>
                  <v>49.8</v>
                </pt>
                <pt idx="778">
                  <formatCode>0.00</formatCode>
                  <v>50.2</v>
                </pt>
                <pt idx="779">
                  <formatCode>0.00</formatCode>
                  <v>51</v>
                </pt>
                <pt idx="780">
                  <formatCode>0.00</formatCode>
                  <v>53</v>
                </pt>
                <pt idx="781">
                  <formatCode>0.00</formatCode>
                  <v>56.9</v>
                </pt>
                <pt idx="782">
                  <formatCode>0.00</formatCode>
                  <v>54.4</v>
                </pt>
                <pt idx="783">
                  <formatCode>0.00</formatCode>
                  <v>51.2</v>
                </pt>
                <pt idx="784">
                  <formatCode>0.00</formatCode>
                  <v>53</v>
                </pt>
                <pt idx="785">
                  <formatCode>0.00</formatCode>
                  <v>54.7</v>
                </pt>
                <pt idx="786">
                  <formatCode>0.00</formatCode>
                  <v>60.2</v>
                </pt>
                <pt idx="787">
                  <formatCode>0.00</formatCode>
                  <v>61.7</v>
                </pt>
                <pt idx="788">
                  <formatCode>0.00</formatCode>
                  <v>57.9</v>
                </pt>
                <pt idx="789">
                  <formatCode>0.00</formatCode>
                  <v>58.5</v>
                </pt>
                <pt idx="790">
                  <formatCode>0.00</formatCode>
                  <v>60.2</v>
                </pt>
                <pt idx="791">
                  <formatCode>0.00</formatCode>
                  <v>60.1</v>
                </pt>
                <pt idx="792">
                  <formatCode>0.00</formatCode>
                  <v>54.5</v>
                </pt>
                <pt idx="793">
                  <formatCode>0.00</formatCode>
                  <v>52.3</v>
                </pt>
                <pt idx="794">
                  <formatCode>0.00</formatCode>
                  <v>57.5</v>
                </pt>
                <pt idx="795">
                  <formatCode>0.00</formatCode>
                  <v>56.5</v>
                </pt>
                <pt idx="796">
                  <formatCode>0.00</formatCode>
                  <v>61.1</v>
                </pt>
                <pt idx="797">
                  <formatCode>0.00</formatCode>
                  <v>59</v>
                </pt>
                <pt idx="798">
                  <formatCode>0.00</formatCode>
                  <v>59.8</v>
                </pt>
                <pt idx="799">
                  <formatCode>0.00</formatCode>
                  <v>62.2</v>
                </pt>
                <pt idx="800">
                  <formatCode>0.00</formatCode>
                  <v>61.2</v>
                </pt>
                <pt idx="801">
                  <formatCode>0.00</formatCode>
                  <v>61.4</v>
                </pt>
                <pt idx="802">
                  <formatCode>0.00</formatCode>
                  <v>61.5</v>
                </pt>
                <pt idx="803">
                  <formatCode>0.00</formatCode>
                  <v>57</v>
                </pt>
                <pt idx="804">
                  <formatCode>0.00</formatCode>
                  <v>57.2</v>
                </pt>
                <pt idx="805">
                  <formatCode>0.00</formatCode>
                  <v>54</v>
                </pt>
                <pt idx="806">
                  <formatCode>0.00</formatCode>
                  <v>53.6</v>
                </pt>
                <pt idx="807">
                  <formatCode>0.00</formatCode>
                  <v>55.3</v>
                </pt>
                <pt idx="808">
                  <formatCode>0.00</formatCode>
                  <v>55.2</v>
                </pt>
                <pt idx="809">
                  <formatCode>0.00</formatCode>
                  <v>52.5</v>
                </pt>
                <pt idx="810">
                  <formatCode>0.00</formatCode>
                  <v>54</v>
                </pt>
                <pt idx="811">
                  <formatCode>0.00</formatCode>
                  <v>53.5</v>
                </pt>
                <pt idx="812">
                  <formatCode>0.00</formatCode>
                  <v>51.5</v>
                </pt>
                <pt idx="813">
                  <formatCode>0.00</formatCode>
                  <v>53.4</v>
                </pt>
                <pt idx="814">
                  <formatCode>0.00</formatCode>
                  <v>49.5</v>
                </pt>
                <pt idx="815">
                  <formatCode>0.00</formatCode>
                  <v>49.7</v>
                </pt>
                <pt idx="816">
                  <formatCode>0.00</formatCode>
                  <v>49.9</v>
                </pt>
                <pt idx="817">
                  <formatCode>0.00</formatCode>
                  <v>51.9</v>
                </pt>
                <pt idx="818">
                  <formatCode>0.00</formatCode>
                  <v>54.8</v>
                </pt>
                <pt idx="819">
                  <formatCode>0.00</formatCode>
                  <v>53.7</v>
                </pt>
                <pt idx="820">
                  <formatCode>0.00</formatCode>
                  <v>52.7</v>
                </pt>
                <pt idx="821">
                  <formatCode>0.00</formatCode>
                  <v>54.7</v>
                </pt>
                <pt idx="822">
                  <formatCode>0.00</formatCode>
                  <v>55.2</v>
                </pt>
                <pt idx="823">
                  <formatCode>0.00</formatCode>
                  <v>50</v>
                </pt>
                <pt idx="824">
                  <formatCode>0.00</formatCode>
                  <v>53.8</v>
                </pt>
                <pt idx="825">
                  <formatCode>0.00</formatCode>
                  <v>54.2</v>
                </pt>
                <pt idx="826">
                  <formatCode>0.00</formatCode>
                  <v>55.4</v>
                </pt>
                <pt idx="827">
                  <formatCode>0.00</formatCode>
                  <v>59.2</v>
                </pt>
                <pt idx="828">
                  <formatCode>0.00</formatCode>
                  <v>60.5</v>
                </pt>
                <pt idx="829">
                  <formatCode>0.00</formatCode>
                  <v>61.7</v>
                </pt>
                <pt idx="830">
                  <formatCode>0.00</formatCode>
                  <v>57.3</v>
                </pt>
                <pt idx="831">
                  <formatCode>0.00</formatCode>
                  <v>58.9</v>
                </pt>
                <pt idx="832">
                  <formatCode>0.00</formatCode>
                  <v>57.5</v>
                </pt>
                <pt idx="833">
                  <formatCode>0.00</formatCode>
                  <v>60.9</v>
                </pt>
                <pt idx="834">
                  <formatCode>0.00</formatCode>
                  <v>60.4</v>
                </pt>
                <pt idx="835">
                  <formatCode>0.00</formatCode>
                  <v>62</v>
                </pt>
                <pt idx="836">
                  <formatCode>0.00</formatCode>
                  <v>61.9</v>
                </pt>
                <pt idx="837">
                  <formatCode>0.00</formatCode>
                  <v>61</v>
                </pt>
                <pt idx="838">
                  <formatCode>0.00</formatCode>
                  <v>64.3</v>
                </pt>
                <pt idx="839">
                  <formatCode>0.00</formatCode>
                  <v>65.2</v>
                </pt>
                <pt idx="840">
                  <formatCode>0.00</formatCode>
                  <v>64.5</v>
                </pt>
                <pt idx="841">
                  <formatCode>0.00</formatCode>
                  <v>62</v>
                </pt>
                <pt idx="842">
                  <formatCode>0.00</formatCode>
                  <v>61</v>
                </pt>
                <pt idx="843">
                  <formatCode>0.00</formatCode>
                  <v>57.2</v>
                </pt>
                <pt idx="844">
                  <formatCode>0.00</formatCode>
                  <v>61.5</v>
                </pt>
                <pt idx="845">
                  <formatCode>0.00</formatCode>
                  <v>62.3</v>
                </pt>
                <pt idx="846">
                  <formatCode>0.00</formatCode>
                  <v>58.5</v>
                </pt>
                <pt idx="847">
                  <formatCode>0.00</formatCode>
                  <v>63.3</v>
                </pt>
                <pt idx="848">
                  <formatCode>0.00</formatCode>
                  <v>63.9</v>
                </pt>
                <pt idx="849">
                  <formatCode>0.00</formatCode>
                  <v>59.9</v>
                </pt>
                <pt idx="850">
                  <formatCode>0.00</formatCode>
                  <v>60.6</v>
                </pt>
                <pt idx="851">
                  <formatCode>0.00</formatCode>
                  <v>54.3</v>
                </pt>
                <pt idx="852">
                  <formatCode>0.00</formatCode>
                  <v>60.5</v>
                </pt>
                <pt idx="853">
                  <formatCode>0.00</formatCode>
                  <v>54.8</v>
                </pt>
                <pt idx="854">
                  <formatCode>0.00</formatCode>
                  <v>55.8</v>
                </pt>
                <pt idx="855">
                  <formatCode>0.00</formatCode>
                  <v>52.3</v>
                </pt>
                <pt idx="856">
                  <formatCode>0.00</formatCode>
                  <v>51.3</v>
                </pt>
                <pt idx="857">
                  <formatCode>0.00</formatCode>
                  <v>54.1</v>
                </pt>
                <pt idx="858">
                  <formatCode>0.00</formatCode>
                  <v>50.8</v>
                </pt>
                <pt idx="859">
                  <formatCode>0.00</formatCode>
                  <v>49.5</v>
                </pt>
                <pt idx="860">
                  <formatCode>0.00</formatCode>
                  <v>47.3</v>
                </pt>
                <pt idx="861">
                  <formatCode>0.00</formatCode>
                  <v>46.2</v>
                </pt>
                <pt idx="862">
                  <formatCode>0.00</formatCode>
                  <v>49.1</v>
                </pt>
                <pt idx="863">
                  <formatCode>0.00</formatCode>
                  <v>44.8</v>
                </pt>
                <pt idx="864">
                  <formatCode>0.00</formatCode>
                  <v>54.3</v>
                </pt>
                <pt idx="865">
                  <formatCode>0.00</formatCode>
                  <v>50.3</v>
                </pt>
                <pt idx="866">
                  <formatCode>0.00</formatCode>
                  <v>47.7</v>
                </pt>
                <pt idx="867">
                  <formatCode>0.00</formatCode>
                  <v>27.5</v>
                </pt>
                <pt idx="868">
                  <formatCode>0.00</formatCode>
                  <v>33.2</v>
                </pt>
                <pt idx="869">
                  <formatCode>0.00</formatCode>
                  <v>57.3</v>
                </pt>
                <pt idx="870">
                  <formatCode>0.00</formatCode>
                  <v>62.1</v>
                </pt>
                <pt idx="871">
                  <formatCode>0.00</formatCode>
                  <v>63.3</v>
                </pt>
                <pt idx="872">
                  <formatCode>0.00</formatCode>
                  <v>61</v>
                </pt>
                <pt idx="873">
                  <formatCode>0.00</formatCode>
                  <v>63</v>
                </pt>
                <pt idx="874">
                  <formatCode>0.00</formatCode>
                  <v>60.8</v>
                </pt>
                <pt idx="875">
                  <formatCode>0.00</formatCode>
                  <v>64.7</v>
                </pt>
                <pt idx="876">
                  <formatCode>0.00</formatCode>
                  <v>60.7</v>
                </pt>
                <pt idx="877">
                  <formatCode>0.00</formatCode>
                  <v>63.2</v>
                </pt>
                <pt idx="878">
                  <formatCode>0.00</formatCode>
                  <v>68.09999999999999</v>
                </pt>
                <pt idx="879">
                  <formatCode>0.00</formatCode>
                  <v>62.5</v>
                </pt>
                <pt idx="880">
                  <formatCode>0.00</formatCode>
                  <v>58.5</v>
                </pt>
                <pt idx="881">
                  <formatCode>0.00</formatCode>
                  <v>60.8</v>
                </pt>
                <pt idx="882">
                  <formatCode>0.00</formatCode>
                  <v>58.4</v>
                </pt>
                <pt idx="883">
                  <formatCode>0.00</formatCode>
                  <v>60</v>
                </pt>
                <pt idx="884">
                  <formatCode>0.00</formatCode>
                  <v>59.4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Details!$G$6:$G$890</f>
              <numCache>
                <formatCode>General</formatCode>
                <ptCount val="885"/>
                <pt idx="588">
                  <v>46.5</v>
                </pt>
                <pt idx="589">
                  <v>44.5</v>
                </pt>
                <pt idx="590">
                  <v>46.5</v>
                </pt>
                <pt idx="591">
                  <v>47</v>
                </pt>
                <pt idx="592">
                  <v>44.5</v>
                </pt>
                <pt idx="593">
                  <v>50.5</v>
                </pt>
                <pt idx="594">
                  <v>47.5</v>
                </pt>
                <pt idx="595">
                  <v>47</v>
                </pt>
                <pt idx="596">
                  <v>49.5</v>
                </pt>
                <pt idx="597">
                  <v>47</v>
                </pt>
                <pt idx="598">
                  <v>48</v>
                </pt>
                <pt idx="599">
                  <v>46.5</v>
                </pt>
                <pt idx="600">
                  <v>47.5</v>
                </pt>
                <pt idx="601">
                  <v>46.5</v>
                </pt>
                <pt idx="602">
                  <v>47</v>
                </pt>
                <pt idx="603">
                  <v>49</v>
                </pt>
                <pt idx="604">
                  <v>47.5</v>
                </pt>
                <pt idx="605">
                  <v>44.5</v>
                </pt>
                <pt idx="606">
                  <v>47</v>
                </pt>
                <pt idx="607">
                  <v>50.5</v>
                </pt>
                <pt idx="608">
                  <v>49</v>
                </pt>
                <pt idx="609">
                  <v>50.5</v>
                </pt>
                <pt idx="610">
                  <v>47.5</v>
                </pt>
                <pt idx="611">
                  <v>47</v>
                </pt>
                <pt idx="612">
                  <v>44</v>
                </pt>
                <pt idx="613">
                  <v>43</v>
                </pt>
                <pt idx="614">
                  <v>43.5</v>
                </pt>
                <pt idx="615">
                  <v>45</v>
                </pt>
                <pt idx="616">
                  <v>45.5</v>
                </pt>
                <pt idx="617">
                  <v>43.5</v>
                </pt>
                <pt idx="618">
                  <v>45</v>
                </pt>
                <pt idx="619">
                  <v>45.5</v>
                </pt>
                <pt idx="620">
                  <v>43.5</v>
                </pt>
                <pt idx="621">
                  <v>44.5</v>
                </pt>
                <pt idx="622">
                  <v>48.5</v>
                </pt>
                <pt idx="623">
                  <v>48.5</v>
                </pt>
                <pt idx="624">
                  <v>46.5</v>
                </pt>
                <pt idx="625">
                  <v>48</v>
                </pt>
                <pt idx="626">
                  <v>48</v>
                </pt>
                <pt idx="627">
                  <v>47</v>
                </pt>
                <pt idx="628">
                  <v>50.5</v>
                </pt>
                <pt idx="629">
                  <v>47</v>
                </pt>
                <pt idx="630">
                  <v>49.5</v>
                </pt>
                <pt idx="631">
                  <v>50.5</v>
                </pt>
                <pt idx="632">
                  <v>48.5</v>
                </pt>
                <pt idx="633">
                  <v>50.5</v>
                </pt>
                <pt idx="634">
                  <v>51.5</v>
                </pt>
                <pt idx="635">
                  <v>51</v>
                </pt>
                <pt idx="636">
                  <v>56</v>
                </pt>
                <pt idx="637">
                  <v>52.5</v>
                </pt>
                <pt idx="638">
                  <v>52</v>
                </pt>
                <pt idx="639">
                  <v>50</v>
                </pt>
                <pt idx="640">
                  <v>51</v>
                </pt>
                <pt idx="641">
                  <v>48</v>
                </pt>
                <pt idx="642">
                  <v>45</v>
                </pt>
                <pt idx="643">
                  <v>48.5</v>
                </pt>
                <pt idx="644">
                  <v>48.5</v>
                </pt>
                <pt idx="645">
                  <v>44.5</v>
                </pt>
                <pt idx="646">
                  <v>44.5</v>
                </pt>
                <pt idx="647">
                  <v>44</v>
                </pt>
                <pt idx="648">
                  <v>43.5</v>
                </pt>
                <pt idx="649">
                  <v>41.5</v>
                </pt>
                <pt idx="650">
                  <v>40</v>
                </pt>
                <pt idx="651">
                  <v>40.5</v>
                </pt>
                <pt idx="652">
                  <v>39</v>
                </pt>
                <pt idx="653">
                  <v>44.5</v>
                </pt>
                <pt idx="654">
                  <v>42.5</v>
                </pt>
                <pt idx="655">
                  <v>42.5</v>
                </pt>
                <pt idx="656">
                  <v>40.5</v>
                </pt>
                <pt idx="657">
                  <v>42.5</v>
                </pt>
                <pt idx="658">
                  <v>46.5</v>
                </pt>
                <pt idx="659">
                  <v>43</v>
                </pt>
                <pt idx="660">
                  <v>42.5</v>
                </pt>
                <pt idx="661">
                  <v>46</v>
                </pt>
                <pt idx="662">
                  <v>42</v>
                </pt>
                <pt idx="663">
                  <v>44.5</v>
                </pt>
                <pt idx="664">
                  <v>45</v>
                </pt>
                <pt idx="665">
                  <v>45.5</v>
                </pt>
                <pt idx="666">
                  <v>42.5</v>
                </pt>
                <pt idx="667">
                  <v>43</v>
                </pt>
                <pt idx="668">
                  <v>44.5</v>
                </pt>
                <pt idx="669">
                  <v>39</v>
                </pt>
                <pt idx="670">
                  <v>39.5</v>
                </pt>
                <pt idx="671">
                  <v>39</v>
                </pt>
                <pt idx="672">
                  <v>40</v>
                </pt>
                <pt idx="673">
                  <v>38.5</v>
                </pt>
                <pt idx="674">
                  <v>39.5</v>
                </pt>
                <pt idx="675">
                  <v>40.5</v>
                </pt>
                <pt idx="676">
                  <v>37</v>
                </pt>
                <pt idx="677">
                  <v>39</v>
                </pt>
                <pt idx="678">
                  <v>37.5</v>
                </pt>
                <pt idx="679">
                  <v>45.5</v>
                </pt>
                <pt idx="680">
                  <v>41.5</v>
                </pt>
                <pt idx="681">
                  <v>43.5</v>
                </pt>
                <pt idx="682">
                  <v>43.5</v>
                </pt>
                <pt idx="683">
                  <v>44</v>
                </pt>
                <pt idx="684">
                  <v>44.5</v>
                </pt>
                <pt idx="685">
                  <v>42.5</v>
                </pt>
                <pt idx="686">
                  <v>46</v>
                </pt>
                <pt idx="687">
                  <v>41.5</v>
                </pt>
                <pt idx="688">
                  <v>47.5</v>
                </pt>
                <pt idx="689">
                  <v>44</v>
                </pt>
                <pt idx="690">
                  <v>44.5</v>
                </pt>
                <pt idx="691">
                  <v>46.5</v>
                </pt>
                <pt idx="692">
                  <v>44.5</v>
                </pt>
                <pt idx="693">
                  <v>41</v>
                </pt>
                <pt idx="694">
                  <v>43.5</v>
                </pt>
                <pt idx="695">
                  <v>48</v>
                </pt>
                <pt idx="696">
                  <v>46</v>
                </pt>
                <pt idx="697">
                  <v>48.5</v>
                </pt>
                <pt idx="698">
                  <v>48</v>
                </pt>
                <pt idx="699">
                  <v>46.5</v>
                </pt>
                <pt idx="700">
                  <v>44</v>
                </pt>
                <pt idx="701">
                  <v>45.5</v>
                </pt>
                <pt idx="702">
                  <v>44.5</v>
                </pt>
                <pt idx="703">
                  <v>46</v>
                </pt>
                <pt idx="704">
                  <v>49</v>
                </pt>
                <pt idx="705">
                  <v>52</v>
                </pt>
                <pt idx="706">
                  <v>50.5</v>
                </pt>
                <pt idx="707">
                  <v>50.5</v>
                </pt>
                <pt idx="708">
                  <v>49.2</v>
                </pt>
                <pt idx="709">
                  <v>51.4</v>
                </pt>
                <pt idx="710">
                  <v>47.1</v>
                </pt>
                <pt idx="711">
                  <v>44.6</v>
                </pt>
                <pt idx="712">
                  <v>48.6</v>
                </pt>
                <pt idx="713">
                  <v>47.5</v>
                </pt>
                <pt idx="714">
                  <v>49.8</v>
                </pt>
                <pt idx="715">
                  <v>50.7</v>
                </pt>
                <pt idx="716">
                  <v>51.1</v>
                </pt>
                <pt idx="717">
                  <v>52.5</v>
                </pt>
                <pt idx="718">
                  <v>49.5</v>
                </pt>
                <pt idx="719">
                  <v>49.8</v>
                </pt>
                <pt idx="720">
                  <v>48.9</v>
                </pt>
                <pt idx="721">
                  <v>50.3</v>
                </pt>
                <pt idx="722">
                  <v>50.7</v>
                </pt>
                <pt idx="723">
                  <v>44.1</v>
                </pt>
                <pt idx="724">
                  <v>47.2</v>
                </pt>
                <pt idx="725">
                  <v>55.7</v>
                </pt>
                <pt idx="726">
                  <v>46.2</v>
                </pt>
                <pt idx="727">
                  <v>52.5</v>
                </pt>
                <pt idx="728">
                  <v>52.4</v>
                </pt>
                <pt idx="729">
                  <v>55.8</v>
                </pt>
                <pt idx="730">
                  <v>54.3</v>
                </pt>
                <pt idx="731">
                  <v>54</v>
                </pt>
                <pt idx="732">
                  <v>51.4</v>
                </pt>
                <pt idx="733">
                  <v>50.9</v>
                </pt>
                <pt idx="734">
                  <v>50.9</v>
                </pt>
                <pt idx="735">
                  <v>49.9</v>
                </pt>
                <pt idx="736">
                  <v>43.6</v>
                </pt>
                <pt idx="737">
                  <v>44.8</v>
                </pt>
                <pt idx="738">
                  <v>42.2</v>
                </pt>
                <pt idx="739">
                  <v>38.8</v>
                </pt>
                <pt idx="740">
                  <v>34.9</v>
                </pt>
                <pt idx="741">
                  <v>40</v>
                </pt>
                <pt idx="742">
                  <v>39.3</v>
                </pt>
                <pt idx="743">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Details!$G$6:$G$890</f>
              <numCache>
                <formatCode>General</formatCode>
                <ptCount val="885"/>
                <pt idx="588">
                  <v>46.5</v>
                </pt>
                <pt idx="589">
                  <v>44.5</v>
                </pt>
                <pt idx="590">
                  <v>46.5</v>
                </pt>
                <pt idx="591">
                  <v>47</v>
                </pt>
                <pt idx="592">
                  <v>44.5</v>
                </pt>
                <pt idx="593">
                  <v>50.5</v>
                </pt>
                <pt idx="594">
                  <v>47.5</v>
                </pt>
                <pt idx="595">
                  <v>47</v>
                </pt>
                <pt idx="596">
                  <v>49.5</v>
                </pt>
                <pt idx="597">
                  <v>47</v>
                </pt>
                <pt idx="598">
                  <v>48</v>
                </pt>
                <pt idx="599">
                  <v>46.5</v>
                </pt>
                <pt idx="600">
                  <v>47.5</v>
                </pt>
                <pt idx="601">
                  <v>46.5</v>
                </pt>
                <pt idx="602">
                  <v>47</v>
                </pt>
                <pt idx="603">
                  <v>49</v>
                </pt>
                <pt idx="604">
                  <v>47.5</v>
                </pt>
                <pt idx="605">
                  <v>44.5</v>
                </pt>
                <pt idx="606">
                  <v>47</v>
                </pt>
                <pt idx="607">
                  <v>50.5</v>
                </pt>
                <pt idx="608">
                  <v>49</v>
                </pt>
                <pt idx="609">
                  <v>50.5</v>
                </pt>
                <pt idx="610">
                  <v>47.5</v>
                </pt>
                <pt idx="611">
                  <v>47</v>
                </pt>
                <pt idx="612">
                  <v>44</v>
                </pt>
                <pt idx="613">
                  <v>43</v>
                </pt>
                <pt idx="614">
                  <v>43.5</v>
                </pt>
                <pt idx="615">
                  <v>45</v>
                </pt>
                <pt idx="616">
                  <v>45.5</v>
                </pt>
                <pt idx="617">
                  <v>43.5</v>
                </pt>
                <pt idx="618">
                  <v>45</v>
                </pt>
                <pt idx="619">
                  <v>45.5</v>
                </pt>
                <pt idx="620">
                  <v>43.5</v>
                </pt>
                <pt idx="621">
                  <v>44.5</v>
                </pt>
                <pt idx="622">
                  <v>48.5</v>
                </pt>
                <pt idx="623">
                  <v>48.5</v>
                </pt>
                <pt idx="624">
                  <v>46.5</v>
                </pt>
                <pt idx="625">
                  <v>48</v>
                </pt>
                <pt idx="626">
                  <v>48</v>
                </pt>
                <pt idx="627">
                  <v>47</v>
                </pt>
                <pt idx="628">
                  <v>50.5</v>
                </pt>
                <pt idx="629">
                  <v>47</v>
                </pt>
                <pt idx="630">
                  <v>49.5</v>
                </pt>
                <pt idx="631">
                  <v>50.5</v>
                </pt>
                <pt idx="632">
                  <v>48.5</v>
                </pt>
                <pt idx="633">
                  <v>50.5</v>
                </pt>
                <pt idx="634">
                  <v>51.5</v>
                </pt>
                <pt idx="635">
                  <v>51</v>
                </pt>
                <pt idx="636">
                  <v>56</v>
                </pt>
                <pt idx="637">
                  <v>52.5</v>
                </pt>
                <pt idx="638">
                  <v>52</v>
                </pt>
                <pt idx="639">
                  <v>50</v>
                </pt>
                <pt idx="640">
                  <v>51</v>
                </pt>
                <pt idx="641">
                  <v>48</v>
                </pt>
                <pt idx="642">
                  <v>45</v>
                </pt>
                <pt idx="643">
                  <v>48.5</v>
                </pt>
                <pt idx="644">
                  <v>48.5</v>
                </pt>
                <pt idx="645">
                  <v>44.5</v>
                </pt>
                <pt idx="646">
                  <v>44.5</v>
                </pt>
                <pt idx="647">
                  <v>44</v>
                </pt>
                <pt idx="648">
                  <v>43.5</v>
                </pt>
                <pt idx="649">
                  <v>41.5</v>
                </pt>
                <pt idx="650">
                  <v>40</v>
                </pt>
                <pt idx="651">
                  <v>40.5</v>
                </pt>
                <pt idx="652">
                  <v>39</v>
                </pt>
                <pt idx="653">
                  <v>44.5</v>
                </pt>
                <pt idx="654">
                  <v>42.5</v>
                </pt>
                <pt idx="655">
                  <v>42.5</v>
                </pt>
                <pt idx="656">
                  <v>40.5</v>
                </pt>
                <pt idx="657">
                  <v>42.5</v>
                </pt>
                <pt idx="658">
                  <v>46.5</v>
                </pt>
                <pt idx="659">
                  <v>43</v>
                </pt>
                <pt idx="660">
                  <v>42.5</v>
                </pt>
                <pt idx="661">
                  <v>46</v>
                </pt>
                <pt idx="662">
                  <v>42</v>
                </pt>
                <pt idx="663">
                  <v>44.5</v>
                </pt>
                <pt idx="664">
                  <v>45</v>
                </pt>
                <pt idx="665">
                  <v>45.5</v>
                </pt>
                <pt idx="666">
                  <v>42.5</v>
                </pt>
                <pt idx="667">
                  <v>43</v>
                </pt>
                <pt idx="668">
                  <v>44.5</v>
                </pt>
                <pt idx="669">
                  <v>39</v>
                </pt>
                <pt idx="670">
                  <v>39.5</v>
                </pt>
                <pt idx="671">
                  <v>39</v>
                </pt>
                <pt idx="672">
                  <v>40</v>
                </pt>
                <pt idx="673">
                  <v>38.5</v>
                </pt>
                <pt idx="674">
                  <v>39.5</v>
                </pt>
                <pt idx="675">
                  <v>40.5</v>
                </pt>
                <pt idx="676">
                  <v>37</v>
                </pt>
                <pt idx="677">
                  <v>39</v>
                </pt>
                <pt idx="678">
                  <v>37.5</v>
                </pt>
                <pt idx="679">
                  <v>45.5</v>
                </pt>
                <pt idx="680">
                  <v>41.5</v>
                </pt>
                <pt idx="681">
                  <v>43.5</v>
                </pt>
                <pt idx="682">
                  <v>43.5</v>
                </pt>
                <pt idx="683">
                  <v>44</v>
                </pt>
                <pt idx="684">
                  <v>44.5</v>
                </pt>
                <pt idx="685">
                  <v>42.5</v>
                </pt>
                <pt idx="686">
                  <v>46</v>
                </pt>
                <pt idx="687">
                  <v>41.5</v>
                </pt>
                <pt idx="688">
                  <v>47.5</v>
                </pt>
                <pt idx="689">
                  <v>44</v>
                </pt>
                <pt idx="690">
                  <v>44.5</v>
                </pt>
                <pt idx="691">
                  <v>46.5</v>
                </pt>
                <pt idx="692">
                  <v>44.5</v>
                </pt>
                <pt idx="693">
                  <v>41</v>
                </pt>
                <pt idx="694">
                  <v>43.5</v>
                </pt>
                <pt idx="695">
                  <v>48</v>
                </pt>
                <pt idx="696">
                  <v>46</v>
                </pt>
                <pt idx="697">
                  <v>48.5</v>
                </pt>
                <pt idx="698">
                  <v>48</v>
                </pt>
                <pt idx="699">
                  <v>46.5</v>
                </pt>
                <pt idx="700">
                  <v>44</v>
                </pt>
                <pt idx="701">
                  <v>45.5</v>
                </pt>
                <pt idx="702">
                  <v>44.5</v>
                </pt>
                <pt idx="703">
                  <v>46</v>
                </pt>
                <pt idx="704">
                  <v>49</v>
                </pt>
                <pt idx="705">
                  <v>52</v>
                </pt>
                <pt idx="706">
                  <v>50.5</v>
                </pt>
                <pt idx="707">
                  <v>50.5</v>
                </pt>
                <pt idx="708">
                  <v>49.2</v>
                </pt>
                <pt idx="709">
                  <v>51.4</v>
                </pt>
                <pt idx="710">
                  <v>47.1</v>
                </pt>
                <pt idx="711">
                  <v>44.6</v>
                </pt>
                <pt idx="712">
                  <v>48.6</v>
                </pt>
                <pt idx="713">
                  <v>47.5</v>
                </pt>
                <pt idx="714">
                  <v>49.8</v>
                </pt>
                <pt idx="715">
                  <v>50.7</v>
                </pt>
                <pt idx="716">
                  <v>51.1</v>
                </pt>
                <pt idx="717">
                  <v>52.5</v>
                </pt>
                <pt idx="718">
                  <v>49.5</v>
                </pt>
                <pt idx="719">
                  <v>49.8</v>
                </pt>
                <pt idx="720">
                  <v>48.9</v>
                </pt>
                <pt idx="721">
                  <v>50.3</v>
                </pt>
                <pt idx="722">
                  <v>50.7</v>
                </pt>
                <pt idx="723">
                  <v>44.1</v>
                </pt>
                <pt idx="724">
                  <v>47.2</v>
                </pt>
                <pt idx="725">
                  <v>55.7</v>
                </pt>
                <pt idx="726">
                  <v>46.2</v>
                </pt>
                <pt idx="727">
                  <v>52.5</v>
                </pt>
                <pt idx="728">
                  <v>52.4</v>
                </pt>
                <pt idx="729">
                  <v>55.8</v>
                </pt>
                <pt idx="730">
                  <v>54.3</v>
                </pt>
                <pt idx="731">
                  <v>54</v>
                </pt>
                <pt idx="732">
                  <v>51.4</v>
                </pt>
                <pt idx="733">
                  <v>50.9</v>
                </pt>
                <pt idx="734">
                  <v>50.9</v>
                </pt>
                <pt idx="735">
                  <v>49.9</v>
                </pt>
                <pt idx="736">
                  <v>43.6</v>
                </pt>
                <pt idx="737">
                  <v>44.8</v>
                </pt>
                <pt idx="738">
                  <v>42.2</v>
                </pt>
                <pt idx="739">
                  <v>38.8</v>
                </pt>
                <pt idx="740">
                  <v>34.9</v>
                </pt>
                <pt idx="741">
                  <v>40</v>
                </pt>
                <pt idx="742">
                  <v>39.3</v>
                </pt>
                <pt idx="743">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Details!$H$6:$H$890</f>
              <numCache>
                <formatCode>General</formatCode>
                <ptCount val="885"/>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formatCode>0.00</formatCode>
                  <v>46</v>
                </pt>
                <pt idx="745">
                  <formatCode>0.00</formatCode>
                  <v>49</v>
                </pt>
                <pt idx="746">
                  <formatCode>0.00</formatCode>
                  <v>56.5</v>
                </pt>
                <pt idx="747">
                  <formatCode>0.00</formatCode>
                  <v>50.5</v>
                </pt>
                <pt idx="748">
                  <formatCode>0.00</formatCode>
                  <v>46</v>
                </pt>
                <pt idx="749">
                  <formatCode>0.00</formatCode>
                  <v>46</v>
                </pt>
                <pt idx="750">
                  <formatCode>0.00</formatCode>
                  <v>49</v>
                </pt>
                <pt idx="751">
                  <formatCode>0.00</formatCode>
                  <v>53</v>
                </pt>
                <pt idx="752">
                  <formatCode>0.00</formatCode>
                  <v>56</v>
                </pt>
                <pt idx="753">
                  <formatCode>0.00</formatCode>
                  <v>53</v>
                </pt>
                <pt idx="754">
                  <formatCode>0.00</formatCode>
                  <v>54</v>
                </pt>
                <pt idx="755">
                  <formatCode>0.00</formatCode>
                  <v>50</v>
                </pt>
                <pt idx="756">
                  <formatCode>0.00</formatCode>
                  <v>52</v>
                </pt>
                <pt idx="757">
                  <formatCode>0.00</formatCode>
                  <v>50.5</v>
                </pt>
                <pt idx="758">
                  <formatCode>0.00</formatCode>
                  <v>49</v>
                </pt>
                <pt idx="759">
                  <formatCode>0.00</formatCode>
                  <v>54.5</v>
                </pt>
                <pt idx="760">
                  <formatCode>0.00</formatCode>
                  <v>48.5</v>
                </pt>
                <pt idx="761">
                  <formatCode>0.00</formatCode>
                  <v>53.5</v>
                </pt>
                <pt idx="762">
                  <formatCode>0.00</formatCode>
                  <v>48</v>
                </pt>
                <pt idx="763">
                  <formatCode>0.00</formatCode>
                  <v>54.5</v>
                </pt>
                <pt idx="764">
                  <formatCode>0.00</formatCode>
                  <v>52</v>
                </pt>
                <pt idx="765">
                  <formatCode>0.00</formatCode>
                  <v>46.5</v>
                </pt>
                <pt idx="766">
                  <formatCode>0.00</formatCode>
                  <v>46.5</v>
                </pt>
                <pt idx="767">
                  <formatCode>0.00</formatCode>
                  <v>45.5</v>
                </pt>
                <pt idx="768">
                  <formatCode>0.00</formatCode>
                  <v>49.5</v>
                </pt>
                <pt idx="769">
                  <formatCode>0.00</formatCode>
                  <v>49.5</v>
                </pt>
                <pt idx="770">
                  <formatCode>0.00</formatCode>
                  <v>50</v>
                </pt>
                <pt idx="771">
                  <formatCode>0.00</formatCode>
                  <v>48.5</v>
                </pt>
                <pt idx="772">
                  <formatCode>0.00</formatCode>
                  <v>46</v>
                </pt>
                <pt idx="773">
                  <formatCode>0.00</formatCode>
                  <v>44</v>
                </pt>
                <pt idx="774">
                  <formatCode>0.00</formatCode>
                  <v>49</v>
                </pt>
                <pt idx="775">
                  <formatCode>0.00</formatCode>
                  <v>53</v>
                </pt>
                <pt idx="776">
                  <formatCode>0.00</formatCode>
                  <v>50.5</v>
                </pt>
                <pt idx="777">
                  <formatCode>0.00</formatCode>
                  <v>50</v>
                </pt>
                <pt idx="778">
                  <formatCode>0.00</formatCode>
                  <v>45</v>
                </pt>
                <pt idx="779">
                  <formatCode>0.00</formatCode>
                  <v>43</v>
                </pt>
                <pt idx="780">
                  <formatCode>0.00</formatCode>
                  <v>51</v>
                </pt>
                <pt idx="781">
                  <formatCode>0.00</formatCode>
                  <v>51.5</v>
                </pt>
                <pt idx="782">
                  <formatCode>0.00</formatCode>
                  <v>49.5</v>
                </pt>
                <pt idx="783">
                  <formatCode>0.00</formatCode>
                  <v>46.5</v>
                </pt>
                <pt idx="784">
                  <formatCode>0.00</formatCode>
                  <v>49</v>
                </pt>
                <pt idx="785">
                  <formatCode>0.00</formatCode>
                  <v>50.5</v>
                </pt>
                <pt idx="786">
                  <formatCode>0.00</formatCode>
                  <v>47</v>
                </pt>
                <pt idx="787">
                  <formatCode>0.00</formatCode>
                  <v>47.5</v>
                </pt>
                <pt idx="788">
                  <formatCode>0.00</formatCode>
                  <v>50</v>
                </pt>
                <pt idx="789">
                  <formatCode>0.00</formatCode>
                  <v>52.5</v>
                </pt>
                <pt idx="790">
                  <formatCode>0.00</formatCode>
                  <v>50.5</v>
                </pt>
                <pt idx="791">
                  <formatCode>0.00</formatCode>
                  <v>47</v>
                </pt>
                <pt idx="792">
                  <formatCode>0.00</formatCode>
                  <v>44</v>
                </pt>
                <pt idx="793">
                  <formatCode>0.00</formatCode>
                  <v>52.5</v>
                </pt>
                <pt idx="794">
                  <formatCode>0.00</formatCode>
                  <v>52.5</v>
                </pt>
                <pt idx="795">
                  <formatCode>0.00</formatCode>
                  <v>53</v>
                </pt>
                <pt idx="796">
                  <formatCode>0.00</formatCode>
                  <v>53</v>
                </pt>
                <pt idx="797">
                  <formatCode>0.00</formatCode>
                  <v>53</v>
                </pt>
                <pt idx="798">
                  <formatCode>0.00</formatCode>
                  <v>48.5</v>
                </pt>
                <pt idx="799">
                  <formatCode>0.00</formatCode>
                  <v>52</v>
                </pt>
                <pt idx="800">
                  <formatCode>0.00</formatCode>
                  <v>51.5</v>
                </pt>
                <pt idx="801">
                  <formatCode>0.00</formatCode>
                  <v>52.5</v>
                </pt>
                <pt idx="802">
                  <formatCode>0.00</formatCode>
                  <v>51.5</v>
                </pt>
                <pt idx="803">
                  <formatCode>0.00</formatCode>
                  <v>45.5</v>
                </pt>
                <pt idx="804">
                  <formatCode>0.00</formatCode>
                  <v>51</v>
                </pt>
                <pt idx="805">
                  <formatCode>0.00</formatCode>
                  <v>52.5</v>
                </pt>
                <pt idx="806">
                  <formatCode>0.00</formatCode>
                  <v>51.5</v>
                </pt>
                <pt idx="807">
                  <formatCode>0.00</formatCode>
                  <v>49.5</v>
                </pt>
                <pt idx="808">
                  <formatCode>0.00</formatCode>
                  <v>51.5</v>
                </pt>
                <pt idx="809">
                  <formatCode>0.00</formatCode>
                  <v>53</v>
                </pt>
                <pt idx="810">
                  <formatCode>0.00</formatCode>
                  <v>49.5</v>
                </pt>
                <pt idx="811">
                  <formatCode>0.00</formatCode>
                  <v>48.5</v>
                </pt>
                <pt idx="812">
                  <formatCode>0.00</formatCode>
                  <v>48.5</v>
                </pt>
                <pt idx="813">
                  <formatCode>0.00</formatCode>
                  <v>46.5</v>
                </pt>
                <pt idx="814">
                  <formatCode>0.00</formatCode>
                  <v>43</v>
                </pt>
                <pt idx="815">
                  <formatCode>0.00</formatCode>
                  <v>43.5</v>
                </pt>
                <pt idx="816">
                  <formatCode>0.00</formatCode>
                  <v>43.5</v>
                </pt>
                <pt idx="817">
                  <formatCode>0.00</formatCode>
                  <v>45</v>
                </pt>
                <pt idx="818">
                  <formatCode>0.00</formatCode>
                  <v>47</v>
                </pt>
                <pt idx="819">
                  <formatCode>0.00</formatCode>
                  <v>45.5</v>
                </pt>
                <pt idx="820">
                  <formatCode>0.00</formatCode>
                  <v>45</v>
                </pt>
                <pt idx="821">
                  <formatCode>0.00</formatCode>
                  <v>48.5</v>
                </pt>
                <pt idx="822">
                  <formatCode>0.00</formatCode>
                  <v>49.5</v>
                </pt>
                <pt idx="823">
                  <formatCode>0.00</formatCode>
                  <v>49</v>
                </pt>
                <pt idx="824">
                  <formatCode>0.00</formatCode>
                  <v>49.5</v>
                </pt>
                <pt idx="825">
                  <formatCode>0.00</formatCode>
                  <v>47.5</v>
                </pt>
                <pt idx="826">
                  <formatCode>0.00</formatCode>
                  <v>49</v>
                </pt>
                <pt idx="827">
                  <formatCode>0.00</formatCode>
                  <v>47</v>
                </pt>
                <pt idx="828">
                  <formatCode>0.00</formatCode>
                  <v>48.5</v>
                </pt>
                <pt idx="829">
                  <formatCode>0.00</formatCode>
                  <v>51.5</v>
                </pt>
                <pt idx="830">
                  <formatCode>0.00</formatCode>
                  <v>49</v>
                </pt>
                <pt idx="831">
                  <formatCode>0.00</formatCode>
                  <v>51</v>
                </pt>
                <pt idx="832">
                  <formatCode>0.00</formatCode>
                  <v>51.5</v>
                </pt>
                <pt idx="833">
                  <formatCode>0.00</formatCode>
                  <v>49</v>
                </pt>
                <pt idx="834">
                  <formatCode>0.00</formatCode>
                  <v>50</v>
                </pt>
                <pt idx="835">
                  <formatCode>0.00</formatCode>
                  <v>55.5</v>
                </pt>
                <pt idx="836">
                  <formatCode>0.00</formatCode>
                  <v>52.5</v>
                </pt>
                <pt idx="837">
                  <formatCode>0.00</formatCode>
                  <v>48</v>
                </pt>
                <pt idx="838">
                  <formatCode>0.00</formatCode>
                  <v>47</v>
                </pt>
                <pt idx="839">
                  <formatCode>0.00</formatCode>
                  <v>48.5</v>
                </pt>
                <pt idx="840">
                  <formatCode>0.00</formatCode>
                  <v>52.3</v>
                </pt>
                <pt idx="841">
                  <formatCode>0.00</formatCode>
                  <v>56.7</v>
                </pt>
                <pt idx="842">
                  <formatCode>0.00</formatCode>
                  <v>55.5</v>
                </pt>
                <pt idx="843">
                  <formatCode>0.00</formatCode>
                  <v>52.9</v>
                </pt>
                <pt idx="844">
                  <formatCode>0.00</formatCode>
                  <v>50.2</v>
                </pt>
                <pt idx="845">
                  <formatCode>0.00</formatCode>
                  <v>50.8</v>
                </pt>
                <pt idx="846">
                  <formatCode>0.00</formatCode>
                  <v>53.3</v>
                </pt>
                <pt idx="847">
                  <formatCode>0.00</formatCode>
                  <v>55.4</v>
                </pt>
                <pt idx="848">
                  <formatCode>0.00</formatCode>
                  <v>53.3</v>
                </pt>
                <pt idx="849">
                  <formatCode>0.00</formatCode>
                  <v>50.7</v>
                </pt>
                <pt idx="850">
                  <formatCode>0.00</formatCode>
                  <v>52.9</v>
                </pt>
                <pt idx="851">
                  <formatCode>0.00</formatCode>
                  <v>51.2</v>
                </pt>
                <pt idx="852">
                  <formatCode>0.00</formatCode>
                  <v>52.8</v>
                </pt>
                <pt idx="853">
                  <formatCode>0.00</formatCode>
                  <v>53.4</v>
                </pt>
                <pt idx="854">
                  <formatCode>0.00</formatCode>
                  <v>51.8</v>
                </pt>
                <pt idx="855">
                  <formatCode>0.00</formatCode>
                  <v>52.9</v>
                </pt>
                <pt idx="856">
                  <formatCode>0.00</formatCode>
                  <v>50.9</v>
                </pt>
                <pt idx="857">
                  <formatCode>0.00</formatCode>
                  <v>49.1</v>
                </pt>
                <pt idx="858">
                  <formatCode>0.00</formatCode>
                  <v>49.5</v>
                </pt>
                <pt idx="859">
                  <formatCode>0.00</formatCode>
                  <v>49.9</v>
                </pt>
                <pt idx="860">
                  <formatCode>0.00</formatCode>
                  <v>46.9</v>
                </pt>
                <pt idx="861">
                  <formatCode>0.00</formatCode>
                  <v>48.9</v>
                </pt>
                <pt idx="862">
                  <formatCode>0.00</formatCode>
                  <v>45.5</v>
                </pt>
                <pt idx="863">
                  <formatCode>0.00</formatCode>
                  <v>49.2</v>
                </pt>
                <pt idx="864">
                  <formatCode>0.00</formatCode>
                  <v>48.8</v>
                </pt>
                <pt idx="865">
                  <formatCode>0.00</formatCode>
                  <v>46.5</v>
                </pt>
                <pt idx="866">
                  <formatCode>0.00</formatCode>
                  <v>46.9</v>
                </pt>
                <pt idx="867">
                  <formatCode>0.00</formatCode>
                  <v>49.7</v>
                </pt>
                <pt idx="868">
                  <formatCode>0.00</formatCode>
                  <v>50.4</v>
                </pt>
                <pt idx="869">
                  <formatCode>0.00</formatCode>
                  <v>50.5</v>
                </pt>
                <pt idx="870">
                  <formatCode>0.00</formatCode>
                  <v>47</v>
                </pt>
                <pt idx="871">
                  <formatCode>0.00</formatCode>
                  <v>44.4</v>
                </pt>
                <pt idx="872">
                  <formatCode>0.00</formatCode>
                  <v>47.1</v>
                </pt>
                <pt idx="873">
                  <formatCode>0.00</formatCode>
                  <v>51.9</v>
                </pt>
                <pt idx="874">
                  <formatCode>0.00</formatCode>
                  <v>51.2</v>
                </pt>
                <pt idx="875">
                  <formatCode>0.00</formatCode>
                  <v>51</v>
                </pt>
                <pt idx="876">
                  <formatCode>0.00</formatCode>
                  <v>50.8</v>
                </pt>
                <pt idx="877">
                  <formatCode>0.00</formatCode>
                  <v>49.7</v>
                </pt>
                <pt idx="878">
                  <formatCode>0.00</formatCode>
                  <v>50.8</v>
                </pt>
                <pt idx="879">
                  <formatCode>0.00</formatCode>
                  <v>46.5</v>
                </pt>
                <pt idx="880">
                  <formatCode>0.00</formatCode>
                  <v>50.8</v>
                </pt>
                <pt idx="881">
                  <formatCode>0.00</formatCode>
                  <v>51.1</v>
                </pt>
                <pt idx="882">
                  <formatCode>0.00</formatCode>
                  <v>48.9</v>
                </pt>
                <pt idx="883">
                  <formatCode>0.00</formatCode>
                  <v>54.2</v>
                </pt>
                <pt idx="884">
                  <formatCode>0.00</formatCode>
                  <v>55.6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Details!$H$6:$H$890</f>
              <numCache>
                <formatCode>General</formatCode>
                <ptCount val="885"/>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formatCode>0.00</formatCode>
                  <v>46</v>
                </pt>
                <pt idx="745">
                  <formatCode>0.00</formatCode>
                  <v>49</v>
                </pt>
                <pt idx="746">
                  <formatCode>0.00</formatCode>
                  <v>56.5</v>
                </pt>
                <pt idx="747">
                  <formatCode>0.00</formatCode>
                  <v>50.5</v>
                </pt>
                <pt idx="748">
                  <formatCode>0.00</formatCode>
                  <v>46</v>
                </pt>
                <pt idx="749">
                  <formatCode>0.00</formatCode>
                  <v>46</v>
                </pt>
                <pt idx="750">
                  <formatCode>0.00</formatCode>
                  <v>49</v>
                </pt>
                <pt idx="751">
                  <formatCode>0.00</formatCode>
                  <v>53</v>
                </pt>
                <pt idx="752">
                  <formatCode>0.00</formatCode>
                  <v>56</v>
                </pt>
                <pt idx="753">
                  <formatCode>0.00</formatCode>
                  <v>53</v>
                </pt>
                <pt idx="754">
                  <formatCode>0.00</formatCode>
                  <v>54</v>
                </pt>
                <pt idx="755">
                  <formatCode>0.00</formatCode>
                  <v>50</v>
                </pt>
                <pt idx="756">
                  <formatCode>0.00</formatCode>
                  <v>52</v>
                </pt>
                <pt idx="757">
                  <formatCode>0.00</formatCode>
                  <v>50.5</v>
                </pt>
                <pt idx="758">
                  <formatCode>0.00</formatCode>
                  <v>49</v>
                </pt>
                <pt idx="759">
                  <formatCode>0.00</formatCode>
                  <v>54.5</v>
                </pt>
                <pt idx="760">
                  <formatCode>0.00</formatCode>
                  <v>48.5</v>
                </pt>
                <pt idx="761">
                  <formatCode>0.00</formatCode>
                  <v>53.5</v>
                </pt>
                <pt idx="762">
                  <formatCode>0.00</formatCode>
                  <v>48</v>
                </pt>
                <pt idx="763">
                  <formatCode>0.00</formatCode>
                  <v>54.5</v>
                </pt>
                <pt idx="764">
                  <formatCode>0.00</formatCode>
                  <v>52</v>
                </pt>
                <pt idx="765">
                  <formatCode>0.00</formatCode>
                  <v>46.5</v>
                </pt>
                <pt idx="766">
                  <formatCode>0.00</formatCode>
                  <v>46.5</v>
                </pt>
                <pt idx="767">
                  <formatCode>0.00</formatCode>
                  <v>45.5</v>
                </pt>
                <pt idx="768">
                  <formatCode>0.00</formatCode>
                  <v>49.5</v>
                </pt>
                <pt idx="769">
                  <formatCode>0.00</formatCode>
                  <v>49.5</v>
                </pt>
                <pt idx="770">
                  <formatCode>0.00</formatCode>
                  <v>50</v>
                </pt>
                <pt idx="771">
                  <formatCode>0.00</formatCode>
                  <v>48.5</v>
                </pt>
                <pt idx="772">
                  <formatCode>0.00</formatCode>
                  <v>46</v>
                </pt>
                <pt idx="773">
                  <formatCode>0.00</formatCode>
                  <v>44</v>
                </pt>
                <pt idx="774">
                  <formatCode>0.00</formatCode>
                  <v>49</v>
                </pt>
                <pt idx="775">
                  <formatCode>0.00</formatCode>
                  <v>53</v>
                </pt>
                <pt idx="776">
                  <formatCode>0.00</formatCode>
                  <v>50.5</v>
                </pt>
                <pt idx="777">
                  <formatCode>0.00</formatCode>
                  <v>50</v>
                </pt>
                <pt idx="778">
                  <formatCode>0.00</formatCode>
                  <v>45</v>
                </pt>
                <pt idx="779">
                  <formatCode>0.00</formatCode>
                  <v>43</v>
                </pt>
                <pt idx="780">
                  <formatCode>0.00</formatCode>
                  <v>51</v>
                </pt>
                <pt idx="781">
                  <formatCode>0.00</formatCode>
                  <v>51.5</v>
                </pt>
                <pt idx="782">
                  <formatCode>0.00</formatCode>
                  <v>49.5</v>
                </pt>
                <pt idx="783">
                  <formatCode>0.00</formatCode>
                  <v>46.5</v>
                </pt>
                <pt idx="784">
                  <formatCode>0.00</formatCode>
                  <v>49</v>
                </pt>
                <pt idx="785">
                  <formatCode>0.00</formatCode>
                  <v>50.5</v>
                </pt>
                <pt idx="786">
                  <formatCode>0.00</formatCode>
                  <v>47</v>
                </pt>
                <pt idx="787">
                  <formatCode>0.00</formatCode>
                  <v>47.5</v>
                </pt>
                <pt idx="788">
                  <formatCode>0.00</formatCode>
                  <v>50</v>
                </pt>
                <pt idx="789">
                  <formatCode>0.00</formatCode>
                  <v>52.5</v>
                </pt>
                <pt idx="790">
                  <formatCode>0.00</formatCode>
                  <v>50.5</v>
                </pt>
                <pt idx="791">
                  <formatCode>0.00</formatCode>
                  <v>47</v>
                </pt>
                <pt idx="792">
                  <formatCode>0.00</formatCode>
                  <v>44</v>
                </pt>
                <pt idx="793">
                  <formatCode>0.00</formatCode>
                  <v>52.5</v>
                </pt>
                <pt idx="794">
                  <formatCode>0.00</formatCode>
                  <v>52.5</v>
                </pt>
                <pt idx="795">
                  <formatCode>0.00</formatCode>
                  <v>53</v>
                </pt>
                <pt idx="796">
                  <formatCode>0.00</formatCode>
                  <v>53</v>
                </pt>
                <pt idx="797">
                  <formatCode>0.00</formatCode>
                  <v>53</v>
                </pt>
                <pt idx="798">
                  <formatCode>0.00</formatCode>
                  <v>48.5</v>
                </pt>
                <pt idx="799">
                  <formatCode>0.00</formatCode>
                  <v>52</v>
                </pt>
                <pt idx="800">
                  <formatCode>0.00</formatCode>
                  <v>51.5</v>
                </pt>
                <pt idx="801">
                  <formatCode>0.00</formatCode>
                  <v>52.5</v>
                </pt>
                <pt idx="802">
                  <formatCode>0.00</formatCode>
                  <v>51.5</v>
                </pt>
                <pt idx="803">
                  <formatCode>0.00</formatCode>
                  <v>45.5</v>
                </pt>
                <pt idx="804">
                  <formatCode>0.00</formatCode>
                  <v>51</v>
                </pt>
                <pt idx="805">
                  <formatCode>0.00</formatCode>
                  <v>52.5</v>
                </pt>
                <pt idx="806">
                  <formatCode>0.00</formatCode>
                  <v>51.5</v>
                </pt>
                <pt idx="807">
                  <formatCode>0.00</formatCode>
                  <v>49.5</v>
                </pt>
                <pt idx="808">
                  <formatCode>0.00</formatCode>
                  <v>51.5</v>
                </pt>
                <pt idx="809">
                  <formatCode>0.00</formatCode>
                  <v>53</v>
                </pt>
                <pt idx="810">
                  <formatCode>0.00</formatCode>
                  <v>49.5</v>
                </pt>
                <pt idx="811">
                  <formatCode>0.00</formatCode>
                  <v>48.5</v>
                </pt>
                <pt idx="812">
                  <formatCode>0.00</formatCode>
                  <v>48.5</v>
                </pt>
                <pt idx="813">
                  <formatCode>0.00</formatCode>
                  <v>46.5</v>
                </pt>
                <pt idx="814">
                  <formatCode>0.00</formatCode>
                  <v>43</v>
                </pt>
                <pt idx="815">
                  <formatCode>0.00</formatCode>
                  <v>43.5</v>
                </pt>
                <pt idx="816">
                  <formatCode>0.00</formatCode>
                  <v>43.5</v>
                </pt>
                <pt idx="817">
                  <formatCode>0.00</formatCode>
                  <v>45</v>
                </pt>
                <pt idx="818">
                  <formatCode>0.00</formatCode>
                  <v>47</v>
                </pt>
                <pt idx="819">
                  <formatCode>0.00</formatCode>
                  <v>45.5</v>
                </pt>
                <pt idx="820">
                  <formatCode>0.00</formatCode>
                  <v>45</v>
                </pt>
                <pt idx="821">
                  <formatCode>0.00</formatCode>
                  <v>48.5</v>
                </pt>
                <pt idx="822">
                  <formatCode>0.00</formatCode>
                  <v>49.5</v>
                </pt>
                <pt idx="823">
                  <formatCode>0.00</formatCode>
                  <v>49</v>
                </pt>
                <pt idx="824">
                  <formatCode>0.00</formatCode>
                  <v>49.5</v>
                </pt>
                <pt idx="825">
                  <formatCode>0.00</formatCode>
                  <v>47.5</v>
                </pt>
                <pt idx="826">
                  <formatCode>0.00</formatCode>
                  <v>49</v>
                </pt>
                <pt idx="827">
                  <formatCode>0.00</formatCode>
                  <v>47</v>
                </pt>
                <pt idx="828">
                  <formatCode>0.00</formatCode>
                  <v>48.5</v>
                </pt>
                <pt idx="829">
                  <formatCode>0.00</formatCode>
                  <v>51.5</v>
                </pt>
                <pt idx="830">
                  <formatCode>0.00</formatCode>
                  <v>49</v>
                </pt>
                <pt idx="831">
                  <formatCode>0.00</formatCode>
                  <v>51</v>
                </pt>
                <pt idx="832">
                  <formatCode>0.00</formatCode>
                  <v>51.5</v>
                </pt>
                <pt idx="833">
                  <formatCode>0.00</formatCode>
                  <v>49</v>
                </pt>
                <pt idx="834">
                  <formatCode>0.00</formatCode>
                  <v>50</v>
                </pt>
                <pt idx="835">
                  <formatCode>0.00</formatCode>
                  <v>55.5</v>
                </pt>
                <pt idx="836">
                  <formatCode>0.00</formatCode>
                  <v>52.5</v>
                </pt>
                <pt idx="837">
                  <formatCode>0.00</formatCode>
                  <v>48</v>
                </pt>
                <pt idx="838">
                  <formatCode>0.00</formatCode>
                  <v>47</v>
                </pt>
                <pt idx="839">
                  <formatCode>0.00</formatCode>
                  <v>48.5</v>
                </pt>
                <pt idx="840">
                  <formatCode>0.00</formatCode>
                  <v>52.3</v>
                </pt>
                <pt idx="841">
                  <formatCode>0.00</formatCode>
                  <v>56.7</v>
                </pt>
                <pt idx="842">
                  <formatCode>0.00</formatCode>
                  <v>55.5</v>
                </pt>
                <pt idx="843">
                  <formatCode>0.00</formatCode>
                  <v>52.9</v>
                </pt>
                <pt idx="844">
                  <formatCode>0.00</formatCode>
                  <v>50.2</v>
                </pt>
                <pt idx="845">
                  <formatCode>0.00</formatCode>
                  <v>50.8</v>
                </pt>
                <pt idx="846">
                  <formatCode>0.00</formatCode>
                  <v>53.3</v>
                </pt>
                <pt idx="847">
                  <formatCode>0.00</formatCode>
                  <v>55.4</v>
                </pt>
                <pt idx="848">
                  <formatCode>0.00</formatCode>
                  <v>53.3</v>
                </pt>
                <pt idx="849">
                  <formatCode>0.00</formatCode>
                  <v>50.7</v>
                </pt>
                <pt idx="850">
                  <formatCode>0.00</formatCode>
                  <v>52.9</v>
                </pt>
                <pt idx="851">
                  <formatCode>0.00</formatCode>
                  <v>51.2</v>
                </pt>
                <pt idx="852">
                  <formatCode>0.00</formatCode>
                  <v>52.8</v>
                </pt>
                <pt idx="853">
                  <formatCode>0.00</formatCode>
                  <v>53.4</v>
                </pt>
                <pt idx="854">
                  <formatCode>0.00</formatCode>
                  <v>51.8</v>
                </pt>
                <pt idx="855">
                  <formatCode>0.00</formatCode>
                  <v>52.9</v>
                </pt>
                <pt idx="856">
                  <formatCode>0.00</formatCode>
                  <v>50.9</v>
                </pt>
                <pt idx="857">
                  <formatCode>0.00</formatCode>
                  <v>49.1</v>
                </pt>
                <pt idx="858">
                  <formatCode>0.00</formatCode>
                  <v>49.5</v>
                </pt>
                <pt idx="859">
                  <formatCode>0.00</formatCode>
                  <v>49.9</v>
                </pt>
                <pt idx="860">
                  <formatCode>0.00</formatCode>
                  <v>46.9</v>
                </pt>
                <pt idx="861">
                  <formatCode>0.00</formatCode>
                  <v>48.9</v>
                </pt>
                <pt idx="862">
                  <formatCode>0.00</formatCode>
                  <v>45.5</v>
                </pt>
                <pt idx="863">
                  <formatCode>0.00</formatCode>
                  <v>49.2</v>
                </pt>
                <pt idx="864">
                  <formatCode>0.00</formatCode>
                  <v>48.8</v>
                </pt>
                <pt idx="865">
                  <formatCode>0.00</formatCode>
                  <v>46.5</v>
                </pt>
                <pt idx="866">
                  <formatCode>0.00</formatCode>
                  <v>46.9</v>
                </pt>
                <pt idx="867">
                  <formatCode>0.00</formatCode>
                  <v>49.7</v>
                </pt>
                <pt idx="868">
                  <formatCode>0.00</formatCode>
                  <v>50.4</v>
                </pt>
                <pt idx="869">
                  <formatCode>0.00</formatCode>
                  <v>50.5</v>
                </pt>
                <pt idx="870">
                  <formatCode>0.00</formatCode>
                  <v>47</v>
                </pt>
                <pt idx="871">
                  <formatCode>0.00</formatCode>
                  <v>44.4</v>
                </pt>
                <pt idx="872">
                  <formatCode>0.00</formatCode>
                  <v>47.1</v>
                </pt>
                <pt idx="873">
                  <formatCode>0.00</formatCode>
                  <v>51.9</v>
                </pt>
                <pt idx="874">
                  <formatCode>0.00</formatCode>
                  <v>51.2</v>
                </pt>
                <pt idx="875">
                  <formatCode>0.00</formatCode>
                  <v>51</v>
                </pt>
                <pt idx="876">
                  <formatCode>0.00</formatCode>
                  <v>50.8</v>
                </pt>
                <pt idx="877">
                  <formatCode>0.00</formatCode>
                  <v>49.7</v>
                </pt>
                <pt idx="878">
                  <formatCode>0.00</formatCode>
                  <v>50.8</v>
                </pt>
                <pt idx="879">
                  <formatCode>0.00</formatCode>
                  <v>46.5</v>
                </pt>
                <pt idx="880">
                  <formatCode>0.00</formatCode>
                  <v>50.8</v>
                </pt>
                <pt idx="881">
                  <formatCode>0.00</formatCode>
                  <v>51.1</v>
                </pt>
                <pt idx="882">
                  <formatCode>0.00</formatCode>
                  <v>48.9</v>
                </pt>
                <pt idx="883">
                  <formatCode>0.00</formatCode>
                  <v>54.2</v>
                </pt>
                <pt idx="884">
                  <formatCode>0.00</formatCode>
                  <v>55.6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Details!$I$6:$I$890</f>
              <numCache>
                <formatCode>General</formatCode>
                <ptCount val="885"/>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formatCode>0.00</formatCode>
                  <v>57.2</v>
                </pt>
                <pt idx="745">
                  <formatCode>0.00</formatCode>
                  <v>56.8</v>
                </pt>
                <pt idx="746">
                  <formatCode>0.00</formatCode>
                  <v>64</v>
                </pt>
                <pt idx="747">
                  <formatCode>0.00</formatCode>
                  <v>59.6</v>
                </pt>
                <pt idx="748">
                  <formatCode>0.00</formatCode>
                  <v>58.1</v>
                </pt>
                <pt idx="749">
                  <formatCode>0.00</formatCode>
                  <v>56.6</v>
                </pt>
                <pt idx="750">
                  <formatCode>0.00</formatCode>
                  <v>61</v>
                </pt>
                <pt idx="751">
                  <formatCode>0.00</formatCode>
                  <v>57.4</v>
                </pt>
                <pt idx="752">
                  <formatCode>0.00</formatCode>
                  <v>52.9</v>
                </pt>
                <pt idx="753">
                  <formatCode>0.00</formatCode>
                  <v>51.4</v>
                </pt>
                <pt idx="754">
                  <formatCode>0.00</formatCode>
                  <v>58.8</v>
                </pt>
                <pt idx="755">
                  <formatCode>0.00</formatCode>
                  <v>54.5</v>
                </pt>
                <pt idx="756">
                  <formatCode>0.00</formatCode>
                  <v>54.6</v>
                </pt>
                <pt idx="757">
                  <formatCode>0.00</formatCode>
                  <v>58.4</v>
                </pt>
                <pt idx="758">
                  <formatCode>0.00</formatCode>
                  <v>59.9</v>
                </pt>
                <pt idx="759">
                  <formatCode>0.00</formatCode>
                  <v>59.4</v>
                </pt>
                <pt idx="760">
                  <formatCode>0.00</formatCode>
                  <v>56.6</v>
                </pt>
                <pt idx="761">
                  <formatCode>0.00</formatCode>
                  <v>56</v>
                </pt>
                <pt idx="762">
                  <formatCode>0.00</formatCode>
                  <v>52.8</v>
                </pt>
                <pt idx="763">
                  <formatCode>0.00</formatCode>
                  <v>53.2</v>
                </pt>
                <pt idx="764">
                  <formatCode>0.00</formatCode>
                  <v>51.8</v>
                </pt>
                <pt idx="765">
                  <formatCode>0.00</formatCode>
                  <v>51.4</v>
                </pt>
                <pt idx="766">
                  <formatCode>0.00</formatCode>
                  <v>51.4</v>
                </pt>
                <pt idx="767">
                  <formatCode>0.00</formatCode>
                  <v>48.5</v>
                </pt>
                <pt idx="768">
                  <formatCode>0.00</formatCode>
                  <v>49.8</v>
                </pt>
                <pt idx="769">
                  <formatCode>0.00</formatCode>
                  <v>47.7</v>
                </pt>
                <pt idx="770">
                  <formatCode>0.00</formatCode>
                  <v>48.9</v>
                </pt>
                <pt idx="771">
                  <formatCode>0.00</formatCode>
                  <v>48.7</v>
                </pt>
                <pt idx="772">
                  <formatCode>0.00</formatCode>
                  <v>50.3</v>
                </pt>
                <pt idx="773">
                  <formatCode>0.00</formatCode>
                  <v>50.2</v>
                </pt>
                <pt idx="774">
                  <formatCode>0.00</formatCode>
                  <v>49.2</v>
                </pt>
                <pt idx="775">
                  <formatCode>0.00</formatCode>
                  <v>48.7</v>
                </pt>
                <pt idx="776">
                  <formatCode>0.00</formatCode>
                  <v>50.4</v>
                </pt>
                <pt idx="777">
                  <formatCode>0.00</formatCode>
                  <v>48.9</v>
                </pt>
                <pt idx="778">
                  <formatCode>0.00</formatCode>
                  <v>49.1</v>
                </pt>
                <pt idx="779">
                  <formatCode>0.00</formatCode>
                  <v>52.2</v>
                </pt>
                <pt idx="780">
                  <formatCode>0.00</formatCode>
                  <v>51.9</v>
                </pt>
                <pt idx="781">
                  <formatCode>0.00</formatCode>
                  <v>50.5</v>
                </pt>
                <pt idx="782">
                  <formatCode>0.00</formatCode>
                  <v>50.1</v>
                </pt>
                <pt idx="783">
                  <formatCode>0.00</formatCode>
                  <v>50.5</v>
                </pt>
                <pt idx="784">
                  <formatCode>0.00</formatCode>
                  <v>49.9</v>
                </pt>
                <pt idx="785">
                  <formatCode>0.00</formatCode>
                  <v>51.3</v>
                </pt>
                <pt idx="786">
                  <formatCode>0.00</formatCode>
                  <v>52.3</v>
                </pt>
                <pt idx="787">
                  <formatCode>0.00</formatCode>
                  <v>52</v>
                </pt>
                <pt idx="788">
                  <formatCode>0.00</formatCode>
                  <v>52.7</v>
                </pt>
                <pt idx="789">
                  <formatCode>0.00</formatCode>
                  <v>53.6</v>
                </pt>
                <pt idx="790">
                  <formatCode>0.00</formatCode>
                  <v>52.4</v>
                </pt>
                <pt idx="791">
                  <formatCode>0.00</formatCode>
                  <v>53</v>
                </pt>
                <pt idx="792">
                  <formatCode>0.00</formatCode>
                  <v>53.8</v>
                </pt>
                <pt idx="793">
                  <formatCode>0.00</formatCode>
                  <v>57.1</v>
                </pt>
                <pt idx="794">
                  <formatCode>0.00</formatCode>
                  <v>54.9</v>
                </pt>
                <pt idx="795">
                  <formatCode>0.00</formatCode>
                  <v>56.1</v>
                </pt>
                <pt idx="796">
                  <formatCode>0.00</formatCode>
                  <v>52.7</v>
                </pt>
                <pt idx="797">
                  <formatCode>0.00</formatCode>
                  <v>53</v>
                </pt>
                <pt idx="798">
                  <formatCode>0.00</formatCode>
                  <v>54.2</v>
                </pt>
                <pt idx="799">
                  <formatCode>0.00</formatCode>
                  <v>54</v>
                </pt>
                <pt idx="800">
                  <formatCode>0.00</formatCode>
                  <v>52.2</v>
                </pt>
                <pt idx="801">
                  <formatCode>0.00</formatCode>
                  <v>54.5</v>
                </pt>
                <pt idx="802">
                  <formatCode>0.00</formatCode>
                  <v>55.4</v>
                </pt>
                <pt idx="803">
                  <formatCode>0.00</formatCode>
                  <v>56.9</v>
                </pt>
                <pt idx="804">
                  <formatCode>0.00</formatCode>
                  <v>53.3</v>
                </pt>
                <pt idx="805">
                  <formatCode>0.00</formatCode>
                  <v>54.4</v>
                </pt>
                <pt idx="806">
                  <formatCode>0.00</formatCode>
                  <v>51</v>
                </pt>
                <pt idx="807">
                  <formatCode>0.00</formatCode>
                  <v>50.5</v>
                </pt>
                <pt idx="808">
                  <formatCode>0.00</formatCode>
                  <v>51.5</v>
                </pt>
                <pt idx="809">
                  <formatCode>0.00</formatCode>
                  <v>49.2</v>
                </pt>
                <pt idx="810">
                  <formatCode>0.00</formatCode>
                  <v>50.2</v>
                </pt>
                <pt idx="811">
                  <formatCode>0.00</formatCode>
                  <v>50.3</v>
                </pt>
                <pt idx="812">
                  <formatCode>0.00</formatCode>
                  <v>49.7</v>
                </pt>
                <pt idx="813">
                  <formatCode>0.00</formatCode>
                  <v>49.7</v>
                </pt>
                <pt idx="814">
                  <formatCode>0.00</formatCode>
                  <v>49.8</v>
                </pt>
                <pt idx="815">
                  <formatCode>0.00</formatCode>
                  <v>49.8</v>
                </pt>
                <pt idx="816">
                  <formatCode>0.00</formatCode>
                  <v>50</v>
                </pt>
                <pt idx="817">
                  <formatCode>0.00</formatCode>
                  <v>49.2</v>
                </pt>
                <pt idx="818">
                  <formatCode>0.00</formatCode>
                  <v>50.9</v>
                </pt>
                <pt idx="819">
                  <formatCode>0.00</formatCode>
                  <v>50.5</v>
                </pt>
                <pt idx="820">
                  <formatCode>0.00</formatCode>
                  <v>53.3</v>
                </pt>
                <pt idx="821">
                  <formatCode>0.00</formatCode>
                  <v>54</v>
                </pt>
                <pt idx="822">
                  <formatCode>0.00</formatCode>
                  <v>52.4</v>
                </pt>
                <pt idx="823">
                  <formatCode>0.00</formatCode>
                  <v>51.6</v>
                </pt>
                <pt idx="824">
                  <formatCode>0.00</formatCode>
                  <v>49.8</v>
                </pt>
                <pt idx="825">
                  <formatCode>0.00</formatCode>
                  <v>51.7</v>
                </pt>
                <pt idx="826">
                  <formatCode>0.00</formatCode>
                  <v>55.4</v>
                </pt>
                <pt idx="827">
                  <formatCode>0.00</formatCode>
                  <v>53.2</v>
                </pt>
                <pt idx="828">
                  <formatCode>0.00</formatCode>
                  <v>53.5</v>
                </pt>
                <pt idx="829">
                  <formatCode>0.00</formatCode>
                  <v>55.5</v>
                </pt>
                <pt idx="830">
                  <formatCode>0.00</formatCode>
                  <v>55.6</v>
                </pt>
                <pt idx="831">
                  <formatCode>0.00</formatCode>
                  <v>55.9</v>
                </pt>
                <pt idx="832">
                  <formatCode>0.00</formatCode>
                  <v>54.4</v>
                </pt>
                <pt idx="833">
                  <formatCode>0.00</formatCode>
                  <v>55.7</v>
                </pt>
                <pt idx="834">
                  <formatCode>0.00</formatCode>
                  <v>56</v>
                </pt>
                <pt idx="835">
                  <formatCode>0.00</formatCode>
                  <v>57.4</v>
                </pt>
                <pt idx="836">
                  <formatCode>0.00</formatCode>
                  <v>63.4</v>
                </pt>
                <pt idx="837">
                  <formatCode>0.00</formatCode>
                  <v>60.1</v>
                </pt>
                <pt idx="838">
                  <formatCode>0.00</formatCode>
                  <v>56.6</v>
                </pt>
                <pt idx="839">
                  <formatCode>0.00</formatCode>
                  <v>57.2</v>
                </pt>
                <pt idx="840">
                  <formatCode>0.00</formatCode>
                  <v>59.1</v>
                </pt>
                <pt idx="841">
                  <formatCode>0.00</formatCode>
                  <v>61.1</v>
                </pt>
                <pt idx="842">
                  <formatCode>0.00</formatCode>
                  <v>60.6</v>
                </pt>
                <pt idx="843">
                  <formatCode>0.00</formatCode>
                  <v>61.1</v>
                </pt>
                <pt idx="844">
                  <formatCode>0.00</formatCode>
                  <v>62</v>
                </pt>
                <pt idx="845">
                  <formatCode>0.00</formatCode>
                  <v>68.2</v>
                </pt>
                <pt idx="846">
                  <formatCode>0.00</formatCode>
                  <v>62.1</v>
                </pt>
                <pt idx="847">
                  <formatCode>0.00</formatCode>
                  <v>64.5</v>
                </pt>
                <pt idx="848">
                  <formatCode>0.00</formatCode>
                  <v>61.1</v>
                </pt>
                <pt idx="849">
                  <formatCode>0.00</formatCode>
                  <v>63.8</v>
                </pt>
                <pt idx="850">
                  <formatCode>0.00</formatCode>
                  <v>62.5</v>
                </pt>
                <pt idx="851">
                  <formatCode>0.00</formatCode>
                  <v>59</v>
                </pt>
                <pt idx="852">
                  <formatCode>0.00</formatCode>
                  <v>56.2</v>
                </pt>
                <pt idx="853">
                  <formatCode>0.00</formatCode>
                  <v>54.9</v>
                </pt>
                <pt idx="854">
                  <formatCode>0.00</formatCode>
                  <v>54.2</v>
                </pt>
                <pt idx="855">
                  <formatCode>0.00</formatCode>
                  <v>54.6</v>
                </pt>
                <pt idx="856">
                  <formatCode>0.00</formatCode>
                  <v>52</v>
                </pt>
                <pt idx="857">
                  <formatCode>0.00</formatCode>
                  <v>50.7</v>
                </pt>
                <pt idx="858">
                  <formatCode>0.00</formatCode>
                  <v>53.3</v>
                </pt>
                <pt idx="859">
                  <formatCode>0.00</formatCode>
                  <v>51.4</v>
                </pt>
                <pt idx="860">
                  <formatCode>0.00</formatCode>
                  <v>51.1</v>
                </pt>
                <pt idx="861">
                  <formatCode>0.00</formatCode>
                  <v>49.5</v>
                </pt>
                <pt idx="862">
                  <formatCode>0.00</formatCode>
                  <v>52</v>
                </pt>
                <pt idx="863">
                  <formatCode>0.00</formatCode>
                  <v>54.6</v>
                </pt>
                <pt idx="864">
                  <formatCode>0.00</formatCode>
                  <v>52.9</v>
                </pt>
                <pt idx="865">
                  <formatCode>0.00</formatCode>
                  <v>57.3</v>
                </pt>
                <pt idx="866">
                  <formatCode>0.00</formatCode>
                  <v>65</v>
                </pt>
                <pt idx="867">
                  <formatCode>0.00</formatCode>
                  <v>76</v>
                </pt>
                <pt idx="868">
                  <formatCode>0.00</formatCode>
                  <v>68</v>
                </pt>
                <pt idx="869">
                  <formatCode>0.00</formatCode>
                  <v>56.9</v>
                </pt>
                <pt idx="870">
                  <formatCode>0.00</formatCode>
                  <v>55.8</v>
                </pt>
                <pt idx="871">
                  <formatCode>0.00</formatCode>
                  <v>58.2</v>
                </pt>
                <pt idx="872">
                  <formatCode>0.00</formatCode>
                  <v>59</v>
                </pt>
                <pt idx="873">
                  <formatCode>0.00</formatCode>
                  <v>60.5</v>
                </pt>
                <pt idx="874">
                  <formatCode>0.00</formatCode>
                  <v>61.7</v>
                </pt>
                <pt idx="875">
                  <formatCode>0.00</formatCode>
                  <v>67.7</v>
                </pt>
                <pt idx="876">
                  <formatCode>0.00</formatCode>
                  <v>68.2</v>
                </pt>
                <pt idx="877">
                  <formatCode>0.00</formatCode>
                  <v>72</v>
                </pt>
                <pt idx="878">
                  <formatCode>0.00</formatCode>
                  <v>76.59999999999999</v>
                </pt>
                <pt idx="879">
                  <formatCode>0.00</formatCode>
                  <v>75</v>
                </pt>
                <pt idx="880">
                  <formatCode>0.00</formatCode>
                  <v>78.8</v>
                </pt>
                <pt idx="881">
                  <formatCode>0.00</formatCode>
                  <v>75.09999999999999</v>
                </pt>
                <pt idx="882">
                  <formatCode>0.00</formatCode>
                  <v>72.5</v>
                </pt>
                <pt idx="883">
                  <formatCode>0.00</formatCode>
                  <v>69.5</v>
                </pt>
                <pt idx="884">
                  <formatCode>0.00</formatCode>
                  <v>73.40000000000001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Details!$I$6:$I$890</f>
              <numCache>
                <formatCode>General</formatCode>
                <ptCount val="885"/>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formatCode>0.00</formatCode>
                  <v>57.2</v>
                </pt>
                <pt idx="745">
                  <formatCode>0.00</formatCode>
                  <v>56.8</v>
                </pt>
                <pt idx="746">
                  <formatCode>0.00</formatCode>
                  <v>64</v>
                </pt>
                <pt idx="747">
                  <formatCode>0.00</formatCode>
                  <v>59.6</v>
                </pt>
                <pt idx="748">
                  <formatCode>0.00</formatCode>
                  <v>58.1</v>
                </pt>
                <pt idx="749">
                  <formatCode>0.00</formatCode>
                  <v>56.6</v>
                </pt>
                <pt idx="750">
                  <formatCode>0.00</formatCode>
                  <v>61</v>
                </pt>
                <pt idx="751">
                  <formatCode>0.00</formatCode>
                  <v>57.4</v>
                </pt>
                <pt idx="752">
                  <formatCode>0.00</formatCode>
                  <v>52.9</v>
                </pt>
                <pt idx="753">
                  <formatCode>0.00</formatCode>
                  <v>51.4</v>
                </pt>
                <pt idx="754">
                  <formatCode>0.00</formatCode>
                  <v>58.8</v>
                </pt>
                <pt idx="755">
                  <formatCode>0.00</formatCode>
                  <v>54.5</v>
                </pt>
                <pt idx="756">
                  <formatCode>0.00</formatCode>
                  <v>54.6</v>
                </pt>
                <pt idx="757">
                  <formatCode>0.00</formatCode>
                  <v>58.4</v>
                </pt>
                <pt idx="758">
                  <formatCode>0.00</formatCode>
                  <v>59.9</v>
                </pt>
                <pt idx="759">
                  <formatCode>0.00</formatCode>
                  <v>59.4</v>
                </pt>
                <pt idx="760">
                  <formatCode>0.00</formatCode>
                  <v>56.6</v>
                </pt>
                <pt idx="761">
                  <formatCode>0.00</formatCode>
                  <v>56</v>
                </pt>
                <pt idx="762">
                  <formatCode>0.00</formatCode>
                  <v>52.8</v>
                </pt>
                <pt idx="763">
                  <formatCode>0.00</formatCode>
                  <v>53.2</v>
                </pt>
                <pt idx="764">
                  <formatCode>0.00</formatCode>
                  <v>51.8</v>
                </pt>
                <pt idx="765">
                  <formatCode>0.00</formatCode>
                  <v>51.4</v>
                </pt>
                <pt idx="766">
                  <formatCode>0.00</formatCode>
                  <v>51.4</v>
                </pt>
                <pt idx="767">
                  <formatCode>0.00</formatCode>
                  <v>48.5</v>
                </pt>
                <pt idx="768">
                  <formatCode>0.00</formatCode>
                  <v>49.8</v>
                </pt>
                <pt idx="769">
                  <formatCode>0.00</formatCode>
                  <v>47.7</v>
                </pt>
                <pt idx="770">
                  <formatCode>0.00</formatCode>
                  <v>48.9</v>
                </pt>
                <pt idx="771">
                  <formatCode>0.00</formatCode>
                  <v>48.7</v>
                </pt>
                <pt idx="772">
                  <formatCode>0.00</formatCode>
                  <v>50.3</v>
                </pt>
                <pt idx="773">
                  <formatCode>0.00</formatCode>
                  <v>50.2</v>
                </pt>
                <pt idx="774">
                  <formatCode>0.00</formatCode>
                  <v>49.2</v>
                </pt>
                <pt idx="775">
                  <formatCode>0.00</formatCode>
                  <v>48.7</v>
                </pt>
                <pt idx="776">
                  <formatCode>0.00</formatCode>
                  <v>50.4</v>
                </pt>
                <pt idx="777">
                  <formatCode>0.00</formatCode>
                  <v>48.9</v>
                </pt>
                <pt idx="778">
                  <formatCode>0.00</formatCode>
                  <v>49.1</v>
                </pt>
                <pt idx="779">
                  <formatCode>0.00</formatCode>
                  <v>52.2</v>
                </pt>
                <pt idx="780">
                  <formatCode>0.00</formatCode>
                  <v>51.9</v>
                </pt>
                <pt idx="781">
                  <formatCode>0.00</formatCode>
                  <v>50.5</v>
                </pt>
                <pt idx="782">
                  <formatCode>0.00</formatCode>
                  <v>50.1</v>
                </pt>
                <pt idx="783">
                  <formatCode>0.00</formatCode>
                  <v>50.5</v>
                </pt>
                <pt idx="784">
                  <formatCode>0.00</formatCode>
                  <v>49.9</v>
                </pt>
                <pt idx="785">
                  <formatCode>0.00</formatCode>
                  <v>51.3</v>
                </pt>
                <pt idx="786">
                  <formatCode>0.00</formatCode>
                  <v>52.3</v>
                </pt>
                <pt idx="787">
                  <formatCode>0.00</formatCode>
                  <v>52</v>
                </pt>
                <pt idx="788">
                  <formatCode>0.00</formatCode>
                  <v>52.7</v>
                </pt>
                <pt idx="789">
                  <formatCode>0.00</formatCode>
                  <v>53.6</v>
                </pt>
                <pt idx="790">
                  <formatCode>0.00</formatCode>
                  <v>52.4</v>
                </pt>
                <pt idx="791">
                  <formatCode>0.00</formatCode>
                  <v>53</v>
                </pt>
                <pt idx="792">
                  <formatCode>0.00</formatCode>
                  <v>53.8</v>
                </pt>
                <pt idx="793">
                  <formatCode>0.00</formatCode>
                  <v>57.1</v>
                </pt>
                <pt idx="794">
                  <formatCode>0.00</formatCode>
                  <v>54.9</v>
                </pt>
                <pt idx="795">
                  <formatCode>0.00</formatCode>
                  <v>56.1</v>
                </pt>
                <pt idx="796">
                  <formatCode>0.00</formatCode>
                  <v>52.7</v>
                </pt>
                <pt idx="797">
                  <formatCode>0.00</formatCode>
                  <v>53</v>
                </pt>
                <pt idx="798">
                  <formatCode>0.00</formatCode>
                  <v>54.2</v>
                </pt>
                <pt idx="799">
                  <formatCode>0.00</formatCode>
                  <v>54</v>
                </pt>
                <pt idx="800">
                  <formatCode>0.00</formatCode>
                  <v>52.2</v>
                </pt>
                <pt idx="801">
                  <formatCode>0.00</formatCode>
                  <v>54.5</v>
                </pt>
                <pt idx="802">
                  <formatCode>0.00</formatCode>
                  <v>55.4</v>
                </pt>
                <pt idx="803">
                  <formatCode>0.00</formatCode>
                  <v>56.9</v>
                </pt>
                <pt idx="804">
                  <formatCode>0.00</formatCode>
                  <v>53.3</v>
                </pt>
                <pt idx="805">
                  <formatCode>0.00</formatCode>
                  <v>54.4</v>
                </pt>
                <pt idx="806">
                  <formatCode>0.00</formatCode>
                  <v>51</v>
                </pt>
                <pt idx="807">
                  <formatCode>0.00</formatCode>
                  <v>50.5</v>
                </pt>
                <pt idx="808">
                  <formatCode>0.00</formatCode>
                  <v>51.5</v>
                </pt>
                <pt idx="809">
                  <formatCode>0.00</formatCode>
                  <v>49.2</v>
                </pt>
                <pt idx="810">
                  <formatCode>0.00</formatCode>
                  <v>50.2</v>
                </pt>
                <pt idx="811">
                  <formatCode>0.00</formatCode>
                  <v>50.3</v>
                </pt>
                <pt idx="812">
                  <formatCode>0.00</formatCode>
                  <v>49.7</v>
                </pt>
                <pt idx="813">
                  <formatCode>0.00</formatCode>
                  <v>49.7</v>
                </pt>
                <pt idx="814">
                  <formatCode>0.00</formatCode>
                  <v>49.8</v>
                </pt>
                <pt idx="815">
                  <formatCode>0.00</formatCode>
                  <v>49.8</v>
                </pt>
                <pt idx="816">
                  <formatCode>0.00</formatCode>
                  <v>50</v>
                </pt>
                <pt idx="817">
                  <formatCode>0.00</formatCode>
                  <v>49.2</v>
                </pt>
                <pt idx="818">
                  <formatCode>0.00</formatCode>
                  <v>50.9</v>
                </pt>
                <pt idx="819">
                  <formatCode>0.00</formatCode>
                  <v>50.5</v>
                </pt>
                <pt idx="820">
                  <formatCode>0.00</formatCode>
                  <v>53.3</v>
                </pt>
                <pt idx="821">
                  <formatCode>0.00</formatCode>
                  <v>54</v>
                </pt>
                <pt idx="822">
                  <formatCode>0.00</formatCode>
                  <v>52.4</v>
                </pt>
                <pt idx="823">
                  <formatCode>0.00</formatCode>
                  <v>51.6</v>
                </pt>
                <pt idx="824">
                  <formatCode>0.00</formatCode>
                  <v>49.8</v>
                </pt>
                <pt idx="825">
                  <formatCode>0.00</formatCode>
                  <v>51.7</v>
                </pt>
                <pt idx="826">
                  <formatCode>0.00</formatCode>
                  <v>55.4</v>
                </pt>
                <pt idx="827">
                  <formatCode>0.00</formatCode>
                  <v>53.2</v>
                </pt>
                <pt idx="828">
                  <formatCode>0.00</formatCode>
                  <v>53.5</v>
                </pt>
                <pt idx="829">
                  <formatCode>0.00</formatCode>
                  <v>55.5</v>
                </pt>
                <pt idx="830">
                  <formatCode>0.00</formatCode>
                  <v>55.6</v>
                </pt>
                <pt idx="831">
                  <formatCode>0.00</formatCode>
                  <v>55.9</v>
                </pt>
                <pt idx="832">
                  <formatCode>0.00</formatCode>
                  <v>54.4</v>
                </pt>
                <pt idx="833">
                  <formatCode>0.00</formatCode>
                  <v>55.7</v>
                </pt>
                <pt idx="834">
                  <formatCode>0.00</formatCode>
                  <v>56</v>
                </pt>
                <pt idx="835">
                  <formatCode>0.00</formatCode>
                  <v>57.4</v>
                </pt>
                <pt idx="836">
                  <formatCode>0.00</formatCode>
                  <v>63.4</v>
                </pt>
                <pt idx="837">
                  <formatCode>0.00</formatCode>
                  <v>60.1</v>
                </pt>
                <pt idx="838">
                  <formatCode>0.00</formatCode>
                  <v>56.6</v>
                </pt>
                <pt idx="839">
                  <formatCode>0.00</formatCode>
                  <v>57.2</v>
                </pt>
                <pt idx="840">
                  <formatCode>0.00</formatCode>
                  <v>59.1</v>
                </pt>
                <pt idx="841">
                  <formatCode>0.00</formatCode>
                  <v>61.1</v>
                </pt>
                <pt idx="842">
                  <formatCode>0.00</formatCode>
                  <v>60.6</v>
                </pt>
                <pt idx="843">
                  <formatCode>0.00</formatCode>
                  <v>61.1</v>
                </pt>
                <pt idx="844">
                  <formatCode>0.00</formatCode>
                  <v>62</v>
                </pt>
                <pt idx="845">
                  <formatCode>0.00</formatCode>
                  <v>68.2</v>
                </pt>
                <pt idx="846">
                  <formatCode>0.00</formatCode>
                  <v>62.1</v>
                </pt>
                <pt idx="847">
                  <formatCode>0.00</formatCode>
                  <v>64.5</v>
                </pt>
                <pt idx="848">
                  <formatCode>0.00</formatCode>
                  <v>61.1</v>
                </pt>
                <pt idx="849">
                  <formatCode>0.00</formatCode>
                  <v>63.8</v>
                </pt>
                <pt idx="850">
                  <formatCode>0.00</formatCode>
                  <v>62.5</v>
                </pt>
                <pt idx="851">
                  <formatCode>0.00</formatCode>
                  <v>59</v>
                </pt>
                <pt idx="852">
                  <formatCode>0.00</formatCode>
                  <v>56.2</v>
                </pt>
                <pt idx="853">
                  <formatCode>0.00</formatCode>
                  <v>54.9</v>
                </pt>
                <pt idx="854">
                  <formatCode>0.00</formatCode>
                  <v>54.2</v>
                </pt>
                <pt idx="855">
                  <formatCode>0.00</formatCode>
                  <v>54.6</v>
                </pt>
                <pt idx="856">
                  <formatCode>0.00</formatCode>
                  <v>52</v>
                </pt>
                <pt idx="857">
                  <formatCode>0.00</formatCode>
                  <v>50.7</v>
                </pt>
                <pt idx="858">
                  <formatCode>0.00</formatCode>
                  <v>53.3</v>
                </pt>
                <pt idx="859">
                  <formatCode>0.00</formatCode>
                  <v>51.4</v>
                </pt>
                <pt idx="860">
                  <formatCode>0.00</formatCode>
                  <v>51.1</v>
                </pt>
                <pt idx="861">
                  <formatCode>0.00</formatCode>
                  <v>49.5</v>
                </pt>
                <pt idx="862">
                  <formatCode>0.00</formatCode>
                  <v>52</v>
                </pt>
                <pt idx="863">
                  <formatCode>0.00</formatCode>
                  <v>54.6</v>
                </pt>
                <pt idx="864">
                  <formatCode>0.00</formatCode>
                  <v>52.9</v>
                </pt>
                <pt idx="865">
                  <formatCode>0.00</formatCode>
                  <v>57.3</v>
                </pt>
                <pt idx="866">
                  <formatCode>0.00</formatCode>
                  <v>65</v>
                </pt>
                <pt idx="867">
                  <formatCode>0.00</formatCode>
                  <v>76</v>
                </pt>
                <pt idx="868">
                  <formatCode>0.00</formatCode>
                  <v>68</v>
                </pt>
                <pt idx="869">
                  <formatCode>0.00</formatCode>
                  <v>56.9</v>
                </pt>
                <pt idx="870">
                  <formatCode>0.00</formatCode>
                  <v>55.8</v>
                </pt>
                <pt idx="871">
                  <formatCode>0.00</formatCode>
                  <v>58.2</v>
                </pt>
                <pt idx="872">
                  <formatCode>0.00</formatCode>
                  <v>59</v>
                </pt>
                <pt idx="873">
                  <formatCode>0.00</formatCode>
                  <v>60.5</v>
                </pt>
                <pt idx="874">
                  <formatCode>0.00</formatCode>
                  <v>61.7</v>
                </pt>
                <pt idx="875">
                  <formatCode>0.00</formatCode>
                  <v>67.7</v>
                </pt>
                <pt idx="876">
                  <formatCode>0.00</formatCode>
                  <v>68.2</v>
                </pt>
                <pt idx="877">
                  <formatCode>0.00</formatCode>
                  <v>72</v>
                </pt>
                <pt idx="878">
                  <formatCode>0.00</formatCode>
                  <v>76.59999999999999</v>
                </pt>
                <pt idx="879">
                  <formatCode>0.00</formatCode>
                  <v>75</v>
                </pt>
                <pt idx="880">
                  <formatCode>0.00</formatCode>
                  <v>78.8</v>
                </pt>
                <pt idx="881">
                  <formatCode>0.00</formatCode>
                  <v>75.09999999999999</v>
                </pt>
                <pt idx="882">
                  <formatCode>0.00</formatCode>
                  <v>72.5</v>
                </pt>
                <pt idx="883">
                  <formatCode>0.00</formatCode>
                  <v>69.5</v>
                </pt>
                <pt idx="884">
                  <formatCode>0.00</formatCode>
                  <v>73.40000000000001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Details!$J$6:$J$890</f>
              <numCache>
                <formatCode>General</formatCode>
                <ptCount val="885"/>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formatCode>0.00</formatCode>
                  <v>55.2</v>
                </pt>
                <pt idx="745">
                  <formatCode>0.00</formatCode>
                  <v>55.7</v>
                </pt>
                <pt idx="746">
                  <formatCode>0.00</formatCode>
                  <v>55.8</v>
                </pt>
                <pt idx="747">
                  <formatCode>0.00</formatCode>
                  <v>54.8</v>
                </pt>
                <pt idx="748">
                  <formatCode>0.00</formatCode>
                  <v>57.9</v>
                </pt>
                <pt idx="749">
                  <formatCode>0.00</formatCode>
                  <v>56.8</v>
                </pt>
                <pt idx="750">
                  <formatCode>0.00</formatCode>
                  <v>58.6</v>
                </pt>
                <pt idx="751">
                  <formatCode>0.00</formatCode>
                  <v>61.2</v>
                </pt>
                <pt idx="752">
                  <formatCode>0.00</formatCode>
                  <v>58</v>
                </pt>
                <pt idx="753">
                  <formatCode>0.00</formatCode>
                  <v>57.5</v>
                </pt>
                <pt idx="754">
                  <formatCode>0.00</formatCode>
                  <v>60.2</v>
                </pt>
                <pt idx="755">
                  <formatCode>0.00</formatCode>
                  <v>56.7</v>
                </pt>
                <pt idx="756">
                  <formatCode>0.00</formatCode>
                  <v>61.6</v>
                </pt>
                <pt idx="757">
                  <formatCode>0.00</formatCode>
                  <v>62.3</v>
                </pt>
                <pt idx="758">
                  <formatCode>0.00</formatCode>
                  <v>60.5</v>
                </pt>
                <pt idx="759">
                  <formatCode>0.00</formatCode>
                  <v>59.2</v>
                </pt>
                <pt idx="760">
                  <formatCode>0.00</formatCode>
                  <v>58.1</v>
                </pt>
                <pt idx="761">
                  <formatCode>0.00</formatCode>
                  <v>62.1</v>
                </pt>
                <pt idx="762">
                  <formatCode>0.00</formatCode>
                  <v>53.2</v>
                </pt>
                <pt idx="763">
                  <formatCode>0.00</formatCode>
                  <v>51.8</v>
                </pt>
                <pt idx="764">
                  <formatCode>0.00</formatCode>
                  <v>56.6</v>
                </pt>
                <pt idx="765">
                  <formatCode>0.00</formatCode>
                  <v>53</v>
                </pt>
                <pt idx="766">
                  <formatCode>0.00</formatCode>
                  <v>51.3</v>
                </pt>
                <pt idx="767">
                  <formatCode>0.00</formatCode>
                  <v>54.9</v>
                </pt>
                <pt idx="768">
                  <formatCode>0.00</formatCode>
                  <v>52.6</v>
                </pt>
                <pt idx="769">
                  <formatCode>0.00</formatCode>
                  <v>52.1</v>
                </pt>
                <pt idx="770">
                  <formatCode>0.00</formatCode>
                  <v>55.3</v>
                </pt>
                <pt idx="771">
                  <formatCode>0.00</formatCode>
                  <v>55.6</v>
                </pt>
                <pt idx="772">
                  <formatCode>0.00</formatCode>
                  <v>53.6</v>
                </pt>
                <pt idx="773">
                  <formatCode>0.00</formatCode>
                  <v>54.8</v>
                </pt>
                <pt idx="774">
                  <formatCode>0.00</formatCode>
                  <v>52.5</v>
                </pt>
                <pt idx="775">
                  <formatCode>0.00</formatCode>
                  <v>51.2</v>
                </pt>
                <pt idx="776">
                  <formatCode>0.00</formatCode>
                  <v>53</v>
                </pt>
                <pt idx="777">
                  <formatCode>0.00</formatCode>
                  <v>52.7</v>
                </pt>
                <pt idx="778">
                  <formatCode>0.00</formatCode>
                  <v>48.6</v>
                </pt>
                <pt idx="779">
                  <formatCode>0.00</formatCode>
                  <v>52.6</v>
                </pt>
                <pt idx="780">
                  <formatCode>0.00</formatCode>
                  <v>52.6</v>
                </pt>
                <pt idx="781">
                  <formatCode>0.00</formatCode>
                  <v>52.2</v>
                </pt>
                <pt idx="782">
                  <formatCode>0.00</formatCode>
                  <v>52.9</v>
                </pt>
                <pt idx="783">
                  <formatCode>0.00</formatCode>
                  <v>50.2</v>
                </pt>
                <pt idx="784">
                  <formatCode>0.00</formatCode>
                  <v>49.7</v>
                </pt>
                <pt idx="785">
                  <formatCode>0.00</formatCode>
                  <v>49.3</v>
                </pt>
                <pt idx="786">
                  <formatCode>0.00</formatCode>
                  <v>52.8</v>
                </pt>
                <pt idx="787">
                  <formatCode>0.00</formatCode>
                  <v>54.2</v>
                </pt>
                <pt idx="788">
                  <formatCode>0.00</formatCode>
                  <v>53.1</v>
                </pt>
                <pt idx="789">
                  <formatCode>0.00</formatCode>
                  <v>53.6</v>
                </pt>
                <pt idx="790">
                  <formatCode>0.00</formatCode>
                  <v>55.5</v>
                </pt>
                <pt idx="791">
                  <formatCode>0.00</formatCode>
                  <v>52.9</v>
                </pt>
                <pt idx="792">
                  <formatCode>0.00</formatCode>
                  <v>52.9</v>
                </pt>
                <pt idx="793">
                  <formatCode>0.00</formatCode>
                  <v>54.1</v>
                </pt>
                <pt idx="794">
                  <formatCode>0.00</formatCode>
                  <v>53.7</v>
                </pt>
                <pt idx="795">
                  <formatCode>0.00</formatCode>
                  <v>56.8</v>
                </pt>
                <pt idx="796">
                  <formatCode>0.00</formatCode>
                  <v>54.7</v>
                </pt>
                <pt idx="797">
                  <formatCode>0.00</formatCode>
                  <v>52.9</v>
                </pt>
                <pt idx="798">
                  <formatCode>0.00</formatCode>
                  <v>55.5</v>
                </pt>
                <pt idx="799">
                  <formatCode>0.00</formatCode>
                  <v>57.6</v>
                </pt>
                <pt idx="800">
                  <formatCode>0.00</formatCode>
                  <v>54.4</v>
                </pt>
                <pt idx="801">
                  <formatCode>0.00</formatCode>
                  <v>54.2</v>
                </pt>
                <pt idx="802">
                  <formatCode>0.00</formatCode>
                  <v>54.5</v>
                </pt>
                <pt idx="803">
                  <formatCode>0.00</formatCode>
                  <v>57.1</v>
                </pt>
                <pt idx="804">
                  <formatCode>0.00</formatCode>
                  <v>54.6</v>
                </pt>
                <pt idx="805">
                  <formatCode>0.00</formatCode>
                  <v>51.7</v>
                </pt>
                <pt idx="806">
                  <formatCode>0.00</formatCode>
                  <v>51</v>
                </pt>
                <pt idx="807">
                  <formatCode>0.00</formatCode>
                  <v>49.7</v>
                </pt>
                <pt idx="808">
                  <formatCode>0.00</formatCode>
                  <v>52.6</v>
                </pt>
                <pt idx="809">
                  <formatCode>0.00</formatCode>
                  <v>54.2</v>
                </pt>
                <pt idx="810">
                  <formatCode>0.00</formatCode>
                  <v>52</v>
                </pt>
                <pt idx="811">
                  <formatCode>0.00</formatCode>
                  <v>49</v>
                </pt>
                <pt idx="812">
                  <formatCode>0.00</formatCode>
                  <v>50</v>
                </pt>
                <pt idx="813">
                  <formatCode>0.00</formatCode>
                  <v>45.6</v>
                </pt>
                <pt idx="814">
                  <formatCode>0.00</formatCode>
                  <v>51.5</v>
                </pt>
                <pt idx="815">
                  <formatCode>0.00</formatCode>
                  <v>46.8</v>
                </pt>
                <pt idx="816">
                  <formatCode>0.00</formatCode>
                  <v>44.2</v>
                </pt>
                <pt idx="817">
                  <formatCode>0.00</formatCode>
                  <v>47.4</v>
                </pt>
                <pt idx="818">
                  <formatCode>0.00</formatCode>
                  <v>47.6</v>
                </pt>
                <pt idx="819">
                  <formatCode>0.00</formatCode>
                  <v>49.4</v>
                </pt>
                <pt idx="820">
                  <formatCode>0.00</formatCode>
                  <v>48.8</v>
                </pt>
                <pt idx="821">
                  <formatCode>0.00</formatCode>
                  <v>49.2</v>
                </pt>
                <pt idx="822">
                  <formatCode>0.00</formatCode>
                  <v>49.6</v>
                </pt>
                <pt idx="823">
                  <formatCode>0.00</formatCode>
                  <v>47.9</v>
                </pt>
                <pt idx="824">
                  <formatCode>0.00</formatCode>
                  <v>49.2</v>
                </pt>
                <pt idx="825">
                  <formatCode>0.00</formatCode>
                  <v>51.4</v>
                </pt>
                <pt idx="826">
                  <formatCode>0.00</formatCode>
                  <v>52</v>
                </pt>
                <pt idx="827">
                  <formatCode>0.00</formatCode>
                  <v>53.3</v>
                </pt>
                <pt idx="828">
                  <formatCode>0.00</formatCode>
                  <v>54.8</v>
                </pt>
                <pt idx="829">
                  <formatCode>0.00</formatCode>
                  <v>54.5</v>
                </pt>
                <pt idx="830">
                  <formatCode>0.00</formatCode>
                  <v>58.7</v>
                </pt>
                <pt idx="831">
                  <formatCode>0.00</formatCode>
                  <v>53</v>
                </pt>
                <pt idx="832">
                  <formatCode>0.00</formatCode>
                  <v>53.3</v>
                </pt>
                <pt idx="833">
                  <formatCode>0.00</formatCode>
                  <v>56.3</v>
                </pt>
                <pt idx="834">
                  <formatCode>0.00</formatCode>
                  <v>55.8</v>
                </pt>
                <pt idx="835">
                  <formatCode>0.00</formatCode>
                  <v>59.8</v>
                </pt>
                <pt idx="836">
                  <formatCode>0.00</formatCode>
                  <v>58.7</v>
                </pt>
                <pt idx="837">
                  <formatCode>0.00</formatCode>
                  <v>59.8</v>
                </pt>
                <pt idx="838">
                  <formatCode>0.00</formatCode>
                  <v>59.2</v>
                </pt>
                <pt idx="839">
                  <formatCode>0.00</formatCode>
                  <v>58.1</v>
                </pt>
                <pt idx="840">
                  <formatCode>0.00</formatCode>
                  <v>54.2</v>
                </pt>
                <pt idx="841">
                  <formatCode>0.00</formatCode>
                  <v>59.7</v>
                </pt>
                <pt idx="842">
                  <formatCode>0.00</formatCode>
                  <v>57.3</v>
                </pt>
                <pt idx="843">
                  <formatCode>0.00</formatCode>
                  <v>54.2</v>
                </pt>
                <pt idx="844">
                  <formatCode>0.00</formatCode>
                  <v>56.3</v>
                </pt>
                <pt idx="845">
                  <formatCode>0.00</formatCode>
                  <v>56</v>
                </pt>
                <pt idx="846">
                  <formatCode>0.00</formatCode>
                  <v>56.5</v>
                </pt>
                <pt idx="847">
                  <formatCode>0.00</formatCode>
                  <v>58.5</v>
                </pt>
                <pt idx="848">
                  <formatCode>0.00</formatCode>
                  <v>58.8</v>
                </pt>
                <pt idx="849">
                  <formatCode>0.00</formatCode>
                  <v>56.8</v>
                </pt>
                <pt idx="850">
                  <formatCode>0.00</formatCode>
                  <v>58.4</v>
                </pt>
                <pt idx="851">
                  <formatCode>0.00</formatCode>
                  <v>56</v>
                </pt>
                <pt idx="852">
                  <formatCode>0.00</formatCode>
                  <v>55.5</v>
                </pt>
                <pt idx="853">
                  <formatCode>0.00</formatCode>
                  <v>52.3</v>
                </pt>
                <pt idx="854">
                  <formatCode>0.00</formatCode>
                  <v>57.5</v>
                </pt>
                <pt idx="855">
                  <formatCode>0.00</formatCode>
                  <v>52.4</v>
                </pt>
                <pt idx="856">
                  <formatCode>0.00</formatCode>
                  <v>53.7</v>
                </pt>
                <pt idx="857">
                  <formatCode>0.00</formatCode>
                  <v>54.5</v>
                </pt>
                <pt idx="858">
                  <formatCode>0.00</formatCode>
                  <v>51.7</v>
                </pt>
                <pt idx="859">
                  <formatCode>0.00</formatCode>
                  <v>47.4</v>
                </pt>
                <pt idx="860">
                  <formatCode>0.00</formatCode>
                  <v>46.3</v>
                </pt>
                <pt idx="861">
                  <formatCode>0.00</formatCode>
                  <v>47.7</v>
                </pt>
                <pt idx="862">
                  <formatCode>0.00</formatCode>
                  <v>46.6</v>
                </pt>
                <pt idx="863">
                  <formatCode>0.00</formatCode>
                  <v>45.2</v>
                </pt>
                <pt idx="864">
                  <formatCode>0.00</formatCode>
                  <v>46.6</v>
                </pt>
                <pt idx="865">
                  <formatCode>0.00</formatCode>
                  <v>46.9</v>
                </pt>
                <pt idx="866">
                  <formatCode>0.00</formatCode>
                  <v>43.8</v>
                </pt>
                <pt idx="867">
                  <formatCode>0.00</formatCode>
                  <v>27.5</v>
                </pt>
                <pt idx="868">
                  <formatCode>0.00</formatCode>
                  <v>32.1</v>
                </pt>
                <pt idx="869">
                  <formatCode>0.00</formatCode>
                  <v>42.1</v>
                </pt>
                <pt idx="870">
                  <formatCode>0.00</formatCode>
                  <v>44.3</v>
                </pt>
                <pt idx="871">
                  <formatCode>0.00</formatCode>
                  <v>46.4</v>
                </pt>
                <pt idx="872">
                  <formatCode>0.00</formatCode>
                  <v>49.6</v>
                </pt>
                <pt idx="873">
                  <formatCode>0.00</formatCode>
                  <v>53.2</v>
                </pt>
                <pt idx="874">
                  <formatCode>0.00</formatCode>
                  <v>48.4</v>
                </pt>
                <pt idx="875">
                  <formatCode>0.00</formatCode>
                  <v>51.7</v>
                </pt>
                <pt idx="876">
                  <formatCode>0.00</formatCode>
                  <v>52.6</v>
                </pt>
                <pt idx="877">
                  <formatCode>0.00</formatCode>
                  <v>54.4</v>
                </pt>
                <pt idx="878">
                  <formatCode>0.00</formatCode>
                  <v>59.6</v>
                </pt>
                <pt idx="879">
                  <formatCode>0.00</formatCode>
                  <v>55.1</v>
                </pt>
                <pt idx="880">
                  <formatCode>0.00</formatCode>
                  <v>50.9</v>
                </pt>
                <pt idx="881">
                  <formatCode>0.00</formatCode>
                  <v>49.9</v>
                </pt>
                <pt idx="882">
                  <formatCode>0.00</formatCode>
                  <v>52.9</v>
                </pt>
                <pt idx="883">
                  <formatCode>0.00</formatCode>
                  <v>49</v>
                </pt>
                <pt idx="884">
                  <formatCode>0.00</formatCode>
                  <v>50.2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Details!$J$6:$J$890</f>
              <numCache>
                <formatCode>General</formatCode>
                <ptCount val="885"/>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formatCode>0.00</formatCode>
                  <v>55.2</v>
                </pt>
                <pt idx="745">
                  <formatCode>0.00</formatCode>
                  <v>55.7</v>
                </pt>
                <pt idx="746">
                  <formatCode>0.00</formatCode>
                  <v>55.8</v>
                </pt>
                <pt idx="747">
                  <formatCode>0.00</formatCode>
                  <v>54.8</v>
                </pt>
                <pt idx="748">
                  <formatCode>0.00</formatCode>
                  <v>57.9</v>
                </pt>
                <pt idx="749">
                  <formatCode>0.00</formatCode>
                  <v>56.8</v>
                </pt>
                <pt idx="750">
                  <formatCode>0.00</formatCode>
                  <v>58.6</v>
                </pt>
                <pt idx="751">
                  <formatCode>0.00</formatCode>
                  <v>61.2</v>
                </pt>
                <pt idx="752">
                  <formatCode>0.00</formatCode>
                  <v>58</v>
                </pt>
                <pt idx="753">
                  <formatCode>0.00</formatCode>
                  <v>57.5</v>
                </pt>
                <pt idx="754">
                  <formatCode>0.00</formatCode>
                  <v>60.2</v>
                </pt>
                <pt idx="755">
                  <formatCode>0.00</formatCode>
                  <v>56.7</v>
                </pt>
                <pt idx="756">
                  <formatCode>0.00</formatCode>
                  <v>61.6</v>
                </pt>
                <pt idx="757">
                  <formatCode>0.00</formatCode>
                  <v>62.3</v>
                </pt>
                <pt idx="758">
                  <formatCode>0.00</formatCode>
                  <v>60.5</v>
                </pt>
                <pt idx="759">
                  <formatCode>0.00</formatCode>
                  <v>59.2</v>
                </pt>
                <pt idx="760">
                  <formatCode>0.00</formatCode>
                  <v>58.1</v>
                </pt>
                <pt idx="761">
                  <formatCode>0.00</formatCode>
                  <v>62.1</v>
                </pt>
                <pt idx="762">
                  <formatCode>0.00</formatCode>
                  <v>53.2</v>
                </pt>
                <pt idx="763">
                  <formatCode>0.00</formatCode>
                  <v>51.8</v>
                </pt>
                <pt idx="764">
                  <formatCode>0.00</formatCode>
                  <v>56.6</v>
                </pt>
                <pt idx="765">
                  <formatCode>0.00</formatCode>
                  <v>53</v>
                </pt>
                <pt idx="766">
                  <formatCode>0.00</formatCode>
                  <v>51.3</v>
                </pt>
                <pt idx="767">
                  <formatCode>0.00</formatCode>
                  <v>54.9</v>
                </pt>
                <pt idx="768">
                  <formatCode>0.00</formatCode>
                  <v>52.6</v>
                </pt>
                <pt idx="769">
                  <formatCode>0.00</formatCode>
                  <v>52.1</v>
                </pt>
                <pt idx="770">
                  <formatCode>0.00</formatCode>
                  <v>55.3</v>
                </pt>
                <pt idx="771">
                  <formatCode>0.00</formatCode>
                  <v>55.6</v>
                </pt>
                <pt idx="772">
                  <formatCode>0.00</formatCode>
                  <v>53.6</v>
                </pt>
                <pt idx="773">
                  <formatCode>0.00</formatCode>
                  <v>54.8</v>
                </pt>
                <pt idx="774">
                  <formatCode>0.00</formatCode>
                  <v>52.5</v>
                </pt>
                <pt idx="775">
                  <formatCode>0.00</formatCode>
                  <v>51.2</v>
                </pt>
                <pt idx="776">
                  <formatCode>0.00</formatCode>
                  <v>53</v>
                </pt>
                <pt idx="777">
                  <formatCode>0.00</formatCode>
                  <v>52.7</v>
                </pt>
                <pt idx="778">
                  <formatCode>0.00</formatCode>
                  <v>48.6</v>
                </pt>
                <pt idx="779">
                  <formatCode>0.00</formatCode>
                  <v>52.6</v>
                </pt>
                <pt idx="780">
                  <formatCode>0.00</formatCode>
                  <v>52.6</v>
                </pt>
                <pt idx="781">
                  <formatCode>0.00</formatCode>
                  <v>52.2</v>
                </pt>
                <pt idx="782">
                  <formatCode>0.00</formatCode>
                  <v>52.9</v>
                </pt>
                <pt idx="783">
                  <formatCode>0.00</formatCode>
                  <v>50.2</v>
                </pt>
                <pt idx="784">
                  <formatCode>0.00</formatCode>
                  <v>49.7</v>
                </pt>
                <pt idx="785">
                  <formatCode>0.00</formatCode>
                  <v>49.3</v>
                </pt>
                <pt idx="786">
                  <formatCode>0.00</formatCode>
                  <v>52.8</v>
                </pt>
                <pt idx="787">
                  <formatCode>0.00</formatCode>
                  <v>54.2</v>
                </pt>
                <pt idx="788">
                  <formatCode>0.00</formatCode>
                  <v>53.1</v>
                </pt>
                <pt idx="789">
                  <formatCode>0.00</formatCode>
                  <v>53.6</v>
                </pt>
                <pt idx="790">
                  <formatCode>0.00</formatCode>
                  <v>55.5</v>
                </pt>
                <pt idx="791">
                  <formatCode>0.00</formatCode>
                  <v>52.9</v>
                </pt>
                <pt idx="792">
                  <formatCode>0.00</formatCode>
                  <v>52.9</v>
                </pt>
                <pt idx="793">
                  <formatCode>0.00</formatCode>
                  <v>54.1</v>
                </pt>
                <pt idx="794">
                  <formatCode>0.00</formatCode>
                  <v>53.7</v>
                </pt>
                <pt idx="795">
                  <formatCode>0.00</formatCode>
                  <v>56.8</v>
                </pt>
                <pt idx="796">
                  <formatCode>0.00</formatCode>
                  <v>54.7</v>
                </pt>
                <pt idx="797">
                  <formatCode>0.00</formatCode>
                  <v>52.9</v>
                </pt>
                <pt idx="798">
                  <formatCode>0.00</formatCode>
                  <v>55.5</v>
                </pt>
                <pt idx="799">
                  <formatCode>0.00</formatCode>
                  <v>57.6</v>
                </pt>
                <pt idx="800">
                  <formatCode>0.00</formatCode>
                  <v>54.4</v>
                </pt>
                <pt idx="801">
                  <formatCode>0.00</formatCode>
                  <v>54.2</v>
                </pt>
                <pt idx="802">
                  <formatCode>0.00</formatCode>
                  <v>54.5</v>
                </pt>
                <pt idx="803">
                  <formatCode>0.00</formatCode>
                  <v>57.1</v>
                </pt>
                <pt idx="804">
                  <formatCode>0.00</formatCode>
                  <v>54.6</v>
                </pt>
                <pt idx="805">
                  <formatCode>0.00</formatCode>
                  <v>51.7</v>
                </pt>
                <pt idx="806">
                  <formatCode>0.00</formatCode>
                  <v>51</v>
                </pt>
                <pt idx="807">
                  <formatCode>0.00</formatCode>
                  <v>49.7</v>
                </pt>
                <pt idx="808">
                  <formatCode>0.00</formatCode>
                  <v>52.6</v>
                </pt>
                <pt idx="809">
                  <formatCode>0.00</formatCode>
                  <v>54.2</v>
                </pt>
                <pt idx="810">
                  <formatCode>0.00</formatCode>
                  <v>52</v>
                </pt>
                <pt idx="811">
                  <formatCode>0.00</formatCode>
                  <v>49</v>
                </pt>
                <pt idx="812">
                  <formatCode>0.00</formatCode>
                  <v>50</v>
                </pt>
                <pt idx="813">
                  <formatCode>0.00</formatCode>
                  <v>45.6</v>
                </pt>
                <pt idx="814">
                  <formatCode>0.00</formatCode>
                  <v>51.5</v>
                </pt>
                <pt idx="815">
                  <formatCode>0.00</formatCode>
                  <v>46.8</v>
                </pt>
                <pt idx="816">
                  <formatCode>0.00</formatCode>
                  <v>44.2</v>
                </pt>
                <pt idx="817">
                  <formatCode>0.00</formatCode>
                  <v>47.4</v>
                </pt>
                <pt idx="818">
                  <formatCode>0.00</formatCode>
                  <v>47.6</v>
                </pt>
                <pt idx="819">
                  <formatCode>0.00</formatCode>
                  <v>49.4</v>
                </pt>
                <pt idx="820">
                  <formatCode>0.00</formatCode>
                  <v>48.8</v>
                </pt>
                <pt idx="821">
                  <formatCode>0.00</formatCode>
                  <v>49.2</v>
                </pt>
                <pt idx="822">
                  <formatCode>0.00</formatCode>
                  <v>49.6</v>
                </pt>
                <pt idx="823">
                  <formatCode>0.00</formatCode>
                  <v>47.9</v>
                </pt>
                <pt idx="824">
                  <formatCode>0.00</formatCode>
                  <v>49.2</v>
                </pt>
                <pt idx="825">
                  <formatCode>0.00</formatCode>
                  <v>51.4</v>
                </pt>
                <pt idx="826">
                  <formatCode>0.00</formatCode>
                  <v>52</v>
                </pt>
                <pt idx="827">
                  <formatCode>0.00</formatCode>
                  <v>53.3</v>
                </pt>
                <pt idx="828">
                  <formatCode>0.00</formatCode>
                  <v>54.8</v>
                </pt>
                <pt idx="829">
                  <formatCode>0.00</formatCode>
                  <v>54.5</v>
                </pt>
                <pt idx="830">
                  <formatCode>0.00</formatCode>
                  <v>58.7</v>
                </pt>
                <pt idx="831">
                  <formatCode>0.00</formatCode>
                  <v>53</v>
                </pt>
                <pt idx="832">
                  <formatCode>0.00</formatCode>
                  <v>53.3</v>
                </pt>
                <pt idx="833">
                  <formatCode>0.00</formatCode>
                  <v>56.3</v>
                </pt>
                <pt idx="834">
                  <formatCode>0.00</formatCode>
                  <v>55.8</v>
                </pt>
                <pt idx="835">
                  <formatCode>0.00</formatCode>
                  <v>59.8</v>
                </pt>
                <pt idx="836">
                  <formatCode>0.00</formatCode>
                  <v>58.7</v>
                </pt>
                <pt idx="837">
                  <formatCode>0.00</formatCode>
                  <v>59.8</v>
                </pt>
                <pt idx="838">
                  <formatCode>0.00</formatCode>
                  <v>59.2</v>
                </pt>
                <pt idx="839">
                  <formatCode>0.00</formatCode>
                  <v>58.1</v>
                </pt>
                <pt idx="840">
                  <formatCode>0.00</formatCode>
                  <v>54.2</v>
                </pt>
                <pt idx="841">
                  <formatCode>0.00</formatCode>
                  <v>59.7</v>
                </pt>
                <pt idx="842">
                  <formatCode>0.00</formatCode>
                  <v>57.3</v>
                </pt>
                <pt idx="843">
                  <formatCode>0.00</formatCode>
                  <v>54.2</v>
                </pt>
                <pt idx="844">
                  <formatCode>0.00</formatCode>
                  <v>56.3</v>
                </pt>
                <pt idx="845">
                  <formatCode>0.00</formatCode>
                  <v>56</v>
                </pt>
                <pt idx="846">
                  <formatCode>0.00</formatCode>
                  <v>56.5</v>
                </pt>
                <pt idx="847">
                  <formatCode>0.00</formatCode>
                  <v>58.5</v>
                </pt>
                <pt idx="848">
                  <formatCode>0.00</formatCode>
                  <v>58.8</v>
                </pt>
                <pt idx="849">
                  <formatCode>0.00</formatCode>
                  <v>56.8</v>
                </pt>
                <pt idx="850">
                  <formatCode>0.00</formatCode>
                  <v>58.4</v>
                </pt>
                <pt idx="851">
                  <formatCode>0.00</formatCode>
                  <v>56</v>
                </pt>
                <pt idx="852">
                  <formatCode>0.00</formatCode>
                  <v>55.5</v>
                </pt>
                <pt idx="853">
                  <formatCode>0.00</formatCode>
                  <v>52.3</v>
                </pt>
                <pt idx="854">
                  <formatCode>0.00</formatCode>
                  <v>57.5</v>
                </pt>
                <pt idx="855">
                  <formatCode>0.00</formatCode>
                  <v>52.4</v>
                </pt>
                <pt idx="856">
                  <formatCode>0.00</formatCode>
                  <v>53.7</v>
                </pt>
                <pt idx="857">
                  <formatCode>0.00</formatCode>
                  <v>54.5</v>
                </pt>
                <pt idx="858">
                  <formatCode>0.00</formatCode>
                  <v>51.7</v>
                </pt>
                <pt idx="859">
                  <formatCode>0.00</formatCode>
                  <v>47.4</v>
                </pt>
                <pt idx="860">
                  <formatCode>0.00</formatCode>
                  <v>46.3</v>
                </pt>
                <pt idx="861">
                  <formatCode>0.00</formatCode>
                  <v>47.7</v>
                </pt>
                <pt idx="862">
                  <formatCode>0.00</formatCode>
                  <v>46.6</v>
                </pt>
                <pt idx="863">
                  <formatCode>0.00</formatCode>
                  <v>45.2</v>
                </pt>
                <pt idx="864">
                  <formatCode>0.00</formatCode>
                  <v>46.6</v>
                </pt>
                <pt idx="865">
                  <formatCode>0.00</formatCode>
                  <v>46.9</v>
                </pt>
                <pt idx="866">
                  <formatCode>0.00</formatCode>
                  <v>43.8</v>
                </pt>
                <pt idx="867">
                  <formatCode>0.00</formatCode>
                  <v>27.5</v>
                </pt>
                <pt idx="868">
                  <formatCode>0.00</formatCode>
                  <v>32.1</v>
                </pt>
                <pt idx="869">
                  <formatCode>0.00</formatCode>
                  <v>42.1</v>
                </pt>
                <pt idx="870">
                  <formatCode>0.00</formatCode>
                  <v>44.3</v>
                </pt>
                <pt idx="871">
                  <formatCode>0.00</formatCode>
                  <v>46.4</v>
                </pt>
                <pt idx="872">
                  <formatCode>0.00</formatCode>
                  <v>49.6</v>
                </pt>
                <pt idx="873">
                  <formatCode>0.00</formatCode>
                  <v>53.2</v>
                </pt>
                <pt idx="874">
                  <formatCode>0.00</formatCode>
                  <v>48.4</v>
                </pt>
                <pt idx="875">
                  <formatCode>0.00</formatCode>
                  <v>51.7</v>
                </pt>
                <pt idx="876">
                  <formatCode>0.00</formatCode>
                  <v>52.6</v>
                </pt>
                <pt idx="877">
                  <formatCode>0.00</formatCode>
                  <v>54.4</v>
                </pt>
                <pt idx="878">
                  <formatCode>0.00</formatCode>
                  <v>59.6</v>
                </pt>
                <pt idx="879">
                  <formatCode>0.00</formatCode>
                  <v>55.1</v>
                </pt>
                <pt idx="880">
                  <formatCode>0.00</formatCode>
                  <v>50.9</v>
                </pt>
                <pt idx="881">
                  <formatCode>0.00</formatCode>
                  <v>49.9</v>
                </pt>
                <pt idx="882">
                  <formatCode>0.00</formatCode>
                  <v>52.9</v>
                </pt>
                <pt idx="883">
                  <formatCode>0.00</formatCode>
                  <v>49</v>
                </pt>
                <pt idx="884">
                  <formatCode>0.00</formatCode>
                  <v>50.2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Details!$K$6:$K$890</f>
              <numCache>
                <formatCode>General</formatCode>
                <ptCount val="885"/>
                <pt idx="480">
                  <v>66</v>
                </pt>
                <pt idx="481">
                  <v>65.7</v>
                </pt>
                <pt idx="482">
                  <v>64.5</v>
                </pt>
                <pt idx="483">
                  <v>64</v>
                </pt>
                <pt idx="484">
                  <v>65.5</v>
                </pt>
                <pt idx="485">
                  <v>66</v>
                </pt>
                <pt idx="486">
                  <v>67.5</v>
                </pt>
                <pt idx="487">
                  <v>59.9</v>
                </pt>
                <pt idx="488">
                  <v>61.7</v>
                </pt>
                <pt idx="489">
                  <v>60.8</v>
                </pt>
                <pt idx="490">
                  <v>58.1</v>
                </pt>
                <pt idx="491">
                  <v>64.3</v>
                </pt>
                <pt idx="492">
                  <v>60.1</v>
                </pt>
                <pt idx="493">
                  <v>60</v>
                </pt>
                <pt idx="494">
                  <v>52.8</v>
                </pt>
                <pt idx="495">
                  <v>58.4</v>
                </pt>
                <pt idx="496">
                  <v>60.9</v>
                </pt>
                <pt idx="497">
                  <v>53.3</v>
                </pt>
                <pt idx="498">
                  <v>56.1</v>
                </pt>
                <pt idx="499">
                  <v>57.8</v>
                </pt>
                <pt idx="500">
                  <v>61.7</v>
                </pt>
                <pt idx="501">
                  <v>57.2</v>
                </pt>
                <pt idx="502">
                  <v>56.6</v>
                </pt>
                <pt idx="503">
                  <v>54.9</v>
                </pt>
                <pt idx="504">
                  <v>54.3</v>
                </pt>
                <pt idx="505">
                  <v>54.7</v>
                </pt>
                <pt idx="506">
                  <v>56.3</v>
                </pt>
                <pt idx="507">
                  <v>57.5</v>
                </pt>
                <pt idx="508">
                  <v>54.3</v>
                </pt>
                <pt idx="509">
                  <v>56</v>
                </pt>
                <pt idx="510">
                  <v>57.2</v>
                </pt>
                <pt idx="511">
                  <v>54.6</v>
                </pt>
                <pt idx="512">
                  <v>54.7</v>
                </pt>
                <pt idx="513">
                  <v>51.5</v>
                </pt>
                <pt idx="514">
                  <v>55.5</v>
                </pt>
                <pt idx="515">
                  <v>56.5</v>
                </pt>
                <pt idx="516">
                  <v>55.9</v>
                </pt>
                <pt idx="517">
                  <v>53.3</v>
                </pt>
                <pt idx="518">
                  <v>55.9</v>
                </pt>
                <pt idx="519">
                  <v>53.9</v>
                </pt>
                <pt idx="520">
                  <v>53.2</v>
                </pt>
                <pt idx="521">
                  <v>54.8</v>
                </pt>
                <pt idx="522">
                  <v>52.8</v>
                </pt>
                <pt idx="523">
                  <v>56.5</v>
                </pt>
                <pt idx="524">
                  <v>53.8</v>
                </pt>
                <pt idx="525">
                  <v>55.7</v>
                </pt>
                <pt idx="526">
                  <v>55.2</v>
                </pt>
                <pt idx="527">
                  <v>53.6</v>
                </pt>
                <pt idx="528">
                  <v>51.9</v>
                </pt>
                <pt idx="529">
                  <v>54.7</v>
                </pt>
                <pt idx="530">
                  <v>54.7</v>
                </pt>
                <pt idx="531">
                  <v>53.4</v>
                </pt>
                <pt idx="532">
                  <v>56.2</v>
                </pt>
                <pt idx="533">
                  <v>53.1</v>
                </pt>
                <pt idx="534">
                  <v>55.2</v>
                </pt>
                <pt idx="535">
                  <v>53.3</v>
                </pt>
                <pt idx="536">
                  <v>55.8</v>
                </pt>
                <pt idx="537">
                  <v>53.8</v>
                </pt>
                <pt idx="538">
                  <v>52.9</v>
                </pt>
                <pt idx="539">
                  <v>53.1</v>
                </pt>
                <pt idx="540">
                  <v>53.4</v>
                </pt>
                <pt idx="541">
                  <v>53.2</v>
                </pt>
                <pt idx="542">
                  <v>52.3</v>
                </pt>
                <pt idx="543">
                  <v>53.5</v>
                </pt>
                <pt idx="544">
                  <v>54.2</v>
                </pt>
                <pt idx="545">
                  <v>52.4</v>
                </pt>
                <pt idx="546">
                  <v>50.1</v>
                </pt>
                <pt idx="547">
                  <v>52.6</v>
                </pt>
                <pt idx="548">
                  <v>51.7</v>
                </pt>
                <pt idx="549">
                  <v>54.1</v>
                </pt>
                <pt idx="550">
                  <v>55</v>
                </pt>
                <pt idx="551">
                  <v>53.8</v>
                </pt>
                <pt idx="552">
                  <v>55.3</v>
                </pt>
                <pt idx="553">
                  <v>58.3</v>
                </pt>
                <pt idx="554">
                  <v>55.2</v>
                </pt>
                <pt idx="555">
                  <v>56.9</v>
                </pt>
                <pt idx="556">
                  <v>54.9</v>
                </pt>
                <pt idx="557">
                  <v>57.8</v>
                </pt>
                <pt idx="558">
                  <v>56.7</v>
                </pt>
                <pt idx="559">
                  <v>57.7</v>
                </pt>
                <pt idx="560">
                  <v>60</v>
                </pt>
                <pt idx="561">
                  <v>58.5</v>
                </pt>
                <pt idx="562">
                  <v>56.1</v>
                </pt>
                <pt idx="563">
                  <v>58.4</v>
                </pt>
                <pt idx="564">
                  <v>59.1</v>
                </pt>
                <pt idx="565">
                  <v>58.7</v>
                </pt>
                <pt idx="566">
                  <v>56.9</v>
                </pt>
                <pt idx="567">
                  <v>55.6</v>
                </pt>
                <pt idx="568">
                  <v>56.3</v>
                </pt>
                <pt idx="569">
                  <v>56.1</v>
                </pt>
                <pt idx="570">
                  <v>56.4</v>
                </pt>
                <pt idx="571">
                  <v>53.7</v>
                </pt>
                <pt idx="572">
                  <v>52.6</v>
                </pt>
                <pt idx="573">
                  <v>52.2</v>
                </pt>
                <pt idx="574">
                  <v>54.7</v>
                </pt>
                <pt idx="575">
                  <v>56.5</v>
                </pt>
                <pt idx="576">
                  <v>50</v>
                </pt>
                <pt idx="577">
                  <v>51.3</v>
                </pt>
                <pt idx="578">
                  <v>50.8</v>
                </pt>
                <pt idx="579">
                  <v>51.4</v>
                </pt>
                <pt idx="580">
                  <v>57.2</v>
                </pt>
                <pt idx="581">
                  <v>53.1</v>
                </pt>
                <pt idx="582">
                  <v>53.2</v>
                </pt>
                <pt idx="583">
                  <v>55.3</v>
                </pt>
                <pt idx="584">
                  <v>55.1</v>
                </pt>
                <pt idx="585">
                  <v>57</v>
                </pt>
                <pt idx="586">
                  <v>55.5</v>
                </pt>
                <pt idx="587">
                  <v>56.5</v>
                </pt>
                <pt idx="588">
                  <v>56.2</v>
                </pt>
                <pt idx="589">
                  <v>54.6</v>
                </pt>
                <pt idx="590">
                  <v>55.7</v>
                </pt>
                <pt idx="591">
                  <v>54.7</v>
                </pt>
                <pt idx="592">
                  <v>53.6</v>
                </pt>
                <pt idx="593">
                  <v>53.5</v>
                </pt>
                <pt idx="594">
                  <v>56.2</v>
                </pt>
                <pt idx="595">
                  <v>54.9</v>
                </pt>
                <pt idx="596">
                  <v>49.4</v>
                </pt>
                <pt idx="597">
                  <v>54.9</v>
                </pt>
                <pt idx="598">
                  <v>53.6</v>
                </pt>
                <pt idx="599">
                  <v>51.4</v>
                </pt>
                <pt idx="600">
                  <v>46.2</v>
                </pt>
                <pt idx="601">
                  <v>48.3</v>
                </pt>
                <pt idx="602">
                  <v>46.7</v>
                </pt>
                <pt idx="603">
                  <v>48.5</v>
                </pt>
                <pt idx="604">
                  <v>46.1</v>
                </pt>
                <pt idx="605">
                  <v>46.3</v>
                </pt>
                <pt idx="606">
                  <v>45.6</v>
                </pt>
                <pt idx="607">
                  <v>44</v>
                </pt>
                <pt idx="608">
                  <v>44.2</v>
                </pt>
                <pt idx="609">
                  <v>44.4</v>
                </pt>
                <pt idx="610">
                  <v>43.7</v>
                </pt>
                <pt idx="611">
                  <v>46.2</v>
                </pt>
                <pt idx="612">
                  <v>50</v>
                </pt>
                <pt idx="613">
                  <v>53.3</v>
                </pt>
                <pt idx="614">
                  <v>50.1</v>
                </pt>
                <pt idx="615">
                  <v>51.1</v>
                </pt>
                <pt idx="616">
                  <v>50.9</v>
                </pt>
                <pt idx="617">
                  <v>52.4</v>
                </pt>
                <pt idx="618">
                  <v>51.1</v>
                </pt>
                <pt idx="619">
                  <v>54.4</v>
                </pt>
                <pt idx="620">
                  <v>55.8</v>
                </pt>
                <pt idx="621">
                  <v>54.9</v>
                </pt>
                <pt idx="622">
                  <v>55.8</v>
                </pt>
                <pt idx="623">
                  <v>55</v>
                </pt>
                <pt idx="624">
                  <v>53.4</v>
                </pt>
                <pt idx="625">
                  <v>54.2</v>
                </pt>
                <pt idx="626">
                  <v>54.8</v>
                </pt>
                <pt idx="627">
                  <v>51.5</v>
                </pt>
                <pt idx="628">
                  <v>56.4</v>
                </pt>
                <pt idx="629">
                  <v>52.8</v>
                </pt>
                <pt idx="630">
                  <v>51.7</v>
                </pt>
                <pt idx="631">
                  <v>50.8</v>
                </pt>
                <pt idx="632">
                  <v>50.7</v>
                </pt>
                <pt idx="633">
                  <v>48.7</v>
                </pt>
                <pt idx="634">
                  <v>48.6</v>
                </pt>
                <pt idx="635">
                  <v>49.5</v>
                </pt>
                <pt idx="636">
                  <v>46.7</v>
                </pt>
                <pt idx="637">
                  <v>46.8</v>
                </pt>
                <pt idx="638">
                  <v>50.3</v>
                </pt>
                <pt idx="639">
                  <v>47.5</v>
                </pt>
                <pt idx="640">
                  <v>45.3</v>
                </pt>
                <pt idx="641">
                  <v>45.2</v>
                </pt>
                <pt idx="642">
                  <v>48.4</v>
                </pt>
                <pt idx="643">
                  <v>52</v>
                </pt>
                <pt idx="644">
                  <v>46.9</v>
                </pt>
                <pt idx="645">
                  <v>44.3</v>
                </pt>
                <pt idx="646">
                  <v>50</v>
                </pt>
                <pt idx="647">
                  <v>47.6</v>
                </pt>
                <pt idx="648">
                  <v>50.1</v>
                </pt>
                <pt idx="649">
                  <v>50.7</v>
                </pt>
                <pt idx="650">
                  <v>50.6</v>
                </pt>
                <pt idx="651">
                  <v>51.9</v>
                </pt>
                <pt idx="652">
                  <v>53.3</v>
                </pt>
                <pt idx="653">
                  <v>54.1</v>
                </pt>
                <pt idx="654">
                  <v>52.2</v>
                </pt>
                <pt idx="655">
                  <v>53.4</v>
                </pt>
                <pt idx="656">
                  <v>53.8</v>
                </pt>
                <pt idx="657">
                  <v>53</v>
                </pt>
                <pt idx="658">
                  <v>50</v>
                </pt>
                <pt idx="659">
                  <v>52</v>
                </pt>
                <pt idx="660">
                  <v>54.4</v>
                </pt>
                <pt idx="661">
                  <v>55.2</v>
                </pt>
                <pt idx="662">
                  <v>51.3</v>
                </pt>
                <pt idx="663">
                  <v>50.8</v>
                </pt>
                <pt idx="664">
                  <v>51.7</v>
                </pt>
                <pt idx="665">
                  <v>54.6</v>
                </pt>
                <pt idx="666">
                  <v>54.4</v>
                </pt>
                <pt idx="667">
                  <v>56.4</v>
                </pt>
                <pt idx="668">
                  <v>54.5</v>
                </pt>
                <pt idx="669">
                  <v>59.5</v>
                </pt>
                <pt idx="670">
                  <v>57.1</v>
                </pt>
                <pt idx="671">
                  <v>59.3</v>
                </pt>
                <pt idx="672">
                  <v>57.2</v>
                </pt>
                <pt idx="673">
                  <v>55.1</v>
                </pt>
                <pt idx="674">
                  <v>60.2</v>
                </pt>
                <pt idx="675">
                  <v>59.9</v>
                </pt>
                <pt idx="676">
                  <v>60</v>
                </pt>
                <pt idx="677">
                  <v>57.3</v>
                </pt>
                <pt idx="678">
                  <v>56.7</v>
                </pt>
                <pt idx="679">
                  <v>55.8</v>
                </pt>
                <pt idx="680">
                  <v>53.5</v>
                </pt>
                <pt idx="681">
                  <v>56.7</v>
                </pt>
                <pt idx="682">
                  <v>54.5</v>
                </pt>
                <pt idx="683">
                  <v>59.1</v>
                </pt>
                <pt idx="684">
                  <v>56.5</v>
                </pt>
                <pt idx="685">
                  <v>56.5</v>
                </pt>
                <pt idx="686">
                  <v>55.1</v>
                </pt>
                <pt idx="687">
                  <v>57</v>
                </pt>
                <pt idx="688">
                  <v>55.3</v>
                </pt>
                <pt idx="689">
                  <v>51.2</v>
                </pt>
                <pt idx="690">
                  <v>55.8</v>
                </pt>
                <pt idx="691">
                  <v>54.5</v>
                </pt>
                <pt idx="692">
                  <v>57.3</v>
                </pt>
                <pt idx="693">
                  <v>55.2</v>
                </pt>
                <pt idx="694">
                  <v>57.9</v>
                </pt>
                <pt idx="695">
                  <v>54.3</v>
                </pt>
                <pt idx="696">
                  <v>58.5</v>
                </pt>
                <pt idx="697">
                  <v>57</v>
                </pt>
                <pt idx="698">
                  <v>57.3</v>
                </pt>
                <pt idx="699">
                  <v>53.4</v>
                </pt>
                <pt idx="700">
                  <v>55.7</v>
                </pt>
                <pt idx="701">
                  <v>55.4</v>
                </pt>
                <pt idx="702">
                  <v>51.9</v>
                </pt>
                <pt idx="703">
                  <v>55.7</v>
                </pt>
                <pt idx="704">
                  <v>55.3</v>
                </pt>
                <pt idx="705">
                  <v>57.8</v>
                </pt>
                <pt idx="706">
                  <v>56.9</v>
                </pt>
                <pt idx="707">
                  <v>54.3</v>
                </pt>
                <pt idx="708">
                  <v>53.4</v>
                </pt>
                <pt idx="709">
                  <v>53.4</v>
                </pt>
                <pt idx="710">
                  <v>56.7</v>
                </pt>
                <pt idx="711">
                  <v>56.7</v>
                </pt>
                <pt idx="712">
                  <v>60.2</v>
                </pt>
                <pt idx="713">
                  <v>54.4</v>
                </pt>
                <pt idx="714">
                  <v>58.1</v>
                </pt>
                <pt idx="715">
                  <v>56.1</v>
                </pt>
                <pt idx="716">
                  <v>55.6</v>
                </pt>
                <pt idx="717">
                  <v>58.9</v>
                </pt>
                <pt idx="718">
                  <v>59.6</v>
                </pt>
                <pt idx="719">
                  <v>53.9</v>
                </pt>
                <pt idx="720">
                  <v>56.9</v>
                </pt>
                <pt idx="721">
                  <v>57.1</v>
                </pt>
                <pt idx="722">
                  <v>57.2</v>
                </pt>
                <pt idx="723">
                  <v>58.4</v>
                </pt>
                <pt idx="724">
                  <v>60.6</v>
                </pt>
                <pt idx="725">
                  <v>60.2</v>
                </pt>
                <pt idx="726">
                  <v>55.4</v>
                </pt>
                <pt idx="727">
                  <v>56.8</v>
                </pt>
                <pt idx="728">
                  <v>53.6</v>
                </pt>
                <pt idx="729">
                  <v>40.7</v>
                </pt>
                <pt idx="730">
                  <v>40.4</v>
                </pt>
                <pt idx="731">
                  <v>34.7</v>
                </pt>
                <pt idx="732">
                  <v>38.5</v>
                </pt>
                <pt idx="733">
                  <v>38.8</v>
                </pt>
                <pt idx="734">
                  <v>39.4</v>
                </pt>
                <pt idx="735">
                  <v>42.9</v>
                </pt>
                <pt idx="736">
                  <v>46.4</v>
                </pt>
                <pt idx="737">
                  <v>49.1</v>
                </pt>
                <pt idx="738">
                  <v>48.3</v>
                </pt>
                <pt idx="739">
                  <v>55.1</v>
                </pt>
                <pt idx="740">
                  <v>55.6</v>
                </pt>
                <pt idx="741">
                  <v>57.2</v>
                </pt>
                <pt idx="742">
                  <v>53.9</v>
                </pt>
                <pt idx="743">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Details!$K$6:$K$890</f>
              <numCache>
                <formatCode>General</formatCode>
                <ptCount val="885"/>
                <pt idx="480">
                  <v>66</v>
                </pt>
                <pt idx="481">
                  <v>65.7</v>
                </pt>
                <pt idx="482">
                  <v>64.5</v>
                </pt>
                <pt idx="483">
                  <v>64</v>
                </pt>
                <pt idx="484">
                  <v>65.5</v>
                </pt>
                <pt idx="485">
                  <v>66</v>
                </pt>
                <pt idx="486">
                  <v>67.5</v>
                </pt>
                <pt idx="487">
                  <v>59.9</v>
                </pt>
                <pt idx="488">
                  <v>61.7</v>
                </pt>
                <pt idx="489">
                  <v>60.8</v>
                </pt>
                <pt idx="490">
                  <v>58.1</v>
                </pt>
                <pt idx="491">
                  <v>64.3</v>
                </pt>
                <pt idx="492">
                  <v>60.1</v>
                </pt>
                <pt idx="493">
                  <v>60</v>
                </pt>
                <pt idx="494">
                  <v>52.8</v>
                </pt>
                <pt idx="495">
                  <v>58.4</v>
                </pt>
                <pt idx="496">
                  <v>60.9</v>
                </pt>
                <pt idx="497">
                  <v>53.3</v>
                </pt>
                <pt idx="498">
                  <v>56.1</v>
                </pt>
                <pt idx="499">
                  <v>57.8</v>
                </pt>
                <pt idx="500">
                  <v>61.7</v>
                </pt>
                <pt idx="501">
                  <v>57.2</v>
                </pt>
                <pt idx="502">
                  <v>56.6</v>
                </pt>
                <pt idx="503">
                  <v>54.9</v>
                </pt>
                <pt idx="504">
                  <v>54.3</v>
                </pt>
                <pt idx="505">
                  <v>54.7</v>
                </pt>
                <pt idx="506">
                  <v>56.3</v>
                </pt>
                <pt idx="507">
                  <v>57.5</v>
                </pt>
                <pt idx="508">
                  <v>54.3</v>
                </pt>
                <pt idx="509">
                  <v>56</v>
                </pt>
                <pt idx="510">
                  <v>57.2</v>
                </pt>
                <pt idx="511">
                  <v>54.6</v>
                </pt>
                <pt idx="512">
                  <v>54.7</v>
                </pt>
                <pt idx="513">
                  <v>51.5</v>
                </pt>
                <pt idx="514">
                  <v>55.5</v>
                </pt>
                <pt idx="515">
                  <v>56.5</v>
                </pt>
                <pt idx="516">
                  <v>55.9</v>
                </pt>
                <pt idx="517">
                  <v>53.3</v>
                </pt>
                <pt idx="518">
                  <v>55.9</v>
                </pt>
                <pt idx="519">
                  <v>53.9</v>
                </pt>
                <pt idx="520">
                  <v>53.2</v>
                </pt>
                <pt idx="521">
                  <v>54.8</v>
                </pt>
                <pt idx="522">
                  <v>52.8</v>
                </pt>
                <pt idx="523">
                  <v>56.5</v>
                </pt>
                <pt idx="524">
                  <v>53.8</v>
                </pt>
                <pt idx="525">
                  <v>55.7</v>
                </pt>
                <pt idx="526">
                  <v>55.2</v>
                </pt>
                <pt idx="527">
                  <v>53.6</v>
                </pt>
                <pt idx="528">
                  <v>51.9</v>
                </pt>
                <pt idx="529">
                  <v>54.7</v>
                </pt>
                <pt idx="530">
                  <v>54.7</v>
                </pt>
                <pt idx="531">
                  <v>53.4</v>
                </pt>
                <pt idx="532">
                  <v>56.2</v>
                </pt>
                <pt idx="533">
                  <v>53.1</v>
                </pt>
                <pt idx="534">
                  <v>55.2</v>
                </pt>
                <pt idx="535">
                  <v>53.3</v>
                </pt>
                <pt idx="536">
                  <v>55.8</v>
                </pt>
                <pt idx="537">
                  <v>53.8</v>
                </pt>
                <pt idx="538">
                  <v>52.9</v>
                </pt>
                <pt idx="539">
                  <v>53.1</v>
                </pt>
                <pt idx="540">
                  <v>53.4</v>
                </pt>
                <pt idx="541">
                  <v>53.2</v>
                </pt>
                <pt idx="542">
                  <v>52.3</v>
                </pt>
                <pt idx="543">
                  <v>53.5</v>
                </pt>
                <pt idx="544">
                  <v>54.2</v>
                </pt>
                <pt idx="545">
                  <v>52.4</v>
                </pt>
                <pt idx="546">
                  <v>50.1</v>
                </pt>
                <pt idx="547">
                  <v>52.6</v>
                </pt>
                <pt idx="548">
                  <v>51.7</v>
                </pt>
                <pt idx="549">
                  <v>54.1</v>
                </pt>
                <pt idx="550">
                  <v>55</v>
                </pt>
                <pt idx="551">
                  <v>53.8</v>
                </pt>
                <pt idx="552">
                  <v>55.3</v>
                </pt>
                <pt idx="553">
                  <v>58.3</v>
                </pt>
                <pt idx="554">
                  <v>55.2</v>
                </pt>
                <pt idx="555">
                  <v>56.9</v>
                </pt>
                <pt idx="556">
                  <v>54.9</v>
                </pt>
                <pt idx="557">
                  <v>57.8</v>
                </pt>
                <pt idx="558">
                  <v>56.7</v>
                </pt>
                <pt idx="559">
                  <v>57.7</v>
                </pt>
                <pt idx="560">
                  <v>60</v>
                </pt>
                <pt idx="561">
                  <v>58.5</v>
                </pt>
                <pt idx="562">
                  <v>56.1</v>
                </pt>
                <pt idx="563">
                  <v>58.4</v>
                </pt>
                <pt idx="564">
                  <v>59.1</v>
                </pt>
                <pt idx="565">
                  <v>58.7</v>
                </pt>
                <pt idx="566">
                  <v>56.9</v>
                </pt>
                <pt idx="567">
                  <v>55.6</v>
                </pt>
                <pt idx="568">
                  <v>56.3</v>
                </pt>
                <pt idx="569">
                  <v>56.1</v>
                </pt>
                <pt idx="570">
                  <v>56.4</v>
                </pt>
                <pt idx="571">
                  <v>53.7</v>
                </pt>
                <pt idx="572">
                  <v>52.6</v>
                </pt>
                <pt idx="573">
                  <v>52.2</v>
                </pt>
                <pt idx="574">
                  <v>54.7</v>
                </pt>
                <pt idx="575">
                  <v>56.5</v>
                </pt>
                <pt idx="576">
                  <v>50</v>
                </pt>
                <pt idx="577">
                  <v>51.3</v>
                </pt>
                <pt idx="578">
                  <v>50.8</v>
                </pt>
                <pt idx="579">
                  <v>51.4</v>
                </pt>
                <pt idx="580">
                  <v>57.2</v>
                </pt>
                <pt idx="581">
                  <v>53.1</v>
                </pt>
                <pt idx="582">
                  <v>53.2</v>
                </pt>
                <pt idx="583">
                  <v>55.3</v>
                </pt>
                <pt idx="584">
                  <v>55.1</v>
                </pt>
                <pt idx="585">
                  <v>57</v>
                </pt>
                <pt idx="586">
                  <v>55.5</v>
                </pt>
                <pt idx="587">
                  <v>56.5</v>
                </pt>
                <pt idx="588">
                  <v>56.2</v>
                </pt>
                <pt idx="589">
                  <v>54.6</v>
                </pt>
                <pt idx="590">
                  <v>55.7</v>
                </pt>
                <pt idx="591">
                  <v>54.7</v>
                </pt>
                <pt idx="592">
                  <v>53.6</v>
                </pt>
                <pt idx="593">
                  <v>53.5</v>
                </pt>
                <pt idx="594">
                  <v>56.2</v>
                </pt>
                <pt idx="595">
                  <v>54.9</v>
                </pt>
                <pt idx="596">
                  <v>49.4</v>
                </pt>
                <pt idx="597">
                  <v>54.9</v>
                </pt>
                <pt idx="598">
                  <v>53.6</v>
                </pt>
                <pt idx="599">
                  <v>51.4</v>
                </pt>
                <pt idx="600">
                  <v>46.2</v>
                </pt>
                <pt idx="601">
                  <v>48.3</v>
                </pt>
                <pt idx="602">
                  <v>46.7</v>
                </pt>
                <pt idx="603">
                  <v>48.5</v>
                </pt>
                <pt idx="604">
                  <v>46.1</v>
                </pt>
                <pt idx="605">
                  <v>46.3</v>
                </pt>
                <pt idx="606">
                  <v>45.6</v>
                </pt>
                <pt idx="607">
                  <v>44</v>
                </pt>
                <pt idx="608">
                  <v>44.2</v>
                </pt>
                <pt idx="609">
                  <v>44.4</v>
                </pt>
                <pt idx="610">
                  <v>43.7</v>
                </pt>
                <pt idx="611">
                  <v>46.2</v>
                </pt>
                <pt idx="612">
                  <v>50</v>
                </pt>
                <pt idx="613">
                  <v>53.3</v>
                </pt>
                <pt idx="614">
                  <v>50.1</v>
                </pt>
                <pt idx="615">
                  <v>51.1</v>
                </pt>
                <pt idx="616">
                  <v>50.9</v>
                </pt>
                <pt idx="617">
                  <v>52.4</v>
                </pt>
                <pt idx="618">
                  <v>51.1</v>
                </pt>
                <pt idx="619">
                  <v>54.4</v>
                </pt>
                <pt idx="620">
                  <v>55.8</v>
                </pt>
                <pt idx="621">
                  <v>54.9</v>
                </pt>
                <pt idx="622">
                  <v>55.8</v>
                </pt>
                <pt idx="623">
                  <v>55</v>
                </pt>
                <pt idx="624">
                  <v>53.4</v>
                </pt>
                <pt idx="625">
                  <v>54.2</v>
                </pt>
                <pt idx="626">
                  <v>54.8</v>
                </pt>
                <pt idx="627">
                  <v>51.5</v>
                </pt>
                <pt idx="628">
                  <v>56.4</v>
                </pt>
                <pt idx="629">
                  <v>52.8</v>
                </pt>
                <pt idx="630">
                  <v>51.7</v>
                </pt>
                <pt idx="631">
                  <v>50.8</v>
                </pt>
                <pt idx="632">
                  <v>50.7</v>
                </pt>
                <pt idx="633">
                  <v>48.7</v>
                </pt>
                <pt idx="634">
                  <v>48.6</v>
                </pt>
                <pt idx="635">
                  <v>49.5</v>
                </pt>
                <pt idx="636">
                  <v>46.7</v>
                </pt>
                <pt idx="637">
                  <v>46.8</v>
                </pt>
                <pt idx="638">
                  <v>50.3</v>
                </pt>
                <pt idx="639">
                  <v>47.5</v>
                </pt>
                <pt idx="640">
                  <v>45.3</v>
                </pt>
                <pt idx="641">
                  <v>45.2</v>
                </pt>
                <pt idx="642">
                  <v>48.4</v>
                </pt>
                <pt idx="643">
                  <v>52</v>
                </pt>
                <pt idx="644">
                  <v>46.9</v>
                </pt>
                <pt idx="645">
                  <v>44.3</v>
                </pt>
                <pt idx="646">
                  <v>50</v>
                </pt>
                <pt idx="647">
                  <v>47.6</v>
                </pt>
                <pt idx="648">
                  <v>50.1</v>
                </pt>
                <pt idx="649">
                  <v>50.7</v>
                </pt>
                <pt idx="650">
                  <v>50.6</v>
                </pt>
                <pt idx="651">
                  <v>51.9</v>
                </pt>
                <pt idx="652">
                  <v>53.3</v>
                </pt>
                <pt idx="653">
                  <v>54.1</v>
                </pt>
                <pt idx="654">
                  <v>52.2</v>
                </pt>
                <pt idx="655">
                  <v>53.4</v>
                </pt>
                <pt idx="656">
                  <v>53.8</v>
                </pt>
                <pt idx="657">
                  <v>53</v>
                </pt>
                <pt idx="658">
                  <v>50</v>
                </pt>
                <pt idx="659">
                  <v>52</v>
                </pt>
                <pt idx="660">
                  <v>54.4</v>
                </pt>
                <pt idx="661">
                  <v>55.2</v>
                </pt>
                <pt idx="662">
                  <v>51.3</v>
                </pt>
                <pt idx="663">
                  <v>50.8</v>
                </pt>
                <pt idx="664">
                  <v>51.7</v>
                </pt>
                <pt idx="665">
                  <v>54.6</v>
                </pt>
                <pt idx="666">
                  <v>54.4</v>
                </pt>
                <pt idx="667">
                  <v>56.4</v>
                </pt>
                <pt idx="668">
                  <v>54.5</v>
                </pt>
                <pt idx="669">
                  <v>59.5</v>
                </pt>
                <pt idx="670">
                  <v>57.1</v>
                </pt>
                <pt idx="671">
                  <v>59.3</v>
                </pt>
                <pt idx="672">
                  <v>57.2</v>
                </pt>
                <pt idx="673">
                  <v>55.1</v>
                </pt>
                <pt idx="674">
                  <v>60.2</v>
                </pt>
                <pt idx="675">
                  <v>59.9</v>
                </pt>
                <pt idx="676">
                  <v>60</v>
                </pt>
                <pt idx="677">
                  <v>57.3</v>
                </pt>
                <pt idx="678">
                  <v>56.7</v>
                </pt>
                <pt idx="679">
                  <v>55.8</v>
                </pt>
                <pt idx="680">
                  <v>53.5</v>
                </pt>
                <pt idx="681">
                  <v>56.7</v>
                </pt>
                <pt idx="682">
                  <v>54.5</v>
                </pt>
                <pt idx="683">
                  <v>59.1</v>
                </pt>
                <pt idx="684">
                  <v>56.5</v>
                </pt>
                <pt idx="685">
                  <v>56.5</v>
                </pt>
                <pt idx="686">
                  <v>55.1</v>
                </pt>
                <pt idx="687">
                  <v>57</v>
                </pt>
                <pt idx="688">
                  <v>55.3</v>
                </pt>
                <pt idx="689">
                  <v>51.2</v>
                </pt>
                <pt idx="690">
                  <v>55.8</v>
                </pt>
                <pt idx="691">
                  <v>54.5</v>
                </pt>
                <pt idx="692">
                  <v>57.3</v>
                </pt>
                <pt idx="693">
                  <v>55.2</v>
                </pt>
                <pt idx="694">
                  <v>57.9</v>
                </pt>
                <pt idx="695">
                  <v>54.3</v>
                </pt>
                <pt idx="696">
                  <v>58.5</v>
                </pt>
                <pt idx="697">
                  <v>57</v>
                </pt>
                <pt idx="698">
                  <v>57.3</v>
                </pt>
                <pt idx="699">
                  <v>53.4</v>
                </pt>
                <pt idx="700">
                  <v>55.7</v>
                </pt>
                <pt idx="701">
                  <v>55.4</v>
                </pt>
                <pt idx="702">
                  <v>51.9</v>
                </pt>
                <pt idx="703">
                  <v>55.7</v>
                </pt>
                <pt idx="704">
                  <v>55.3</v>
                </pt>
                <pt idx="705">
                  <v>57.8</v>
                </pt>
                <pt idx="706">
                  <v>56.9</v>
                </pt>
                <pt idx="707">
                  <v>54.3</v>
                </pt>
                <pt idx="708">
                  <v>53.4</v>
                </pt>
                <pt idx="709">
                  <v>53.4</v>
                </pt>
                <pt idx="710">
                  <v>56.7</v>
                </pt>
                <pt idx="711">
                  <v>56.7</v>
                </pt>
                <pt idx="712">
                  <v>60.2</v>
                </pt>
                <pt idx="713">
                  <v>54.4</v>
                </pt>
                <pt idx="714">
                  <v>58.1</v>
                </pt>
                <pt idx="715">
                  <v>56.1</v>
                </pt>
                <pt idx="716">
                  <v>55.6</v>
                </pt>
                <pt idx="717">
                  <v>58.9</v>
                </pt>
                <pt idx="718">
                  <v>59.6</v>
                </pt>
                <pt idx="719">
                  <v>53.9</v>
                </pt>
                <pt idx="720">
                  <v>56.9</v>
                </pt>
                <pt idx="721">
                  <v>57.1</v>
                </pt>
                <pt idx="722">
                  <v>57.2</v>
                </pt>
                <pt idx="723">
                  <v>58.4</v>
                </pt>
                <pt idx="724">
                  <v>60.6</v>
                </pt>
                <pt idx="725">
                  <v>60.2</v>
                </pt>
                <pt idx="726">
                  <v>55.4</v>
                </pt>
                <pt idx="727">
                  <v>56.8</v>
                </pt>
                <pt idx="728">
                  <v>53.6</v>
                </pt>
                <pt idx="729">
                  <v>40.7</v>
                </pt>
                <pt idx="730">
                  <v>40.4</v>
                </pt>
                <pt idx="731">
                  <v>34.7</v>
                </pt>
                <pt idx="732">
                  <v>38.5</v>
                </pt>
                <pt idx="733">
                  <v>38.8</v>
                </pt>
                <pt idx="734">
                  <v>39.4</v>
                </pt>
                <pt idx="735">
                  <v>42.9</v>
                </pt>
                <pt idx="736">
                  <v>46.4</v>
                </pt>
                <pt idx="737">
                  <v>49.1</v>
                </pt>
                <pt idx="738">
                  <v>48.3</v>
                </pt>
                <pt idx="739">
                  <v>55.1</v>
                </pt>
                <pt idx="740">
                  <v>55.6</v>
                </pt>
                <pt idx="741">
                  <v>57.2</v>
                </pt>
                <pt idx="742">
                  <v>53.9</v>
                </pt>
                <pt idx="743">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'ISM Manufacturing vs GDP'!$D$6:$D$890</f>
              <numCache>
                <formatCode>0.00%</formatCode>
                <ptCount val="885"/>
                <pt idx="0">
                  <v>0.01504200324044458</v>
                </pt>
                <pt idx="1">
                  <v>0.01504200324044458</v>
                </pt>
                <pt idx="2">
                  <v>0.01504200324044458</v>
                </pt>
                <pt idx="3">
                  <v>0.01650680593760204</v>
                </pt>
                <pt idx="4">
                  <v>0.01650680593760204</v>
                </pt>
                <pt idx="5">
                  <v>0.01650680593760204</v>
                </pt>
                <pt idx="6">
                  <v>0.0057293019130506</v>
                </pt>
                <pt idx="7">
                  <v>0.0057293019130506</v>
                </pt>
                <pt idx="8">
                  <v>0.0057293019130506</v>
                </pt>
                <pt idx="9">
                  <v>0.001117121575066453</v>
                </pt>
                <pt idx="10">
                  <v>0.001117121575066453</v>
                </pt>
                <pt idx="11">
                  <v>0.001117121575066453</v>
                </pt>
                <pt idx="12">
                  <v>-0.01377946490423314</v>
                </pt>
                <pt idx="13">
                  <v>-0.01377946490423314</v>
                </pt>
                <pt idx="14">
                  <v>-0.01377946490423314</v>
                </pt>
                <pt idx="15">
                  <v>-0.003411009297100643</v>
                </pt>
                <pt idx="16">
                  <v>-0.003411009297100643</v>
                </pt>
                <pt idx="17">
                  <v>-0.003411009297100643</v>
                </pt>
                <pt idx="18">
                  <v>0.010324247766707</v>
                </pt>
                <pt idx="19">
                  <v>0.010324247766707</v>
                </pt>
                <pt idx="20">
                  <v>0.010324247766707</v>
                </pt>
                <pt idx="21">
                  <v>-0.008392674404299159</v>
                </pt>
                <pt idx="22">
                  <v>-0.008392674404299159</v>
                </pt>
                <pt idx="23">
                  <v>-0.008392674404299159</v>
                </pt>
                <pt idx="24">
                  <v>0.03930097999323078</v>
                </pt>
                <pt idx="25">
                  <v>0.03930097999323078</v>
                </pt>
                <pt idx="26">
                  <v>0.03930097999323078</v>
                </pt>
                <pt idx="27">
                  <v>0.03049810987643888</v>
                </pt>
                <pt idx="28">
                  <v>0.03049810987643888</v>
                </pt>
                <pt idx="29">
                  <v>0.03049810987643888</v>
                </pt>
                <pt idx="30">
                  <v>0.03864414603347914</v>
                </pt>
                <pt idx="31">
                  <v>0.03864414603347914</v>
                </pt>
                <pt idx="32">
                  <v>0.03864414603347914</v>
                </pt>
                <pt idx="33">
                  <v>0.01914780147275002</v>
                </pt>
                <pt idx="34">
                  <v>0.01914780147275002</v>
                </pt>
                <pt idx="35">
                  <v>0.01914780147275002</v>
                </pt>
                <pt idx="36">
                  <v>0.01358158764235281</v>
                </pt>
                <pt idx="37">
                  <v>0.01358158764235281</v>
                </pt>
                <pt idx="38">
                  <v>0.01358158764235281</v>
                </pt>
                <pt idx="39">
                  <v>0.01732710437341317</v>
                </pt>
                <pt idx="40">
                  <v>0.01732710437341317</v>
                </pt>
                <pt idx="41">
                  <v>0.01732710437341317</v>
                </pt>
                <pt idx="42">
                  <v>0.02060998797981137</v>
                </pt>
                <pt idx="43">
                  <v>0.02060998797981137</v>
                </pt>
                <pt idx="44">
                  <v>0.02060998797981137</v>
                </pt>
                <pt idx="45">
                  <v>0.002202495736847894</v>
                </pt>
                <pt idx="46">
                  <v>0.002202495736847894</v>
                </pt>
                <pt idx="47">
                  <v>0.002202495736847894</v>
                </pt>
                <pt idx="48">
                  <v>0.01068534408732109</v>
                </pt>
                <pt idx="49">
                  <v>0.01068534408732109</v>
                </pt>
                <pt idx="50">
                  <v>0.01068534408732109</v>
                </pt>
                <pt idx="51">
                  <v>0.002153966941563661</v>
                </pt>
                <pt idx="52">
                  <v>0.002153966941563661</v>
                </pt>
                <pt idx="53">
                  <v>0.002153966941563661</v>
                </pt>
                <pt idx="54">
                  <v>0.007218492151150547</v>
                </pt>
                <pt idx="55">
                  <v>0.007218492151150547</v>
                </pt>
                <pt idx="56">
                  <v>0.007218492151150547</v>
                </pt>
                <pt idx="57">
                  <v>0.03284215711222217</v>
                </pt>
                <pt idx="58">
                  <v>0.03284215711222217</v>
                </pt>
                <pt idx="59">
                  <v>0.03284215711222217</v>
                </pt>
                <pt idx="60">
                  <v>0.01858867482307595</v>
                </pt>
                <pt idx="61">
                  <v>0.01858867482307595</v>
                </pt>
                <pt idx="62">
                  <v>0.01858867482307595</v>
                </pt>
                <pt idx="63">
                  <v>0.007729380201274192</v>
                </pt>
                <pt idx="64">
                  <v>0.007729380201274192</v>
                </pt>
                <pt idx="65">
                  <v>0.007729380201274192</v>
                </pt>
                <pt idx="66">
                  <v>-0.005626770311766005</v>
                </pt>
                <pt idx="67">
                  <v>-0.005626770311766005</v>
                </pt>
                <pt idx="68">
                  <v>-0.005626770311766005</v>
                </pt>
                <pt idx="69">
                  <v>-0.01513940629692239</v>
                </pt>
                <pt idx="70">
                  <v>-0.01513940629692239</v>
                </pt>
                <pt idx="71">
                  <v>-0.01513940629692239</v>
                </pt>
                <pt idx="72">
                  <v>-0.004780238876824148</v>
                </pt>
                <pt idx="73">
                  <v>-0.004780238876824148</v>
                </pt>
                <pt idx="74">
                  <v>-0.004780238876824148</v>
                </pt>
                <pt idx="75">
                  <v>0.001089921955553936</v>
                </pt>
                <pt idx="76">
                  <v>0.001089921955553936</v>
                </pt>
                <pt idx="77">
                  <v>0.001089921955553936</v>
                </pt>
                <pt idx="78">
                  <v>0.01129346276600556</v>
                </pt>
                <pt idx="79">
                  <v>0.01129346276600556</v>
                </pt>
                <pt idx="80">
                  <v>0.01129346276600556</v>
                </pt>
                <pt idx="81">
                  <v>0.01956688076518173</v>
                </pt>
                <pt idx="82">
                  <v>0.01956688076518173</v>
                </pt>
                <pt idx="83">
                  <v>0.01956688076518173</v>
                </pt>
                <pt idx="84">
                  <v>0.0285623465450719</v>
                </pt>
                <pt idx="85">
                  <v>0.0285623465450719</v>
                </pt>
                <pt idx="86">
                  <v>0.0285623465450719</v>
                </pt>
                <pt idx="87">
                  <v>0.016272049572063</v>
                </pt>
                <pt idx="88">
                  <v>0.016272049572063</v>
                </pt>
                <pt idx="89">
                  <v>0.016272049572063</v>
                </pt>
                <pt idx="90">
                  <v>0.01350464287636728</v>
                </pt>
                <pt idx="91">
                  <v>0.01350464287636728</v>
                </pt>
                <pt idx="92">
                  <v>0.01350464287636728</v>
                </pt>
                <pt idx="93">
                  <v>0.006003287374921507</v>
                </pt>
                <pt idx="94">
                  <v>0.006003287374921507</v>
                </pt>
                <pt idx="95">
                  <v>0.006003287374921507</v>
                </pt>
                <pt idx="96">
                  <v>-0.003883804681889066</v>
                </pt>
                <pt idx="97">
                  <v>-0.003883804681889066</v>
                </pt>
                <pt idx="98">
                  <v>-0.003883804681889066</v>
                </pt>
                <pt idx="99">
                  <v>0.0082631942666304</v>
                </pt>
                <pt idx="100">
                  <v>0.0082631942666304</v>
                </pt>
                <pt idx="101">
                  <v>0.0082631942666304</v>
                </pt>
                <pt idx="102">
                  <v>-0.0008983959263615927</v>
                </pt>
                <pt idx="103">
                  <v>-0.0008983959263615927</v>
                </pt>
                <pt idx="104">
                  <v>-0.0008983959263615927</v>
                </pt>
                <pt idx="105">
                  <v>0.01645864038477166</v>
                </pt>
                <pt idx="106">
                  <v>0.01645864038477166</v>
                </pt>
                <pt idx="107">
                  <v>0.01645864038477166</v>
                </pt>
                <pt idx="108">
                  <v>0.006402911526551642</v>
                </pt>
                <pt idx="109">
                  <v>0.006402911526551642</v>
                </pt>
                <pt idx="110">
                  <v>0.006402911526551642</v>
                </pt>
                <pt idx="111">
                  <v>-0.002190859240967446</v>
                </pt>
                <pt idx="112">
                  <v>-0.002190859240967446</v>
                </pt>
                <pt idx="113">
                  <v>-0.002190859240967446</v>
                </pt>
                <pt idx="114">
                  <v>0.009800184021214903</v>
                </pt>
                <pt idx="115">
                  <v>0.009800184021214903</v>
                </pt>
                <pt idx="116">
                  <v>0.009800184021214903</v>
                </pt>
                <pt idx="117">
                  <v>-0.01034279655244525</v>
                </pt>
                <pt idx="118">
                  <v>-0.01034279655244525</v>
                </pt>
                <pt idx="119">
                  <v>-0.01034279655244525</v>
                </pt>
                <pt idx="120">
                  <v>-0.02595440044879475</v>
                </pt>
                <pt idx="121">
                  <v>-0.02595440044879475</v>
                </pt>
                <pt idx="122">
                  <v>-0.02595440044879475</v>
                </pt>
                <pt idx="123">
                  <v>0.006572267260281944</v>
                </pt>
                <pt idx="124">
                  <v>0.006572267260281944</v>
                </pt>
                <pt idx="125">
                  <v>0.006572267260281944</v>
                </pt>
                <pt idx="126">
                  <v>0.02313217041089436</v>
                </pt>
                <pt idx="127">
                  <v>0.02313217041089436</v>
                </pt>
                <pt idx="128">
                  <v>0.02313217041089436</v>
                </pt>
                <pt idx="129">
                  <v>0.02338109559842837</v>
                </pt>
                <pt idx="130">
                  <v>0.02338109559842837</v>
                </pt>
                <pt idx="131">
                  <v>0.02338109559842837</v>
                </pt>
                <pt idx="132">
                  <v>0.0191955280360675</v>
                </pt>
                <pt idx="133">
                  <v>0.0191955280360675</v>
                </pt>
                <pt idx="134">
                  <v>0.0191955280360675</v>
                </pt>
                <pt idx="135">
                  <v>0.02255169530643302</v>
                </pt>
                <pt idx="136">
                  <v>0.02255169530643302</v>
                </pt>
                <pt idx="137">
                  <v>0.02255169530643302</v>
                </pt>
                <pt idx="138">
                  <v>0.0007056034114390727</v>
                </pt>
                <pt idx="139">
                  <v>0.0007056034114390727</v>
                </pt>
                <pt idx="140">
                  <v>0.0007056034114390727</v>
                </pt>
                <pt idx="141">
                  <v>0.002848890553113953</v>
                </pt>
                <pt idx="142">
                  <v>0.002848890553113953</v>
                </pt>
                <pt idx="143">
                  <v>0.002848890553113953</v>
                </pt>
                <pt idx="144">
                  <v>0.02247714291953005</v>
                </pt>
                <pt idx="145">
                  <v>0.02247714291953005</v>
                </pt>
                <pt idx="146">
                  <v>0.02247714291953005</v>
                </pt>
                <pt idx="147">
                  <v>-0.005390733612642711</v>
                </pt>
                <pt idx="148">
                  <v>-0.005390733612642711</v>
                </pt>
                <pt idx="149">
                  <v>-0.005390733612642711</v>
                </pt>
                <pt idx="150">
                  <v>0.004894212798875544</v>
                </pt>
                <pt idx="151">
                  <v>0.004894212798875544</v>
                </pt>
                <pt idx="152">
                  <v>0.004894212798875544</v>
                </pt>
                <pt idx="153">
                  <v>-0.01283403329474103</v>
                </pt>
                <pt idx="154">
                  <v>-0.01283403329474103</v>
                </pt>
                <pt idx="155">
                  <v>-0.01283403329474103</v>
                </pt>
                <pt idx="156">
                  <v>0.006749045402922131</v>
                </pt>
                <pt idx="157">
                  <v>0.006749045402922131</v>
                </pt>
                <pt idx="158">
                  <v>0.006749045402922131</v>
                </pt>
                <pt idx="159">
                  <v>0.01697434268841248</v>
                </pt>
                <pt idx="160">
                  <v>0.01697434268841248</v>
                </pt>
                <pt idx="161">
                  <v>0.01697434268841248</v>
                </pt>
                <pt idx="162">
                  <v>0.01919586999321395</v>
                </pt>
                <pt idx="163">
                  <v>0.01919586999321395</v>
                </pt>
                <pt idx="164">
                  <v>0.01919586999321395</v>
                </pt>
                <pt idx="165">
                  <v>0.01961098063200084</v>
                </pt>
                <pt idx="166">
                  <v>0.01961098063200084</v>
                </pt>
                <pt idx="167">
                  <v>0.01961098063200084</v>
                </pt>
                <pt idx="168">
                  <v>0.01783648810610167</v>
                </pt>
                <pt idx="169">
                  <v>0.01783648810610167</v>
                </pt>
                <pt idx="170">
                  <v>0.01783648810610167</v>
                </pt>
                <pt idx="171">
                  <v>0.009036638230099307</v>
                </pt>
                <pt idx="172">
                  <v>0.009036638230099307</v>
                </pt>
                <pt idx="173">
                  <v>0.009036638230099307</v>
                </pt>
                <pt idx="174">
                  <v>0.01228513047875363</v>
                </pt>
                <pt idx="175">
                  <v>0.01228513047875363</v>
                </pt>
                <pt idx="176">
                  <v>0.01228513047875363</v>
                </pt>
                <pt idx="177">
                  <v>0.003289015760775699</v>
                </pt>
                <pt idx="178">
                  <v>0.003289015760775699</v>
                </pt>
                <pt idx="179">
                  <v>0.003289015760775699</v>
                </pt>
                <pt idx="180">
                  <v>0.01091574332261203</v>
                </pt>
                <pt idx="181">
                  <v>0.01091574332261203</v>
                </pt>
                <pt idx="182">
                  <v>0.01091574332261203</v>
                </pt>
                <pt idx="183">
                  <v>0.01122121452821232</v>
                </pt>
                <pt idx="184">
                  <v>0.01122121452821232</v>
                </pt>
                <pt idx="185">
                  <v>0.01122121452821232</v>
                </pt>
                <pt idx="186">
                  <v>0.02198434459337918</v>
                </pt>
                <pt idx="187">
                  <v>0.02198434459337918</v>
                </pt>
                <pt idx="188">
                  <v>0.02198434459337918</v>
                </pt>
                <pt idx="189">
                  <v>0.006556024365806074</v>
                </pt>
                <pt idx="190">
                  <v>0.006556024365806074</v>
                </pt>
                <pt idx="191">
                  <v>0.006556024365806074</v>
                </pt>
                <pt idx="192">
                  <v>0.0210825209895227</v>
                </pt>
                <pt idx="193">
                  <v>0.0210825209895227</v>
                </pt>
                <pt idx="194">
                  <v>0.0210825209895227</v>
                </pt>
                <pt idx="195">
                  <v>0.01088733689947807</v>
                </pt>
                <pt idx="196">
                  <v>0.01088733689947807</v>
                </pt>
                <pt idx="197">
                  <v>0.01088733689947807</v>
                </pt>
                <pt idx="198">
                  <v>0.01562300666385509</v>
                </pt>
                <pt idx="199">
                  <v>0.01562300666385509</v>
                </pt>
                <pt idx="200">
                  <v>0.01562300666385509</v>
                </pt>
                <pt idx="201">
                  <v>0.003088718582379014</v>
                </pt>
                <pt idx="202">
                  <v>0.003088718582379014</v>
                </pt>
                <pt idx="203">
                  <v>0.003088718582379014</v>
                </pt>
                <pt idx="204">
                  <v>0.02419751879498433</v>
                </pt>
                <pt idx="205">
                  <v>0.02419751879498433</v>
                </pt>
                <pt idx="206">
                  <v>0.02419751879498433</v>
                </pt>
                <pt idx="207">
                  <v>0.01263298248548859</v>
                </pt>
                <pt idx="208">
                  <v>0.01263298248548859</v>
                </pt>
                <pt idx="209">
                  <v>0.01263298248548859</v>
                </pt>
                <pt idx="210">
                  <v>0.02223252281739749</v>
                </pt>
                <pt idx="211">
                  <v>0.02223252281739749</v>
                </pt>
                <pt idx="212">
                  <v>0.02223252281739749</v>
                </pt>
                <pt idx="213">
                  <v>0.02304040465974701</v>
                </pt>
                <pt idx="214">
                  <v>0.02304040465974701</v>
                </pt>
                <pt idx="215">
                  <v>0.02304040465974701</v>
                </pt>
                <pt idx="216">
                  <v>0.0243422875900957</v>
                </pt>
                <pt idx="217">
                  <v>0.0243422875900957</v>
                </pt>
                <pt idx="218">
                  <v>0.0243422875900957</v>
                </pt>
                <pt idx="219">
                  <v>0.003416019619377923</v>
                </pt>
                <pt idx="220">
                  <v>0.003416019619377923</v>
                </pt>
                <pt idx="221">
                  <v>0.003416019619377923</v>
                </pt>
                <pt idx="222">
                  <v>0.008469050515743695</v>
                </pt>
                <pt idx="223">
                  <v>0.008469050515743695</v>
                </pt>
                <pt idx="224">
                  <v>0.008469050515743695</v>
                </pt>
                <pt idx="225">
                  <v>0.008204071085663924</v>
                </pt>
                <pt idx="226">
                  <v>0.008204071085663924</v>
                </pt>
                <pt idx="227">
                  <v>0.008204071085663924</v>
                </pt>
                <pt idx="228">
                  <v>0.008855525867702769</v>
                </pt>
                <pt idx="229">
                  <v>0.008855525867702769</v>
                </pt>
                <pt idx="230">
                  <v>0.008855525867702769</v>
                </pt>
                <pt idx="231">
                  <v>0.0006129781262435619</v>
                </pt>
                <pt idx="232">
                  <v>0.0006129781262435619</v>
                </pt>
                <pt idx="233">
                  <v>0.0006129781262435619</v>
                </pt>
                <pt idx="234">
                  <v>0.009461209174505944</v>
                </pt>
                <pt idx="235">
                  <v>0.009461209174505944</v>
                </pt>
                <pt idx="236">
                  <v>0.009461209174505944</v>
                </pt>
                <pt idx="237">
                  <v>0.007540171273531089</v>
                </pt>
                <pt idx="238">
                  <v>0.007540171273531089</v>
                </pt>
                <pt idx="239">
                  <v>0.007540171273531089</v>
                </pt>
                <pt idx="240">
                  <v>0.02039507128672915</v>
                </pt>
                <pt idx="241">
                  <v>0.02039507128672915</v>
                </pt>
                <pt idx="242">
                  <v>0.02039507128672915</v>
                </pt>
                <pt idx="243">
                  <v>0.01670799550096719</v>
                </pt>
                <pt idx="244">
                  <v>0.01670799550096719</v>
                </pt>
                <pt idx="245">
                  <v>0.01670799550096719</v>
                </pt>
                <pt idx="246">
                  <v>0.007749556634537891</v>
                </pt>
                <pt idx="247">
                  <v>0.007749556634537891</v>
                </pt>
                <pt idx="248">
                  <v>0.007749556634537891</v>
                </pt>
                <pt idx="249">
                  <v>0.003933200411191717</v>
                </pt>
                <pt idx="250">
                  <v>0.003933200411191717</v>
                </pt>
                <pt idx="251">
                  <v>0.003933200411191717</v>
                </pt>
                <pt idx="252">
                  <v>0.01565115509134396</v>
                </pt>
                <pt idx="253">
                  <v>0.01565115509134396</v>
                </pt>
                <pt idx="254">
                  <v>0.01565115509134396</v>
                </pt>
                <pt idx="255">
                  <v>0.003039953206492568</v>
                </pt>
                <pt idx="256">
                  <v>0.003039953206492568</v>
                </pt>
                <pt idx="257">
                  <v>0.003039953206492568</v>
                </pt>
                <pt idx="258">
                  <v>0.006605142052771502</v>
                </pt>
                <pt idx="259">
                  <v>0.006605142052771502</v>
                </pt>
                <pt idx="260">
                  <v>0.006605142052771502</v>
                </pt>
                <pt idx="261">
                  <v>-0.004876945875254361</v>
                </pt>
                <pt idx="262">
                  <v>-0.004876945875254361</v>
                </pt>
                <pt idx="263">
                  <v>-0.004876945875254361</v>
                </pt>
                <pt idx="264">
                  <v>-0.001484707012425907</v>
                </pt>
                <pt idx="265">
                  <v>-0.001484707012425907</v>
                </pt>
                <pt idx="266">
                  <v>-0.001484707012425907</v>
                </pt>
                <pt idx="267">
                  <v>0.001419300010385208</v>
                </pt>
                <pt idx="268">
                  <v>0.001419300010385208</v>
                </pt>
                <pt idx="269">
                  <v>0.001419300010385208</v>
                </pt>
                <pt idx="270">
                  <v>0.009215508301376359</v>
                </pt>
                <pt idx="271">
                  <v>0.009215508301376359</v>
                </pt>
                <pt idx="272">
                  <v>0.009215508301376359</v>
                </pt>
                <pt idx="273">
                  <v>-0.01071638106008845</v>
                </pt>
                <pt idx="274">
                  <v>-0.01071638106008845</v>
                </pt>
                <pt idx="275">
                  <v>-0.01071638106008845</v>
                </pt>
                <pt idx="276">
                  <v>0.02715992789424762</v>
                </pt>
                <pt idx="277">
                  <v>0.02715992789424762</v>
                </pt>
                <pt idx="278">
                  <v>0.02715992789424762</v>
                </pt>
                <pt idx="279">
                  <v>0.005411200797319773</v>
                </pt>
                <pt idx="280">
                  <v>0.005411200797319773</v>
                </pt>
                <pt idx="281">
                  <v>0.005411200797319773</v>
                </pt>
                <pt idx="282">
                  <v>0.008229670850417514</v>
                </pt>
                <pt idx="283">
                  <v>0.008229670850417514</v>
                </pt>
                <pt idx="284">
                  <v>0.008229670850417514</v>
                </pt>
                <pt idx="285">
                  <v>0.002357838388214737</v>
                </pt>
                <pt idx="286">
                  <v>0.002357838388214737</v>
                </pt>
                <pt idx="287">
                  <v>0.002357838388214737</v>
                </pt>
                <pt idx="288">
                  <v>0.01838958884262785</v>
                </pt>
                <pt idx="289">
                  <v>0.01838958884262785</v>
                </pt>
                <pt idx="290">
                  <v>0.01838958884262785</v>
                </pt>
                <pt idx="291">
                  <v>0.02269772354108704</v>
                </pt>
                <pt idx="292">
                  <v>0.02269772354108704</v>
                </pt>
                <pt idx="293">
                  <v>0.02269772354108704</v>
                </pt>
                <pt idx="294">
                  <v>0.009443818880000693</v>
                </pt>
                <pt idx="295">
                  <v>0.009443818880000693</v>
                </pt>
                <pt idx="296">
                  <v>0.009443818880000693</v>
                </pt>
                <pt idx="297">
                  <v>0.01674458737699258</v>
                </pt>
                <pt idx="298">
                  <v>0.01674458737699258</v>
                </pt>
                <pt idx="299">
                  <v>0.01674458737699258</v>
                </pt>
                <pt idx="300">
                  <v>0.02474806376709953</v>
                </pt>
                <pt idx="301">
                  <v>0.02474806376709953</v>
                </pt>
                <pt idx="302">
                  <v>0.02474806376709953</v>
                </pt>
                <pt idx="303">
                  <v>0.01088662529669947</v>
                </pt>
                <pt idx="304">
                  <v>0.01088662529669947</v>
                </pt>
                <pt idx="305">
                  <v>0.01088662529669947</v>
                </pt>
                <pt idx="306">
                  <v>-0.005258985362896589</v>
                </pt>
                <pt idx="307">
                  <v>-0.005258985362896589</v>
                </pt>
                <pt idx="308">
                  <v>-0.005258985362896589</v>
                </pt>
                <pt idx="309">
                  <v>0.009492160434313687</v>
                </pt>
                <pt idx="310">
                  <v>0.009492160434313687</v>
                </pt>
                <pt idx="311">
                  <v>0.009492160434313687</v>
                </pt>
                <pt idx="312">
                  <v>-0.008597725743732246</v>
                </pt>
                <pt idx="313">
                  <v>-0.008597725743732246</v>
                </pt>
                <pt idx="314">
                  <v>-0.008597725743732246</v>
                </pt>
                <pt idx="315">
                  <v>0.002376832273531812</v>
                </pt>
                <pt idx="316">
                  <v>0.002376832273531812</v>
                </pt>
                <pt idx="317">
                  <v>0.002376832273531812</v>
                </pt>
                <pt idx="318">
                  <v>-0.009451427782885907</v>
                </pt>
                <pt idx="319">
                  <v>-0.009451427782885907</v>
                </pt>
                <pt idx="320">
                  <v>-0.009451427782885907</v>
                </pt>
                <pt idx="321">
                  <v>-0.003881407827863123</v>
                </pt>
                <pt idx="322">
                  <v>-0.003881407827863123</v>
                </pt>
                <pt idx="323">
                  <v>-0.003881407827863123</v>
                </pt>
                <pt idx="324">
                  <v>-0.01217285875797099</v>
                </pt>
                <pt idx="325">
                  <v>-0.01217285875797099</v>
                </pt>
                <pt idx="326">
                  <v>-0.01217285875797099</v>
                </pt>
                <pt idx="327">
                  <v>0.007145362161192387</v>
                </pt>
                <pt idx="328">
                  <v>0.007145362161192387</v>
                </pt>
                <pt idx="329">
                  <v>0.007145362161192387</v>
                </pt>
                <pt idx="330">
                  <v>0.0171165196725963</v>
                </pt>
                <pt idx="331">
                  <v>0.0171165196725963</v>
                </pt>
                <pt idx="332">
                  <v>0.0171165196725963</v>
                </pt>
                <pt idx="333">
                  <v>0.01346524151995556</v>
                </pt>
                <pt idx="334">
                  <v>0.01346524151995556</v>
                </pt>
                <pt idx="335">
                  <v>0.01346524151995556</v>
                </pt>
                <pt idx="336">
                  <v>0.02248760120513595</v>
                </pt>
                <pt idx="337">
                  <v>0.02248760120513595</v>
                </pt>
                <pt idx="338">
                  <v>0.02248760120513595</v>
                </pt>
                <pt idx="339">
                  <v>0.00733700576725076</v>
                </pt>
                <pt idx="340">
                  <v>0.00733700576725076</v>
                </pt>
                <pt idx="341">
                  <v>0.00733700576725076</v>
                </pt>
                <pt idx="342">
                  <v>0.005487057642404611</v>
                </pt>
                <pt idx="343">
                  <v>0.005487057642404611</v>
                </pt>
                <pt idx="344">
                  <v>0.005487057642404611</v>
                </pt>
                <pt idx="345">
                  <v>0.007248509780973248</v>
                </pt>
                <pt idx="346">
                  <v>0.007248509780973248</v>
                </pt>
                <pt idx="347">
                  <v>0.007248509780973248</v>
                </pt>
                <pt idx="348">
                  <v>0.01181483598110289</v>
                </pt>
                <pt idx="349">
                  <v>0.01181483598110289</v>
                </pt>
                <pt idx="350">
                  <v>0.01181483598110289</v>
                </pt>
                <pt idx="351">
                  <v>0.01944113077722606</v>
                </pt>
                <pt idx="352">
                  <v>0.01944113077722606</v>
                </pt>
                <pt idx="353">
                  <v>0.01944113077722606</v>
                </pt>
                <pt idx="354">
                  <v>0.01804355898961884</v>
                </pt>
                <pt idx="355">
                  <v>0.01804355898961884</v>
                </pt>
                <pt idx="356">
                  <v>0.01804355898961884</v>
                </pt>
                <pt idx="357">
                  <v>2.185771923568307e-05</v>
                </pt>
                <pt idx="358">
                  <v>2.185771923568307e-05</v>
                </pt>
                <pt idx="359">
                  <v>2.185771923568307e-05</v>
                </pt>
                <pt idx="360">
                  <v>0.003191632414415807</v>
                </pt>
                <pt idx="361">
                  <v>0.003191632414415807</v>
                </pt>
                <pt idx="362">
                  <v>0.003191632414415807</v>
                </pt>
                <pt idx="363">
                  <v>0.03864270187727897</v>
                </pt>
                <pt idx="364">
                  <v>0.03864270187727897</v>
                </pt>
                <pt idx="365">
                  <v>0.03864270187727897</v>
                </pt>
                <pt idx="366">
                  <v>0.010055171271113</v>
                </pt>
                <pt idx="367">
                  <v>0.010055171271113</v>
                </pt>
                <pt idx="368">
                  <v>0.010055171271113</v>
                </pt>
                <pt idx="369">
                  <v>0.01344143063836532</v>
                </pt>
                <pt idx="370">
                  <v>0.01344143063836532</v>
                </pt>
                <pt idx="371">
                  <v>0.01344143063836532</v>
                </pt>
                <pt idx="372">
                  <v>0.001797872875968448</v>
                </pt>
                <pt idx="373">
                  <v>0.001797872875968448</v>
                </pt>
                <pt idx="374">
                  <v>0.001797872875968448</v>
                </pt>
                <pt idx="375">
                  <v>0.001069198313236971</v>
                </pt>
                <pt idx="376">
                  <v>0.001069198313236971</v>
                </pt>
                <pt idx="377">
                  <v>0.001069198313236971</v>
                </pt>
                <pt idx="378">
                  <v>0.007428714679400205</v>
                </pt>
                <pt idx="379">
                  <v>0.007428714679400205</v>
                </pt>
                <pt idx="380">
                  <v>0.007428714679400205</v>
                </pt>
                <pt idx="381">
                  <v>0.002500750342688359</v>
                </pt>
                <pt idx="382">
                  <v>0.002500750342688359</v>
                </pt>
                <pt idx="383">
                  <v>0.002500750342688359</v>
                </pt>
                <pt idx="384">
                  <v>0.003145190755262202</v>
                </pt>
                <pt idx="385">
                  <v>0.003145190755262202</v>
                </pt>
                <pt idx="386">
                  <v>0.003145190755262202</v>
                </pt>
                <pt idx="387">
                  <v>-0.02060472164377091</v>
                </pt>
                <pt idx="388">
                  <v>-0.02060472164377091</v>
                </pt>
                <pt idx="389">
                  <v>-0.02060472164377091</v>
                </pt>
                <pt idx="390">
                  <v>-0.001188471173007907</v>
                </pt>
                <pt idx="391">
                  <v>-0.001188471173007907</v>
                </pt>
                <pt idx="392">
                  <v>-0.001188471173007907</v>
                </pt>
                <pt idx="393">
                  <v>0.01864925605274221</v>
                </pt>
                <pt idx="394">
                  <v>0.01864925605274221</v>
                </pt>
                <pt idx="395">
                  <v>0.01864925605274221</v>
                </pt>
                <pt idx="396">
                  <v>0.01959429460935417</v>
                </pt>
                <pt idx="397">
                  <v>0.01959429460935417</v>
                </pt>
                <pt idx="398">
                  <v>0.01959429460935417</v>
                </pt>
                <pt idx="399">
                  <v>-0.00741063612935064</v>
                </pt>
                <pt idx="400">
                  <v>-0.00741063612935064</v>
                </pt>
                <pt idx="401">
                  <v>-0.00741063612935064</v>
                </pt>
                <pt idx="402">
                  <v>0.01197525210218013</v>
                </pt>
                <pt idx="403">
                  <v>0.01197525210218013</v>
                </pt>
                <pt idx="404">
                  <v>0.01197525210218013</v>
                </pt>
                <pt idx="405">
                  <v>-0.010895640870053</v>
                </pt>
                <pt idx="406">
                  <v>-0.010895640870053</v>
                </pt>
                <pt idx="407">
                  <v>-0.010895640870053</v>
                </pt>
                <pt idx="408">
                  <v>-0.01553544479433885</v>
                </pt>
                <pt idx="409">
                  <v>-0.01553544479433885</v>
                </pt>
                <pt idx="410">
                  <v>-0.01553544479433885</v>
                </pt>
                <pt idx="411">
                  <v>0.004561985153325386</v>
                </pt>
                <pt idx="412">
                  <v>0.004561985153325386</v>
                </pt>
                <pt idx="413">
                  <v>0.004561985153325386</v>
                </pt>
                <pt idx="414">
                  <v>-0.00382299274214082</v>
                </pt>
                <pt idx="415">
                  <v>-0.00382299274214082</v>
                </pt>
                <pt idx="416">
                  <v>-0.00382299274214082</v>
                </pt>
                <pt idx="417">
                  <v>0.0003994627387829448</v>
                </pt>
                <pt idx="418">
                  <v>0.0003994627387829448</v>
                </pt>
                <pt idx="419">
                  <v>0.0003994627387829448</v>
                </pt>
                <pt idx="420">
                  <v>0.01317847576348375</v>
                </pt>
                <pt idx="421">
                  <v>0.01317847576348375</v>
                </pt>
                <pt idx="422">
                  <v>0.01317847576348375</v>
                </pt>
                <pt idx="423">
                  <v>0.02275612439301274</v>
                </pt>
                <pt idx="424">
                  <v>0.02275612439301274</v>
                </pt>
                <pt idx="425">
                  <v>0.02275612439301274</v>
                </pt>
                <pt idx="426">
                  <v>0.01999064294321967</v>
                </pt>
                <pt idx="427">
                  <v>0.01999064294321967</v>
                </pt>
                <pt idx="428">
                  <v>0.01999064294321967</v>
                </pt>
                <pt idx="429">
                  <v>0.02086217479342563</v>
                </pt>
                <pt idx="430">
                  <v>0.02086217479342563</v>
                </pt>
                <pt idx="431">
                  <v>0.02086217479342563</v>
                </pt>
                <pt idx="432">
                  <v>0.01954770288962085</v>
                </pt>
                <pt idx="433">
                  <v>0.01954770288962085</v>
                </pt>
                <pt idx="434">
                  <v>0.01954770288962085</v>
                </pt>
                <pt idx="435">
                  <v>0.01727792662743756</v>
                </pt>
                <pt idx="436">
                  <v>0.01727792662743756</v>
                </pt>
                <pt idx="437">
                  <v>0.01727792662743756</v>
                </pt>
                <pt idx="438">
                  <v>0.00964063628357004</v>
                </pt>
                <pt idx="439">
                  <v>0.00964063628357004</v>
                </pt>
                <pt idx="440">
                  <v>0.00964063628357004</v>
                </pt>
                <pt idx="441">
                  <v>0.008208571463863279</v>
                </pt>
                <pt idx="442">
                  <v>0.008208571463863279</v>
                </pt>
                <pt idx="443">
                  <v>0.008208571463863279</v>
                </pt>
                <pt idx="444">
                  <v>0.00969072300559819</v>
                </pt>
                <pt idx="445">
                  <v>0.00969072300559819</v>
                </pt>
                <pt idx="446">
                  <v>0.00969072300559819</v>
                </pt>
                <pt idx="447">
                  <v>0.008804663531419342</v>
                </pt>
                <pt idx="448">
                  <v>0.008804663531419342</v>
                </pt>
                <pt idx="449">
                  <v>0.008804663531419342</v>
                </pt>
                <pt idx="450">
                  <v>0.01527121263417938</v>
                </pt>
                <pt idx="451">
                  <v>0.01527121263417938</v>
                </pt>
                <pt idx="452">
                  <v>0.01527121263417938</v>
                </pt>
                <pt idx="453">
                  <v>0.007433273444971662</v>
                </pt>
                <pt idx="454">
                  <v>0.007433273444971662</v>
                </pt>
                <pt idx="455">
                  <v>0.007433273444971662</v>
                </pt>
                <pt idx="456">
                  <v>0.009335247075075961</v>
                </pt>
                <pt idx="457">
                  <v>0.009335247075075961</v>
                </pt>
                <pt idx="458">
                  <v>0.009335247075075961</v>
                </pt>
                <pt idx="459">
                  <v>0.004503773625863378</v>
                </pt>
                <pt idx="460">
                  <v>0.004503773625863378</v>
                </pt>
                <pt idx="461">
                  <v>0.004503773625863378</v>
                </pt>
                <pt idx="462">
                  <v>0.009569928864379325</v>
                </pt>
                <pt idx="463">
                  <v>0.009569928864379325</v>
                </pt>
                <pt idx="464">
                  <v>0.009569928864379325</v>
                </pt>
                <pt idx="465">
                  <v>0.005369857182333668</v>
                </pt>
                <pt idx="466">
                  <v>0.005369857182333668</v>
                </pt>
                <pt idx="467">
                  <v>0.005369857182333668</v>
                </pt>
                <pt idx="468">
                  <v>0.007450196299007655</v>
                </pt>
                <pt idx="469">
                  <v>0.007450196299007655</v>
                </pt>
                <pt idx="470">
                  <v>0.007450196299007655</v>
                </pt>
                <pt idx="471">
                  <v>0.01078842316084223</v>
                </pt>
                <pt idx="472">
                  <v>0.01078842316084223</v>
                </pt>
                <pt idx="473">
                  <v>0.01078842316084223</v>
                </pt>
                <pt idx="474">
                  <v>0.008675668556268291</v>
                </pt>
                <pt idx="475">
                  <v>0.008675668556268291</v>
                </pt>
                <pt idx="476">
                  <v>0.008675668556268291</v>
                </pt>
                <pt idx="477">
                  <v>0.01717036095830037</v>
                </pt>
                <pt idx="478">
                  <v>0.01717036095830037</v>
                </pt>
                <pt idx="479">
                  <v>0.01717036095830037</v>
                </pt>
                <pt idx="480">
                  <v>0.005166541671857194</v>
                </pt>
                <pt idx="481">
                  <v>0.005166541671857194</v>
                </pt>
                <pt idx="482">
                  <v>0.005166541671857194</v>
                </pt>
                <pt idx="483">
                  <v>0.01313900617474086</v>
                </pt>
                <pt idx="484">
                  <v>0.01313900617474086</v>
                </pt>
                <pt idx="485">
                  <v>0.01313900617474086</v>
                </pt>
                <pt idx="486">
                  <v>0.005859283143099971</v>
                </pt>
                <pt idx="487">
                  <v>0.005859283143099971</v>
                </pt>
                <pt idx="488">
                  <v>0.005859283143099971</v>
                </pt>
                <pt idx="489">
                  <v>0.01332500553269732</v>
                </pt>
                <pt idx="490">
                  <v>0.01332500553269732</v>
                </pt>
                <pt idx="491">
                  <v>0.01332500553269732</v>
                </pt>
                <pt idx="492">
                  <v>0.01016597673759032</v>
                </pt>
                <pt idx="493">
                  <v>0.01016597673759032</v>
                </pt>
                <pt idx="494">
                  <v>0.01016597673759032</v>
                </pt>
                <pt idx="495">
                  <v>0.007632656565920425</v>
                </pt>
                <pt idx="496">
                  <v>0.007632656565920425</v>
                </pt>
                <pt idx="497">
                  <v>0.007632656565920425</v>
                </pt>
                <pt idx="498">
                  <v>0.007408769937583154</v>
                </pt>
                <pt idx="499">
                  <v>0.007408769937583154</v>
                </pt>
                <pt idx="500">
                  <v>0.007408769937583154</v>
                </pt>
                <pt idx="501">
                  <v>0.001970509742973655</v>
                </pt>
                <pt idx="502">
                  <v>0.001970509742973655</v>
                </pt>
                <pt idx="503">
                  <v>0.001970509742973655</v>
                </pt>
                <pt idx="504">
                  <v>0.01092795415929108</v>
                </pt>
                <pt idx="505">
                  <v>0.01092795415929108</v>
                </pt>
                <pt idx="506">
                  <v>0.01092795415929108</v>
                </pt>
                <pt idx="507">
                  <v>0.003629117904577434</v>
                </pt>
                <pt idx="508">
                  <v>0.003629117904577434</v>
                </pt>
                <pt idx="509">
                  <v>0.003629117904577434</v>
                </pt>
                <pt idx="510">
                  <v>0.0006651243216418434</v>
                </pt>
                <pt idx="511">
                  <v>0.0006651243216418434</v>
                </pt>
                <pt idx="512">
                  <v>0.0006651243216418434</v>
                </pt>
                <pt idx="513">
                  <v>-0.009103945411629843</v>
                </pt>
                <pt idx="514">
                  <v>-0.009103945411629843</v>
                </pt>
                <pt idx="515">
                  <v>-0.009103945411629843</v>
                </pt>
                <pt idx="516">
                  <v>-0.004678675840305243</v>
                </pt>
                <pt idx="517">
                  <v>-0.004678675840305243</v>
                </pt>
                <pt idx="518">
                  <v>-0.004678675840305243</v>
                </pt>
                <pt idx="519">
                  <v>0.007797180375009856</v>
                </pt>
                <pt idx="520">
                  <v>0.007797180375009856</v>
                </pt>
                <pt idx="521">
                  <v>0.007797180375009856</v>
                </pt>
                <pt idx="522">
                  <v>0.005053384308288108</v>
                </pt>
                <pt idx="523">
                  <v>0.005053384308288108</v>
                </pt>
                <pt idx="524">
                  <v>0.005053384308288108</v>
                </pt>
                <pt idx="525">
                  <v>0.003485639022466963</v>
                </pt>
                <pt idx="526">
                  <v>0.003485639022466963</v>
                </pt>
                <pt idx="527">
                  <v>0.003485639022466963</v>
                </pt>
                <pt idx="528">
                  <v>0.0119715757414335</v>
                </pt>
                <pt idx="529">
                  <v>0.0119715757414335</v>
                </pt>
                <pt idx="530">
                  <v>0.0119715757414335</v>
                </pt>
                <pt idx="531">
                  <v>0.0108432060394674</v>
                </pt>
                <pt idx="532">
                  <v>0.0108432060394674</v>
                </pt>
                <pt idx="533">
                  <v>0.0108432060394674</v>
                </pt>
                <pt idx="534">
                  <v>0.009881071886633277</v>
                </pt>
                <pt idx="535">
                  <v>0.009881071886633277</v>
                </pt>
                <pt idx="536">
                  <v>0.009881071886633277</v>
                </pt>
                <pt idx="537">
                  <v>0.01042879871365018</v>
                </pt>
                <pt idx="538">
                  <v>0.01042879871365018</v>
                </pt>
                <pt idx="539">
                  <v>0.01042879871365018</v>
                </pt>
                <pt idx="540">
                  <v>0.001669790919454932</v>
                </pt>
                <pt idx="541">
                  <v>0.001669790919454932</v>
                </pt>
                <pt idx="542">
                  <v>0.001669790919454932</v>
                </pt>
                <pt idx="543">
                  <v>0.005821134532830724</v>
                </pt>
                <pt idx="544">
                  <v>0.005821134532830724</v>
                </pt>
                <pt idx="545">
                  <v>0.005821134532830724</v>
                </pt>
                <pt idx="546">
                  <v>0.004771565873036193</v>
                </pt>
                <pt idx="547">
                  <v>0.004771565873036193</v>
                </pt>
                <pt idx="548">
                  <v>0.004771565873036193</v>
                </pt>
                <pt idx="549">
                  <v>0.01360075560087943</v>
                </pt>
                <pt idx="550">
                  <v>0.01360075560087943</v>
                </pt>
                <pt idx="551">
                  <v>0.01360075560087943</v>
                </pt>
                <pt idx="552">
                  <v>0.009703128401259713</v>
                </pt>
                <pt idx="553">
                  <v>0.009703128401259713</v>
                </pt>
                <pt idx="554">
                  <v>0.009703128401259713</v>
                </pt>
                <pt idx="555">
                  <v>0.01355099752455496</v>
                </pt>
                <pt idx="556">
                  <v>0.01355099752455496</v>
                </pt>
                <pt idx="557">
                  <v>0.01355099752455496</v>
                </pt>
                <pt idx="558">
                  <v>0.005845360161300549</v>
                </pt>
                <pt idx="559">
                  <v>0.005845360161300549</v>
                </pt>
                <pt idx="560">
                  <v>0.005845360161300549</v>
                </pt>
                <pt idx="561">
                  <v>0.01145518264658748</v>
                </pt>
                <pt idx="562">
                  <v>0.01145518264658748</v>
                </pt>
                <pt idx="563">
                  <v>0.01145518264658748</v>
                </pt>
                <pt idx="564">
                  <v>0.003546954702204828</v>
                </pt>
                <pt idx="565">
                  <v>0.003546954702204828</v>
                </pt>
                <pt idx="566">
                  <v>0.003546954702204828</v>
                </pt>
                <pt idx="567">
                  <v>0.002983056990776784</v>
                </pt>
                <pt idx="568">
                  <v>0.002983056990776784</v>
                </pt>
                <pt idx="569">
                  <v>0.002983056990776784</v>
                </pt>
                <pt idx="570">
                  <v>0.008506648680937822</v>
                </pt>
                <pt idx="571">
                  <v>0.008506648680937822</v>
                </pt>
                <pt idx="572">
                  <v>0.008506648680937822</v>
                </pt>
                <pt idx="573">
                  <v>0.006790365355671227</v>
                </pt>
                <pt idx="574">
                  <v>0.006790365355671227</v>
                </pt>
                <pt idx="575">
                  <v>0.006790365355671227</v>
                </pt>
                <pt idx="576">
                  <v>0.007489713290041279</v>
                </pt>
                <pt idx="577">
                  <v>0.007489713290041279</v>
                </pt>
                <pt idx="578">
                  <v>0.007489713290041279</v>
                </pt>
                <pt idx="579">
                  <v>0.0166788394735952</v>
                </pt>
                <pt idx="580">
                  <v>0.0166788394735952</v>
                </pt>
                <pt idx="581">
                  <v>0.0166788394735952</v>
                </pt>
                <pt idx="582">
                  <v>0.008970109358134323</v>
                </pt>
                <pt idx="583">
                  <v>0.008970109358134323</v>
                </pt>
                <pt idx="584">
                  <v>0.008970109358134323</v>
                </pt>
                <pt idx="585">
                  <v>0.01038397649121684</v>
                </pt>
                <pt idx="586">
                  <v>0.01038397649121684</v>
                </pt>
                <pt idx="587">
                  <v>0.01038397649121684</v>
                </pt>
                <pt idx="588">
                  <v>0.006455607769440447</v>
                </pt>
                <pt idx="589">
                  <v>0.006455607769440447</v>
                </pt>
                <pt idx="590">
                  <v>0.006455607769440447</v>
                </pt>
                <pt idx="591">
                  <v>0.01661978105089011</v>
                </pt>
                <pt idx="592">
                  <v>0.01661978105089011</v>
                </pt>
                <pt idx="593">
                  <v>0.01661978105089011</v>
                </pt>
                <pt idx="594">
                  <v>0.01250778573313949</v>
                </pt>
                <pt idx="595">
                  <v>0.01250778573313949</v>
                </pt>
                <pt idx="596">
                  <v>0.01250778573313949</v>
                </pt>
                <pt idx="597">
                  <v>0.008587435626066455</v>
                </pt>
                <pt idx="598">
                  <v>0.008587435626066455</v>
                </pt>
                <pt idx="599">
                  <v>0.008587435626066455</v>
                </pt>
                <pt idx="600">
                  <v>0.009993754010374081</v>
                </pt>
                <pt idx="601">
                  <v>0.009993754010374081</v>
                </pt>
                <pt idx="602">
                  <v>0.009993754010374081</v>
                </pt>
                <pt idx="603">
                  <v>0.009258205069039573</v>
                </pt>
                <pt idx="604">
                  <v>0.009258205069039573</v>
                </pt>
                <pt idx="605">
                  <v>0.009258205069039573</v>
                </pt>
                <pt idx="606">
                  <v>0.01252764552668854</v>
                </pt>
                <pt idx="607">
                  <v>0.01252764552668854</v>
                </pt>
                <pt idx="608">
                  <v>0.01252764552668854</v>
                </pt>
                <pt idx="609">
                  <v>0.01616190702337028</v>
                </pt>
                <pt idx="610">
                  <v>0.01616190702337028</v>
                </pt>
                <pt idx="611">
                  <v>0.01616190702337028</v>
                </pt>
                <pt idx="612">
                  <v>0.009438266145912767</v>
                </pt>
                <pt idx="613">
                  <v>0.009438266145912767</v>
                </pt>
                <pt idx="614">
                  <v>0.009438266145912767</v>
                </pt>
                <pt idx="615">
                  <v>0.008350000298127901</v>
                </pt>
                <pt idx="616">
                  <v>0.008350000298127901</v>
                </pt>
                <pt idx="617">
                  <v>0.008350000298127901</v>
                </pt>
                <pt idx="618">
                  <v>0.01323027026128614</v>
                </pt>
                <pt idx="619">
                  <v>0.01323027026128614</v>
                </pt>
                <pt idx="620">
                  <v>0.01323027026128614</v>
                </pt>
                <pt idx="621">
                  <v>0.01642779005040782</v>
                </pt>
                <pt idx="622">
                  <v>0.01642779005040782</v>
                </pt>
                <pt idx="623">
                  <v>0.01642779005040782</v>
                </pt>
                <pt idx="624">
                  <v>0.003644473611337272</v>
                </pt>
                <pt idx="625">
                  <v>0.003644473611337272</v>
                </pt>
                <pt idx="626">
                  <v>0.003644473611337272</v>
                </pt>
                <pt idx="627">
                  <v>0.01820583008355766</v>
                </pt>
                <pt idx="628">
                  <v>0.01820583008355766</v>
                </pt>
                <pt idx="629">
                  <v>0.01820583008355766</v>
                </pt>
                <pt idx="630">
                  <v>0.0009977412825952132</v>
                </pt>
                <pt idx="631">
                  <v>0.0009977412825952132</v>
                </pt>
                <pt idx="632">
                  <v>0.0009977412825952132</v>
                </pt>
                <pt idx="633">
                  <v>0.005943617551420755</v>
                </pt>
                <pt idx="634">
                  <v>0.005943617551420755</v>
                </pt>
                <pt idx="635">
                  <v>0.005943617551420755</v>
                </pt>
                <pt idx="636">
                  <v>-0.003242210032234334</v>
                </pt>
                <pt idx="637">
                  <v>-0.003242210032234334</v>
                </pt>
                <pt idx="638">
                  <v>-0.003242210032234334</v>
                </pt>
                <pt idx="639">
                  <v>0.00621389214865502</v>
                </pt>
                <pt idx="640">
                  <v>0.00621389214865502</v>
                </pt>
                <pt idx="641">
                  <v>0.00621389214865502</v>
                </pt>
                <pt idx="642">
                  <v>-0.004003490160505012</v>
                </pt>
                <pt idx="643">
                  <v>-0.004003490160505012</v>
                </pt>
                <pt idx="644">
                  <v>-0.004003490160505012</v>
                </pt>
                <pt idx="645">
                  <v>0.002773143584964562</v>
                </pt>
                <pt idx="646">
                  <v>0.002773143584964562</v>
                </pt>
                <pt idx="647">
                  <v>0.002773143584964562</v>
                </pt>
                <pt idx="648">
                  <v>0.00828227215584396</v>
                </pt>
                <pt idx="649">
                  <v>0.00828227215584396</v>
                </pt>
                <pt idx="650">
                  <v>0.00828227215584396</v>
                </pt>
                <pt idx="651">
                  <v>0.006155024557835768</v>
                </pt>
                <pt idx="652">
                  <v>0.006155024557835768</v>
                </pt>
                <pt idx="653">
                  <v>0.006155024557835768</v>
                </pt>
                <pt idx="654">
                  <v>0.004035287039980262</v>
                </pt>
                <pt idx="655">
                  <v>0.004035287039980262</v>
                </pt>
                <pt idx="656">
                  <v>0.004035287039980262</v>
                </pt>
                <pt idx="657">
                  <v>0.001306557670590968</v>
                </pt>
                <pt idx="658">
                  <v>0.001306557670590968</v>
                </pt>
                <pt idx="659">
                  <v>0.001306557670590968</v>
                </pt>
                <pt idx="660">
                  <v>0.005167231869169835</v>
                </pt>
                <pt idx="661">
                  <v>0.005167231869169835</v>
                </pt>
                <pt idx="662">
                  <v>0.005167231869169835</v>
                </pt>
                <pt idx="663">
                  <v>0.008933778011626672</v>
                </pt>
                <pt idx="664">
                  <v>0.008933778011626672</v>
                </pt>
                <pt idx="665">
                  <v>0.008933778011626672</v>
                </pt>
                <pt idx="666">
                  <v>0.01666896269711016</v>
                </pt>
                <pt idx="667">
                  <v>0.01666896269711016</v>
                </pt>
                <pt idx="668">
                  <v>0.01666896269711016</v>
                </pt>
                <pt idx="669">
                  <v>0.01154045727617818</v>
                </pt>
                <pt idx="670">
                  <v>0.01154045727617818</v>
                </pt>
                <pt idx="671">
                  <v>0.01154045727617818</v>
                </pt>
                <pt idx="672">
                  <v>0.005729164860697553</v>
                </pt>
                <pt idx="673">
                  <v>0.005729164860697553</v>
                </pt>
                <pt idx="674">
                  <v>0.005729164860697553</v>
                </pt>
                <pt idx="675">
                  <v>0.00778738758008883</v>
                </pt>
                <pt idx="676">
                  <v>0.00778738758008883</v>
                </pt>
                <pt idx="677">
                  <v>0.00778738758008883</v>
                </pt>
                <pt idx="678">
                  <v>0.009412472246594451</v>
                </pt>
                <pt idx="679">
                  <v>0.009412472246594451</v>
                </pt>
                <pt idx="680">
                  <v>0.009412472246594451</v>
                </pt>
                <pt idx="681">
                  <v>0.01022027368972049</v>
                </pt>
                <pt idx="682">
                  <v>0.01022027368972049</v>
                </pt>
                <pt idx="683">
                  <v>0.01022027368972049</v>
                </pt>
                <pt idx="684">
                  <v>0.01110882507696538</v>
                </pt>
                <pt idx="685">
                  <v>0.01110882507696538</v>
                </pt>
                <pt idx="686">
                  <v>0.01110882507696538</v>
                </pt>
                <pt idx="687">
                  <v>0.004866044784053191</v>
                </pt>
                <pt idx="688">
                  <v>0.004866044784053191</v>
                </pt>
                <pt idx="689">
                  <v>0.004866044784053191</v>
                </pt>
                <pt idx="690">
                  <v>0.007856219802722447</v>
                </pt>
                <pt idx="691">
                  <v>0.007856219802722447</v>
                </pt>
                <pt idx="692">
                  <v>0.007856219802722447</v>
                </pt>
                <pt idx="693">
                  <v>0.005679282383580309</v>
                </pt>
                <pt idx="694">
                  <v>0.005679282383580309</v>
                </pt>
                <pt idx="695">
                  <v>0.005679282383580309</v>
                </pt>
                <pt idx="696">
                  <v>0.01348666119902943</v>
                </pt>
                <pt idx="697">
                  <v>0.01348666119902943</v>
                </pt>
                <pt idx="698">
                  <v>0.01348666119902943</v>
                </pt>
                <pt idx="699">
                  <v>0.00245583730558364</v>
                </pt>
                <pt idx="700">
                  <v>0.00245583730558364</v>
                </pt>
                <pt idx="701">
                  <v>0.00245583730558364</v>
                </pt>
                <pt idx="702">
                  <v>0.001504561881094995</v>
                </pt>
                <pt idx="703">
                  <v>0.001504561881094995</v>
                </pt>
                <pt idx="704">
                  <v>0.001504561881094995</v>
                </pt>
                <pt idx="705">
                  <v>0.008437116963573578</v>
                </pt>
                <pt idx="706">
                  <v>0.008437116963573578</v>
                </pt>
                <pt idx="707">
                  <v>0.008437116963573578</v>
                </pt>
                <pt idx="708">
                  <v>0.002935988606189744</v>
                </pt>
                <pt idx="709">
                  <v>0.002935988606189744</v>
                </pt>
                <pt idx="710">
                  <v>0.002935988606189744</v>
                </pt>
                <pt idx="711">
                  <v>0.00638434530080713</v>
                </pt>
                <pt idx="712">
                  <v>0.00638434530080713</v>
                </pt>
                <pt idx="713">
                  <v>0.00638434530080713</v>
                </pt>
                <pt idx="714">
                  <v>0.006023066574509698</v>
                </pt>
                <pt idx="715">
                  <v>0.006023066574509698</v>
                </pt>
                <pt idx="716">
                  <v>0.006023066574509698</v>
                </pt>
                <pt idx="717">
                  <v>0.006096440026404512</v>
                </pt>
                <pt idx="718">
                  <v>0.006096440026404512</v>
                </pt>
                <pt idx="719">
                  <v>0.006096440026404512</v>
                </pt>
                <pt idx="720">
                  <v>-0.004074294739200093</v>
                </pt>
                <pt idx="721">
                  <v>-0.004074294739200093</v>
                </pt>
                <pt idx="722">
                  <v>-0.004074294739200093</v>
                </pt>
                <pt idx="723">
                  <v>0.005722953445686955</v>
                </pt>
                <pt idx="724">
                  <v>0.005722953445686955</v>
                </pt>
                <pt idx="725">
                  <v>0.005722953445686955</v>
                </pt>
                <pt idx="726">
                  <v>-0.005268929022154585</v>
                </pt>
                <pt idx="727">
                  <v>-0.005268929022154585</v>
                </pt>
                <pt idx="728">
                  <v>-0.005268929022154585</v>
                </pt>
                <pt idx="729">
                  <v>-0.02183097148093626</v>
                </pt>
                <pt idx="730">
                  <v>-0.02183097148093626</v>
                </pt>
                <pt idx="731">
                  <v>-0.02183097148093626</v>
                </pt>
                <pt idx="732">
                  <v>-0.01165722530679672</v>
                </pt>
                <pt idx="733">
                  <v>-0.01165722530679672</v>
                </pt>
                <pt idx="734">
                  <v>-0.01165722530679672</v>
                </pt>
                <pt idx="735">
                  <v>-0.001692381386635996</v>
                </pt>
                <pt idx="736">
                  <v>-0.001692381386635996</v>
                </pt>
                <pt idx="737">
                  <v>-0.001692381386635996</v>
                </pt>
                <pt idx="738">
                  <v>0.00361929990768889</v>
                </pt>
                <pt idx="739">
                  <v>0.00361929990768889</v>
                </pt>
                <pt idx="740">
                  <v>0.00361929990768889</v>
                </pt>
                <pt idx="741">
                  <v>0.01067961949830339</v>
                </pt>
                <pt idx="742">
                  <v>0.01067961949830339</v>
                </pt>
                <pt idx="743">
                  <v>0.01067961949830339</v>
                </pt>
                <pt idx="744">
                  <v>0.00500053481481906</v>
                </pt>
                <pt idx="745">
                  <v>0.00500053481481906</v>
                </pt>
                <pt idx="746">
                  <v>0.00500053481481906</v>
                </pt>
                <pt idx="747">
                  <v>0.009677046393262431</v>
                </pt>
                <pt idx="748">
                  <v>0.009677046393262431</v>
                </pt>
                <pt idx="749">
                  <v>0.009677046393262431</v>
                </pt>
                <pt idx="750">
                  <v>0.007731441503026897</v>
                </pt>
                <pt idx="751">
                  <v>0.007731441503026897</v>
                </pt>
                <pt idx="752">
                  <v>0.007731441503026897</v>
                </pt>
                <pt idx="753">
                  <v>0.005195951592372664</v>
                </pt>
                <pt idx="754">
                  <v>0.005195951592372664</v>
                </pt>
                <pt idx="755">
                  <v>0.005195951592372664</v>
                </pt>
                <pt idx="756">
                  <v>-0.002409160681035181</v>
                </pt>
                <pt idx="757">
                  <v>-0.002409160681035181</v>
                </pt>
                <pt idx="758">
                  <v>-0.002409160681035181</v>
                </pt>
                <pt idx="759">
                  <v>0.006780507512058875</v>
                </pt>
                <pt idx="760">
                  <v>0.006780507512058875</v>
                </pt>
                <pt idx="761">
                  <v>0.006780507512058875</v>
                </pt>
                <pt idx="762">
                  <v>-0.0003876716265750793</v>
                </pt>
                <pt idx="763">
                  <v>-0.0003876716265750793</v>
                </pt>
                <pt idx="764">
                  <v>-0.0003876716265750793</v>
                </pt>
                <pt idx="765">
                  <v>0.01121678183498582</v>
                </pt>
                <pt idx="766">
                  <v>0.01121678183498582</v>
                </pt>
                <pt idx="767">
                  <v>0.01121678183498582</v>
                </pt>
                <pt idx="768">
                  <v>0.008179228450998806</v>
                </pt>
                <pt idx="769">
                  <v>0.008179228450998806</v>
                </pt>
                <pt idx="770">
                  <v>0.008179228450998806</v>
                </pt>
                <pt idx="771">
                  <v>0.004558599868677108</v>
                </pt>
                <pt idx="772">
                  <v>0.004558599868677108</v>
                </pt>
                <pt idx="773">
                  <v>0.004558599868677108</v>
                </pt>
                <pt idx="774">
                  <v>0.001748829776015621</v>
                </pt>
                <pt idx="775">
                  <v>0.001748829776015621</v>
                </pt>
                <pt idx="776">
                  <v>0.001748829776015621</v>
                </pt>
                <pt idx="777">
                  <v>0.001098380674641822</v>
                </pt>
                <pt idx="778">
                  <v>0.001098380674641822</v>
                </pt>
                <pt idx="779">
                  <v>0.001098380674641822</v>
                </pt>
                <pt idx="780">
                  <v>0.008677895476911597</v>
                </pt>
                <pt idx="781">
                  <v>0.008677895476911597</v>
                </pt>
                <pt idx="782">
                  <v>0.008677895476911597</v>
                </pt>
                <pt idx="783">
                  <v>0.001393852197657185</v>
                </pt>
                <pt idx="784">
                  <v>0.001393852197657185</v>
                </pt>
                <pt idx="785">
                  <v>0.001393852197657185</v>
                </pt>
                <pt idx="786">
                  <v>0.007916534107950009</v>
                </pt>
                <pt idx="787">
                  <v>0.007916534107950009</v>
                </pt>
                <pt idx="788">
                  <v>0.007916534107950009</v>
                </pt>
                <pt idx="789">
                  <v>0.007111710015635665</v>
                </pt>
                <pt idx="790">
                  <v>0.007111710015635665</v>
                </pt>
                <pt idx="791">
                  <v>0.007111710015635665</v>
                </pt>
                <pt idx="792">
                  <v>-0.003501097365126946</v>
                </pt>
                <pt idx="793">
                  <v>-0.003501097365126946</v>
                </pt>
                <pt idx="794">
                  <v>-0.003501097365126946</v>
                </pt>
                <pt idx="795">
                  <v>0.01284128907179058</v>
                </pt>
                <pt idx="796">
                  <v>0.01284128907179058</v>
                </pt>
                <pt idx="797">
                  <v>0.01284128907179058</v>
                </pt>
                <pt idx="798">
                  <v>0.01164961644485469</v>
                </pt>
                <pt idx="799">
                  <v>0.01164961644485469</v>
                </pt>
                <pt idx="800">
                  <v>0.01164961644485469</v>
                </pt>
                <pt idx="801">
                  <v>0.004489934024885105</v>
                </pt>
                <pt idx="802">
                  <v>0.004489934024885105</v>
                </pt>
                <pt idx="803">
                  <v>0.004489934024885105</v>
                </pt>
                <pt idx="804">
                  <v>0.008133136264685727</v>
                </pt>
                <pt idx="805">
                  <v>0.008133136264685727</v>
                </pt>
                <pt idx="806">
                  <v>0.008133136264685727</v>
                </pt>
                <pt idx="807">
                  <v>0.005800014316593537</v>
                </pt>
                <pt idx="808">
                  <v>0.005800014316593537</v>
                </pt>
                <pt idx="809">
                  <v>0.005800014316593537</v>
                </pt>
                <pt idx="810">
                  <v>0.003233726725495796</v>
                </pt>
                <pt idx="811">
                  <v>0.003233726725495796</v>
                </pt>
                <pt idx="812">
                  <v>0.003233726725495796</v>
                </pt>
                <pt idx="813">
                  <v>0.001462343465763751</v>
                </pt>
                <pt idx="814">
                  <v>0.001462343465763751</v>
                </pt>
                <pt idx="815">
                  <v>0.001462343465763751</v>
                </pt>
                <pt idx="816">
                  <v>0.005891798685635071</v>
                </pt>
                <pt idx="817">
                  <v>0.005891798685635071</v>
                </pt>
                <pt idx="818">
                  <v>0.005891798685635071</v>
                </pt>
                <pt idx="819">
                  <v>0.003023888066726282</v>
                </pt>
                <pt idx="820">
                  <v>0.003023888066726282</v>
                </pt>
                <pt idx="821">
                  <v>0.003023888066726282</v>
                </pt>
                <pt idx="822">
                  <v>0.006011153792692107</v>
                </pt>
                <pt idx="823">
                  <v>0.006011153792692107</v>
                </pt>
                <pt idx="824">
                  <v>0.006011153792692107</v>
                </pt>
                <pt idx="825">
                  <v>0.004968887960606363</v>
                </pt>
                <pt idx="826">
                  <v>0.004968887960606363</v>
                </pt>
                <pt idx="827">
                  <v>0.004968887960606363</v>
                </pt>
                <pt idx="828">
                  <v>0.004719310419164807</v>
                </pt>
                <pt idx="829">
                  <v>0.004719310419164807</v>
                </pt>
                <pt idx="830">
                  <v>0.004719310419164807</v>
                </pt>
                <pt idx="831">
                  <v>0.005597648226707356</v>
                </pt>
                <pt idx="832">
                  <v>0.005597648226707356</v>
                </pt>
                <pt idx="833">
                  <v>0.005597648226707356</v>
                </pt>
                <pt idx="834">
                  <v>0.007191499912039876</v>
                </pt>
                <pt idx="835">
                  <v>0.007191499912039876</v>
                </pt>
                <pt idx="836">
                  <v>0.007191499912039876</v>
                </pt>
                <pt idx="837">
                  <v>0.009403998383337081</v>
                </pt>
                <pt idx="838">
                  <v>0.009403998383337081</v>
                </pt>
                <pt idx="839">
                  <v>0.009403998383337081</v>
                </pt>
                <pt idx="840">
                  <v>0.007628540361272956</v>
                </pt>
                <pt idx="841">
                  <v>0.007628540361272956</v>
                </pt>
                <pt idx="842">
                  <v>0.007628540361272956</v>
                </pt>
                <pt idx="843">
                  <v>0.008339109088382559</v>
                </pt>
                <pt idx="844">
                  <v>0.008339109088382559</v>
                </pt>
                <pt idx="845">
                  <v>0.008339109088382559</v>
                </pt>
                <pt idx="846">
                  <v>0.004819525590204151</v>
                </pt>
                <pt idx="847">
                  <v>0.004819525590204151</v>
                </pt>
                <pt idx="848">
                  <v>0.004819525590204151</v>
                </pt>
                <pt idx="849">
                  <v>0.002231418351111322</v>
                </pt>
                <pt idx="850">
                  <v>0.002231418351111322</v>
                </pt>
                <pt idx="851">
                  <v>0.002231418351111322</v>
                </pt>
                <pt idx="852">
                  <v>0.005977902900982079</v>
                </pt>
                <pt idx="853">
                  <v>0.005977902900982079</v>
                </pt>
                <pt idx="854">
                  <v>0.005977902900982079</v>
                </pt>
                <pt idx="855">
                  <v>0.007929244082058234</v>
                </pt>
                <pt idx="856">
                  <v>0.007929244082058234</v>
                </pt>
                <pt idx="857">
                  <v>0.007929244082058234</v>
                </pt>
                <pt idx="858">
                  <v>0.006854987913095664</v>
                </pt>
                <pt idx="859">
                  <v>0.006854987913095664</v>
                </pt>
                <pt idx="860">
                  <v>0.006854987913095664</v>
                </pt>
                <pt idx="861">
                  <v>0.004690976182113644</v>
                </pt>
                <pt idx="862">
                  <v>0.004690976182113644</v>
                </pt>
                <pt idx="863">
                  <v>0.004690976182113644</v>
                </pt>
                <pt idx="864">
                  <v>-0.01303582746034216</v>
                </pt>
                <pt idx="865">
                  <v>-0.01303582746034216</v>
                </pt>
                <pt idx="866">
                  <v>-0.01303582746034216</v>
                </pt>
                <pt idx="867">
                  <v>-0.08937250501161022</v>
                </pt>
                <pt idx="868">
                  <v>-0.08937250501161022</v>
                </pt>
                <pt idx="869">
                  <v>-0.08937250501161022</v>
                </pt>
                <pt idx="870">
                  <v>0.07547534636423657</v>
                </pt>
                <pt idx="871">
                  <v>0.07547534636423657</v>
                </pt>
                <pt idx="872">
                  <v>0.07547534636423657</v>
                </pt>
                <pt idx="873">
                  <v>0.01115276765936578</v>
                </pt>
                <pt idx="874">
                  <v>0.01115276765936578</v>
                </pt>
                <pt idx="875">
                  <v>0.01115276765936578</v>
                </pt>
                <pt idx="876">
                  <v>0.01533889627211066</v>
                </pt>
                <pt idx="877">
                  <v>0.01533889627211066</v>
                </pt>
                <pt idx="878">
                  <v>0.01533889627211066</v>
                </pt>
                <pt idx="879">
                  <v>0.01600286109294064</v>
                </pt>
                <pt idx="880">
                  <v>0.01600286109294064</v>
                </pt>
                <pt idx="881">
                  <v>0.01600286109294064</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'ISM Manufacturing vs GDP'!$B$6:$B$890</f>
              <numCache>
                <formatCode>0.0</formatCode>
                <ptCount val="885"/>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55.3</v>
                </pt>
                <pt idx="832">
                  <v>55.5</v>
                </pt>
                <pt idx="833">
                  <v>56.7</v>
                </pt>
                <pt idx="834">
                  <v>56.5</v>
                </pt>
                <pt idx="835">
                  <v>59.3</v>
                </pt>
                <pt idx="836">
                  <v>60.2</v>
                </pt>
                <pt idx="837">
                  <v>58.5</v>
                </pt>
                <pt idx="838">
                  <v>58.2</v>
                </pt>
                <pt idx="839">
                  <v>59.3</v>
                </pt>
                <pt idx="840">
                  <v>59.1</v>
                </pt>
                <pt idx="841">
                  <v>60.8</v>
                </pt>
                <pt idx="842">
                  <v>59.3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'ISM Manufacturing vs GDP'!$E$6:$E$890</f>
              <numCache>
                <formatCode>0.00%</formatCode>
                <ptCount val="885"/>
                <pt idx="0">
                  <v>0.06153924905173591</v>
                </pt>
                <pt idx="1">
                  <v>0.06153924905173591</v>
                </pt>
                <pt idx="2">
                  <v>0.06153924905173591</v>
                </pt>
                <pt idx="3">
                  <v>0.06768013659058014</v>
                </pt>
                <pt idx="4">
                  <v>0.06768013659058014</v>
                </pt>
                <pt idx="5">
                  <v>0.06768013659058014</v>
                </pt>
                <pt idx="6">
                  <v>0.02311491038720104</v>
                </pt>
                <pt idx="7">
                  <v>0.02311491038720104</v>
                </pt>
                <pt idx="8">
                  <v>0.02311491038720104</v>
                </pt>
                <pt idx="9">
                  <v>0.004475979641999306</v>
                </pt>
                <pt idx="10">
                  <v>0.004475979641999306</v>
                </pt>
                <pt idx="11">
                  <v>0.004475979641999306</v>
                </pt>
                <pt idx="12">
                  <v>-0.05398904707599983</v>
                </pt>
                <pt idx="13">
                  <v>-0.05398904707599983</v>
                </pt>
                <pt idx="14">
                  <v>-0.05398904707599983</v>
                </pt>
                <pt idx="15">
                  <v>-0.01357438589464066</v>
                </pt>
                <pt idx="16">
                  <v>-0.01357438589464066</v>
                </pt>
                <pt idx="17">
                  <v>-0.01357438589464066</v>
                </pt>
                <pt idx="18">
                  <v>0.04194094483004052</v>
                </pt>
                <pt idx="19">
                  <v>0.04194094483004052</v>
                </pt>
                <pt idx="20">
                  <v>0.04194094483004052</v>
                </pt>
                <pt idx="21">
                  <v>-0.03315043537256779</v>
                </pt>
                <pt idx="22">
                  <v>-0.03315043537256779</v>
                </pt>
                <pt idx="23">
                  <v>-0.03315043537256779</v>
                </pt>
                <pt idx="24">
                  <v>0.1667165198223279</v>
                </pt>
                <pt idx="25">
                  <v>0.1667165198223279</v>
                </pt>
                <pt idx="26">
                  <v>0.1667165198223279</v>
                </pt>
                <pt idx="27">
                  <v>0.1276875822943975</v>
                </pt>
                <pt idx="28">
                  <v>0.1276875822943975</v>
                </pt>
                <pt idx="29">
                  <v>0.1276875822943975</v>
                </pt>
                <pt idx="30">
                  <v>0.1637698744608331</v>
                </pt>
                <pt idx="31">
                  <v>0.1637698744608331</v>
                </pt>
                <pt idx="32">
                  <v>0.1637698744608331</v>
                </pt>
                <pt idx="33">
                  <v>0.07881925139170098</v>
                </pt>
                <pt idx="34">
                  <v>0.07881925139170098</v>
                </pt>
                <pt idx="35">
                  <v>0.07881925139170098</v>
                </pt>
                <pt idx="36">
                  <v>0.05544316274475447</v>
                </pt>
                <pt idx="37">
                  <v>0.05544316274475447</v>
                </pt>
                <pt idx="38">
                  <v>0.05544316274475447</v>
                </pt>
                <pt idx="39">
                  <v>0.07113068727204275</v>
                </pt>
                <pt idx="40">
                  <v>0.07113068727204275</v>
                </pt>
                <pt idx="41">
                  <v>0.07113068727204275</v>
                </pt>
                <pt idx="42">
                  <v>0.08502378012798339</v>
                </pt>
                <pt idx="43">
                  <v>0.08502378012798339</v>
                </pt>
                <pt idx="44">
                  <v>0.08502378012798339</v>
                </pt>
                <pt idx="45">
                  <v>0.008839131632865316</v>
                </pt>
                <pt idx="46">
                  <v>0.008839131632865316</v>
                </pt>
                <pt idx="47">
                  <v>0.008839131632865316</v>
                </pt>
                <pt idx="48">
                  <v>0.04343132891926405</v>
                </pt>
                <pt idx="49">
                  <v>0.04343132891926405</v>
                </pt>
                <pt idx="50">
                  <v>0.04343132891926405</v>
                </pt>
                <pt idx="51">
                  <v>0.008643745203244402</v>
                </pt>
                <pt idx="52">
                  <v>0.008643745203244402</v>
                </pt>
                <pt idx="53">
                  <v>0.008643745203244402</v>
                </pt>
                <pt idx="54">
                  <v>0.02918811561848811</v>
                </pt>
                <pt idx="55">
                  <v>0.02918811561848811</v>
                </pt>
                <pt idx="56">
                  <v>0.02918811561848811</v>
                </pt>
                <pt idx="57">
                  <v>0.1379831307047701</v>
                </pt>
                <pt idx="58">
                  <v>0.1379831307047701</v>
                </pt>
                <pt idx="59">
                  <v>0.1379831307047701</v>
                </pt>
                <pt idx="60">
                  <v>0.0764537441153792</v>
                </pt>
                <pt idx="61">
                  <v>0.0764537441153792</v>
                </pt>
                <pt idx="62">
                  <v>0.0764537441153792</v>
                </pt>
                <pt idx="63">
                  <v>0.03127783139942197</v>
                </pt>
                <pt idx="64">
                  <v>0.03127783139942197</v>
                </pt>
                <pt idx="65">
                  <v>0.03127783139942197</v>
                </pt>
                <pt idx="66">
                  <v>-0.02231782956626527</v>
                </pt>
                <pt idx="67">
                  <v>-0.02231782956626527</v>
                </pt>
                <pt idx="68">
                  <v>-0.02231782956626527</v>
                </pt>
                <pt idx="69">
                  <v>-0.05919624282214508</v>
                </pt>
                <pt idx="70">
                  <v>-0.05919624282214508</v>
                </pt>
                <pt idx="71">
                  <v>-0.05919624282214508</v>
                </pt>
                <pt idx="72">
                  <v>-0.01898428780973227</v>
                </pt>
                <pt idx="73">
                  <v>-0.01898428780973227</v>
                </pt>
                <pt idx="74">
                  <v>-0.01898428780973227</v>
                </pt>
                <pt idx="75">
                  <v>0.004366820581845676</v>
                </pt>
                <pt idx="76">
                  <v>0.004366820581845676</v>
                </pt>
                <pt idx="77">
                  <v>0.004366820581845676</v>
                </pt>
                <pt idx="78">
                  <v>0.04594488271546471</v>
                </pt>
                <pt idx="79">
                  <v>0.04594488271546471</v>
                </pt>
                <pt idx="80">
                  <v>0.04594488271546471</v>
                </pt>
                <pt idx="81">
                  <v>0.08059481230675947</v>
                </pt>
                <pt idx="82">
                  <v>0.08059481230675947</v>
                </pt>
                <pt idx="83">
                  <v>0.08059481230675947</v>
                </pt>
                <pt idx="84">
                  <v>0.1192381030854877</v>
                </pt>
                <pt idx="85">
                  <v>0.1192381030854877</v>
                </pt>
                <pt idx="86">
                  <v>0.1192381030854877</v>
                </pt>
                <pt idx="87">
                  <v>0.06669418000707128</v>
                </pt>
                <pt idx="88">
                  <v>0.06669418000707128</v>
                </pt>
                <pt idx="89">
                  <v>0.06669418000707128</v>
                </pt>
                <pt idx="90">
                  <v>0.05512270869902025</v>
                </pt>
                <pt idx="91">
                  <v>0.05512270869902025</v>
                </pt>
                <pt idx="92">
                  <v>0.05512270869902025</v>
                </pt>
                <pt idx="93">
                  <v>0.0242302529752878</v>
                </pt>
                <pt idx="94">
                  <v>0.0242302529752878</v>
                </pt>
                <pt idx="95">
                  <v>0.0242302529752878</v>
                </pt>
                <pt idx="96">
                  <v>-0.01544494919947736</v>
                </pt>
                <pt idx="97">
                  <v>-0.01544494919947736</v>
                </pt>
                <pt idx="98">
                  <v>-0.01544494919947736</v>
                </pt>
                <pt idx="99">
                  <v>0.03346472086182173</v>
                </pt>
                <pt idx="100">
                  <v>0.03346472086182173</v>
                </pt>
                <pt idx="101">
                  <v>0.03346472086182173</v>
                </pt>
                <pt idx="102">
                  <v>-0.003588743913787829</v>
                </pt>
                <pt idx="103">
                  <v>-0.003588743913787829</v>
                </pt>
                <pt idx="104">
                  <v>-0.003588743913787829</v>
                </pt>
                <pt idx="105">
                  <v>0.06747778969521656</v>
                </pt>
                <pt idx="106">
                  <v>0.06747778969521656</v>
                </pt>
                <pt idx="107">
                  <v>0.06747778969521656</v>
                </pt>
                <pt idx="108">
                  <v>0.02585868145080883</v>
                </pt>
                <pt idx="109">
                  <v>0.02585868145080883</v>
                </pt>
                <pt idx="110">
                  <v>0.02585868145080883</v>
                </pt>
                <pt idx="111">
                  <v>-0.008734679818855895</v>
                </pt>
                <pt idx="112">
                  <v>-0.008734679818855895</v>
                </pt>
                <pt idx="113">
                  <v>-0.008734679818855895</v>
                </pt>
                <pt idx="114">
                  <v>0.03978077193041729</v>
                </pt>
                <pt idx="115">
                  <v>0.03978077193041729</v>
                </pt>
                <pt idx="116">
                  <v>0.03978077193041729</v>
                </pt>
                <pt idx="117">
                  <v>-0.04073375974144011</v>
                </pt>
                <pt idx="118">
                  <v>-0.04073375974144011</v>
                </pt>
                <pt idx="119">
                  <v>-0.04073375974144011</v>
                </pt>
                <pt idx="120">
                  <v>-0.09984529734545644</v>
                </pt>
                <pt idx="121">
                  <v>-0.09984529734545644</v>
                </pt>
                <pt idx="122">
                  <v>-0.09984529734545644</v>
                </pt>
                <pt idx="123">
                  <v>0.0265493746369232</v>
                </pt>
                <pt idx="124">
                  <v>0.0265493746369232</v>
                </pt>
                <pt idx="125">
                  <v>0.0265493746369232</v>
                </pt>
                <pt idx="126">
                  <v>0.09578906366867113</v>
                </pt>
                <pt idx="127">
                  <v>0.09578906366867113</v>
                </pt>
                <pt idx="128">
                  <v>0.09578906366867113</v>
                </pt>
                <pt idx="129">
                  <v>0.09685586253705125</v>
                </pt>
                <pt idx="130">
                  <v>0.09685586253705125</v>
                </pt>
                <pt idx="131">
                  <v>0.09685586253705125</v>
                </pt>
                <pt idx="132">
                  <v>0.07902134946672668</v>
                </pt>
                <pt idx="133">
                  <v>0.07902134946672668</v>
                </pt>
                <pt idx="134">
                  <v>0.07902134946672668</v>
                </pt>
                <pt idx="135">
                  <v>0.09330439091654585</v>
                </pt>
                <pt idx="136">
                  <v>0.09330439091654585</v>
                </pt>
                <pt idx="137">
                  <v>0.09330439091654585</v>
                </pt>
                <pt idx="138">
                  <v>0.002825402308261893</v>
                </pt>
                <pt idx="139">
                  <v>0.002825402308261893</v>
                </pt>
                <pt idx="140">
                  <v>0.002825402308261893</v>
                </pt>
                <pt idx="141">
                  <v>0.01144435183103409</v>
                </pt>
                <pt idx="142">
                  <v>0.01144435183103409</v>
                </pt>
                <pt idx="143">
                  <v>0.01144435183103409</v>
                </pt>
                <pt idx="144">
                  <v>0.0929855824345418</v>
                </pt>
                <pt idx="145">
                  <v>0.0929855824345418</v>
                </pt>
                <pt idx="146">
                  <v>0.0929855824345418</v>
                </pt>
                <pt idx="147">
                  <v>-0.02138920017185875</v>
                </pt>
                <pt idx="148">
                  <v>-0.02138920017185875</v>
                </pt>
                <pt idx="149">
                  <v>-0.02138920017185875</v>
                </pt>
                <pt idx="150">
                  <v>0.0197210406133479</v>
                </pt>
                <pt idx="151">
                  <v>0.0197210406133479</v>
                </pt>
                <pt idx="152">
                  <v>0.0197210406133479</v>
                </pt>
                <pt idx="153">
                  <v>-0.05035628728337027</v>
                </pt>
                <pt idx="154">
                  <v>-0.05035628728337027</v>
                </pt>
                <pt idx="155">
                  <v>-0.05035628728337027</v>
                </pt>
                <pt idx="156">
                  <v>0.02727071103520817</v>
                </pt>
                <pt idx="157">
                  <v>0.02727071103520817</v>
                </pt>
                <pt idx="158">
                  <v>0.02727071103520817</v>
                </pt>
                <pt idx="159">
                  <v>0.06964578678446354</v>
                </pt>
                <pt idx="160">
                  <v>0.06964578678446354</v>
                </pt>
                <pt idx="161">
                  <v>0.06964578678446354</v>
                </pt>
                <pt idx="162">
                  <v>0.07902279758629582</v>
                </pt>
                <pt idx="163">
                  <v>0.07902279758629582</v>
                </pt>
                <pt idx="164">
                  <v>0.07902279758629582</v>
                </pt>
                <pt idx="165">
                  <v>0.08078178259819491</v>
                </pt>
                <pt idx="166">
                  <v>0.08078178259819491</v>
                </pt>
                <pt idx="167">
                  <v>0.08078178259819491</v>
                </pt>
                <pt idx="168">
                  <v>0.0732775935086929</v>
                </pt>
                <pt idx="169">
                  <v>0.0732775935086929</v>
                </pt>
                <pt idx="170">
                  <v>0.0732775935086929</v>
                </pt>
                <pt idx="171">
                  <v>0.03663947632942954</v>
                </pt>
                <pt idx="172">
                  <v>0.03663947632942954</v>
                </pt>
                <pt idx="173">
                  <v>0.03663947632942954</v>
                </pt>
                <pt idx="174">
                  <v>0.05005350778378159</v>
                </pt>
                <pt idx="175">
                  <v>0.05005350778378159</v>
                </pt>
                <pt idx="176">
                  <v>0.05005350778378159</v>
                </pt>
                <pt idx="177">
                  <v>0.01322111122552383</v>
                </pt>
                <pt idx="178">
                  <v>0.01322111122552383</v>
                </pt>
                <pt idx="179">
                  <v>0.01322111122552383</v>
                </pt>
                <pt idx="180">
                  <v>0.04438311079570911</v>
                </pt>
                <pt idx="181">
                  <v>0.04438311079570911</v>
                </pt>
                <pt idx="182">
                  <v>0.04438311079570911</v>
                </pt>
                <pt idx="183">
                  <v>0.0456460196068611</v>
                </pt>
                <pt idx="184">
                  <v>0.0456460196068611</v>
                </pt>
                <pt idx="185">
                  <v>0.0456460196068611</v>
                </pt>
                <pt idx="186">
                  <v>0.09087998154472299</v>
                </pt>
                <pt idx="187">
                  <v>0.09087998154472299</v>
                </pt>
                <pt idx="188">
                  <v>0.09087998154472299</v>
                </pt>
                <pt idx="189">
                  <v>0.02648311519341751</v>
                </pt>
                <pt idx="190">
                  <v>0.02648311519341751</v>
                </pt>
                <pt idx="191">
                  <v>0.02648311519341751</v>
                </pt>
                <pt idx="192">
                  <v>0.087034600081078</v>
                </pt>
                <pt idx="193">
                  <v>0.087034600081078</v>
                </pt>
                <pt idx="194">
                  <v>0.087034600081078</v>
                </pt>
                <pt idx="195">
                  <v>0.04426572835975362</v>
                </pt>
                <pt idx="196">
                  <v>0.04426572835975362</v>
                </pt>
                <pt idx="197">
                  <v>0.04426572835975362</v>
                </pt>
                <pt idx="198">
                  <v>0.063971809202924</v>
                </pt>
                <pt idx="199">
                  <v>0.063971809202924</v>
                </pt>
                <pt idx="200">
                  <v>0.063971809202924</v>
                </pt>
                <pt idx="201">
                  <v>0.0124122333831731</v>
                </pt>
                <pt idx="202">
                  <v>0.0124122333831731</v>
                </pt>
                <pt idx="203">
                  <v>0.0124122333831731</v>
                </pt>
                <pt idx="204">
                  <v>0.1003602100251837</v>
                </pt>
                <pt idx="205">
                  <v>0.1003602100251837</v>
                </pt>
                <pt idx="206">
                  <v>0.1003602100251837</v>
                </pt>
                <pt idx="207">
                  <v>0.0514975733947296</v>
                </pt>
                <pt idx="208">
                  <v>0.0514975733947296</v>
                </pt>
                <pt idx="209">
                  <v>0.0514975733947296</v>
                </pt>
                <pt idx="210">
                  <v>0.09194000282873915</v>
                </pt>
                <pt idx="211">
                  <v>0.09194000282873915</v>
                </pt>
                <pt idx="212">
                  <v>0.09194000282873915</v>
                </pt>
                <pt idx="213">
                  <v>0.09539598687252315</v>
                </pt>
                <pt idx="214">
                  <v>0.09539598687252315</v>
                </pt>
                <pt idx="215">
                  <v>0.09539598687252315</v>
                </pt>
                <pt idx="216">
                  <v>0.100982479057544</v>
                </pt>
                <pt idx="217">
                  <v>0.100982479057544</v>
                </pt>
                <pt idx="218">
                  <v>0.100982479057544</v>
                </pt>
                <pt idx="219">
                  <v>0.01373425320265032</v>
                </pt>
                <pt idx="220">
                  <v>0.01373425320265032</v>
                </pt>
                <pt idx="221">
                  <v>0.01373425320265032</v>
                </pt>
                <pt idx="222">
                  <v>0.03430898587163456</v>
                </pt>
                <pt idx="223">
                  <v>0.03430898587163456</v>
                </pt>
                <pt idx="224">
                  <v>0.03430898587163456</v>
                </pt>
                <pt idx="225">
                  <v>0.03322233832563914</v>
                </pt>
                <pt idx="226">
                  <v>0.03322233832563914</v>
                </pt>
                <pt idx="227">
                  <v>0.03322233832563914</v>
                </pt>
                <pt idx="228">
                  <v>0.03589540946426251</v>
                </pt>
                <pt idx="229">
                  <v>0.03589540946426251</v>
                </pt>
                <pt idx="230">
                  <v>0.03589540946426251</v>
                </pt>
                <pt idx="231">
                  <v>0.002454167879501812</v>
                </pt>
                <pt idx="232">
                  <v>0.002454167879501812</v>
                </pt>
                <pt idx="233">
                  <v>0.002454167879501812</v>
                </pt>
                <pt idx="234">
                  <v>0.03838531924596955</v>
                </pt>
                <pt idx="235">
                  <v>0.03838531924596955</v>
                </pt>
                <pt idx="236">
                  <v>0.03838531924596955</v>
                </pt>
                <pt idx="237">
                  <v>0.03050352818463176</v>
                </pt>
                <pt idx="238">
                  <v>0.03050352818463176</v>
                </pt>
                <pt idx="239">
                  <v>0.03050352818463176</v>
                </pt>
                <pt idx="240">
                  <v>0.08411014581384135</v>
                </pt>
                <pt idx="241">
                  <v>0.08411014581384135</v>
                </pt>
                <pt idx="242">
                  <v>0.08411014581384135</v>
                </pt>
                <pt idx="243">
                  <v>0.06852565923772169</v>
                </pt>
                <pt idx="244">
                  <v>0.06852565923772169</v>
                </pt>
                <pt idx="245">
                  <v>0.06852565923772169</v>
                </pt>
                <pt idx="246">
                  <v>0.03136042553098384</v>
                </pt>
                <pt idx="247">
                  <v>0.03136042553098384</v>
                </pt>
                <pt idx="248">
                  <v>0.03136042553098384</v>
                </pt>
                <pt idx="249">
                  <v>0.01582586566440858</v>
                </pt>
                <pt idx="250">
                  <v>0.01582586566440858</v>
                </pt>
                <pt idx="251">
                  <v>0.01582586566440858</v>
                </pt>
                <pt idx="252">
                  <v>0.06408976784792331</v>
                </pt>
                <pt idx="253">
                  <v>0.06408976784792331</v>
                </pt>
                <pt idx="254">
                  <v>0.06408976784792331</v>
                </pt>
                <pt idx="255">
                  <v>0.01221537317702537</v>
                </pt>
                <pt idx="256">
                  <v>0.01221537317702537</v>
                </pt>
                <pt idx="257">
                  <v>0.01221537317702537</v>
                </pt>
                <pt idx="258">
                  <v>0.02668349019765204</v>
                </pt>
                <pt idx="259">
                  <v>0.02668349019765204</v>
                </pt>
                <pt idx="260">
                  <v>0.02668349019765204</v>
                </pt>
                <pt idx="261">
                  <v>-0.01936553931373752</v>
                </pt>
                <pt idx="262">
                  <v>-0.01936553931373752</v>
                </pt>
                <pt idx="263">
                  <v>-0.01936553931373752</v>
                </pt>
                <pt idx="264">
                  <v>-0.005925615006652674</v>
                </pt>
                <pt idx="265">
                  <v>-0.005925615006652674</v>
                </pt>
                <pt idx="266">
                  <v>-0.005925615006652674</v>
                </pt>
                <pt idx="267">
                  <v>0.00568929795693851</v>
                </pt>
                <pt idx="268">
                  <v>0.00568929795693851</v>
                </pt>
                <pt idx="269">
                  <v>0.00568929795693851</v>
                </pt>
                <pt idx="270">
                  <v>0.0373747245074163</v>
                </pt>
                <pt idx="271">
                  <v>0.0373747245074163</v>
                </pt>
                <pt idx="272">
                  <v>0.0373747245074163</v>
                </pt>
                <pt idx="273">
                  <v>-0.04218138882587208</v>
                </pt>
                <pt idx="274">
                  <v>-0.04218138882587208</v>
                </pt>
                <pt idx="275">
                  <v>-0.04218138882587208</v>
                </pt>
                <pt idx="276">
                  <v>0.11314636517358</v>
                </pt>
                <pt idx="277">
                  <v>0.11314636517358</v>
                </pt>
                <pt idx="278">
                  <v>0.11314636517358</v>
                </pt>
                <pt idx="279">
                  <v>0.02182112439459316</v>
                </pt>
                <pt idx="280">
                  <v>0.02182112439459316</v>
                </pt>
                <pt idx="281">
                  <v>0.02182112439459316</v>
                </pt>
                <pt idx="282">
                  <v>0.03332728238206673</v>
                </pt>
                <pt idx="283">
                  <v>0.03332728238206673</v>
                </pt>
                <pt idx="284">
                  <v>0.03332728238206673</v>
                </pt>
                <pt idx="285">
                  <v>0.00946476242764005</v>
                </pt>
                <pt idx="286">
                  <v>0.00946476242764005</v>
                </pt>
                <pt idx="287">
                  <v>0.00946476242764005</v>
                </pt>
                <pt idx="288">
                  <v>0.07561240734329577</v>
                </pt>
                <pt idx="289">
                  <v>0.07561240734329577</v>
                </pt>
                <pt idx="290">
                  <v>0.07561240734329577</v>
                </pt>
                <pt idx="291">
                  <v>0.09392905376229566</v>
                </pt>
                <pt idx="292">
                  <v>0.09392905376229566</v>
                </pt>
                <pt idx="293">
                  <v>0.09392905376229566</v>
                </pt>
                <pt idx="294">
                  <v>0.03831376677928255</v>
                </pt>
                <pt idx="295">
                  <v>0.03831376677928255</v>
                </pt>
                <pt idx="296">
                  <v>0.03831376677928255</v>
                </pt>
                <pt idx="297">
                  <v>0.06867949483058577</v>
                </pt>
                <pt idx="298">
                  <v>0.06867949483058577</v>
                </pt>
                <pt idx="299">
                  <v>0.06867949483058577</v>
                </pt>
                <pt idx="300">
                  <v>0.1027280596009805</v>
                </pt>
                <pt idx="301">
                  <v>0.1027280596009805</v>
                </pt>
                <pt idx="302">
                  <v>0.1027280596009805</v>
                </pt>
                <pt idx="303">
                  <v>0.04426278796636973</v>
                </pt>
                <pt idx="304">
                  <v>0.04426278796636973</v>
                </pt>
                <pt idx="305">
                  <v>0.04426278796636973</v>
                </pt>
                <pt idx="306">
                  <v>-0.02087058091389582</v>
                </pt>
                <pt idx="307">
                  <v>-0.02087058091389582</v>
                </pt>
                <pt idx="308">
                  <v>-0.02087058091389582</v>
                </pt>
                <pt idx="309">
                  <v>0.03851267753048382</v>
                </pt>
                <pt idx="310">
                  <v>0.03851267753048382</v>
                </pt>
                <pt idx="311">
                  <v>0.03851267753048382</v>
                </pt>
                <pt idx="312">
                  <v>-0.03394991438893069</v>
                </pt>
                <pt idx="313">
                  <v>-0.03394991438893069</v>
                </pt>
                <pt idx="314">
                  <v>-0.03394991438893069</v>
                </pt>
                <pt idx="315">
                  <v>0.009541278826036281</v>
                </pt>
                <pt idx="316">
                  <v>0.009541278826036281</v>
                </pt>
                <pt idx="317">
                  <v>0.009541278826036281</v>
                </pt>
                <pt idx="318">
                  <v>-0.03727310339376166</v>
                </pt>
                <pt idx="319">
                  <v>-0.03727310339376166</v>
                </pt>
                <pt idx="320">
                  <v>-0.03727310339376166</v>
                </pt>
                <pt idx="321">
                  <v>-0.01543547302283965</v>
                </pt>
                <pt idx="322">
                  <v>-0.01543547302283965</v>
                </pt>
                <pt idx="323">
                  <v>-0.01543547302283965</v>
                </pt>
                <pt idx="324">
                  <v>-0.04780955715630553</v>
                </pt>
                <pt idx="325">
                  <v>-0.04780955715630553</v>
                </pt>
                <pt idx="326">
                  <v>-0.04780955715630553</v>
                </pt>
                <pt idx="327">
                  <v>0.02888924771416268</v>
                </pt>
                <pt idx="328">
                  <v>0.02888924771416268</v>
                </pt>
                <pt idx="329">
                  <v>0.02888924771416268</v>
                </pt>
                <pt idx="330">
                  <v>0.07024407486532014</v>
                </pt>
                <pt idx="331">
                  <v>0.07024407486532014</v>
                </pt>
                <pt idx="332">
                  <v>0.07024407486532014</v>
                </pt>
                <pt idx="333">
                  <v>0.05495864100802961</v>
                </pt>
                <pt idx="334">
                  <v>0.05495864100802961</v>
                </pt>
                <pt idx="335">
                  <v>0.05495864100802961</v>
                </pt>
                <pt idx="336">
                  <v>0.09303030101174126</v>
                </pt>
                <pt idx="337">
                  <v>0.09303030101174126</v>
                </pt>
                <pt idx="338">
                  <v>0.09303030101174126</v>
                </pt>
                <pt idx="339">
                  <v>0.02967259574123493</v>
                </pt>
                <pt idx="340">
                  <v>0.02967259574123493</v>
                </pt>
                <pt idx="341">
                  <v>0.02967259574123493</v>
                </pt>
                <pt idx="342">
                  <v>0.02212953909849547</v>
                </pt>
                <pt idx="343">
                  <v>0.02212953909849547</v>
                </pt>
                <pt idx="344">
                  <v>0.02212953909849547</v>
                </pt>
                <pt idx="345">
                  <v>0.02931081062144569</v>
                </pt>
                <pt idx="346">
                  <v>0.02931081062144569</v>
                </pt>
                <pt idx="347">
                  <v>0.02931081062144569</v>
                </pt>
                <pt idx="348">
                  <v>0.04810350245376416</v>
                </pt>
                <pt idx="349">
                  <v>0.04810350245376416</v>
                </pt>
                <pt idx="350">
                  <v>0.04810350245376416</v>
                </pt>
                <pt idx="351">
                  <v>0.08006180304607646</v>
                </pt>
                <pt idx="352">
                  <v>0.08006180304607646</v>
                </pt>
                <pt idx="353">
                  <v>0.08006180304607646</v>
                </pt>
                <pt idx="354">
                  <v>0.07415125984790261</v>
                </pt>
                <pt idx="355">
                  <v>0.07415125984790261</v>
                </pt>
                <pt idx="356">
                  <v>0.07415125984790261</v>
                </pt>
                <pt idx="357">
                  <v>8.743374354369671e-05</v>
                </pt>
                <pt idx="358">
                  <v>8.743374354369671e-05</v>
                </pt>
                <pt idx="359">
                  <v>8.743374354369671e-05</v>
                </pt>
                <pt idx="360">
                  <v>0.01282777891271847</v>
                </pt>
                <pt idx="361">
                  <v>0.01282777891271847</v>
                </pt>
                <pt idx="362">
                  <v>0.01282777891271847</v>
                </pt>
                <pt idx="363">
                  <v>0.1637634019380503</v>
                </pt>
                <pt idx="364">
                  <v>0.1637634019380503</v>
                </pt>
                <pt idx="365">
                  <v>0.1637634019380503</v>
                </pt>
                <pt idx="366">
                  <v>0.04083140069418012</v>
                </pt>
                <pt idx="367">
                  <v>0.04083140069418012</v>
                </pt>
                <pt idx="368">
                  <v>0.04083140069418012</v>
                </pt>
                <pt idx="369">
                  <v>0.05485950150521179</v>
                </pt>
                <pt idx="370">
                  <v>0.05485950150521179</v>
                </pt>
                <pt idx="371">
                  <v>0.05485950150521179</v>
                </pt>
                <pt idx="372">
                  <v>0.007210908840985741</v>
                </pt>
                <pt idx="373">
                  <v>0.007210908840985741</v>
                </pt>
                <pt idx="374">
                  <v>0.007210908840985741</v>
                </pt>
                <pt idx="375">
                  <v>0.0042836572536189</v>
                </pt>
                <pt idx="376">
                  <v>0.0042836572536189</v>
                </pt>
                <pt idx="377">
                  <v>0.0042836572536189</v>
                </pt>
                <pt idx="378">
                  <v>0.03004761641210396</v>
                </pt>
                <pt idx="379">
                  <v>0.03004761641210396</v>
                </pt>
                <pt idx="380">
                  <v>0.03004761641210396</v>
                </pt>
                <pt idx="381">
                  <v>0.01004058647981432</v>
                </pt>
                <pt idx="382">
                  <v>0.01004058647981432</v>
                </pt>
                <pt idx="383">
                  <v>0.01004058647981432</v>
                </pt>
                <pt idx="384">
                  <v>0.01264024091996396</v>
                </pt>
                <pt idx="385">
                  <v>0.01264024091996396</v>
                </pt>
                <pt idx="386">
                  <v>0.01264024091996396</v>
                </pt>
                <pt idx="387">
                  <v>-0.07990637031804315</v>
                </pt>
                <pt idx="388">
                  <v>-0.07990637031804315</v>
                </pt>
                <pt idx="389">
                  <v>-0.07990637031804315</v>
                </pt>
                <pt idx="390">
                  <v>-0.004745416622351839</v>
                </pt>
                <pt idx="391">
                  <v>-0.004745416622351839</v>
                </pt>
                <pt idx="392">
                  <v>-0.004745416622351839</v>
                </pt>
                <pt idx="393">
                  <v>0.07670985813356745</v>
                </pt>
                <pt idx="394">
                  <v>0.07670985813356745</v>
                </pt>
                <pt idx="395">
                  <v>0.07670985813356745</v>
                </pt>
                <pt idx="396">
                  <v>0.08071103598225116</v>
                </pt>
                <pt idx="397">
                  <v>0.08071103598225116</v>
                </pt>
                <pt idx="398">
                  <v>0.08071103598225116</v>
                </pt>
                <pt idx="399">
                  <v>-0.02931466422968187</v>
                </pt>
                <pt idx="400">
                  <v>-0.02931466422968187</v>
                </pt>
                <pt idx="401">
                  <v>-0.02931466422968187</v>
                </pt>
                <pt idx="402">
                  <v>0.04876833827542182</v>
                </pt>
                <pt idx="403">
                  <v>0.04876833827542182</v>
                </pt>
                <pt idx="404">
                  <v>0.04876833827542182</v>
                </pt>
                <pt idx="405">
                  <v>-0.04287543335073452</v>
                </pt>
                <pt idx="406">
                  <v>-0.04287543335073452</v>
                </pt>
                <pt idx="407">
                  <v>-0.04287543335073452</v>
                </pt>
                <pt idx="408">
                  <v>-0.06070861857896181</v>
                </pt>
                <pt idx="409">
                  <v>-0.06070861857896181</v>
                </pt>
                <pt idx="410">
                  <v>-0.06070861857896181</v>
                </pt>
                <pt idx="411">
                  <v>0.01837319106848523</v>
                </pt>
                <pt idx="412">
                  <v>0.01837319106848523</v>
                </pt>
                <pt idx="413">
                  <v>0.01837319106848523</v>
                </pt>
                <pt idx="414">
                  <v>-0.01520450261025652</v>
                </pt>
                <pt idx="415">
                  <v>-0.01520450261025652</v>
                </pt>
                <pt idx="416">
                  <v>-0.01520450261025652</v>
                </pt>
                <pt idx="417">
                  <v>0.001598808633004989</v>
                </pt>
                <pt idx="418">
                  <v>0.001598808633004989</v>
                </pt>
                <pt idx="419">
                  <v>0.001598808633004989</v>
                </pt>
                <pt idx="420">
                  <v>0.05376512149741886</v>
                </pt>
                <pt idx="421">
                  <v>0.05376512149741886</v>
                </pt>
                <pt idx="422">
                  <v>0.05376512149741886</v>
                </pt>
                <pt idx="423">
                  <v>0.09417894915071301</v>
                </pt>
                <pt idx="424">
                  <v>0.09417894915071301</v>
                </pt>
                <pt idx="425">
                  <v>0.09417894915071301</v>
                </pt>
                <pt idx="426">
                  <v>0.08239244141250035</v>
                </pt>
                <pt idx="427">
                  <v>0.08239244141250035</v>
                </pt>
                <pt idx="428">
                  <v>0.08239244141250035</v>
                </pt>
                <pt idx="429">
                  <v>0.08609659002729031</v>
                </pt>
                <pt idx="430">
                  <v>0.08609659002729031</v>
                </pt>
                <pt idx="431">
                  <v>0.08609659002729031</v>
                </pt>
                <pt idx="432">
                  <v>0.08051351139935736</v>
                </pt>
                <pt idx="433">
                  <v>0.08051351139935736</v>
                </pt>
                <pt idx="434">
                  <v>0.08051351139935736</v>
                </pt>
                <pt idx="435">
                  <v>0.0709235878122596</v>
                </pt>
                <pt idx="436">
                  <v>0.0709235878122596</v>
                </pt>
                <pt idx="437">
                  <v>0.0709235878122596</v>
                </pt>
                <pt idx="438">
                  <v>0.03912378905516167</v>
                </pt>
                <pt idx="439">
                  <v>0.03912378905516167</v>
                </pt>
                <pt idx="440">
                  <v>0.03912378905516167</v>
                </pt>
                <pt idx="441">
                  <v>0.03324078666384356</v>
                </pt>
                <pt idx="442">
                  <v>0.03324078666384356</v>
                </pt>
                <pt idx="443">
                  <v>0.03324078666384356</v>
                </pt>
                <pt idx="444">
                  <v>0.03933000174327517</v>
                </pt>
                <pt idx="445">
                  <v>0.03933000174327517</v>
                </pt>
                <pt idx="446">
                  <v>0.03933000174327517</v>
                </pt>
                <pt idx="447">
                  <v>0.03568652295878594</v>
                </pt>
                <pt idx="448">
                  <v>0.03568652295878594</v>
                </pt>
                <pt idx="449">
                  <v>0.03568652295878594</v>
                </pt>
                <pt idx="450">
                  <v>0.06249841012954427</v>
                </pt>
                <pt idx="451">
                  <v>0.06249841012954427</v>
                </pt>
                <pt idx="452">
                  <v>0.06249841012954427</v>
                </pt>
                <pt idx="453">
                  <v>0.0300662610165936</v>
                </pt>
                <pt idx="454">
                  <v>0.0300662610165936</v>
                </pt>
                <pt idx="455">
                  <v>0.0300662610165936</v>
                </pt>
                <pt idx="456">
                  <v>0.03786713107164807</v>
                </pt>
                <pt idx="457">
                  <v>0.03786713107164807</v>
                </pt>
                <pt idx="458">
                  <v>0.03786713107164807</v>
                </pt>
                <pt idx="459">
                  <v>0.01813716419389122</v>
                </pt>
                <pt idx="460">
                  <v>0.01813716419389122</v>
                </pt>
                <pt idx="461">
                  <v>0.01813716419389122</v>
                </pt>
                <pt idx="462">
                  <v>0.03883273086767103</v>
                </pt>
                <pt idx="463">
                  <v>0.03883273086767103</v>
                </pt>
                <pt idx="464">
                  <v>0.03883273086767103</v>
                </pt>
                <pt idx="465">
                  <v>0.02165306112495746</v>
                </pt>
                <pt idx="466">
                  <v>0.02165306112495746</v>
                </pt>
                <pt idx="467">
                  <v>0.02165306112495746</v>
                </pt>
                <pt idx="468">
                  <v>0.03013547493149016</v>
                </pt>
                <pt idx="469">
                  <v>0.03013547493149016</v>
                </pt>
                <pt idx="470">
                  <v>0.03013547493149016</v>
                </pt>
                <pt idx="471">
                  <v>0.04385706929729527</v>
                </pt>
                <pt idx="472">
                  <v>0.04385706929729527</v>
                </pt>
                <pt idx="473">
                  <v>0.04385706929729527</v>
                </pt>
                <pt idx="474">
                  <v>0.03515689521360343</v>
                </pt>
                <pt idx="475">
                  <v>0.03515689521360343</v>
                </pt>
                <pt idx="476">
                  <v>0.03515689521360343</v>
                </pt>
                <pt idx="477">
                  <v>0.07047070727767069</v>
                </pt>
                <pt idx="478">
                  <v>0.07047070727767069</v>
                </pt>
                <pt idx="479">
                  <v>0.07047070727767069</v>
                </pt>
                <pt idx="480">
                  <v>0.02082687796218119</v>
                </pt>
                <pt idx="481">
                  <v>0.02082687796218119</v>
                </pt>
                <pt idx="482">
                  <v>0.02082687796218119</v>
                </pt>
                <pt idx="483">
                  <v>0.05360092833045282</v>
                </pt>
                <pt idx="484">
                  <v>0.05360092833045282</v>
                </pt>
                <pt idx="485">
                  <v>0.05360092833045282</v>
                </pt>
                <pt idx="486">
                  <v>0.02364392556959816</v>
                </pt>
                <pt idx="487">
                  <v>0.02364392556959816</v>
                </pt>
                <pt idx="488">
                  <v>0.02364392556959816</v>
                </pt>
                <pt idx="489">
                  <v>0.05437485201812042</v>
                </pt>
                <pt idx="490">
                  <v>0.05437485201812042</v>
                </pt>
                <pt idx="491">
                  <v>0.05437485201812042</v>
                </pt>
                <pt idx="492">
                  <v>0.04128820262532407</v>
                </pt>
                <pt idx="493">
                  <v>0.04128820262532407</v>
                </pt>
                <pt idx="494">
                  <v>0.04128820262532407</v>
                </pt>
                <pt idx="495">
                  <v>0.03088195297144991</v>
                </pt>
                <pt idx="496">
                  <v>0.03088195297144991</v>
                </pt>
                <pt idx="497">
                  <v>0.03088195297144991</v>
                </pt>
                <pt idx="498">
                  <v>0.02996604866089259</v>
                </pt>
                <pt idx="499">
                  <v>0.02996604866089259</v>
                </pt>
                <pt idx="500">
                  <v>0.02996604866089259</v>
                </pt>
                <pt idx="501">
                  <v>0.007905367044091616</v>
                </pt>
                <pt idx="502">
                  <v>0.007905367044091616</v>
                </pt>
                <pt idx="503">
                  <v>0.007905367044091616</v>
                </pt>
                <pt idx="504">
                  <v>0.04443357206409249</v>
                </pt>
                <pt idx="505">
                  <v>0.04443357206409249</v>
                </pt>
                <pt idx="506">
                  <v>0.04443357206409249</v>
                </pt>
                <pt idx="507">
                  <v>0.01459568596150684</v>
                </pt>
                <pt idx="508">
                  <v>0.01459568596150684</v>
                </pt>
                <pt idx="509">
                  <v>0.01459568596150684</v>
                </pt>
                <pt idx="510">
                  <v>0.002663152805920666</v>
                </pt>
                <pt idx="511">
                  <v>0.002663152805920666</v>
                </pt>
                <pt idx="512">
                  <v>0.002663152805920666</v>
                </pt>
                <pt idx="513">
                  <v>-0.03592150205110978</v>
                </pt>
                <pt idx="514">
                  <v>-0.03592150205110978</v>
                </pt>
                <pt idx="515">
                  <v>-0.03592150205110978</v>
                </pt>
                <pt idx="516">
                  <v>-0.01858377250133569</v>
                </pt>
                <pt idx="517">
                  <v>-0.01858377250133569</v>
                </pt>
                <pt idx="518">
                  <v>-0.01858377250133569</v>
                </pt>
                <pt idx="519">
                  <v>0.03155539747719049</v>
                </pt>
                <pt idx="520">
                  <v>0.03155539747719049</v>
                </pt>
                <pt idx="521">
                  <v>0.03155539747719049</v>
                </pt>
                <pt idx="522">
                  <v>0.02036727422997275</v>
                </pt>
                <pt idx="523">
                  <v>0.02036727422997275</v>
                </pt>
                <pt idx="524">
                  <v>0.02036727422997275</v>
                </pt>
                <pt idx="525">
                  <v>0.01401562371143861</v>
                </pt>
                <pt idx="526">
                  <v>0.01401562371143861</v>
                </pt>
                <pt idx="527">
                  <v>0.01401562371143861</v>
                </pt>
                <pt idx="528">
                  <v>0.04875309825949259</v>
                </pt>
                <pt idx="529">
                  <v>0.04875309825949259</v>
                </pt>
                <pt idx="530">
                  <v>0.04875309825949259</v>
                </pt>
                <pt idx="531">
                  <v>0.04408338824994851</v>
                </pt>
                <pt idx="532">
                  <v>0.04408338824994851</v>
                </pt>
                <pt idx="533">
                  <v>0.04408338824994851</v>
                </pt>
                <pt idx="534">
                  <v>0.04011396954581636</v>
                </pt>
                <pt idx="535">
                  <v>0.04011396954581636</v>
                </pt>
                <pt idx="536">
                  <v>0.04011396954581636</v>
                </pt>
                <pt idx="537">
                  <v>0.04237230267699021</v>
                </pt>
                <pt idx="538">
                  <v>0.04237230267699021</v>
                </pt>
                <pt idx="539">
                  <v>0.04237230267699021</v>
                </pt>
                <pt idx="540">
                  <v>0.006695911518737496</v>
                </pt>
                <pt idx="541">
                  <v>0.006695911518737496</v>
                </pt>
                <pt idx="542">
                  <v>0.006695911518737496</v>
                </pt>
                <pt idx="543">
                  <v>0.02348864193376721</v>
                </pt>
                <pt idx="544">
                  <v>0.02348864193376721</v>
                </pt>
                <pt idx="545">
                  <v>0.02348864193376721</v>
                </pt>
                <pt idx="546">
                  <v>0.01922330560881402</v>
                </pt>
                <pt idx="547">
                  <v>0.01922330560881402</v>
                </pt>
                <pt idx="548">
                  <v>0.01922330560881402</v>
                </pt>
                <pt idx="549">
                  <v>0.05552300343997629</v>
                </pt>
                <pt idx="550">
                  <v>0.05552300343997629</v>
                </pt>
                <pt idx="551">
                  <v>0.05552300343997629</v>
                </pt>
                <pt idx="552">
                  <v>0.03938108089937553</v>
                </pt>
                <pt idx="553">
                  <v>0.03938108089937553</v>
                </pt>
                <pt idx="554">
                  <v>0.03938108089937553</v>
                </pt>
                <pt idx="555">
                  <v>0.05531575447492632</v>
                </pt>
                <pt idx="556">
                  <v>0.05531575447492632</v>
                </pt>
                <pt idx="557">
                  <v>0.05531575447492632</v>
                </pt>
                <pt idx="558">
                  <v>0.02358725012773011</v>
                </pt>
                <pt idx="559">
                  <v>0.02358725012773011</v>
                </pt>
                <pt idx="560">
                  <v>0.02358725012773011</v>
                </pt>
                <pt idx="561">
                  <v>0.04661408771384168</v>
                </pt>
                <pt idx="562">
                  <v>0.04661408771384168</v>
                </pt>
                <pt idx="563">
                  <v>0.04661408771384168</v>
                </pt>
                <pt idx="564">
                  <v>0.01426348278840961</v>
                </pt>
                <pt idx="565">
                  <v>0.01426348278840961</v>
                </pt>
                <pt idx="566">
                  <v>0.01426348278840961</v>
                </pt>
                <pt idx="567">
                  <v>0.0119857259968239</v>
                </pt>
                <pt idx="568">
                  <v>0.0119857259968239</v>
                </pt>
                <pt idx="569">
                  <v>0.0119857259968239</v>
                </pt>
                <pt idx="570">
                  <v>0.03446324065976714</v>
                </pt>
                <pt idx="571">
                  <v>0.03446324065976714</v>
                </pt>
                <pt idx="572">
                  <v>0.03446324065976714</v>
                </pt>
                <pt idx="573">
                  <v>0.02743937030821053</v>
                </pt>
                <pt idx="574">
                  <v>0.02743937030821053</v>
                </pt>
                <pt idx="575">
                  <v>0.02743937030821053</v>
                </pt>
                <pt idx="576">
                  <v>0.0302971117038966</v>
                </pt>
                <pt idx="577">
                  <v>0.0302971117038966</v>
                </pt>
                <pt idx="578">
                  <v>0.0302971117038966</v>
                </pt>
                <pt idx="579">
                  <v>0.06840309652184451</v>
                </pt>
                <pt idx="580">
                  <v>0.06840309652184451</v>
                </pt>
                <pt idx="581">
                  <v>0.06840309652184451</v>
                </pt>
                <pt idx="582">
                  <v>0.03636610812087238</v>
                </pt>
                <pt idx="583">
                  <v>0.03636610812087238</v>
                </pt>
                <pt idx="584">
                  <v>0.03636610812087238</v>
                </pt>
                <pt idx="585">
                  <v>0.0421873580889367</v>
                </pt>
                <pt idx="586">
                  <v>0.0421873580889367</v>
                </pt>
                <pt idx="587">
                  <v>0.0421873580889367</v>
                </pt>
                <pt idx="588">
                  <v>0.02607355819109536</v>
                </pt>
                <pt idx="589">
                  <v>0.02607355819109536</v>
                </pt>
                <pt idx="590">
                  <v>0.02607355819109536</v>
                </pt>
                <pt idx="591">
                  <v>0.06815486590490871</v>
                </pt>
                <pt idx="592">
                  <v>0.06815486590490871</v>
                </pt>
                <pt idx="593">
                  <v>0.06815486590490871</v>
                </pt>
                <pt idx="594">
                  <v>0.05097766273852433</v>
                </pt>
                <pt idx="595">
                  <v>0.05097766273852433</v>
                </pt>
                <pt idx="596">
                  <v>0.05097766273852433</v>
                </pt>
                <pt idx="597">
                  <v>0.03479474533539206</v>
                </pt>
                <pt idx="598">
                  <v>0.03479474533539206</v>
                </pt>
                <pt idx="599">
                  <v>0.03479474533539206</v>
                </pt>
                <pt idx="600">
                  <v>0.04057826924134766</v>
                </pt>
                <pt idx="601">
                  <v>0.04057826924134766</v>
                </pt>
                <pt idx="602">
                  <v>0.04057826924134766</v>
                </pt>
                <pt idx="603">
                  <v>0.03755028803424176</v>
                </pt>
                <pt idx="604">
                  <v>0.03755028803424176</v>
                </pt>
                <pt idx="605">
                  <v>0.03755028803424176</v>
                </pt>
                <pt idx="606">
                  <v>0.05106012260225712</v>
                </pt>
                <pt idx="607">
                  <v>0.05106012260225712</v>
                </pt>
                <pt idx="608">
                  <v>0.05106012260225712</v>
                </pt>
                <pt idx="609">
                  <v>0.06623182618291357</v>
                </pt>
                <pt idx="610">
                  <v>0.06623182618291357</v>
                </pt>
                <pt idx="611">
                  <v>0.06623182618291357</v>
                </pt>
                <pt idx="612">
                  <v>0.03829092080185514</v>
                </pt>
                <pt idx="613">
                  <v>0.03829092080185514</v>
                </pt>
                <pt idx="614">
                  <v>0.03829092080185514</v>
                </pt>
                <pt idx="615">
                  <v>0.03382066981536114</v>
                </pt>
                <pt idx="616">
                  <v>0.03382066981536114</v>
                </pt>
                <pt idx="617">
                  <v>0.03382066981536114</v>
                </pt>
                <pt idx="618">
                  <v>0.05398061530001885</v>
                </pt>
                <pt idx="619">
                  <v>0.05398061530001885</v>
                </pt>
                <pt idx="620">
                  <v>0.05398061530001885</v>
                </pt>
                <pt idx="621">
                  <v>0.06734820036933864</v>
                </pt>
                <pt idx="622">
                  <v>0.06734820036933864</v>
                </pt>
                <pt idx="623">
                  <v>0.06734820036933864</v>
                </pt>
                <pt idx="624">
                  <v>0.0146577813755211</v>
                </pt>
                <pt idx="625">
                  <v>0.0146577813755211</v>
                </pt>
                <pt idx="626">
                  <v>0.0146577813755211</v>
                </pt>
                <pt idx="627">
                  <v>0.07483628114231911</v>
                </pt>
                <pt idx="628">
                  <v>0.07483628114231911</v>
                </pt>
                <pt idx="629">
                  <v>0.07483628114231911</v>
                </pt>
                <pt idx="630">
                  <v>0.003996942030330297</v>
                </pt>
                <pt idx="631">
                  <v>0.003996942030330297</v>
                </pt>
                <pt idx="632">
                  <v>0.003996942030330297</v>
                </pt>
                <pt idx="633">
                  <v>0.02398727086218799</v>
                </pt>
                <pt idx="634">
                  <v>0.02398727086218799</v>
                </pt>
                <pt idx="635">
                  <v>0.02398727086218799</v>
                </pt>
                <pt idx="636">
                  <v>-0.01290590479056453</v>
                </pt>
                <pt idx="637">
                  <v>-0.01290590479056453</v>
                </pt>
                <pt idx="638">
                  <v>-0.01290590479056453</v>
                </pt>
                <pt idx="639">
                  <v>0.02508820455389182</v>
                </pt>
                <pt idx="640">
                  <v>0.02508820455389182</v>
                </pt>
                <pt idx="641">
                  <v>0.02508820455389182</v>
                </pt>
                <pt idx="642">
                  <v>-0.01591804945502973</v>
                </pt>
                <pt idx="643">
                  <v>-0.01591804945502973</v>
                </pt>
                <pt idx="644">
                  <v>-0.01591804945502973</v>
                </pt>
                <pt idx="645">
                  <v>0.01113880165656145</v>
                </pt>
                <pt idx="646">
                  <v>0.01113880165656145</v>
                </pt>
                <pt idx="647">
                  <v>0.01113880165656145</v>
                </pt>
                <pt idx="648">
                  <v>0.03354294204519781</v>
                </pt>
                <pt idx="649">
                  <v>0.03354294204519781</v>
                </pt>
                <pt idx="650">
                  <v>0.03354294204519781</v>
                </pt>
                <pt idx="651">
                  <v>0.02484833834627032</v>
                </pt>
                <pt idx="652">
                  <v>0.02484833834627032</v>
                </pt>
                <pt idx="653">
                  <v>0.02484833834627032</v>
                </pt>
                <pt idx="654">
                  <v>0.0162391125091006</v>
                </pt>
                <pt idx="655">
                  <v>0.0162391125091006</v>
                </pt>
                <pt idx="656">
                  <v>0.0162391125091006</v>
                </pt>
                <pt idx="657">
                  <v>0.00523648216461936</v>
                </pt>
                <pt idx="658">
                  <v>0.00523648216461936</v>
                </pt>
                <pt idx="659">
                  <v>0.00523648216461936</v>
                </pt>
                <pt idx="660">
                  <v>0.02082968176698108</v>
                </pt>
                <pt idx="661">
                  <v>0.02082968176698108</v>
                </pt>
                <pt idx="662">
                  <v>0.02082968176698108</v>
                </pt>
                <pt idx="663">
                  <v>0.03621684485857446</v>
                </pt>
                <pt idx="664">
                  <v>0.03621684485857446</v>
                </pt>
                <pt idx="665">
                  <v>0.03621684485857446</v>
                </pt>
                <pt idx="666">
                  <v>0.06836158006885573</v>
                </pt>
                <pt idx="667">
                  <v>0.06836158006885573</v>
                </pt>
                <pt idx="668">
                  <v>0.06836158006885573</v>
                </pt>
                <pt idx="669">
                  <v>0.0469670876988979</v>
                </pt>
                <pt idx="670">
                  <v>0.0469670876988979</v>
                </pt>
                <pt idx="671">
                  <v>0.0469670876988979</v>
                </pt>
                <pt idx="672">
                  <v>0.0231143527012434</v>
                </pt>
                <pt idx="673">
                  <v>0.0231143527012434</v>
                </pt>
                <pt idx="674">
                  <v>0.0231143527012434</v>
                </pt>
                <pt idx="675">
                  <v>0.03151530344471909</v>
                </pt>
                <pt idx="676">
                  <v>0.03151530344471909</v>
                </pt>
                <pt idx="677">
                  <v>0.03151530344471909</v>
                </pt>
                <pt idx="678">
                  <v>0.03818480021627169</v>
                </pt>
                <pt idx="679">
                  <v>0.03818480021627169</v>
                </pt>
                <pt idx="680">
                  <v>0.03818480021627169</v>
                </pt>
                <pt idx="681">
                  <v>0.04151209982891446</v>
                </pt>
                <pt idx="682">
                  <v>0.04151209982891446</v>
                </pt>
                <pt idx="683">
                  <v>0.04151209982891446</v>
                </pt>
                <pt idx="684">
                  <v>0.04518123508687411</v>
                </pt>
                <pt idx="685">
                  <v>0.04518123508687411</v>
                </pt>
                <pt idx="686">
                  <v>0.04518123508687411</v>
                </pt>
                <pt idx="687">
                  <v>0.01960671092838173</v>
                </pt>
                <pt idx="688">
                  <v>0.01960671092838173</v>
                </pt>
                <pt idx="689">
                  <v>0.01960671092838173</v>
                </pt>
                <pt idx="690">
                  <v>0.03179714370730702</v>
                </pt>
                <pt idx="691">
                  <v>0.03179714370730702</v>
                </pt>
                <pt idx="692">
                  <v>0.03179714370730702</v>
                </pt>
                <pt idx="693">
                  <v>0.02291138878895094</v>
                </pt>
                <pt idx="694">
                  <v>0.02291138878895094</v>
                </pt>
                <pt idx="695">
                  <v>0.02291138878895094</v>
                </pt>
                <pt idx="696">
                  <v>0.05504783041874162</v>
                </pt>
                <pt idx="697">
                  <v>0.05504783041874162</v>
                </pt>
                <pt idx="698">
                  <v>0.05504783041874162</v>
                </pt>
                <pt idx="699">
                  <v>0.009859595325901749</v>
                </pt>
                <pt idx="700">
                  <v>0.009859595325901749</v>
                </pt>
                <pt idx="701">
                  <v>0.009859595325901749</v>
                </pt>
                <pt idx="702">
                  <v>0.006031843391774094</v>
                </pt>
                <pt idx="703">
                  <v>0.006031843391774094</v>
                </pt>
                <pt idx="704">
                  <v>0.006031843391774094</v>
                </pt>
                <pt idx="705">
                  <v>0.03417798496028146</v>
                </pt>
                <pt idx="706">
                  <v>0.03417798496028146</v>
                </pt>
                <pt idx="707">
                  <v>0.03417798496028146</v>
                </pt>
                <pt idx="708">
                  <v>0.01179577590686653</v>
                </pt>
                <pt idx="709">
                  <v>0.01179577590686653</v>
                </pt>
                <pt idx="710">
                  <v>0.01179577590686653</v>
                </pt>
                <pt idx="711">
                  <v>0.02578298295432324</v>
                </pt>
                <pt idx="712">
                  <v>0.02578298295432324</v>
                </pt>
                <pt idx="713">
                  <v>0.02578298295432324</v>
                </pt>
                <pt idx="714">
                  <v>0.02431080560296794</v>
                </pt>
                <pt idx="715">
                  <v>0.02431080560296794</v>
                </pt>
                <pt idx="716">
                  <v>0.02431080560296794</v>
                </pt>
                <pt idx="717">
                  <v>0.02460966730827407</v>
                </pt>
                <pt idx="718">
                  <v>0.02460966730827407</v>
                </pt>
                <pt idx="719">
                  <v>0.02460966730827407</v>
                </pt>
                <pt idx="720">
                  <v>-0.01619784994668927</v>
                </pt>
                <pt idx="721">
                  <v>-0.01619784994668927</v>
                </pt>
                <pt idx="722">
                  <v>-0.01619784994668927</v>
                </pt>
                <pt idx="723">
                  <v>0.02308907778947766</v>
                </pt>
                <pt idx="724">
                  <v>0.02308907778947766</v>
                </pt>
                <pt idx="725">
                  <v>0.02308907778947766</v>
                </pt>
                <pt idx="726">
                  <v>-0.0209097307355427</v>
                </pt>
                <pt idx="727">
                  <v>-0.0209097307355427</v>
                </pt>
                <pt idx="728">
                  <v>-0.0209097307355427</v>
                </pt>
                <pt idx="729">
                  <v>-0.08450572869534734</v>
                </pt>
                <pt idx="730">
                  <v>-0.08450572869534734</v>
                </pt>
                <pt idx="731">
                  <v>-0.08450572869534734</v>
                </pt>
                <pt idx="732">
                  <v>-0.04581987379316932</v>
                </pt>
                <pt idx="733">
                  <v>-0.04581987379316932</v>
                </pt>
                <pt idx="734">
                  <v>-0.04581987379316932</v>
                </pt>
                <pt idx="735">
                  <v>-0.006752359998762336</v>
                </pt>
                <pt idx="736">
                  <v>-0.006752359998762336</v>
                </pt>
                <pt idx="737">
                  <v>-0.006752359998762336</v>
                </pt>
                <pt idx="738">
                  <v>0.01455598543492065</v>
                </pt>
                <pt idx="739">
                  <v>0.01455598543492065</v>
                </pt>
                <pt idx="740">
                  <v>0.01455598543492065</v>
                </pt>
                <pt idx="741">
                  <v>0.0434076888622974</v>
                </pt>
                <pt idx="742">
                  <v>0.0434076888622974</v>
                </pt>
                <pt idx="743">
                  <v>0.0434076888622974</v>
                </pt>
                <pt idx="744">
                  <v>0.02015267213561045</v>
                </pt>
                <pt idx="745">
                  <v>0.02015267213561045</v>
                </pt>
                <pt idx="746">
                  <v>0.02015267213561045</v>
                </pt>
                <pt idx="747">
                  <v>0.03927369054068341</v>
                </pt>
                <pt idx="748">
                  <v>0.03927369054068341</v>
                </pt>
                <pt idx="749">
                  <v>0.03927369054068341</v>
                </pt>
                <pt idx="750">
                  <v>0.03128626930493783</v>
                </pt>
                <pt idx="751">
                  <v>0.03128626930493783</v>
                </pt>
                <pt idx="752">
                  <v>0.03128626930493783</v>
                </pt>
                <pt idx="753">
                  <v>0.02094635569547521</v>
                </pt>
                <pt idx="754">
                  <v>0.02094635569547521</v>
                </pt>
                <pt idx="755">
                  <v>0.02094635569547521</v>
                </pt>
                <pt idx="756">
                  <v>-0.009601874290937507</v>
                </pt>
                <pt idx="757">
                  <v>-0.009601874290937507</v>
                </pt>
                <pt idx="758">
                  <v>-0.009601874290937507</v>
                </pt>
                <pt idx="759">
                  <v>0.02739913079767176</v>
                </pt>
                <pt idx="760">
                  <v>0.02739913079767176</v>
                </pt>
                <pt idx="761">
                  <v>0.02739913079767176</v>
                </pt>
                <pt idx="762">
                  <v>-0.001549785003588933</v>
                </pt>
                <pt idx="763">
                  <v>-0.001549785003588933</v>
                </pt>
                <pt idx="764">
                  <v>-0.001549785003588933</v>
                </pt>
                <pt idx="765">
                  <v>0.04562768534929051</v>
                </pt>
                <pt idx="766">
                  <v>0.04562768534929051</v>
                </pt>
                <pt idx="767">
                  <v>0.04562768534929051</v>
                </pt>
                <pt idx="768">
                  <v>0.03312050570216885</v>
                </pt>
                <pt idx="769">
                  <v>0.03312050570216885</v>
                </pt>
                <pt idx="770">
                  <v>0.03312050570216885</v>
                </pt>
                <pt idx="771">
                  <v>0.01835946382913356</v>
                </pt>
                <pt idx="772">
                  <v>0.01835946382913356</v>
                </pt>
                <pt idx="773">
                  <v>0.01835946382913356</v>
                </pt>
                <pt idx="774">
                  <v>0.007013690941451767</v>
                </pt>
                <pt idx="775">
                  <v>0.007013690941451767</v>
                </pt>
                <pt idx="776">
                  <v>0.007013690941451767</v>
                </pt>
                <pt idx="777">
                  <v>0.004400766641183607</v>
                </pt>
                <pt idx="778">
                  <v>0.004400766641183607</v>
                </pt>
                <pt idx="779">
                  <v>0.004400766641183607</v>
                </pt>
                <pt idx="780">
                  <v>0.03516603678394081</v>
                </pt>
                <pt idx="781">
                  <v>0.03516603678394081</v>
                </pt>
                <pt idx="782">
                  <v>0.03516603678394081</v>
                </pt>
                <pt idx="783">
                  <v>0.00558707657013402</v>
                </pt>
                <pt idx="784">
                  <v>0.00558707657013402</v>
                </pt>
                <pt idx="785">
                  <v>0.00558707657013402</v>
                </pt>
                <pt idx="786">
                  <v>0.0320441539978702</v>
                </pt>
                <pt idx="787">
                  <v>0.0320441539978702</v>
                </pt>
                <pt idx="788">
                  <v>0.0320441539978702</v>
                </pt>
                <pt idx="789">
                  <v>0.02875173987590829</v>
                </pt>
                <pt idx="790">
                  <v>0.02875173987590829</v>
                </pt>
                <pt idx="791">
                  <v>0.02875173987590829</v>
                </pt>
                <pt idx="792">
                  <v>-0.01393101487505954</v>
                </pt>
                <pt idx="793">
                  <v>-0.01393101487505954</v>
                </pt>
                <pt idx="794">
                  <v>-0.01393101487505954</v>
                </pt>
                <pt idx="795">
                  <v>0.0523630457566524</v>
                </pt>
                <pt idx="796">
                  <v>0.0523630457566524</v>
                </pt>
                <pt idx="797">
                  <v>0.0523630457566524</v>
                </pt>
                <pt idx="798">
                  <v>0.04741908962129937</v>
                </pt>
                <pt idx="799">
                  <v>0.04741908962129937</v>
                </pt>
                <pt idx="800">
                  <v>0.04741908962129937</v>
                </pt>
                <pt idx="801">
                  <v>0.01808105561066875</v>
                </pt>
                <pt idx="802">
                  <v>0.01808105561066875</v>
                </pt>
                <pt idx="803">
                  <v>0.01808105561066875</v>
                </pt>
                <pt idx="804">
                  <v>0.03293158882700409</v>
                </pt>
                <pt idx="805">
                  <v>0.03293158882700409</v>
                </pt>
                <pt idx="806">
                  <v>0.03293158882700409</v>
                </pt>
                <pt idx="807">
                  <v>0.02340267984825029</v>
                </pt>
                <pt idx="808">
                  <v>0.02340267984825029</v>
                </pt>
                <pt idx="809">
                  <v>0.02340267984825029</v>
                </pt>
                <pt idx="810">
                  <v>0.01299778420271602</v>
                </pt>
                <pt idx="811">
                  <v>0.01299778420271602</v>
                </pt>
                <pt idx="812">
                  <v>0.01299778420271602</v>
                </pt>
                <pt idx="813">
                  <v>0.005862217066683106</v>
                </pt>
                <pt idx="814">
                  <v>0.005862217066683106</v>
                </pt>
                <pt idx="815">
                  <v>0.005862217066683106</v>
                </pt>
                <pt idx="816">
                  <v>0.02377629379297197</v>
                </pt>
                <pt idx="817">
                  <v>0.02377629379297197</v>
                </pt>
                <pt idx="818">
                  <v>0.02377629379297197</v>
                </pt>
                <pt idx="819">
                  <v>0.01215052634526592</v>
                </pt>
                <pt idx="820">
                  <v>0.01215052634526592</v>
                </pt>
                <pt idx="821">
                  <v>0.01215052634526592</v>
                </pt>
                <pt idx="822">
                  <v>0.02426228912334971</v>
                </pt>
                <pt idx="823">
                  <v>0.02426228912334971</v>
                </pt>
                <pt idx="824">
                  <v>0.02426228912334971</v>
                </pt>
                <pt idx="825">
                  <v>0.02002418226175018</v>
                </pt>
                <pt idx="826">
                  <v>0.02002418226175018</v>
                </pt>
                <pt idx="827">
                  <v>0.02002418226175018</v>
                </pt>
                <pt idx="828">
                  <v>0.01901129394955658</v>
                </pt>
                <pt idx="829">
                  <v>0.01901129394955658</v>
                </pt>
                <pt idx="830">
                  <v>0.01901129394955658</v>
                </pt>
                <pt idx="831">
                  <v>0.0225792974619996</v>
                </pt>
                <pt idx="832">
                  <v>0.0225792974619996</v>
                </pt>
                <pt idx="833">
                  <v>0.0225792974619996</v>
                </pt>
                <pt idx="834">
                  <v>0.02907779605929184</v>
                </pt>
                <pt idx="835">
                  <v>0.02907779605929184</v>
                </pt>
                <pt idx="836">
                  <v>0.02907779605929184</v>
                </pt>
                <pt idx="837">
                  <v>0.03814993904506303</v>
                </pt>
                <pt idx="838">
                  <v>0.03814993904506303</v>
                </pt>
                <pt idx="839">
                  <v>0.03814993904506303</v>
                </pt>
                <pt idx="840">
                  <v>0.03086510836024359</v>
                </pt>
                <pt idx="841">
                  <v>0.03086510836024359</v>
                </pt>
                <pt idx="842">
                  <v>0.03086510836024359</v>
                </pt>
                <pt idx="843">
                  <v>0.03377600526305335</v>
                </pt>
                <pt idx="844">
                  <v>0.03377600526305335</v>
                </pt>
                <pt idx="845">
                  <v>0.03377600526305335</v>
                </pt>
                <pt idx="846">
                  <v>0.01941791765026113</v>
                </pt>
                <pt idx="847">
                  <v>0.01941791765026113</v>
                </pt>
                <pt idx="848">
                  <v>0.01941791765026113</v>
                </pt>
                <pt idx="849">
                  <v>0.008955593239345916</v>
                </pt>
                <pt idx="850">
                  <v>0.008955593239345916</v>
                </pt>
                <pt idx="851">
                  <v>0.008955593239345916</v>
                </pt>
                <pt idx="852">
                  <v>0.02412687930866952</v>
                </pt>
                <pt idx="853">
                  <v>0.02412687930866952</v>
                </pt>
                <pt idx="854">
                  <v>0.02412687930866952</v>
                </pt>
                <pt idx="855">
                  <v>0.03209621189016554</v>
                </pt>
                <pt idx="856">
                  <v>0.03209621189016554</v>
                </pt>
                <pt idx="857">
                  <v>0.03209621189016554</v>
                </pt>
                <pt idx="858">
                  <v>0.02770318750334533</v>
                </pt>
                <pt idx="859">
                  <v>0.02770318750334533</v>
                </pt>
                <pt idx="860">
                  <v>0.02770318750334533</v>
                </pt>
                <pt idx="861">
                  <v>0.01889634966248921</v>
                </pt>
                <pt idx="862">
                  <v>0.01889634966248921</v>
                </pt>
                <pt idx="863">
                  <v>0.01889634966248921</v>
                </pt>
                <pt idx="864">
                  <v>-0.05113254503727427</v>
                </pt>
                <pt idx="865">
                  <v>-0.05113254503727427</v>
                </pt>
                <pt idx="866">
                  <v>-0.05113254503727427</v>
                </pt>
                <pt idx="867">
                  <v>-0.3123569846108508</v>
                </pt>
                <pt idx="868">
                  <v>-0.3123569846108508</v>
                </pt>
                <pt idx="869">
                  <v>-0.3123569846108508</v>
                </pt>
                <pt idx="870">
                  <v>0.3378327930079323</v>
                </pt>
                <pt idx="871">
                  <v>0.3378327930079323</v>
                </pt>
                <pt idx="872">
                  <v>0.3378327930079323</v>
                </pt>
                <pt idx="873">
                  <v>0.04536294038119415</v>
                </pt>
                <pt idx="874">
                  <v>0.04536294038119415</v>
                </pt>
                <pt idx="875">
                  <v>0.04536294038119415</v>
                </pt>
                <pt idx="876">
                  <v>0.0627817667277657</v>
                </pt>
                <pt idx="877">
                  <v>0.0627817667277657</v>
                </pt>
                <pt idx="878">
                  <v>0.0627817667277657</v>
                </pt>
                <pt idx="879">
                  <v>0.06556445212446005</v>
                </pt>
                <pt idx="880">
                  <v>0.06556445212446005</v>
                </pt>
                <pt idx="881">
                  <v>0.06556445212446005</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'ISM Manufacturing vs GDP'!$B$6:$B$890</f>
              <numCache>
                <formatCode>0.0</formatCode>
                <ptCount val="885"/>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55.3</v>
                </pt>
                <pt idx="832">
                  <v>55.5</v>
                </pt>
                <pt idx="833">
                  <v>56.7</v>
                </pt>
                <pt idx="834">
                  <v>56.5</v>
                </pt>
                <pt idx="835">
                  <v>59.3</v>
                </pt>
                <pt idx="836">
                  <v>60.2</v>
                </pt>
                <pt idx="837">
                  <v>58.5</v>
                </pt>
                <pt idx="838">
                  <v>58.2</v>
                </pt>
                <pt idx="839">
                  <v>59.3</v>
                </pt>
                <pt idx="840">
                  <v>59.1</v>
                </pt>
                <pt idx="841">
                  <v>60.8</v>
                </pt>
                <pt idx="842">
                  <v>59.3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SPX'!$A$630:$A$890</f>
              <numCache>
                <formatCode>m/d/yy</formatCode>
                <ptCount val="26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numCache>
            </numRef>
          </cat>
          <val>
            <numRef>
              <f>'ISM Manufacturing vs SPX'!$D$630:$D$890</f>
              <numCache>
                <formatCode>0.00%</formatCode>
                <ptCount val="261"/>
                <pt idx="0">
                  <v>0.08972831785039176</v>
                </pt>
                <pt idx="1">
                  <v>0.1034377690528872</v>
                </pt>
                <pt idx="2">
                  <v>0.1649680588204329</v>
                </pt>
                <pt idx="3">
                  <v>0.08781587146148305</v>
                </pt>
                <pt idx="4">
                  <v>0.09122473814112415</v>
                </pt>
                <pt idx="5">
                  <v>0.05965573014443941</v>
                </pt>
                <pt idx="6">
                  <v>0.07684838583644654</v>
                </pt>
                <pt idx="7">
                  <v>0.1494005762758388</v>
                </pt>
                <pt idx="8">
                  <v>0.1199024359958174</v>
                </pt>
                <pt idx="9">
                  <v>0.04876990554645155</v>
                </pt>
                <pt idx="10">
                  <v>-0.05325044904960341</v>
                </pt>
                <pt idx="11">
                  <v>-0.1013918468606432</v>
                </pt>
                <pt idx="12">
                  <v>-0.02040212827595131</v>
                </pt>
                <pt idx="13">
                  <v>-0.09256312036359435</v>
                </pt>
                <pt idx="14">
                  <v>-0.225713682240122</v>
                </pt>
                <pt idx="15">
                  <v>-0.1397451756392807</v>
                </pt>
                <pt idx="16">
                  <v>-0.1159932653694483</v>
                </pt>
                <pt idx="17">
                  <v>-0.1582702975378022</v>
                </pt>
                <pt idx="18">
                  <v>-0.1534773402521634</v>
                </pt>
                <pt idx="19">
                  <v>-0.2530837095655735</v>
                </pt>
                <pt idx="20">
                  <v>-0.2753688218295116</v>
                </pt>
                <pt idx="21">
                  <v>-0.2585840134280004</v>
                </pt>
                <pt idx="22">
                  <v>-0.1334651557396043</v>
                </pt>
                <pt idx="23">
                  <v>-0.130426931573317</v>
                </pt>
                <pt idx="24">
                  <v>-0.1726268894618129</v>
                </pt>
                <pt idx="25">
                  <v>-0.107432591366133</v>
                </pt>
                <pt idx="26">
                  <v>-0.01115194943738925</v>
                </pt>
                <pt idx="27">
                  <v>-0.1380915934768397</v>
                </pt>
                <pt idx="28">
                  <v>-0.1502444133022236</v>
                </pt>
                <pt idx="29">
                  <v>-0.1915745087653567</v>
                </pt>
                <pt idx="30">
                  <v>-0.247360113229694</v>
                </pt>
                <pt idx="31">
                  <v>-0.1918787888306663</v>
                </pt>
                <pt idx="32">
                  <v>-0.2167847568450638</v>
                </pt>
                <pt idx="33">
                  <v>-0.1642039048086271</v>
                </pt>
                <pt idx="34">
                  <v>-0.1782789606702086</v>
                </pt>
                <pt idx="35">
                  <v>-0.2336596398169327</v>
                </pt>
                <pt idx="36">
                  <v>-0.2428773233949645</v>
                </pt>
                <pt idx="37">
                  <v>-0.2399681591710383</v>
                </pt>
                <pt idx="38">
                  <v>-0.2607744690893096</v>
                </pt>
                <pt idx="39">
                  <v>-0.1485719036352154</v>
                </pt>
                <pt idx="40">
                  <v>-0.09703505308064002</v>
                </pt>
                <pt idx="41">
                  <v>-0.01547756853938802</v>
                </pt>
                <pt idx="42">
                  <v>0.08631886469317726</v>
                </pt>
                <pt idx="43">
                  <v>0.1003635118467534</v>
                </pt>
                <pt idx="44">
                  <v>0.2216292998390127</v>
                </pt>
                <pt idx="45">
                  <v>0.1862242019709154</v>
                </pt>
                <pt idx="46">
                  <v>0.1301811934726346</v>
                </pt>
                <pt idx="47">
                  <v>0.263803999856075</v>
                </pt>
                <pt idx="48">
                  <v>0.3218768132961063</v>
                </pt>
                <pt idx="49">
                  <v>0.3611602072545385</v>
                </pt>
                <pt idx="50">
                  <v>0.327795951678384</v>
                </pt>
                <pt idx="51">
                  <v>0.2076299672051099</v>
                </pt>
                <pt idx="52">
                  <v>0.163025791673122</v>
                </pt>
                <pt idx="53">
                  <v>0.1706926280143664</v>
                </pt>
                <pt idx="54">
                  <v>0.1125000991861137</v>
                </pt>
                <pt idx="55">
                  <v>0.09546530197651516</v>
                </pt>
                <pt idx="56">
                  <v>0.1190899208345711</v>
                </pt>
                <pt idx="57">
                  <v>0.07565359894784517</v>
                </pt>
                <pt idx="58">
                  <v>0.1092610095953407</v>
                </pt>
                <pt idx="59">
                  <v>0.08993452410504438</v>
                </pt>
                <pt idx="60">
                  <v>0.04432736712699965</v>
                </pt>
                <pt idx="61">
                  <v>0.05123415901515822</v>
                </pt>
                <pt idx="62">
                  <v>0.04828584978214376</v>
                </pt>
                <pt idx="63">
                  <v>0.04474841940515441</v>
                </pt>
                <pt idx="64">
                  <v>0.06319372397788751</v>
                </pt>
                <pt idx="65">
                  <v>0.04425685591733559</v>
                </pt>
                <pt idx="66">
                  <v>0.1202302640295879</v>
                </pt>
                <pt idx="67">
                  <v>0.1051311010752291</v>
                </pt>
                <pt idx="68">
                  <v>0.1024871319325967</v>
                </pt>
                <pt idx="69">
                  <v>0.0679614779066646</v>
                </pt>
                <pt idx="70">
                  <v>0.06445625179383346</v>
                </pt>
                <pt idx="71">
                  <v>0.03001022648322501</v>
                </pt>
                <pt idx="72">
                  <v>0.0836472054035538</v>
                </pt>
                <pt idx="73">
                  <v>0.06402464235343257</v>
                </pt>
                <pt idx="74">
                  <v>0.09679908544979114</v>
                </pt>
                <pt idx="75">
                  <v>0.1329126612697445</v>
                </pt>
                <pt idx="76">
                  <v>0.06595884683172472</v>
                </pt>
                <pt idx="77">
                  <v>0.06620331722775886</v>
                </pt>
                <pt idx="78">
                  <v>0.03441959693184287</v>
                </pt>
                <pt idx="79">
                  <v>0.06841591455614487</v>
                </pt>
                <pt idx="80">
                  <v>0.08710859438041113</v>
                </pt>
                <pt idx="81">
                  <v>0.1416143441925557</v>
                </pt>
                <pt idx="82">
                  <v>0.1209703455992948</v>
                </pt>
                <pt idx="83">
                  <v>0.1361943175771829</v>
                </pt>
                <pt idx="84">
                  <v>0.1235548086341569</v>
                </pt>
                <pt idx="85">
                  <v>0.09851163357222412</v>
                </pt>
                <pt idx="86">
                  <v>0.09729933544409609</v>
                </pt>
                <pt idx="87">
                  <v>0.1310534880443475</v>
                </pt>
                <pt idx="88">
                  <v>0.2051272240347736</v>
                </pt>
                <pt idx="89">
                  <v>0.1835537978224973</v>
                </pt>
                <pt idx="90">
                  <v>0.1399041101336771</v>
                </pt>
                <pt idx="91">
                  <v>0.1305165214890799</v>
                </pt>
                <pt idx="92">
                  <v>0.1429052868433783</v>
                </pt>
                <pt idx="93">
                  <v>0.1244176606678389</v>
                </pt>
                <pt idx="94">
                  <v>0.05748128321726191</v>
                </pt>
                <pt idx="95">
                  <v>0.03529573029014265</v>
                </pt>
                <pt idx="96">
                  <v>-0.04150207296071644</v>
                </pt>
                <pt idx="97">
                  <v>-0.05415756381378466</v>
                </pt>
                <pt idx="98">
                  <v>-0.06908494505881943</v>
                </pt>
                <pt idx="99">
                  <v>-0.0652873636989664</v>
                </pt>
                <pt idx="100">
                  <v>-0.08508969595683351</v>
                </pt>
                <pt idx="101">
                  <v>-0.1485681840992692</v>
                </pt>
                <pt idx="102">
                  <v>-0.1291100705833272</v>
                </pt>
                <pt idx="103">
                  <v>-0.1296888278054046</v>
                </pt>
                <pt idx="104">
                  <v>-0.2360504437530702</v>
                </pt>
                <pt idx="105">
                  <v>-0.3747499019777269</v>
                </pt>
                <pt idx="106">
                  <v>-0.3948985369894283</v>
                </pt>
                <pt idx="107">
                  <v>-0.3848579304617866</v>
                </pt>
                <pt idx="108">
                  <v>-0.4009067675133788</v>
                </pt>
                <pt idx="109">
                  <v>-0.4475624146172775</v>
                </pt>
                <pt idx="110">
                  <v>-0.3967868567646148</v>
                </pt>
                <pt idx="111">
                  <v>-0.3700806014641709</v>
                </pt>
                <pt idx="112">
                  <v>-0.3436495724601552</v>
                </pt>
                <pt idx="113">
                  <v>-0.28178124453125</v>
                </pt>
                <pt idx="114">
                  <v>-0.22084933003184</v>
                </pt>
                <pt idx="115">
                  <v>-0.2043996242632176</v>
                </pt>
                <pt idx="116">
                  <v>-0.09369322542388146</v>
                </pt>
                <pt idx="117">
                  <v>0.06961542296774202</v>
                </pt>
                <pt idx="118">
                  <v>0.2224739101409656</v>
                </pt>
                <pt idx="119">
                  <v>0.2345419053418212</v>
                </pt>
                <pt idx="120">
                  <v>0.3002736335770716</v>
                </pt>
                <pt idx="121">
                  <v>0.5025234317319885</v>
                </pt>
                <pt idx="122">
                  <v>0.465689976222254</v>
                </pt>
                <pt idx="123">
                  <v>0.3596200131978783</v>
                </pt>
                <pt idx="124">
                  <v>0.1852492723864275</v>
                </pt>
                <pt idx="125">
                  <v>0.1211655932122012</v>
                </pt>
                <pt idx="126">
                  <v>0.1155668958473467</v>
                </pt>
                <pt idx="127">
                  <v>0.02812992214599913</v>
                </pt>
                <pt idx="128">
                  <v>0.07957770320261376</v>
                </pt>
                <pt idx="129">
                  <v>0.1419335038690555</v>
                </pt>
                <pt idx="130">
                  <v>0.07750795762480051</v>
                </pt>
                <pt idx="131">
                  <v>0.1278271384340878</v>
                </pt>
                <pt idx="132">
                  <v>0.19764962331404</v>
                </pt>
                <pt idx="133">
                  <v>0.2016586687218414</v>
                </pt>
                <pt idx="134">
                  <v>0.1337402792625681</v>
                </pt>
                <pt idx="135">
                  <v>0.149087000645605</v>
                </pt>
                <pt idx="136">
                  <v>0.2347967331095833</v>
                </pt>
                <pt idx="137">
                  <v>0.2812915999363277</v>
                </pt>
                <pt idx="138">
                  <v>0.173093733800154</v>
                </pt>
                <pt idx="139">
                  <v>0.161588886346441</v>
                </pt>
                <pt idx="140">
                  <v>-0.0085698452680709</v>
                </pt>
                <pt idx="141">
                  <v>0.05919243311535558</v>
                </pt>
                <pt idx="142">
                  <v>0.05625336431628074</v>
                </pt>
                <pt idx="143">
                  <v>-3.183661423175919e-05</v>
                </pt>
                <pt idx="144">
                  <v>0.0204413578065863</v>
                </pt>
                <pt idx="145">
                  <v>0.02897792667407047</v>
                </pt>
                <pt idx="146">
                  <v>0.06233077977007177</v>
                </pt>
                <pt idx="147">
                  <v>0.02515385585123883</v>
                </pt>
                <pt idx="148">
                  <v>-0.0259217932427653</v>
                </pt>
                <pt idx="149">
                  <v>0.03143931618640228</v>
                </pt>
                <pt idx="150">
                  <v>0.06735375850956531</v>
                </pt>
                <pt idx="151">
                  <v>0.1539843125222419</v>
                </pt>
                <pt idx="152">
                  <v>0.2733290802474063</v>
                </pt>
                <pt idx="153">
                  <v>0.1267533541762433</v>
                </pt>
                <pt idx="154">
                  <v>0.1357061159079188</v>
                </pt>
                <pt idx="155">
                  <v>0.1340569085697884</v>
                </pt>
                <pt idx="156">
                  <v>0.1414953758270337</v>
                </pt>
                <pt idx="157">
                  <v>0.1091031530874215</v>
                </pt>
                <pt idx="158">
                  <v>0.114109617747754</v>
                </pt>
                <pt idx="159">
                  <v>0.1428274403530035</v>
                </pt>
                <pt idx="160">
                  <v>0.2445262222181845</v>
                </pt>
                <pt idx="161">
                  <v>0.1792153556899908</v>
                </pt>
                <pt idx="162">
                  <v>0.222145728326907</v>
                </pt>
                <pt idx="163">
                  <v>0.160950690385069</v>
                </pt>
                <pt idx="164">
                  <v>0.1671999817051794</v>
                </pt>
                <pt idx="165">
                  <v>0.2438675480883918</v>
                </pt>
                <pt idx="166">
                  <v>0.2751274485892455</v>
                </pt>
                <pt idx="167">
                  <v>0.2960124958559078</v>
                </pt>
                <pt idx="168">
                  <v>0.1898925872254966</v>
                </pt>
                <pt idx="169">
                  <v>0.2276189589276787</v>
                </pt>
                <pt idx="170">
                  <v>0.1931888658468018</v>
                </pt>
                <pt idx="171">
                  <v>0.1792597599354188</v>
                </pt>
                <pt idx="172">
                  <v>0.179568758843033</v>
                </pt>
                <pt idx="173">
                  <v>0.2203538266116362</v>
                </pt>
                <pt idx="174">
                  <v>0.1453020750096643</v>
                </pt>
                <pt idx="175">
                  <v>0.2268259861344382</v>
                </pt>
                <pt idx="176">
                  <v>0.1728999919882849</v>
                </pt>
                <pt idx="177">
                  <v>0.1488779100924326</v>
                </pt>
                <pt idx="178">
                  <v>0.144948799401942</v>
                </pt>
                <pt idx="179">
                  <v>0.1139063378933731</v>
                </pt>
                <pt idx="180">
                  <v>0.1191524848962378</v>
                </pt>
                <pt idx="181">
                  <v>0.1317863107142054</v>
                </pt>
                <pt idx="182">
                  <v>0.1044414639173493</v>
                </pt>
                <pt idx="183">
                  <v>0.106988011487785</v>
                </pt>
                <pt idx="184">
                  <v>0.09556187305912502</v>
                </pt>
                <pt idx="185">
                  <v>0.05248370244801577</v>
                </pt>
                <pt idx="186">
                  <v>0.08969427196437092</v>
                </pt>
                <pt idx="187">
                  <v>-0.01556873721671173</v>
                </pt>
                <pt idx="188">
                  <v>-0.02649712211014212</v>
                </pt>
                <pt idx="189">
                  <v>0.03038084116416283</v>
                </pt>
                <pt idx="190">
                  <v>0.006214984152003377</v>
                </pt>
                <pt idx="191">
                  <v>-0.007265997237392661</v>
                </pt>
                <pt idx="192">
                  <v>-0.02744374672275925</v>
                </pt>
                <pt idx="193">
                  <v>-0.08185793300071273</v>
                </pt>
                <pt idx="194">
                  <v>-0.003941168738039765</v>
                </pt>
                <pt idx="195">
                  <v>-0.009690656435640902</v>
                </pt>
                <pt idx="196">
                  <v>-0.004953967955658205</v>
                </pt>
                <pt idx="197">
                  <v>0.01732820748572873</v>
                </pt>
                <pt idx="198">
                  <v>0.03315841845485357</v>
                </pt>
                <pt idx="199">
                  <v>0.1007868914386658</v>
                </pt>
                <pt idx="200">
                  <v>0.1292896398757313</v>
                </pt>
                <pt idx="201">
                  <v>0.02250201628976435</v>
                </pt>
                <pt idx="202">
                  <v>0.05691193178664294</v>
                </pt>
                <pt idx="203">
                  <v>0.09535022682938993</v>
                </pt>
                <pt idx="204">
                  <v>0.1745300214124542</v>
                </pt>
                <pt idx="205">
                  <v>0.2232704789105901</v>
                </pt>
                <pt idx="206">
                  <v>0.1470962269368766</v>
                </pt>
                <pt idx="207">
                  <v>0.1544085093855533</v>
                </pt>
                <pt idx="208">
                  <v>0.1501466917938853</v>
                </pt>
                <pt idx="209">
                  <v>0.1546314611048063</v>
                </pt>
                <pt idx="210">
                  <v>0.1365016275408726</v>
                </pt>
                <pt idx="211">
                  <v>0.1385107707625822</v>
                </pt>
                <pt idx="212">
                  <v>0.161921755022006</v>
                </pt>
                <pt idx="213">
                  <v>0.2112316293303386</v>
                </pt>
                <pt idx="214">
                  <v>0.1755631539977415</v>
                </pt>
                <pt idx="215">
                  <v>0.1941996551111192</v>
                </pt>
                <pt idx="216">
                  <v>0.2391272490410211</v>
                </pt>
                <pt idx="217">
                  <v>0.1481571647343997</v>
                </pt>
                <pt idx="218">
                  <v>0.1177245502700328</v>
                </pt>
                <pt idx="219">
                  <v>0.1106660948840863</v>
                </pt>
                <pt idx="220">
                  <v>0.1216808877343215</v>
                </pt>
                <pt idx="221">
                  <v>0.1217128821415829</v>
                </pt>
                <pt idx="222">
                  <v>0.1400599049253389</v>
                </pt>
                <pt idx="223">
                  <v>0.1739203103368965</v>
                </pt>
                <pt idx="224">
                  <v>0.1566349613552883</v>
                </pt>
                <pt idx="225">
                  <v>0.05299658266351135</v>
                </pt>
                <pt idx="226">
                  <v>0.0678300506147211</v>
                </pt>
                <pt idx="227">
                  <v>-0.06237263487424424</v>
                </pt>
                <pt idx="228">
                  <v>-0.04239309886246142</v>
                </pt>
                <pt idx="229">
                  <v>0.02603697356470961</v>
                </pt>
                <pt idx="230">
                  <v>0.07328262066134779</v>
                </pt>
                <pt idx="231">
                  <v>0.1124525388454997</v>
                </pt>
                <pt idx="232">
                  <v>0.01729586313162189</v>
                </pt>
                <pt idx="233">
                  <v>0.08217787622184941</v>
                </pt>
                <pt idx="234">
                  <v>0.05826458167577964</v>
                </pt>
                <pt idx="235">
                  <v>0.008595487822965325</v>
                </pt>
                <pt idx="236">
                  <v>0.02153756046052166</v>
                </pt>
                <pt idx="237">
                  <v>0.120151641087094</v>
                </pt>
                <pt idx="238">
                  <v>0.1379661719246863</v>
                </pt>
                <pt idx="239">
                  <v>0.2887807407702895</v>
                </pt>
                <pt idx="240">
                  <v>0.192825709108391</v>
                </pt>
                <pt idx="241">
                  <v>0.06095550711261309</v>
                </pt>
                <pt idx="242">
                  <v>-0.08813505503810327</v>
                </pt>
                <pt idx="243">
                  <v>-0.01133806092001239</v>
                </pt>
                <pt idx="244">
                  <v>0.106193178927785</v>
                </pt>
                <pt idx="245">
                  <v>0.05388950832154892</v>
                </pt>
                <pt idx="246">
                  <v>0.09755131895932725</v>
                </pt>
                <pt idx="247">
                  <v>0.1960901567081046</v>
                </pt>
                <pt idx="248">
                  <v>0.129759401224158</v>
                </pt>
                <pt idx="249">
                  <v>0.07650877678136402</v>
                </pt>
                <pt idx="250">
                  <v>0.1530254888601647</v>
                </pt>
                <pt idx="251">
                  <v>0.1625892199406954</v>
                </pt>
                <pt idx="252">
                  <v>0.1515166546789354</v>
                </pt>
                <pt idx="253">
                  <v>0.2900697984577995</v>
                </pt>
                <pt idx="254">
                  <v>0.5371451564851677</v>
                </pt>
                <pt idx="255">
                  <v>0.4356293541819032</v>
                </pt>
                <pt idx="256">
                  <v>0.3809730283709608</v>
                </pt>
                <pt idx="257">
                  <v>0.3861606494876286</v>
                </pt>
                <pt idx="258">
                  <v>0.3436559955000124</v>
                </pt>
                <pt idx="259">
                  <v>0.2920798443566428</v>
                </pt>
                <pt idx="260">
                  <v>0.2808623253047874</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SPX'!$A$630:$A$890</f>
              <numCache>
                <formatCode>m/d/yy</formatCode>
                <ptCount val="26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numCache>
            </numRef>
          </cat>
          <val>
            <numRef>
              <f>'ISM Manufacturing vs SPX'!$B$630:$B$890</f>
              <numCache>
                <formatCode>General</formatCode>
                <ptCount val="261"/>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Manufacturing'!$A$510:$A$905</f>
              <numCache>
                <formatCode>m/d/yy</formatCode>
                <ptCount val="396"/>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numCache>
            </numRef>
          </cat>
          <val>
            <numRef>
              <f>'ISM Manufacturing'!$B$510:$B$905</f>
              <numCache>
                <formatCode>General</formatCode>
                <ptCount val="396"/>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55.3</v>
                </pt>
                <pt idx="328">
                  <v>55.5</v>
                </pt>
                <pt idx="329">
                  <v>56.7</v>
                </pt>
                <pt idx="330">
                  <v>56.5</v>
                </pt>
                <pt idx="331">
                  <v>59.3</v>
                </pt>
                <pt idx="332">
                  <v>60.2</v>
                </pt>
                <pt idx="333">
                  <v>58.5</v>
                </pt>
                <pt idx="334">
                  <v>58.2</v>
                </pt>
                <pt idx="335">
                  <v>59.3</v>
                </pt>
                <pt idx="336">
                  <v>59.1</v>
                </pt>
                <pt idx="337">
                  <v>60.8</v>
                </pt>
                <pt idx="338">
                  <v>59.3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55.3</v>
                </pt>
                <pt idx="16">
                  <v>55.5</v>
                </pt>
                <pt idx="17">
                  <v>56.7</v>
                </pt>
                <pt idx="18">
                  <v>56.5</v>
                </pt>
                <pt idx="19">
                  <v>59.3</v>
                </pt>
                <pt idx="20">
                  <v>60.2</v>
                </pt>
                <pt idx="21">
                  <v>58.5</v>
                </pt>
                <pt idx="22">
                  <v>58.2</v>
                </pt>
                <pt idx="23">
                  <v>59.3</v>
                </pt>
                <pt idx="24">
                  <v>59.1</v>
                </pt>
                <pt idx="25">
                  <v>60.8</v>
                </pt>
                <pt idx="26">
                  <v>59.3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image" Target="/xl/media/image1.jpeg" Id="rId1"/></Relationships>
</file>

<file path=xl/drawings/_rels/drawing2.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4.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5.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6.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7.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8.xml.rels><Relationships xmlns="http://schemas.openxmlformats.org/package/2006/relationships"><Relationship Type="http://schemas.openxmlformats.org/officeDocument/2006/relationships/chart" Target="/xl/charts/chart79.xml" Id="rId1"/></Relationships>
</file>

<file path=xl/drawings/_rels/drawing9.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editAs="oneCell">
    <from>
      <col>1</col>
      <colOff>200025</colOff>
      <row>9</row>
      <rowOff>38100</rowOff>
    </from>
    <to>
      <col>16</col>
      <colOff>323850</colOff>
      <row>43</row>
      <rowOff>148704</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333375" y="1752600"/>
          <a:ext cx="10058400" cy="6587604"/>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6.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7.xml><?xml version="1.0" encoding="utf-8"?>
<wsDr xmlns="http://schemas.openxmlformats.org/drawingml/2006/spreadsheetDrawing">
  <twoCellAnchor>
    <from>
      <col>7</col>
      <colOff>0</colOff>
      <row>839</row>
      <rowOff>0</rowOff>
    </from>
    <to>
      <col>15</col>
      <colOff>323851</colOff>
      <row>856</row>
      <rowOff>114300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9527</colOff>
      <row>856</row>
      <rowOff>104775</rowOff>
    </from>
    <to>
      <col>15</col>
      <colOff>333377</colOff>
      <row>874</row>
      <rowOff>104775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11</col>
      <colOff>0</colOff>
      <row>854</row>
      <rowOff>0</rowOff>
    </from>
    <to>
      <col>22</col>
      <colOff>266700</colOff>
      <row>873</row>
      <rowOff>104774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6</col>
      <colOff>9525</colOff>
      <row>839</row>
      <rowOff>0</rowOff>
    </from>
    <to>
      <col>12</col>
      <colOff>247650</colOff>
      <row>855</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0</colOff>
      <row>857</row>
      <rowOff>142876</rowOff>
    </from>
    <to>
      <col>12</col>
      <colOff>238125</colOff>
      <row>874</row>
      <rowOff>95251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 displayName="Table91213" ref="A5:L890" headerRowCount="1" totalsRowShown="0" headerRowDxfId="654" dataDxfId="652" headerRowBorderDxfId="653">
  <autoFilter ref="A5:L890"/>
  <tableColumns count="12">
    <tableColumn id="1" name="Date" dataDxfId="651"/>
    <tableColumn id="5" name="New Orders" dataDxfId="650"/>
    <tableColumn id="3" name="Imports" dataDxfId="649"/>
    <tableColumn id="2" name="Backlog Of Orders" dataDxfId="648"/>
    <tableColumn id="4" name="Prices" dataDxfId="647"/>
    <tableColumn id="6" name="Production" dataDxfId="646"/>
    <tableColumn id="7" name="Customers Inventories" dataDxfId="645"/>
    <tableColumn id="8" name="Inventories" dataDxfId="644"/>
    <tableColumn id="9" name="Deliveries" dataDxfId="643"/>
    <tableColumn id="10" name="Employment" dataDxfId="642"/>
    <tableColumn id="11" name="Exports" dataDxfId="641"/>
    <tableColumn id="13" name="ISM" dataDxfId="640"/>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890" headerRowCount="1" totalsRowShown="0" headerRowDxfId="639" dataDxfId="637" headerRowBorderDxfId="638" tableBorderDxfId="636" totalsRowBorderDxfId="635">
  <autoFilter ref="A5:E890"/>
  <tableColumns count="5">
    <tableColumn id="1" name="Date" dataDxfId="634"/>
    <tableColumn id="2" name="PMI" dataDxfId="633"/>
    <tableColumn id="6" name="GDP growth yoy %" dataDxfId="632"/>
    <tableColumn id="5" name="GDP growth qoq %" dataDxfId="631"/>
    <tableColumn id="4" name="GDP growth q/q % (annualised)" dataDxfId="630"/>
  </tableColumns>
  <tableStyleInfo name="TableStyleMedium9" showFirstColumn="0" showLastColumn="0" showRowStripes="1" showColumnStripes="0"/>
</table>
</file>

<file path=xl/tables/table3.xml><?xml version="1.0" encoding="utf-8"?>
<table xmlns="http://schemas.openxmlformats.org/spreadsheetml/2006/main" id="3" name="Table7" displayName="Table7" ref="A5:D890" headerRowCount="1" totalsRowShown="0" headerRowDxfId="629" dataDxfId="627" headerRowBorderDxfId="628">
  <autoFilter ref="A5:D890"/>
  <tableColumns count="4">
    <tableColumn id="1" name="Date" dataDxfId="626"/>
    <tableColumn id="2" name="PMI" dataDxfId="625"/>
    <tableColumn id="4" name="S&amp;P" dataDxfId="624">
      <calculatedColumnFormula>_xll.BDH(#REF!,#REF!,#REF!)</calculatedColumnFormula>
    </tableColumn>
    <tableColumn id="5" name="S&amp;P yoy %" dataDxfId="623"/>
  </tableColumns>
  <tableStyleInfo name="TableStyleMedium2" showFirstColumn="0" showLastColumn="0" showRowStripes="1" showColumnStripes="0"/>
</table>
</file>

<file path=xl/tables/table4.xml><?xml version="1.0" encoding="utf-8"?>
<table xmlns="http://schemas.openxmlformats.org/spreadsheetml/2006/main" id="4" name="Table9" displayName="Table9" ref="A5:C890" headerRowCount="1" totalsRowShown="0" headerRowDxfId="622" dataDxfId="620" headerRowBorderDxfId="621">
  <autoFilter ref="A5:C890"/>
  <tableColumns count="3">
    <tableColumn id="1" name="Date" dataDxfId="619"/>
    <tableColumn id="3" name="PMI" dataDxfId="618"/>
    <tableColumn id="2" name="Change" dataDxfId="61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2.xml" Id="rId3"/></Relationships>
</file>

<file path=xl/worksheets/_rels/sheet9.xml.rels><Relationships xmlns="http://schemas.openxmlformats.org/package/2006/relationships"><Relationship Type="http://schemas.openxmlformats.org/officeDocument/2006/relationships/drawing" Target="/xl/drawings/drawing3.xml" Id="rId1"/></Relationships>
</file>

<file path=xl/worksheets/_rels/sheet10.xml.rels><Relationships xmlns="http://schemas.openxmlformats.org/package/2006/relationships"><Relationship Type="http://schemas.openxmlformats.org/officeDocument/2006/relationships/drawing" Target="/xl/drawings/drawing4.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3.xml.rels><Relationships xmlns="http://schemas.openxmlformats.org/package/2006/relationships"><Relationship Type="http://schemas.openxmlformats.org/officeDocument/2006/relationships/table" Target="/xl/tables/table1.xml" Id="rId1"/></Relationships>
</file>

<file path=xl/worksheets/_rels/sheet14.xml.rels><Relationships xmlns="http://schemas.openxmlformats.org/package/2006/relationships"><Relationship Type="http://schemas.openxmlformats.org/officeDocument/2006/relationships/drawing" Target="/xl/drawings/drawing6.xml" Id="rId1"/></Relationships>
</file>

<file path=xl/worksheets/_rels/sheet15.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2.xml" Id="rId2"/></Relationships>
</file>

<file path=xl/worksheets/_rels/sheet16.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3.xml" Id="rId2"/></Relationships>
</file>

<file path=xl/worksheets/_rels/sheet17.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4.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zoomScale="160" zoomScaleNormal="160" workbookViewId="0">
      <selection activeCell="C7" sqref="C7"/>
    </sheetView>
  </sheetViews>
  <sheetFormatPr baseColWidth="10" defaultColWidth="9.1640625" defaultRowHeight="15"/>
  <cols>
    <col width="2" customWidth="1" style="116" min="1" max="1"/>
    <col width="16.1640625" customWidth="1" style="116" min="2" max="2"/>
    <col width="14" customWidth="1" style="116" min="3" max="3"/>
    <col width="9.1640625" customWidth="1" style="116" min="4" max="18"/>
    <col width="39.33203125" customWidth="1" style="116" min="19" max="19"/>
    <col width="9.1640625" customWidth="1" style="116" min="20" max="26"/>
    <col width="9.1640625" customWidth="1" style="116" min="27" max="16384"/>
  </cols>
  <sheetData>
    <row r="3">
      <c r="B3" s="107" t="inlineStr">
        <is>
          <t>Ranking</t>
        </is>
      </c>
    </row>
    <row r="5">
      <c r="C5" s="104" t="inlineStr">
        <is>
          <t>Take September 2018 as example</t>
        </is>
      </c>
    </row>
    <row r="7">
      <c r="C7" s="130" t="inlineStr">
        <is>
          <t>https://www.ismworld.org/</t>
        </is>
      </c>
    </row>
    <row r="9">
      <c r="C9" s="116" t="inlineStr">
        <is>
          <t>For ranking in PMI Sectors, take from report:</t>
        </is>
      </c>
    </row>
    <row r="11" ht="16" customHeight="1">
      <c r="C11" s="105" t="n"/>
      <c r="S11" s="106" t="inlineStr">
        <is>
          <t>Means the following order:</t>
        </is>
      </c>
    </row>
    <row r="12">
      <c r="S12" s="116" t="inlineStr">
        <is>
          <t>To add data in PMI sectors data</t>
        </is>
      </c>
    </row>
    <row r="15">
      <c r="S15" s="117" t="inlineStr">
        <is>
          <t>Textile Mills</t>
        </is>
      </c>
      <c r="T15" s="116" t="n">
        <v>15</v>
      </c>
    </row>
    <row r="16">
      <c r="S16" s="117" t="inlineStr">
        <is>
          <t>Miscellaneous Manufacturing</t>
        </is>
      </c>
      <c r="T16" s="116" t="n">
        <v>14</v>
      </c>
    </row>
    <row r="17">
      <c r="S17" s="117" t="inlineStr">
        <is>
          <t>Plastics &amp; Rubber Products</t>
        </is>
      </c>
      <c r="T17" s="116" t="n">
        <v>13</v>
      </c>
    </row>
    <row r="18">
      <c r="S18" s="117" t="inlineStr">
        <is>
          <t>Computer &amp; Electronic Products</t>
        </is>
      </c>
      <c r="T18" s="116" t="n">
        <v>12</v>
      </c>
    </row>
    <row r="19">
      <c r="S19" s="117" t="inlineStr">
        <is>
          <t>Food, Beverage &amp; Tobacco Products</t>
        </is>
      </c>
      <c r="T19" s="116" t="n">
        <v>11</v>
      </c>
    </row>
    <row r="20">
      <c r="S20" s="117" t="inlineStr">
        <is>
          <t>Machinery</t>
        </is>
      </c>
      <c r="T20" s="116" t="n">
        <v>10</v>
      </c>
    </row>
    <row r="21">
      <c r="S21" s="117" t="inlineStr">
        <is>
          <t>Apparel, Leather &amp; Allied Products</t>
        </is>
      </c>
      <c r="T21" s="116" t="n">
        <v>9</v>
      </c>
    </row>
    <row r="22">
      <c r="S22" s="117" t="inlineStr">
        <is>
          <t>Paper Products</t>
        </is>
      </c>
      <c r="T22" s="116" t="n">
        <v>8</v>
      </c>
    </row>
    <row r="23">
      <c r="S23" s="117" t="inlineStr">
        <is>
          <t>Electrical Equipment, Appliances &amp; Components</t>
        </is>
      </c>
      <c r="T23" s="116" t="n">
        <v>7</v>
      </c>
    </row>
    <row r="24">
      <c r="S24" s="117" t="inlineStr">
        <is>
          <t>Chemical Products</t>
        </is>
      </c>
      <c r="T24" s="116" t="n">
        <v>6</v>
      </c>
    </row>
    <row r="25">
      <c r="S25" s="117" t="inlineStr">
        <is>
          <t>Petroleum &amp; Coal Products</t>
        </is>
      </c>
      <c r="T25" s="116" t="n">
        <v>5</v>
      </c>
    </row>
    <row r="26">
      <c r="S26" s="117" t="inlineStr">
        <is>
          <t>Transportation Equipment</t>
        </is>
      </c>
      <c r="T26" s="116" t="n">
        <v>4</v>
      </c>
    </row>
    <row r="27">
      <c r="S27" s="117" t="inlineStr">
        <is>
          <t>Furniture &amp; Related Products</t>
        </is>
      </c>
      <c r="T27" s="116" t="n">
        <v>3</v>
      </c>
    </row>
    <row r="28">
      <c r="S28" s="117" t="inlineStr">
        <is>
          <t>Fabricated Metal Products</t>
        </is>
      </c>
      <c r="T28" s="116" t="n">
        <v>2</v>
      </c>
    </row>
    <row r="29">
      <c r="S29" s="117" t="inlineStr">
        <is>
          <t>Nonmetallic Mineral Products</t>
        </is>
      </c>
      <c r="T29" s="116" t="n">
        <v>1</v>
      </c>
    </row>
    <row r="30">
      <c r="S30" s="117" t="inlineStr">
        <is>
          <t>Printing &amp; Related Support Activities</t>
        </is>
      </c>
      <c r="T30" s="116" t="n">
        <v>0</v>
      </c>
    </row>
    <row r="31">
      <c r="S31" s="117" t="inlineStr">
        <is>
          <t>Wood Products</t>
        </is>
      </c>
      <c r="T31" s="116" t="n">
        <v>0</v>
      </c>
    </row>
    <row r="32">
      <c r="S32" s="117" t="inlineStr">
        <is>
          <t>Primary Metals</t>
        </is>
      </c>
      <c r="T32" s="116" t="n">
        <v>-1</v>
      </c>
    </row>
    <row r="34">
      <c r="S34" s="116" t="inlineStr">
        <is>
          <t>Identify Trends per sector in SectorsPMI</t>
        </is>
      </c>
    </row>
    <row r="36">
      <c r="S36" s="116" t="inlineStr">
        <is>
          <t>Use ISMNAICS for identifying stocks</t>
        </is>
      </c>
    </row>
    <row r="38">
      <c r="S38" s="116" t="inlineStr">
        <is>
          <t>Use nasdaq.com for quantitative</t>
        </is>
      </c>
    </row>
  </sheetData>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zoomScale="140" zoomScaleNormal="140" workbookViewId="0">
      <selection activeCell="B34" sqref="B34:U36"/>
    </sheetView>
  </sheetViews>
  <sheetFormatPr baseColWidth="10" defaultColWidth="9.1640625" defaultRowHeight="15"/>
  <cols>
    <col width="4" customWidth="1" style="116" min="1" max="1"/>
    <col width="12.83203125" customWidth="1" style="116" min="2" max="5"/>
    <col width="13.6640625" customWidth="1" style="116" min="6" max="6"/>
    <col width="12.83203125" customWidth="1" style="116" min="7" max="10"/>
    <col width="2" customWidth="1" style="116" min="11" max="13"/>
    <col width="9.1640625" customWidth="1" style="116" min="14" max="14"/>
    <col width="15.6640625" customWidth="1" style="116" min="15" max="15"/>
    <col width="12.6640625" customWidth="1" style="116" min="16" max="18"/>
    <col width="5.33203125" customWidth="1" style="116" min="19" max="19"/>
    <col width="16.6640625" customWidth="1" style="116" min="20" max="20"/>
    <col width="9.1640625" customWidth="1" style="116" min="21" max="27"/>
    <col width="9.1640625" customWidth="1" style="116" min="28" max="16384"/>
  </cols>
  <sheetData>
    <row r="1">
      <c r="B1" s="131" t="n"/>
    </row>
    <row r="2" ht="16" customHeight="1" thickBot="1">
      <c r="B2" s="132" t="n"/>
      <c r="C2" s="132" t="n"/>
      <c r="D2" s="132" t="n"/>
      <c r="E2" s="132" t="n"/>
      <c r="F2" s="132" t="n"/>
      <c r="G2" s="132" t="n"/>
      <c r="H2" s="132" t="n"/>
      <c r="I2" s="132" t="n"/>
      <c r="J2" s="132" t="n"/>
    </row>
    <row r="3" ht="16" customHeight="1" thickBot="1">
      <c r="B3" s="133" t="inlineStr">
        <is>
          <t>ISM Manufacturing</t>
        </is>
      </c>
      <c r="C3" s="124" t="n"/>
      <c r="D3" s="124" t="n"/>
      <c r="E3" s="124" t="n"/>
      <c r="F3" s="124" t="n"/>
      <c r="G3" s="124" t="n"/>
      <c r="H3" s="124" t="n"/>
      <c r="I3" s="124" t="n"/>
      <c r="J3" s="125" t="n"/>
    </row>
    <row r="5">
      <c r="B5" s="126" t="inlineStr">
        <is>
          <t>Definition</t>
        </is>
      </c>
      <c r="C5" s="127" t="n"/>
      <c r="D5" s="127" t="n"/>
      <c r="E5" s="127" t="n"/>
      <c r="F5" s="127" t="n"/>
      <c r="G5" s="127" t="n"/>
      <c r="H5" s="127" t="n"/>
      <c r="I5" s="127" t="n"/>
      <c r="J5" s="119" t="n"/>
    </row>
    <row r="7" ht="172.5" customHeight="1">
      <c r="B7" s="134"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c r="B8" s="7" t="n"/>
      <c r="C8" s="122" t="n"/>
      <c r="D8" s="122" t="n"/>
      <c r="E8" s="122" t="n"/>
      <c r="F8" s="122" t="n"/>
      <c r="G8" s="122" t="n"/>
      <c r="H8" s="122" t="n"/>
      <c r="I8" s="122" t="n"/>
      <c r="J8" s="122" t="n"/>
    </row>
    <row r="9" ht="16" customHeight="1" thickBot="1">
      <c r="B9" s="30" t="n"/>
      <c r="C9" s="31" t="n"/>
      <c r="D9" s="31" t="n"/>
      <c r="E9" s="31" t="n"/>
    </row>
    <row r="10" ht="16" customHeight="1" thickBot="1">
      <c r="B10" s="126" t="inlineStr">
        <is>
          <t>Process / TO DO LIST</t>
        </is>
      </c>
      <c r="C10" s="127" t="n"/>
      <c r="D10" s="127" t="n"/>
      <c r="E10" s="127" t="n"/>
      <c r="F10" s="127" t="n"/>
      <c r="G10" s="127" t="n"/>
      <c r="H10" s="127" t="n"/>
      <c r="I10" s="127" t="n"/>
      <c r="J10" s="119" t="n"/>
      <c r="N10" s="123" t="inlineStr">
        <is>
          <t>Summary</t>
        </is>
      </c>
      <c r="O10" s="124" t="n"/>
      <c r="P10" s="124" t="n"/>
      <c r="Q10" s="124" t="n"/>
      <c r="R10" s="124" t="n"/>
      <c r="S10" s="124" t="n"/>
      <c r="T10" s="124" t="n"/>
      <c r="U10" s="125" t="n"/>
    </row>
    <row r="11">
      <c r="N11" s="33" t="inlineStr">
        <is>
          <t>* input new month</t>
        </is>
      </c>
      <c r="T11" s="33" t="inlineStr">
        <is>
          <t>Modify new month</t>
        </is>
      </c>
    </row>
    <row r="12" ht="16" customHeight="1" thickBot="1">
      <c r="B12" s="126" t="inlineStr">
        <is>
          <t>TO DO LIST</t>
        </is>
      </c>
      <c r="C12" s="127" t="n"/>
      <c r="D12" s="127" t="n"/>
      <c r="E12" s="127" t="n"/>
      <c r="F12" s="119" t="n"/>
      <c r="G12" s="126" t="inlineStr">
        <is>
          <t>Comments</t>
        </is>
      </c>
      <c r="H12" s="127" t="n"/>
      <c r="I12" s="127" t="n"/>
      <c r="J12" s="119" t="n"/>
    </row>
    <row r="13">
      <c r="P13" s="90" t="n">
        <v>44440</v>
      </c>
      <c r="Q13" s="91">
        <f>DATE(YEAR(P13),MONTH(P13)-1,DAY(P13))</f>
        <v/>
      </c>
      <c r="R13" s="92" t="n"/>
      <c r="T13" s="102" t="inlineStr">
        <is>
          <t>Sector</t>
        </is>
      </c>
      <c r="U13" s="102" t="inlineStr">
        <is>
          <t>Ranking</t>
        </is>
      </c>
    </row>
    <row r="14" ht="16" customHeight="1" thickBot="1">
      <c r="B14" s="116" t="inlineStr">
        <is>
          <t>Update data in Sectors Trends</t>
        </is>
      </c>
      <c r="G14" s="116" t="inlineStr">
        <is>
          <t>Add new column for new month</t>
        </is>
      </c>
      <c r="P14" s="93" t="inlineStr">
        <is>
          <t>ISM</t>
        </is>
      </c>
      <c r="Q14" s="93" t="inlineStr">
        <is>
          <t>ISM</t>
        </is>
      </c>
      <c r="R14" s="94" t="inlineStr">
        <is>
          <t>Change %</t>
        </is>
      </c>
      <c r="T14" s="103" t="inlineStr">
        <is>
          <t>Furniture &amp; Related Products</t>
        </is>
      </c>
      <c r="U14" s="20" t="n">
        <v>17</v>
      </c>
    </row>
    <row r="15" ht="30.75" customHeight="1">
      <c r="G15" s="122" t="inlineStr">
        <is>
          <t>Modify month and change number in Sectors - Look at trends for ISM index, new order, production</t>
        </is>
      </c>
      <c r="N15" s="128" t="inlineStr">
        <is>
          <t>ISM</t>
        </is>
      </c>
      <c r="O15" s="129" t="n"/>
      <c r="P15" s="95">
        <f>VLOOKUP($P$13,Details!$A:$L,MATCH(Note!N15,Table91213[#Headers],),)</f>
        <v/>
      </c>
      <c r="Q15" s="95">
        <f>VLOOKUP($Q$13,Details!$A:$L,MATCH(Note!N15,Table91213[#Headers],),)</f>
        <v/>
      </c>
      <c r="R15" s="96">
        <f>P15-Q15</f>
        <v/>
      </c>
      <c r="T15" s="103" t="inlineStr">
        <is>
          <t>Petroleum &amp; Coal Products</t>
        </is>
      </c>
      <c r="U15" s="20" t="n">
        <v>16</v>
      </c>
    </row>
    <row r="16">
      <c r="B16" s="122" t="inlineStr">
        <is>
          <t>Update month + Number In SectorsProduction / SectorsNewOrders / Sectors</t>
        </is>
      </c>
      <c r="G16" s="116" t="n"/>
      <c r="N16" s="118" t="inlineStr">
        <is>
          <t>New Orders</t>
        </is>
      </c>
      <c r="O16" s="119" t="n"/>
      <c r="P16" s="138">
        <f>VLOOKUP($P$13,Details!$A:$L,MATCH(Note!N16,Table91213[#Headers],),)</f>
        <v/>
      </c>
      <c r="Q16" s="138">
        <f>VLOOKUP($Q$13,Details!$A:$L,MATCH(Note!N16,Table91213[#Headers],),)</f>
        <v/>
      </c>
      <c r="R16" s="97">
        <f>P16-Q16</f>
        <v/>
      </c>
      <c r="T16" s="103" t="inlineStr">
        <is>
          <t>Machinery</t>
        </is>
      </c>
      <c r="U16" s="20" t="n">
        <v>15</v>
      </c>
    </row>
    <row r="17">
      <c r="B17" s="116" t="inlineStr">
        <is>
          <t>Update Industry Comments</t>
        </is>
      </c>
      <c r="N17" s="118" t="inlineStr">
        <is>
          <t>Imports</t>
        </is>
      </c>
      <c r="O17" s="119" t="n"/>
      <c r="P17" s="138">
        <f>VLOOKUP($P$13,Details!$A:$L,MATCH(Note!N17,Table91213[#Headers],),)</f>
        <v/>
      </c>
      <c r="Q17" s="138">
        <f>VLOOKUP($Q$13,Details!$A:$L,MATCH(Note!N17,Table91213[#Headers],),)</f>
        <v/>
      </c>
      <c r="R17" s="97">
        <f>P17-Q17</f>
        <v/>
      </c>
      <c r="T17" s="103" t="inlineStr">
        <is>
          <t>Electrical Equipment, Appliances &amp; Components</t>
        </is>
      </c>
      <c r="U17" s="20" t="n">
        <v>14</v>
      </c>
    </row>
    <row r="18">
      <c r="B18" s="116" t="inlineStr">
        <is>
          <t>Update data in different ISM and Details</t>
        </is>
      </c>
      <c r="N18" s="118" t="inlineStr">
        <is>
          <t>Backlog Of Orders</t>
        </is>
      </c>
      <c r="O18" s="119" t="n"/>
      <c r="P18" s="138">
        <f>VLOOKUP($P$13,Details!$A:$L,MATCH(Note!N18,Table91213[#Headers],),)</f>
        <v/>
      </c>
      <c r="Q18" s="138">
        <f>VLOOKUP($Q$13,Details!$A:$L,MATCH(Note!N18,Table91213[#Headers],),)</f>
        <v/>
      </c>
      <c r="R18" s="97">
        <f>P18-Q18</f>
        <v/>
      </c>
      <c r="T18" s="103" t="inlineStr">
        <is>
          <t>Computer &amp; Electronic Products</t>
        </is>
      </c>
      <c r="U18" s="20" t="n">
        <v>13</v>
      </c>
    </row>
    <row r="19">
      <c r="N19" s="118" t="inlineStr">
        <is>
          <t>Prices</t>
        </is>
      </c>
      <c r="O19" s="119" t="n"/>
      <c r="P19" s="138">
        <f>VLOOKUP($P$13,Details!$A:$L,MATCH(Note!N19,Table91213[#Headers],),)</f>
        <v/>
      </c>
      <c r="Q19" s="138">
        <f>VLOOKUP($Q$13,Details!$A:$L,MATCH(Note!N19,Table91213[#Headers],),)</f>
        <v/>
      </c>
      <c r="R19" s="97">
        <f>P19-Q19</f>
        <v/>
      </c>
      <c r="T19" s="103" t="inlineStr">
        <is>
          <t>Chemical Products</t>
        </is>
      </c>
      <c r="U19" s="20" t="n">
        <v>12</v>
      </c>
    </row>
    <row r="20">
      <c r="B20" s="130" t="inlineStr">
        <is>
          <t>https://www.ismworld.org/</t>
        </is>
      </c>
      <c r="G20" s="116" t="n"/>
      <c r="N20" s="118" t="inlineStr">
        <is>
          <t>Production</t>
        </is>
      </c>
      <c r="O20" s="119" t="n"/>
      <c r="P20" s="138">
        <f>VLOOKUP($P$13,Details!$A:$L,MATCH(Note!N20,Table91213[#Headers],),)</f>
        <v/>
      </c>
      <c r="Q20" s="138">
        <f>VLOOKUP($Q$13,Details!$A:$L,MATCH(Note!N20,Table91213[#Headers],),)</f>
        <v/>
      </c>
      <c r="R20" s="97">
        <f>P20-Q20</f>
        <v/>
      </c>
      <c r="T20" s="103" t="inlineStr">
        <is>
          <t>Apparel, Leather &amp; Allied Products</t>
        </is>
      </c>
      <c r="U20" s="20" t="n">
        <v>11</v>
      </c>
    </row>
    <row r="21">
      <c r="B21" s="130" t="inlineStr">
        <is>
          <t>https://www.ismworld.org/supply-management-news-and-reports/reports/ism-report-on-business/pmi/july/</t>
        </is>
      </c>
      <c r="G21" s="116" t="n"/>
      <c r="N21" s="118" t="inlineStr">
        <is>
          <t>Customers Inventories</t>
        </is>
      </c>
      <c r="O21" s="119" t="n"/>
      <c r="P21" s="138">
        <f>VLOOKUP($P$13,Details!$A:$L,MATCH(Note!N21,Table91213[#Headers],),)</f>
        <v/>
      </c>
      <c r="Q21" s="138">
        <f>VLOOKUP($Q$13,Details!$A:$L,MATCH(Note!N21,Table91213[#Headers],),)</f>
        <v/>
      </c>
      <c r="R21" s="97">
        <f>P21-Q21</f>
        <v/>
      </c>
      <c r="T21" s="103" t="inlineStr">
        <is>
          <t>Textile Mills</t>
        </is>
      </c>
      <c r="U21" s="20" t="n">
        <v>10</v>
      </c>
    </row>
    <row r="22">
      <c r="B22" s="116" t="n"/>
      <c r="G22" s="116" t="n"/>
      <c r="N22" s="118" t="inlineStr">
        <is>
          <t>Inventories</t>
        </is>
      </c>
      <c r="O22" s="119" t="n"/>
      <c r="P22" s="138">
        <f>VLOOKUP($P$13,Details!$A:$L,MATCH(Note!N22,Table91213[#Headers],),)</f>
        <v/>
      </c>
      <c r="Q22" s="138">
        <f>VLOOKUP($Q$13,Details!$A:$L,MATCH(Note!N22,Table91213[#Headers],),)</f>
        <v/>
      </c>
      <c r="R22" s="97">
        <f>P22-Q22</f>
        <v/>
      </c>
      <c r="T22" s="103" t="inlineStr">
        <is>
          <t>Paper Products</t>
        </is>
      </c>
      <c r="U22" s="20" t="n">
        <v>9</v>
      </c>
    </row>
    <row r="23">
      <c r="B23" s="116" t="n"/>
      <c r="N23" s="118" t="inlineStr">
        <is>
          <t>Deliveries</t>
        </is>
      </c>
      <c r="O23" s="119" t="n"/>
      <c r="P23" s="138">
        <f>VLOOKUP($P$13,Details!$A:$L,MATCH(Note!N23,Table91213[#Headers],),)</f>
        <v/>
      </c>
      <c r="Q23" s="138">
        <f>VLOOKUP($Q$13,Details!$A:$L,MATCH(Note!N23,Table91213[#Headers],),)</f>
        <v/>
      </c>
      <c r="R23" s="97">
        <f>P23-Q23</f>
        <v/>
      </c>
      <c r="T23" s="103" t="inlineStr">
        <is>
          <t>Printing &amp; Related Support Activities</t>
        </is>
      </c>
      <c r="U23" s="20" t="n">
        <v>8</v>
      </c>
    </row>
    <row r="24">
      <c r="B24" s="116" t="n"/>
      <c r="N24" s="118" t="inlineStr">
        <is>
          <t>Employment</t>
        </is>
      </c>
      <c r="O24" s="119" t="n"/>
      <c r="P24" s="138">
        <f>VLOOKUP($P$13,Details!$A:$L,MATCH(Note!N24,Table91213[#Headers],),)</f>
        <v/>
      </c>
      <c r="Q24" s="138">
        <f>VLOOKUP($Q$13,Details!$A:$L,MATCH(Note!N24,Table91213[#Headers],),)</f>
        <v/>
      </c>
      <c r="R24" s="97">
        <f>P24-Q24</f>
        <v/>
      </c>
      <c r="T24" s="103" t="inlineStr">
        <is>
          <t>Miscellaneous Manufacturing</t>
        </is>
      </c>
      <c r="U24" s="20" t="n">
        <v>7</v>
      </c>
    </row>
    <row r="25" ht="16" customHeight="1" thickBot="1">
      <c r="N25" s="120" t="inlineStr">
        <is>
          <t>Exports</t>
        </is>
      </c>
      <c r="O25" s="121" t="n"/>
      <c r="P25" s="98">
        <f>VLOOKUP($P$13,Details!$A:$L,MATCH(Note!N25,Table91213[#Headers],),)</f>
        <v/>
      </c>
      <c r="Q25" s="98">
        <f>VLOOKUP($Q$13,Details!$A:$L,MATCH(Note!N25,Table91213[#Headers],),)</f>
        <v/>
      </c>
      <c r="R25" s="99">
        <f>P25-Q25</f>
        <v/>
      </c>
      <c r="T25" s="103" t="inlineStr">
        <is>
          <t>Food, Beverage &amp; Tobacco Products</t>
        </is>
      </c>
      <c r="U25" s="20" t="n">
        <v>6</v>
      </c>
    </row>
    <row r="26">
      <c r="T26" s="103" t="inlineStr">
        <is>
          <t>Fabricated Metal Products</t>
        </is>
      </c>
      <c r="U26" s="20" t="n">
        <v>5</v>
      </c>
    </row>
    <row r="27">
      <c r="T27" s="103" t="inlineStr">
        <is>
          <t>Transportation Equipment</t>
        </is>
      </c>
      <c r="U27" s="20" t="n">
        <v>4</v>
      </c>
    </row>
    <row r="28">
      <c r="T28" s="103" t="inlineStr">
        <is>
          <t>Primary Metals</t>
        </is>
      </c>
      <c r="U28" s="20" t="n">
        <v>3</v>
      </c>
    </row>
    <row r="29">
      <c r="T29" s="103" t="inlineStr">
        <is>
          <t>Nonmetallic Mineral Products</t>
        </is>
      </c>
      <c r="U29" s="20" t="n">
        <v>2</v>
      </c>
    </row>
    <row r="30">
      <c r="T30" s="103" t="inlineStr">
        <is>
          <t>Plastics &amp; Rubber Products</t>
        </is>
      </c>
      <c r="U30" s="20" t="n">
        <v>1</v>
      </c>
    </row>
    <row r="31" ht="30" customHeight="1">
      <c r="T31" s="103" t="inlineStr">
        <is>
          <t>Wood Products</t>
        </is>
      </c>
      <c r="U31" s="20" t="n">
        <v>-1</v>
      </c>
    </row>
    <row r="34">
      <c r="B34" s="117" t="n"/>
    </row>
    <row r="35">
      <c r="B35" s="122" t="n"/>
    </row>
    <row r="36">
      <c r="B36" s="115" t="n"/>
    </row>
  </sheetData>
  <mergeCells count="37">
    <mergeCell ref="B1:J2"/>
    <mergeCell ref="B3:J3"/>
    <mergeCell ref="B5:J5"/>
    <mergeCell ref="B7:J7"/>
    <mergeCell ref="B10:J1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N10:U10"/>
    <mergeCell ref="N17:O17"/>
    <mergeCell ref="N18:O18"/>
    <mergeCell ref="N19:O19"/>
    <mergeCell ref="N20:O20"/>
    <mergeCell ref="B36:U36"/>
    <mergeCell ref="B34:U34"/>
    <mergeCell ref="N22:O22"/>
    <mergeCell ref="N23:O23"/>
    <mergeCell ref="N24:O24"/>
    <mergeCell ref="N25:O25"/>
    <mergeCell ref="B35:U35"/>
    <mergeCell ref="B22:F22"/>
    <mergeCell ref="G22:J22"/>
    <mergeCell ref="B23:F23"/>
    <mergeCell ref="B24:F24"/>
  </mergeCells>
  <conditionalFormatting sqref="R15:R25">
    <cfRule type="cellIs" priority="6" operator="lessThan" dxfId="616">
      <formula>0</formula>
    </cfRule>
    <cfRule type="cellIs" priority="7" operator="greaterThan" dxfId="615">
      <formula>0</formula>
    </cfRule>
  </conditionalFormatting>
  <conditionalFormatting sqref="U14:U31">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outlinePr summaryBelow="1" summaryRight="1"/>
    <pageSetUpPr/>
  </sheetPr>
  <dimension ref="A1:AH19"/>
  <sheetViews>
    <sheetView tabSelected="1" workbookViewId="0">
      <selection activeCell="F34" sqref="F34"/>
    </sheetView>
  </sheetViews>
  <sheetFormatPr baseColWidth="10" defaultRowHeight="15"/>
  <sheetData>
    <row r="1">
      <c r="A1" s="141" t="inlineStr">
        <is>
          <t>Manufacturing ISM</t>
        </is>
      </c>
      <c r="B1" s="29" t="n">
        <v>43497</v>
      </c>
      <c r="C1" s="24" t="n">
        <v>43525</v>
      </c>
      <c r="D1" s="25" t="n">
        <v>43556</v>
      </c>
      <c r="E1" s="25" t="n">
        <v>43586</v>
      </c>
      <c r="F1" s="25" t="n">
        <v>43617</v>
      </c>
      <c r="G1" s="25" t="n">
        <v>43647</v>
      </c>
      <c r="H1" s="26" t="n">
        <v>43678</v>
      </c>
      <c r="I1" s="26" t="n">
        <v>43709</v>
      </c>
      <c r="J1" s="26" t="n">
        <v>43739</v>
      </c>
      <c r="K1" s="26" t="n">
        <v>43770</v>
      </c>
      <c r="L1" s="26" t="n">
        <v>43800</v>
      </c>
      <c r="M1" s="26" t="n">
        <v>43831</v>
      </c>
      <c r="N1" s="26" t="n">
        <v>43862</v>
      </c>
      <c r="O1" s="26" t="n">
        <v>43891</v>
      </c>
      <c r="P1" s="26" t="n">
        <v>43922</v>
      </c>
      <c r="Q1" s="26" t="n">
        <v>43952</v>
      </c>
      <c r="R1" s="26" t="n">
        <v>43983</v>
      </c>
      <c r="S1" s="26" t="n">
        <v>44013</v>
      </c>
      <c r="T1" s="26" t="n">
        <v>44044</v>
      </c>
      <c r="U1" s="26" t="n">
        <v>44075</v>
      </c>
      <c r="V1" s="26" t="n">
        <v>44105</v>
      </c>
      <c r="W1" s="26" t="n">
        <v>44136</v>
      </c>
      <c r="X1" s="26" t="n">
        <v>44166</v>
      </c>
      <c r="Y1" s="26" t="n">
        <v>44197</v>
      </c>
      <c r="Z1" s="26" t="n">
        <v>44228</v>
      </c>
      <c r="AA1" s="26" t="n">
        <v>44256</v>
      </c>
      <c r="AB1" s="26" t="n">
        <v>44287</v>
      </c>
      <c r="AC1" s="26" t="n">
        <v>44317</v>
      </c>
      <c r="AD1" s="26" t="n">
        <v>44348</v>
      </c>
      <c r="AE1" s="26" t="n">
        <v>44378</v>
      </c>
      <c r="AF1" s="26" t="n">
        <v>44409</v>
      </c>
      <c r="AG1" s="26" t="n">
        <v>44440</v>
      </c>
      <c r="AH1" s="26" t="n">
        <v>44470</v>
      </c>
    </row>
    <row r="2">
      <c r="A2" s="14" t="inlineStr">
        <is>
          <t>Machinery</t>
        </is>
      </c>
      <c r="B2" s="20" t="n">
        <v>3</v>
      </c>
      <c r="C2" s="20" t="n">
        <v>1</v>
      </c>
      <c r="D2" s="20" t="n">
        <v>6</v>
      </c>
      <c r="E2" s="20" t="n">
        <v>1</v>
      </c>
      <c r="F2" s="20" t="n">
        <v>1</v>
      </c>
      <c r="G2" s="20" t="n">
        <v>-1</v>
      </c>
      <c r="H2" s="20" t="n">
        <v>3</v>
      </c>
      <c r="I2" s="20" t="n">
        <v>-3</v>
      </c>
      <c r="J2" s="20" t="n">
        <v>-7</v>
      </c>
      <c r="K2" s="20" t="n">
        <v>-3</v>
      </c>
      <c r="L2" s="20" t="n">
        <v>-1</v>
      </c>
      <c r="M2" s="20" t="n">
        <v>-1</v>
      </c>
      <c r="N2" s="20" t="n">
        <v>2</v>
      </c>
      <c r="O2" s="20" t="n">
        <v>-1</v>
      </c>
      <c r="P2" s="20" t="n">
        <v>-9</v>
      </c>
      <c r="Q2" s="20" t="n">
        <v>-6</v>
      </c>
      <c r="R2" s="20" t="n">
        <v>-1</v>
      </c>
      <c r="S2" s="20" t="n">
        <v>-2</v>
      </c>
      <c r="T2" s="20" t="n">
        <v>7</v>
      </c>
      <c r="U2" s="20" t="n">
        <v>4</v>
      </c>
      <c r="V2" s="20" t="n">
        <v>10</v>
      </c>
      <c r="W2" s="20" t="n">
        <v>7</v>
      </c>
      <c r="X2" s="20" t="n">
        <v>12</v>
      </c>
      <c r="Y2" s="20" t="n">
        <v>15</v>
      </c>
      <c r="Z2" s="20" t="n">
        <v>11</v>
      </c>
      <c r="AA2" s="20" t="n">
        <v>15</v>
      </c>
      <c r="AB2" s="20" t="n">
        <v>15</v>
      </c>
      <c r="AC2" s="20" t="n">
        <v>7</v>
      </c>
      <c r="AD2" s="20" t="n">
        <v>16</v>
      </c>
      <c r="AE2" s="20" t="n">
        <v>11</v>
      </c>
      <c r="AF2" s="20" t="n">
        <v>13</v>
      </c>
      <c r="AG2" s="20" t="n">
        <v>15</v>
      </c>
      <c r="AH2" s="20" t="n">
        <v>12</v>
      </c>
    </row>
    <row r="3">
      <c r="A3" s="14" t="inlineStr">
        <is>
          <t>Computer &amp; Electronic Products</t>
        </is>
      </c>
      <c r="B3" s="20" t="n">
        <v>14</v>
      </c>
      <c r="C3" s="20" t="n">
        <v>12</v>
      </c>
      <c r="D3" s="20" t="n">
        <v>3</v>
      </c>
      <c r="E3" s="20" t="n">
        <v>5</v>
      </c>
      <c r="F3" s="20" t="n">
        <v>5</v>
      </c>
      <c r="G3" s="20" t="n">
        <v>4</v>
      </c>
      <c r="H3" s="20" t="n">
        <v>0</v>
      </c>
      <c r="I3" s="20" t="n">
        <v>-1</v>
      </c>
      <c r="J3" s="20" t="n">
        <v>1</v>
      </c>
      <c r="K3" s="20" t="n">
        <v>1</v>
      </c>
      <c r="L3" s="20" t="n">
        <v>1</v>
      </c>
      <c r="M3" s="20" t="n">
        <v>5</v>
      </c>
      <c r="N3" s="20" t="n">
        <v>6</v>
      </c>
      <c r="O3" s="20" t="n">
        <v>4</v>
      </c>
      <c r="P3" s="20" t="n">
        <v>-3</v>
      </c>
      <c r="Q3" s="20" t="n">
        <v>-2</v>
      </c>
      <c r="R3" s="20" t="n">
        <v>7</v>
      </c>
      <c r="S3" s="20" t="n">
        <v>5</v>
      </c>
      <c r="T3" s="20" t="n">
        <v>10</v>
      </c>
      <c r="U3" s="20" t="n">
        <v>2</v>
      </c>
      <c r="V3" s="20" t="n">
        <v>4</v>
      </c>
      <c r="W3" s="20" t="n">
        <v>6</v>
      </c>
      <c r="X3" s="20" t="n">
        <v>11</v>
      </c>
      <c r="Y3" s="20" t="n">
        <v>1</v>
      </c>
      <c r="Z3" s="20" t="n">
        <v>6</v>
      </c>
      <c r="AA3" s="20" t="n">
        <v>14</v>
      </c>
      <c r="AB3" s="20" t="n">
        <v>8</v>
      </c>
      <c r="AC3" s="20" t="n">
        <v>11</v>
      </c>
      <c r="AD3" s="20" t="n">
        <v>14</v>
      </c>
      <c r="AE3" s="20" t="n">
        <v>13</v>
      </c>
      <c r="AF3" s="20" t="n">
        <v>14</v>
      </c>
      <c r="AG3" s="20" t="n">
        <v>13</v>
      </c>
      <c r="AH3" s="20" t="n">
        <v>9</v>
      </c>
    </row>
    <row r="4">
      <c r="A4" s="14" t="inlineStr">
        <is>
          <t>Paper Products</t>
        </is>
      </c>
      <c r="B4" s="20" t="n">
        <v>11</v>
      </c>
      <c r="C4" s="20" t="n">
        <v>-1</v>
      </c>
      <c r="D4" s="20" t="n">
        <v>2</v>
      </c>
      <c r="E4" s="20" t="n">
        <v>-2</v>
      </c>
      <c r="F4" s="20" t="n">
        <v>4</v>
      </c>
      <c r="G4" s="20" t="n">
        <v>-4</v>
      </c>
      <c r="H4" s="20" t="n">
        <v>-2</v>
      </c>
      <c r="I4" s="20" t="n">
        <v>-10</v>
      </c>
      <c r="J4" s="20" t="n">
        <v>-1</v>
      </c>
      <c r="K4" s="20" t="n">
        <v>3</v>
      </c>
      <c r="L4" s="20" t="n">
        <v>-9</v>
      </c>
      <c r="M4" s="20" t="n">
        <v>0</v>
      </c>
      <c r="N4" s="20" t="n">
        <v>10</v>
      </c>
      <c r="O4" s="20" t="n">
        <v>6</v>
      </c>
      <c r="P4" s="20" t="n">
        <v>2</v>
      </c>
      <c r="Q4" s="20" t="n">
        <v>2</v>
      </c>
      <c r="R4" s="20" t="n">
        <v>2</v>
      </c>
      <c r="S4" s="20" t="n">
        <v>0</v>
      </c>
      <c r="T4" s="20" t="n">
        <v>2</v>
      </c>
      <c r="U4" s="20" t="n">
        <v>14</v>
      </c>
      <c r="V4" s="20" t="n">
        <v>8</v>
      </c>
      <c r="W4" s="20" t="n">
        <v>5</v>
      </c>
      <c r="X4" s="20" t="n">
        <v>8</v>
      </c>
      <c r="Y4" s="20" t="n">
        <v>8</v>
      </c>
      <c r="Z4" s="20" t="n">
        <v>13</v>
      </c>
      <c r="AA4" s="20" t="n">
        <v>7</v>
      </c>
      <c r="AB4" s="20" t="n">
        <v>4</v>
      </c>
      <c r="AC4" s="20" t="n">
        <v>2</v>
      </c>
      <c r="AD4" s="20" t="n">
        <v>4</v>
      </c>
      <c r="AE4" s="20" t="n">
        <v>9</v>
      </c>
      <c r="AF4" s="20" t="n">
        <v>2</v>
      </c>
      <c r="AG4" s="20" t="n">
        <v>9</v>
      </c>
      <c r="AH4" s="20" t="n">
        <v>3</v>
      </c>
    </row>
    <row r="5">
      <c r="A5" s="14" t="inlineStr">
        <is>
          <t>Apparel, Leather &amp; Allied Products</t>
        </is>
      </c>
      <c r="B5" s="20" t="n">
        <v>0</v>
      </c>
      <c r="C5" s="20" t="n">
        <v>-2</v>
      </c>
      <c r="D5" s="20" t="n">
        <v>-5</v>
      </c>
      <c r="E5" s="20" t="n">
        <v>-6</v>
      </c>
      <c r="F5" s="20" t="n">
        <v>-5</v>
      </c>
      <c r="G5" s="20" t="n">
        <v>-9</v>
      </c>
      <c r="H5" s="20" t="n">
        <v>-7</v>
      </c>
      <c r="I5" s="20" t="n">
        <v>-15</v>
      </c>
      <c r="J5" s="20" t="n">
        <v>-11</v>
      </c>
      <c r="K5" s="20" t="n">
        <v>5</v>
      </c>
      <c r="L5" s="20" t="n">
        <v>-15</v>
      </c>
      <c r="M5" s="20" t="n">
        <v>-7</v>
      </c>
      <c r="N5" s="20" t="n">
        <v>0</v>
      </c>
      <c r="O5" s="20" t="n">
        <v>8</v>
      </c>
      <c r="P5" s="20" t="n">
        <v>0</v>
      </c>
      <c r="Q5" s="20" t="n">
        <v>4</v>
      </c>
      <c r="R5" s="20" t="n">
        <v>9</v>
      </c>
      <c r="S5" s="20" t="n">
        <v>6</v>
      </c>
      <c r="T5" s="20" t="n">
        <v>6</v>
      </c>
      <c r="U5" s="20" t="n">
        <v>-4</v>
      </c>
      <c r="V5" s="20" t="n">
        <v>15</v>
      </c>
      <c r="W5" s="20" t="n">
        <v>16</v>
      </c>
      <c r="X5" s="20" t="n">
        <v>16</v>
      </c>
      <c r="Y5" s="20" t="n">
        <v>9</v>
      </c>
      <c r="Z5" s="20" t="n">
        <v>5</v>
      </c>
      <c r="AA5" s="20" t="n">
        <v>13</v>
      </c>
      <c r="AB5" s="20" t="n">
        <v>6</v>
      </c>
      <c r="AC5" s="20" t="n">
        <v>0</v>
      </c>
      <c r="AD5" s="20" t="n">
        <v>0</v>
      </c>
      <c r="AE5" s="20" t="n">
        <v>15</v>
      </c>
      <c r="AF5" s="20" t="n">
        <v>0</v>
      </c>
      <c r="AG5" s="20" t="n">
        <v>11</v>
      </c>
      <c r="AH5" s="20" t="n">
        <v>16</v>
      </c>
    </row>
    <row r="6">
      <c r="A6" s="14" t="inlineStr">
        <is>
          <t>Printing &amp; Related Support Activities</t>
        </is>
      </c>
      <c r="B6" s="20" t="n">
        <v>16</v>
      </c>
      <c r="C6" s="20" t="n">
        <v>16</v>
      </c>
      <c r="D6" s="20" t="n">
        <v>10</v>
      </c>
      <c r="E6" s="20" t="n">
        <v>11</v>
      </c>
      <c r="F6" s="20" t="n">
        <v>11</v>
      </c>
      <c r="G6" s="20" t="n">
        <v>8</v>
      </c>
      <c r="H6" s="20" t="n">
        <v>0</v>
      </c>
      <c r="I6" s="20" t="n">
        <v>-14</v>
      </c>
      <c r="J6" s="20" t="n">
        <v>4</v>
      </c>
      <c r="K6" s="20" t="n">
        <v>-12</v>
      </c>
      <c r="L6" s="20" t="n">
        <v>-13</v>
      </c>
      <c r="M6" s="20" t="n">
        <v>-8</v>
      </c>
      <c r="N6" s="20" t="n">
        <v>11</v>
      </c>
      <c r="O6" s="20" t="n">
        <v>10</v>
      </c>
      <c r="P6" s="20" t="n">
        <v>-15</v>
      </c>
      <c r="Q6" s="20" t="n">
        <v>-11</v>
      </c>
      <c r="R6" s="20" t="n">
        <v>10</v>
      </c>
      <c r="S6" s="20" t="n">
        <v>10</v>
      </c>
      <c r="T6" s="20" t="n">
        <v>-3</v>
      </c>
      <c r="U6" s="20" t="n">
        <v>-3</v>
      </c>
      <c r="V6" s="20" t="n">
        <v>-1</v>
      </c>
      <c r="W6" s="20" t="n">
        <v>-2</v>
      </c>
      <c r="X6" s="20" t="n">
        <v>-2</v>
      </c>
      <c r="Y6" s="20" t="n">
        <v>-2</v>
      </c>
      <c r="Z6" s="20" t="n">
        <v>-2</v>
      </c>
      <c r="AA6" s="20" t="n">
        <v>2</v>
      </c>
      <c r="AB6" s="20" t="n">
        <v>2</v>
      </c>
      <c r="AC6" s="20" t="n">
        <v>-1</v>
      </c>
      <c r="AD6" s="20" t="n">
        <v>3</v>
      </c>
      <c r="AE6" s="20" t="n">
        <v>16</v>
      </c>
      <c r="AF6" s="20" t="n">
        <v>3</v>
      </c>
      <c r="AG6" s="20" t="n">
        <v>8</v>
      </c>
      <c r="AH6" s="20" t="n">
        <v>11</v>
      </c>
    </row>
    <row r="7">
      <c r="A7" s="14" t="inlineStr">
        <is>
          <t>Primary Metals</t>
        </is>
      </c>
      <c r="B7" s="20" t="n">
        <v>9</v>
      </c>
      <c r="C7" s="20" t="n">
        <v>2</v>
      </c>
      <c r="D7" s="20" t="n">
        <v>-4</v>
      </c>
      <c r="E7" s="20" t="n">
        <v>-5</v>
      </c>
      <c r="F7" s="20" t="n">
        <v>-4</v>
      </c>
      <c r="G7" s="20" t="n">
        <v>-7</v>
      </c>
      <c r="H7" s="20" t="n">
        <v>-4</v>
      </c>
      <c r="I7" s="20" t="n">
        <v>-6</v>
      </c>
      <c r="J7" s="20" t="n">
        <v>-12</v>
      </c>
      <c r="K7" s="20" t="n">
        <v>-7</v>
      </c>
      <c r="L7" s="20" t="n">
        <v>-4</v>
      </c>
      <c r="M7" s="20" t="n">
        <v>-2</v>
      </c>
      <c r="N7" s="20" t="n">
        <v>8</v>
      </c>
      <c r="O7" s="20" t="n">
        <v>3</v>
      </c>
      <c r="P7" s="20" t="n">
        <v>-2</v>
      </c>
      <c r="Q7" s="20" t="n">
        <v>-10</v>
      </c>
      <c r="R7" s="20" t="n">
        <v>-3</v>
      </c>
      <c r="S7" s="20" t="n">
        <v>4</v>
      </c>
      <c r="T7" s="20" t="n">
        <v>9</v>
      </c>
      <c r="U7" s="20" t="n">
        <v>-1</v>
      </c>
      <c r="V7" s="20" t="n">
        <v>5</v>
      </c>
      <c r="W7" s="20" t="n">
        <v>0</v>
      </c>
      <c r="X7" s="20" t="n">
        <v>5</v>
      </c>
      <c r="Y7" s="20" t="n">
        <v>14</v>
      </c>
      <c r="Z7" s="20" t="n">
        <v>14</v>
      </c>
      <c r="AA7" s="20" t="n">
        <v>9</v>
      </c>
      <c r="AB7" s="20" t="n">
        <v>13</v>
      </c>
      <c r="AC7" s="20" t="n">
        <v>12</v>
      </c>
      <c r="AD7" s="20" t="n">
        <v>6</v>
      </c>
      <c r="AE7" s="20" t="n">
        <v>6</v>
      </c>
      <c r="AF7" s="20" t="n">
        <v>12</v>
      </c>
      <c r="AG7" s="20" t="n">
        <v>3</v>
      </c>
      <c r="AH7" s="20" t="n">
        <v>2</v>
      </c>
    </row>
    <row r="8">
      <c r="A8" s="14" t="inlineStr">
        <is>
          <t>Nonmetallic Mineral Products</t>
        </is>
      </c>
      <c r="B8" s="20" t="n">
        <v>-1</v>
      </c>
      <c r="C8" s="20" t="n">
        <v>6</v>
      </c>
      <c r="D8" s="20" t="n">
        <v>8</v>
      </c>
      <c r="E8" s="20" t="n">
        <v>2</v>
      </c>
      <c r="F8" s="20" t="n">
        <v>9</v>
      </c>
      <c r="G8" s="20" t="n">
        <v>-6</v>
      </c>
      <c r="H8" s="20" t="n">
        <v>4</v>
      </c>
      <c r="I8" s="20" t="n">
        <v>-4</v>
      </c>
      <c r="J8" s="20" t="n">
        <v>0</v>
      </c>
      <c r="K8" s="20" t="n">
        <v>-4</v>
      </c>
      <c r="L8" s="20" t="n">
        <v>-10</v>
      </c>
      <c r="M8" s="20" t="n">
        <v>3</v>
      </c>
      <c r="N8" s="20" t="n">
        <v>-1</v>
      </c>
      <c r="O8" s="20" t="n">
        <v>0</v>
      </c>
      <c r="P8" s="20" t="n">
        <v>-10</v>
      </c>
      <c r="Q8" s="20" t="n">
        <v>6</v>
      </c>
      <c r="R8" s="20" t="n">
        <v>3</v>
      </c>
      <c r="S8" s="20" t="n">
        <v>0</v>
      </c>
      <c r="T8" s="20" t="n">
        <v>5</v>
      </c>
      <c r="U8" s="20" t="n">
        <v>9</v>
      </c>
      <c r="V8" s="20" t="n">
        <v>13</v>
      </c>
      <c r="W8" s="20" t="n">
        <v>15</v>
      </c>
      <c r="X8" s="20" t="n">
        <v>-1</v>
      </c>
      <c r="Y8" s="20" t="n">
        <v>5</v>
      </c>
      <c r="Z8" s="20" t="n">
        <v>1</v>
      </c>
      <c r="AA8" s="20" t="n">
        <v>4</v>
      </c>
      <c r="AB8" s="20" t="n">
        <v>7</v>
      </c>
      <c r="AC8" s="20" t="n">
        <v>15</v>
      </c>
      <c r="AD8" s="20" t="n">
        <v>8</v>
      </c>
      <c r="AE8" s="20" t="n">
        <v>12</v>
      </c>
      <c r="AF8" s="20" t="n">
        <v>-1</v>
      </c>
      <c r="AG8" s="20" t="n">
        <v>2</v>
      </c>
      <c r="AH8" s="20" t="n">
        <v>-1</v>
      </c>
    </row>
    <row r="9">
      <c r="A9" s="14" t="inlineStr">
        <is>
          <t>Petroleum &amp; Coal Products</t>
        </is>
      </c>
      <c r="B9" s="20" t="n">
        <v>5</v>
      </c>
      <c r="C9" s="20" t="n">
        <v>13</v>
      </c>
      <c r="D9" s="20" t="n">
        <v>-2</v>
      </c>
      <c r="E9" s="20" t="n">
        <v>-4</v>
      </c>
      <c r="F9" s="20" t="n">
        <v>7</v>
      </c>
      <c r="G9" s="20" t="n">
        <v>2</v>
      </c>
      <c r="H9" s="20" t="n">
        <v>5</v>
      </c>
      <c r="I9" s="20" t="n">
        <v>-7</v>
      </c>
      <c r="J9" s="20" t="n">
        <v>-5</v>
      </c>
      <c r="K9" s="20" t="n">
        <v>-5</v>
      </c>
      <c r="L9" s="20" t="n">
        <v>-7</v>
      </c>
      <c r="M9" s="20" t="n">
        <v>-5</v>
      </c>
      <c r="N9" s="20" t="n">
        <v>-3</v>
      </c>
      <c r="O9" s="20" t="n">
        <v>-6</v>
      </c>
      <c r="P9" s="20" t="n">
        <v>-6</v>
      </c>
      <c r="Q9" s="20" t="n">
        <v>-8</v>
      </c>
      <c r="R9" s="20" t="n">
        <v>0</v>
      </c>
      <c r="S9" s="20" t="n">
        <v>3</v>
      </c>
      <c r="T9" s="20" t="n">
        <v>-2</v>
      </c>
      <c r="U9" s="20" t="n">
        <v>-2</v>
      </c>
      <c r="V9" s="20" t="n">
        <v>0</v>
      </c>
      <c r="W9" s="20" t="n">
        <v>-1</v>
      </c>
      <c r="X9" s="20" t="n">
        <v>6</v>
      </c>
      <c r="Y9" s="20" t="n">
        <v>-1</v>
      </c>
      <c r="Z9" s="20" t="n">
        <v>-1</v>
      </c>
      <c r="AA9" s="20" t="n">
        <v>1</v>
      </c>
      <c r="AB9" s="20" t="n">
        <v>3</v>
      </c>
      <c r="AC9" s="20" t="n">
        <v>1</v>
      </c>
      <c r="AD9" s="20" t="n">
        <v>1</v>
      </c>
      <c r="AE9" s="20" t="n">
        <v>1</v>
      </c>
      <c r="AF9" s="20" t="n">
        <v>1</v>
      </c>
      <c r="AG9" s="20" t="n">
        <v>16</v>
      </c>
      <c r="AH9" s="20" t="n">
        <v>5</v>
      </c>
    </row>
    <row r="10">
      <c r="A10" s="14" t="inlineStr">
        <is>
          <t>Plastics &amp; Rubber Products</t>
        </is>
      </c>
      <c r="B10" s="20" t="n">
        <v>1</v>
      </c>
      <c r="C10" s="20" t="n">
        <v>8</v>
      </c>
      <c r="D10" s="20" t="n">
        <v>7</v>
      </c>
      <c r="E10" s="20" t="n">
        <v>9</v>
      </c>
      <c r="F10" s="20" t="n">
        <v>0</v>
      </c>
      <c r="G10" s="20" t="n">
        <v>5</v>
      </c>
      <c r="H10" s="20" t="n">
        <v>-3</v>
      </c>
      <c r="I10" s="20" t="n">
        <v>-8</v>
      </c>
      <c r="J10" s="20" t="n">
        <v>-8</v>
      </c>
      <c r="K10" s="20" t="n">
        <v>-6</v>
      </c>
      <c r="L10" s="20" t="n">
        <v>-2</v>
      </c>
      <c r="M10" s="20" t="n">
        <v>0</v>
      </c>
      <c r="N10" s="20" t="n">
        <v>12</v>
      </c>
      <c r="O10" s="20" t="n">
        <v>1</v>
      </c>
      <c r="P10" s="20" t="n">
        <v>-8</v>
      </c>
      <c r="Q10" s="20" t="n">
        <v>0</v>
      </c>
      <c r="R10" s="20" t="n">
        <v>6</v>
      </c>
      <c r="S10" s="20" t="n">
        <v>8</v>
      </c>
      <c r="T10" s="20" t="n">
        <v>14</v>
      </c>
      <c r="U10" s="20" t="n">
        <v>5</v>
      </c>
      <c r="V10" s="20" t="n">
        <v>11</v>
      </c>
      <c r="W10" s="20" t="n">
        <v>10</v>
      </c>
      <c r="X10" s="20" t="n">
        <v>9</v>
      </c>
      <c r="Y10" s="20" t="n">
        <v>11</v>
      </c>
      <c r="Z10" s="20" t="n">
        <v>7</v>
      </c>
      <c r="AA10" s="20" t="n">
        <v>8</v>
      </c>
      <c r="AB10" s="20" t="n">
        <v>10</v>
      </c>
      <c r="AC10" s="20" t="n">
        <v>14</v>
      </c>
      <c r="AD10" s="20" t="n">
        <v>13</v>
      </c>
      <c r="AE10" s="20" t="n">
        <v>5</v>
      </c>
      <c r="AF10" s="20" t="n">
        <v>9</v>
      </c>
      <c r="AG10" s="20" t="n">
        <v>1</v>
      </c>
      <c r="AH10" s="20" t="n">
        <v>4</v>
      </c>
    </row>
    <row r="11">
      <c r="A11" s="14" t="inlineStr">
        <is>
          <t>Miscellaneous Manufacturing</t>
        </is>
      </c>
      <c r="B11" s="20" t="n">
        <v>6</v>
      </c>
      <c r="C11" s="20" t="n">
        <v>4</v>
      </c>
      <c r="D11" s="20" t="n">
        <v>11</v>
      </c>
      <c r="E11" s="20" t="n">
        <v>7</v>
      </c>
      <c r="F11" s="20" t="n">
        <v>3</v>
      </c>
      <c r="G11" s="20" t="n">
        <v>-3</v>
      </c>
      <c r="H11" s="20" t="n">
        <v>2</v>
      </c>
      <c r="I11" s="20" t="n">
        <v>3</v>
      </c>
      <c r="J11" s="20" t="n">
        <v>-2</v>
      </c>
      <c r="K11" s="20" t="n">
        <v>2</v>
      </c>
      <c r="L11" s="20" t="n">
        <v>2</v>
      </c>
      <c r="M11" s="20" t="n">
        <v>4</v>
      </c>
      <c r="N11" s="20" t="n">
        <v>5</v>
      </c>
      <c r="O11" s="20" t="n">
        <v>2</v>
      </c>
      <c r="P11" s="20" t="n">
        <v>-4</v>
      </c>
      <c r="Q11" s="20" t="n">
        <v>-5</v>
      </c>
      <c r="R11" s="20" t="n">
        <v>4</v>
      </c>
      <c r="S11" s="20" t="n">
        <v>2</v>
      </c>
      <c r="T11" s="20" t="n">
        <v>4</v>
      </c>
      <c r="U11" s="20" t="n">
        <v>6</v>
      </c>
      <c r="V11" s="20" t="n">
        <v>1</v>
      </c>
      <c r="W11" s="20" t="n">
        <v>4</v>
      </c>
      <c r="X11" s="20" t="n">
        <v>1</v>
      </c>
      <c r="Y11" s="20" t="n">
        <v>3</v>
      </c>
      <c r="Z11" s="20" t="n">
        <v>3</v>
      </c>
      <c r="AA11" s="20" t="n">
        <v>3</v>
      </c>
      <c r="AB11" s="20" t="n">
        <v>12</v>
      </c>
      <c r="AC11" s="20" t="n">
        <v>5</v>
      </c>
      <c r="AD11" s="20" t="n">
        <v>9</v>
      </c>
      <c r="AE11" s="20" t="n">
        <v>14</v>
      </c>
      <c r="AF11" s="20" t="n">
        <v>7</v>
      </c>
      <c r="AG11" s="20" t="n">
        <v>7</v>
      </c>
      <c r="AH11" s="20" t="n">
        <v>6</v>
      </c>
    </row>
    <row r="12">
      <c r="A12" s="14" t="inlineStr">
        <is>
          <t>Food, Beverage &amp; Tobacco Products</t>
        </is>
      </c>
      <c r="B12" s="20" t="n">
        <v>7</v>
      </c>
      <c r="C12" s="20" t="n">
        <v>14</v>
      </c>
      <c r="D12" s="20" t="n">
        <v>4</v>
      </c>
      <c r="E12" s="20" t="n">
        <v>3</v>
      </c>
      <c r="F12" s="20" t="n">
        <v>8</v>
      </c>
      <c r="G12" s="20" t="n">
        <v>6</v>
      </c>
      <c r="H12" s="20" t="n">
        <v>7</v>
      </c>
      <c r="I12" s="20" t="n">
        <v>2</v>
      </c>
      <c r="J12" s="20" t="n">
        <v>3</v>
      </c>
      <c r="K12" s="20" t="n">
        <v>4</v>
      </c>
      <c r="L12" s="20" t="n">
        <v>3</v>
      </c>
      <c r="M12" s="20" t="n">
        <v>6</v>
      </c>
      <c r="N12" s="20" t="n">
        <v>7</v>
      </c>
      <c r="O12" s="20" t="n">
        <v>9</v>
      </c>
      <c r="P12" s="20" t="n">
        <v>1</v>
      </c>
      <c r="Q12" s="20" t="n">
        <v>3</v>
      </c>
      <c r="R12" s="20" t="n">
        <v>8</v>
      </c>
      <c r="S12" s="20" t="n">
        <v>9</v>
      </c>
      <c r="T12" s="20" t="n">
        <v>13</v>
      </c>
      <c r="U12" s="20" t="n">
        <v>12</v>
      </c>
      <c r="V12" s="20" t="n">
        <v>12</v>
      </c>
      <c r="W12" s="20" t="n">
        <v>1</v>
      </c>
      <c r="X12" s="20" t="n">
        <v>2</v>
      </c>
      <c r="Y12" s="20" t="n">
        <v>6</v>
      </c>
      <c r="Z12" s="20" t="n">
        <v>4</v>
      </c>
      <c r="AA12" s="20" t="n">
        <v>10</v>
      </c>
      <c r="AB12" s="20" t="n">
        <v>9</v>
      </c>
      <c r="AC12" s="20" t="n">
        <v>8</v>
      </c>
      <c r="AD12" s="20" t="n">
        <v>5</v>
      </c>
      <c r="AE12" s="20" t="n">
        <v>7</v>
      </c>
      <c r="AF12" s="20" t="n">
        <v>6</v>
      </c>
      <c r="AG12" s="20" t="n">
        <v>6</v>
      </c>
      <c r="AH12" s="20" t="n">
        <v>10</v>
      </c>
    </row>
    <row r="13">
      <c r="A13" s="14" t="inlineStr">
        <is>
          <t>Furniture &amp; Related Products</t>
        </is>
      </c>
      <c r="B13" s="20" t="n">
        <v>2</v>
      </c>
      <c r="C13" s="20" t="n">
        <v>10</v>
      </c>
      <c r="D13" s="20" t="n">
        <v>5</v>
      </c>
      <c r="E13" s="20" t="n">
        <v>10</v>
      </c>
      <c r="F13" s="20" t="n">
        <v>12</v>
      </c>
      <c r="G13" s="20" t="n">
        <v>7</v>
      </c>
      <c r="H13" s="20" t="n">
        <v>8</v>
      </c>
      <c r="I13" s="20" t="n">
        <v>-2</v>
      </c>
      <c r="J13" s="20" t="n">
        <v>5</v>
      </c>
      <c r="K13" s="20" t="n">
        <v>-11</v>
      </c>
      <c r="L13" s="20" t="n">
        <v>-12</v>
      </c>
      <c r="M13" s="20" t="n">
        <v>8</v>
      </c>
      <c r="N13" s="20" t="n">
        <v>13</v>
      </c>
      <c r="O13" s="20" t="n">
        <v>-3</v>
      </c>
      <c r="P13" s="20" t="n">
        <v>-14</v>
      </c>
      <c r="Q13" s="20" t="n">
        <v>5</v>
      </c>
      <c r="R13" s="20" t="n">
        <v>11</v>
      </c>
      <c r="S13" s="20" t="n">
        <v>12</v>
      </c>
      <c r="T13" s="20" t="n">
        <v>-1</v>
      </c>
      <c r="U13" s="20" t="n">
        <v>11</v>
      </c>
      <c r="V13" s="20" t="n">
        <v>9</v>
      </c>
      <c r="W13" s="20" t="n">
        <v>2</v>
      </c>
      <c r="X13" s="20" t="n">
        <v>15</v>
      </c>
      <c r="Y13" s="20" t="n">
        <v>4</v>
      </c>
      <c r="Z13" s="20" t="n">
        <v>2</v>
      </c>
      <c r="AA13" s="20" t="n">
        <v>12</v>
      </c>
      <c r="AB13" s="20" t="n">
        <v>16</v>
      </c>
      <c r="AC13" s="20" t="n">
        <v>16</v>
      </c>
      <c r="AD13" s="20" t="n">
        <v>17</v>
      </c>
      <c r="AE13" s="20" t="n">
        <v>17</v>
      </c>
      <c r="AF13" s="20" t="n">
        <v>15</v>
      </c>
      <c r="AG13" s="20" t="n">
        <v>17</v>
      </c>
      <c r="AH13" s="20" t="n">
        <v>15</v>
      </c>
    </row>
    <row r="14">
      <c r="A14" s="14" t="inlineStr">
        <is>
          <t>Transportation Equipment</t>
        </is>
      </c>
      <c r="B14" s="20" t="n">
        <v>4</v>
      </c>
      <c r="C14" s="20" t="n">
        <v>5</v>
      </c>
      <c r="D14" s="20" t="n">
        <v>-1</v>
      </c>
      <c r="E14" s="20" t="n">
        <v>0</v>
      </c>
      <c r="F14" s="20" t="n">
        <v>-2</v>
      </c>
      <c r="G14" s="20" t="n">
        <v>-5</v>
      </c>
      <c r="H14" s="20" t="n">
        <v>-5</v>
      </c>
      <c r="I14" s="20" t="n">
        <v>-5</v>
      </c>
      <c r="J14" s="20" t="n">
        <v>-9</v>
      </c>
      <c r="K14" s="20" t="n">
        <v>-8</v>
      </c>
      <c r="L14" s="20" t="n">
        <v>-11</v>
      </c>
      <c r="M14" s="20" t="n">
        <v>-3</v>
      </c>
      <c r="N14" s="20" t="n">
        <v>-2</v>
      </c>
      <c r="O14" s="20" t="n">
        <v>-4</v>
      </c>
      <c r="P14" s="20" t="n">
        <v>-13</v>
      </c>
      <c r="Q14" s="20" t="n">
        <v>-9</v>
      </c>
      <c r="R14" s="20" t="n">
        <v>-4</v>
      </c>
      <c r="S14" s="20" t="n">
        <v>-3</v>
      </c>
      <c r="T14" s="20" t="n">
        <v>1</v>
      </c>
      <c r="U14" s="20" t="n">
        <v>1</v>
      </c>
      <c r="V14" s="20" t="n">
        <v>3</v>
      </c>
      <c r="W14" s="20" t="n">
        <v>3</v>
      </c>
      <c r="X14" s="20" t="n">
        <v>10</v>
      </c>
      <c r="Y14" s="20" t="n">
        <v>10</v>
      </c>
      <c r="Z14" s="20" t="n">
        <v>9</v>
      </c>
      <c r="AA14" s="20" t="n">
        <v>6</v>
      </c>
      <c r="AB14" s="20" t="n">
        <v>5</v>
      </c>
      <c r="AC14" s="20" t="n">
        <v>4</v>
      </c>
      <c r="AD14" s="20" t="n">
        <v>10</v>
      </c>
      <c r="AE14" s="20" t="n">
        <v>4</v>
      </c>
      <c r="AF14" s="20" t="n">
        <v>5</v>
      </c>
      <c r="AG14" s="20" t="n">
        <v>4</v>
      </c>
      <c r="AH14" s="20" t="n">
        <v>1</v>
      </c>
    </row>
    <row r="15">
      <c r="A15" s="14" t="inlineStr">
        <is>
          <t>Chemical Products</t>
        </is>
      </c>
      <c r="B15" s="20" t="n">
        <v>8</v>
      </c>
      <c r="C15" s="20" t="n">
        <v>9</v>
      </c>
      <c r="D15" s="20" t="n">
        <v>9</v>
      </c>
      <c r="E15" s="20" t="n">
        <v>4</v>
      </c>
      <c r="F15" s="20" t="n">
        <v>6</v>
      </c>
      <c r="G15" s="20" t="n">
        <v>1</v>
      </c>
      <c r="H15" s="20" t="n">
        <v>1</v>
      </c>
      <c r="I15" s="20" t="n">
        <v>1</v>
      </c>
      <c r="J15" s="20" t="n">
        <v>-6</v>
      </c>
      <c r="K15" s="20" t="n">
        <v>-2</v>
      </c>
      <c r="L15" s="20" t="n">
        <v>-3</v>
      </c>
      <c r="M15" s="20" t="n">
        <v>2</v>
      </c>
      <c r="N15" s="20" t="n">
        <v>1</v>
      </c>
      <c r="O15" s="20" t="n">
        <v>5</v>
      </c>
      <c r="P15" s="20" t="n">
        <v>-1</v>
      </c>
      <c r="Q15" s="20" t="n">
        <v>-3</v>
      </c>
      <c r="R15" s="20" t="n">
        <v>5</v>
      </c>
      <c r="S15" s="20" t="n">
        <v>7</v>
      </c>
      <c r="T15" s="20" t="n">
        <v>11</v>
      </c>
      <c r="U15" s="20" t="n">
        <v>7</v>
      </c>
      <c r="V15" s="20" t="n">
        <v>6</v>
      </c>
      <c r="W15" s="20" t="n">
        <v>8</v>
      </c>
      <c r="X15" s="20" t="n">
        <v>7</v>
      </c>
      <c r="Y15" s="20" t="n">
        <v>13</v>
      </c>
      <c r="Z15" s="20" t="n">
        <v>12</v>
      </c>
      <c r="AA15" s="20" t="n">
        <v>5</v>
      </c>
      <c r="AB15" s="20" t="n">
        <v>11</v>
      </c>
      <c r="AC15" s="20" t="n">
        <v>6</v>
      </c>
      <c r="AD15" s="20" t="n">
        <v>12</v>
      </c>
      <c r="AE15" s="20" t="n">
        <v>8</v>
      </c>
      <c r="AF15" s="20" t="n">
        <v>8</v>
      </c>
      <c r="AG15" s="20" t="n">
        <v>12</v>
      </c>
      <c r="AH15" s="20" t="n">
        <v>8</v>
      </c>
    </row>
    <row r="16">
      <c r="A16" s="14" t="inlineStr">
        <is>
          <t>Fabricated Metal Products</t>
        </is>
      </c>
      <c r="B16" s="20" t="n">
        <v>12</v>
      </c>
      <c r="C16" s="20" t="n">
        <v>3</v>
      </c>
      <c r="D16" s="20" t="n">
        <v>1</v>
      </c>
      <c r="E16" s="20" t="n">
        <v>-1</v>
      </c>
      <c r="F16" s="20" t="n">
        <v>-1</v>
      </c>
      <c r="G16" s="20" t="n">
        <v>-8</v>
      </c>
      <c r="H16" s="20" t="n">
        <v>-6</v>
      </c>
      <c r="I16" s="20" t="n">
        <v>-9</v>
      </c>
      <c r="J16" s="20" t="n">
        <v>-3</v>
      </c>
      <c r="K16" s="20" t="n">
        <v>-9</v>
      </c>
      <c r="L16" s="20" t="n">
        <v>-8</v>
      </c>
      <c r="M16" s="20" t="n">
        <v>1</v>
      </c>
      <c r="N16" s="20" t="n">
        <v>3</v>
      </c>
      <c r="O16" s="20" t="n">
        <v>-2</v>
      </c>
      <c r="P16" s="20" t="n">
        <v>-11</v>
      </c>
      <c r="Q16" s="20" t="n">
        <v>-7</v>
      </c>
      <c r="R16" s="20" t="n">
        <v>-2</v>
      </c>
      <c r="S16" s="20" t="n">
        <v>-1</v>
      </c>
      <c r="T16" s="20" t="n">
        <v>8</v>
      </c>
      <c r="U16" s="20" t="n">
        <v>8</v>
      </c>
      <c r="V16" s="20" t="n">
        <v>14</v>
      </c>
      <c r="W16" s="20" t="n">
        <v>11</v>
      </c>
      <c r="X16" s="20" t="n">
        <v>13</v>
      </c>
      <c r="Y16" s="20" t="n">
        <v>12</v>
      </c>
      <c r="Z16" s="20" t="n">
        <v>10</v>
      </c>
      <c r="AA16" s="20" t="n">
        <v>11</v>
      </c>
      <c r="AB16" s="20" t="n">
        <v>14</v>
      </c>
      <c r="AC16" s="20" t="n">
        <v>9</v>
      </c>
      <c r="AD16" s="20" t="n">
        <v>11</v>
      </c>
      <c r="AE16" s="20" t="n">
        <v>10</v>
      </c>
      <c r="AF16" s="20" t="n">
        <v>10</v>
      </c>
      <c r="AG16" s="20" t="n">
        <v>5</v>
      </c>
      <c r="AH16" s="20" t="n">
        <v>7</v>
      </c>
    </row>
    <row r="17">
      <c r="A17" s="14" t="inlineStr">
        <is>
          <t>Electrical Equipment, Appliances &amp; Components</t>
        </is>
      </c>
      <c r="B17" s="20" t="n">
        <v>13</v>
      </c>
      <c r="C17" s="20" t="n">
        <v>11</v>
      </c>
      <c r="D17" s="20" t="n">
        <v>12</v>
      </c>
      <c r="E17" s="20" t="n">
        <v>6</v>
      </c>
      <c r="F17" s="20" t="n">
        <v>2</v>
      </c>
      <c r="G17" s="20" t="n">
        <v>-2</v>
      </c>
      <c r="H17" s="20" t="n">
        <v>-1</v>
      </c>
      <c r="I17" s="20" t="n">
        <v>-12</v>
      </c>
      <c r="J17" s="20" t="n">
        <v>-4</v>
      </c>
      <c r="K17" s="20" t="n">
        <v>-1</v>
      </c>
      <c r="L17" s="20" t="n">
        <v>-6</v>
      </c>
      <c r="M17" s="20" t="n">
        <v>-6</v>
      </c>
      <c r="N17" s="20" t="n">
        <v>4</v>
      </c>
      <c r="O17" s="20" t="n">
        <v>0</v>
      </c>
      <c r="P17" s="20" t="n">
        <v>-7</v>
      </c>
      <c r="Q17" s="20" t="n">
        <v>-4</v>
      </c>
      <c r="R17" s="20" t="n">
        <v>1</v>
      </c>
      <c r="S17" s="20" t="n">
        <v>1</v>
      </c>
      <c r="T17" s="20" t="n">
        <v>3</v>
      </c>
      <c r="U17" s="20" t="n">
        <v>10</v>
      </c>
      <c r="V17" s="20" t="n">
        <v>2</v>
      </c>
      <c r="W17" s="20" t="n">
        <v>12</v>
      </c>
      <c r="X17" s="20" t="n">
        <v>3</v>
      </c>
      <c r="Y17" s="20" t="n">
        <v>16</v>
      </c>
      <c r="Z17" s="20" t="n">
        <v>15</v>
      </c>
      <c r="AA17" s="20" t="n">
        <v>16</v>
      </c>
      <c r="AB17" s="20" t="n">
        <v>0</v>
      </c>
      <c r="AC17" s="20" t="n">
        <v>10</v>
      </c>
      <c r="AD17" s="20" t="n">
        <v>15</v>
      </c>
      <c r="AE17" s="20" t="n">
        <v>3</v>
      </c>
      <c r="AF17" s="20" t="n">
        <v>11</v>
      </c>
      <c r="AG17" s="20" t="n">
        <v>14</v>
      </c>
      <c r="AH17" s="20" t="n">
        <v>13</v>
      </c>
    </row>
    <row r="18">
      <c r="A18" s="14" t="inlineStr">
        <is>
          <t>Textile Mills</t>
        </is>
      </c>
      <c r="B18" s="20" t="n">
        <v>15</v>
      </c>
      <c r="C18" s="20" t="n">
        <v>15</v>
      </c>
      <c r="D18" s="20" t="n">
        <v>13</v>
      </c>
      <c r="E18" s="20" t="n">
        <v>8</v>
      </c>
      <c r="F18" s="20" t="n">
        <v>10</v>
      </c>
      <c r="G18" s="20" t="n">
        <v>3</v>
      </c>
      <c r="H18" s="20" t="n">
        <v>9</v>
      </c>
      <c r="I18" s="20" t="n">
        <v>-11</v>
      </c>
      <c r="J18" s="20" t="n">
        <v>-10</v>
      </c>
      <c r="K18" s="20" t="n">
        <v>-10</v>
      </c>
      <c r="L18" s="20" t="n">
        <v>-5</v>
      </c>
      <c r="M18" s="20" t="n">
        <v>-4</v>
      </c>
      <c r="N18" s="20" t="n">
        <v>9</v>
      </c>
      <c r="O18" s="20" t="n">
        <v>-5</v>
      </c>
      <c r="P18" s="20" t="n">
        <v>-12</v>
      </c>
      <c r="Q18" s="20" t="n">
        <v>0</v>
      </c>
      <c r="R18" s="20" t="n">
        <v>13</v>
      </c>
      <c r="S18" s="20" t="n">
        <v>11</v>
      </c>
      <c r="T18" s="20" t="n">
        <v>12</v>
      </c>
      <c r="U18" s="20" t="n">
        <v>3</v>
      </c>
      <c r="V18" s="20" t="n">
        <v>-2</v>
      </c>
      <c r="W18" s="20" t="n">
        <v>14</v>
      </c>
      <c r="X18" s="20" t="n">
        <v>4</v>
      </c>
      <c r="Y18" s="20" t="n">
        <v>2</v>
      </c>
      <c r="Z18" s="20" t="n">
        <v>16</v>
      </c>
      <c r="AA18" s="20" t="n">
        <v>17</v>
      </c>
      <c r="AB18" s="20" t="n">
        <v>17</v>
      </c>
      <c r="AC18" s="20" t="n">
        <v>13</v>
      </c>
      <c r="AD18" s="20" t="n">
        <v>7</v>
      </c>
      <c r="AE18" s="20" t="n">
        <v>-1</v>
      </c>
      <c r="AF18" s="20" t="n">
        <v>-2</v>
      </c>
      <c r="AG18" s="20" t="n">
        <v>10</v>
      </c>
      <c r="AH18" s="20" t="n">
        <v>14</v>
      </c>
    </row>
    <row r="19">
      <c r="A19" s="15" t="inlineStr">
        <is>
          <t>Wood Products</t>
        </is>
      </c>
      <c r="B19" s="20" t="n">
        <v>10</v>
      </c>
      <c r="C19" s="20" t="n">
        <v>7</v>
      </c>
      <c r="D19" s="20" t="n">
        <v>-3</v>
      </c>
      <c r="E19" s="20" t="n">
        <v>-3</v>
      </c>
      <c r="F19" s="20" t="n">
        <v>-3</v>
      </c>
      <c r="G19" s="20" t="n">
        <v>0</v>
      </c>
      <c r="H19" s="20" t="n">
        <v>6</v>
      </c>
      <c r="I19" s="20" t="n">
        <v>-13</v>
      </c>
      <c r="J19" s="20" t="n">
        <v>2</v>
      </c>
      <c r="K19" s="20" t="n">
        <v>-13</v>
      </c>
      <c r="L19" s="20" t="n">
        <v>-14</v>
      </c>
      <c r="M19" s="20" t="n">
        <v>7</v>
      </c>
      <c r="N19" s="20" t="n">
        <v>14</v>
      </c>
      <c r="O19" s="20" t="n">
        <v>7</v>
      </c>
      <c r="P19" s="20" t="n">
        <v>-5</v>
      </c>
      <c r="Q19" s="20" t="n">
        <v>1</v>
      </c>
      <c r="R19" s="20" t="n">
        <v>12</v>
      </c>
      <c r="S19" s="20" t="n">
        <v>13</v>
      </c>
      <c r="T19" s="20" t="n">
        <v>15</v>
      </c>
      <c r="U19" s="20" t="n">
        <v>13</v>
      </c>
      <c r="V19" s="20" t="n">
        <v>7</v>
      </c>
      <c r="W19" s="20" t="n">
        <v>13</v>
      </c>
      <c r="X19" s="20" t="n">
        <v>14</v>
      </c>
      <c r="Y19" s="20" t="n">
        <v>7</v>
      </c>
      <c r="Z19" s="20" t="n">
        <v>8</v>
      </c>
      <c r="AA19" s="20" t="n">
        <v>0</v>
      </c>
      <c r="AB19" s="20" t="n">
        <v>1</v>
      </c>
      <c r="AC19" s="20" t="n">
        <v>3</v>
      </c>
      <c r="AD19" s="20" t="n">
        <v>2</v>
      </c>
      <c r="AE19" s="20" t="n">
        <v>2</v>
      </c>
      <c r="AF19" s="20" t="n">
        <v>4</v>
      </c>
      <c r="AG19" s="20" t="n">
        <v>-1</v>
      </c>
      <c r="AH19" s="20" t="n">
        <v>-2</v>
      </c>
    </row>
  </sheetData>
  <conditionalFormatting sqref="C2:C19">
    <cfRule type="cellIs" priority="161" operator="equal" dxfId="0">
      <formula>0</formula>
    </cfRule>
    <cfRule type="cellIs" priority="162" operator="lessThan" dxfId="1">
      <formula>0</formula>
    </cfRule>
    <cfRule type="cellIs" priority="163" operator="greaterThan" dxfId="0">
      <formula>0</formula>
    </cfRule>
    <cfRule type="colorScale" priority="165">
      <colorScale>
        <cfvo type="min"/>
        <cfvo type="percentile" val="50"/>
        <cfvo type="max"/>
        <color rgb="FFF8696B"/>
        <color rgb="FFFFEB84"/>
        <color rgb="FF63BE7B"/>
      </colorScale>
    </cfRule>
    <cfRule type="colorScale" priority="164">
      <colorScale>
        <cfvo type="min"/>
        <cfvo type="percentile" val="50"/>
        <cfvo type="max"/>
        <color rgb="FFF8696B"/>
        <color rgb="FFFFEB84"/>
        <color rgb="FF63BE7B"/>
      </colorScale>
    </cfRule>
  </conditionalFormatting>
  <conditionalFormatting sqref="D2:D19">
    <cfRule type="cellIs" priority="156" operator="equal" dxfId="0">
      <formula>0</formula>
    </cfRule>
    <cfRule type="cellIs" priority="157" operator="lessThan" dxfId="1">
      <formula>0</formula>
    </cfRule>
    <cfRule type="cellIs" priority="158" operator="greaterThan" dxfId="0">
      <formula>0</formula>
    </cfRule>
    <cfRule type="colorScale" priority="160">
      <colorScale>
        <cfvo type="min"/>
        <cfvo type="percentile" val="50"/>
        <cfvo type="max"/>
        <color rgb="FFF8696B"/>
        <color rgb="FFFFEB84"/>
        <color rgb="FF63BE7B"/>
      </colorScale>
    </cfRule>
    <cfRule type="colorScale" priority="159">
      <colorScale>
        <cfvo type="min"/>
        <cfvo type="percentile" val="50"/>
        <cfvo type="max"/>
        <color rgb="FFF8696B"/>
        <color rgb="FFFFEB84"/>
        <color rgb="FF63BE7B"/>
      </colorScale>
    </cfRule>
  </conditionalFormatting>
  <conditionalFormatting sqref="E2:E19">
    <cfRule type="cellIs" priority="151" operator="equal" dxfId="0">
      <formula>0</formula>
    </cfRule>
    <cfRule type="cellIs" priority="152" operator="lessThan" dxfId="1">
      <formula>0</formula>
    </cfRule>
    <cfRule type="cellIs" priority="153" operator="greaterThan" dxfId="0">
      <formula>0</formula>
    </cfRule>
    <cfRule type="colorScale" priority="155">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onditionalFormatting>
  <conditionalFormatting sqref="F2:F19">
    <cfRule type="cellIs" priority="146" operator="equal" dxfId="0">
      <formula>0</formula>
    </cfRule>
    <cfRule type="cellIs" priority="147" operator="lessThan" dxfId="1">
      <formula>0</formula>
    </cfRule>
    <cfRule type="cellIs" priority="148" operator="greaterThan" dxfId="0">
      <formula>0</formula>
    </cfRule>
    <cfRule type="colorScale" priority="150">
      <colorScale>
        <cfvo type="min"/>
        <cfvo type="percentile" val="50"/>
        <cfvo type="max"/>
        <color rgb="FFF8696B"/>
        <color rgb="FFFFEB84"/>
        <color rgb="FF63BE7B"/>
      </colorScale>
    </cfRule>
    <cfRule type="colorScale" priority="149">
      <colorScale>
        <cfvo type="min"/>
        <cfvo type="percentile" val="50"/>
        <cfvo type="max"/>
        <color rgb="FFF8696B"/>
        <color rgb="FFFFEB84"/>
        <color rgb="FF63BE7B"/>
      </colorScale>
    </cfRule>
  </conditionalFormatting>
  <conditionalFormatting sqref="G2:G19">
    <cfRule type="cellIs" priority="141" operator="equal" dxfId="0">
      <formula>0</formula>
    </cfRule>
    <cfRule type="cellIs" priority="142" operator="lessThan" dxfId="1">
      <formula>0</formula>
    </cfRule>
    <cfRule type="cellIs" priority="143" operator="greaterThan" dxfId="0">
      <formula>0</formula>
    </cfRule>
    <cfRule type="colorScale" priority="145">
      <colorScale>
        <cfvo type="min"/>
        <cfvo type="percentile" val="50"/>
        <cfvo type="max"/>
        <color rgb="FFF8696B"/>
        <color rgb="FFFFEB84"/>
        <color rgb="FF63BE7B"/>
      </colorScale>
    </cfRule>
    <cfRule type="colorScale" priority="144">
      <colorScale>
        <cfvo type="min"/>
        <cfvo type="percentile" val="50"/>
        <cfvo type="max"/>
        <color rgb="FFF8696B"/>
        <color rgb="FFFFEB84"/>
        <color rgb="FF63BE7B"/>
      </colorScale>
    </cfRule>
  </conditionalFormatting>
  <conditionalFormatting sqref="H2:H19">
    <cfRule type="cellIs" priority="136" operator="equal" dxfId="0">
      <formula>0</formula>
    </cfRule>
    <cfRule type="cellIs" priority="137" operator="lessThan" dxfId="1">
      <formula>0</formula>
    </cfRule>
    <cfRule type="cellIs" priority="138" operator="greaterThan" dxfId="0">
      <formula>0</formula>
    </cfRule>
    <cfRule type="colorScale" priority="140">
      <colorScale>
        <cfvo type="min"/>
        <cfvo type="percentile" val="50"/>
        <cfvo type="max"/>
        <color rgb="FFF8696B"/>
        <color rgb="FFFFEB84"/>
        <color rgb="FF63BE7B"/>
      </colorScale>
    </cfRule>
    <cfRule type="colorScale" priority="139">
      <colorScale>
        <cfvo type="min"/>
        <cfvo type="percentile" val="50"/>
        <cfvo type="max"/>
        <color rgb="FFF8696B"/>
        <color rgb="FFFFEB84"/>
        <color rgb="FF63BE7B"/>
      </colorScale>
    </cfRule>
  </conditionalFormatting>
  <conditionalFormatting sqref="B2:B19">
    <cfRule type="cellIs" priority="131" operator="equal" dxfId="0">
      <formula>0</formula>
    </cfRule>
    <cfRule type="cellIs" priority="132" operator="lessThan" dxfId="1">
      <formula>0</formula>
    </cfRule>
    <cfRule type="cellIs" priority="133" operator="greaterThan" dxfId="0">
      <formula>0</formula>
    </cfRule>
    <cfRule type="colorScale" priority="135">
      <colorScale>
        <cfvo type="min"/>
        <cfvo type="percentile" val="50"/>
        <cfvo type="max"/>
        <color rgb="FFF8696B"/>
        <color rgb="FFFFEB84"/>
        <color rgb="FF63BE7B"/>
      </colorScale>
    </cfRule>
    <cfRule type="colorScale" priority="134">
      <colorScale>
        <cfvo type="min"/>
        <cfvo type="percentile" val="50"/>
        <cfvo type="max"/>
        <color rgb="FFF8696B"/>
        <color rgb="FFFFEB84"/>
        <color rgb="FF63BE7B"/>
      </colorScale>
    </cfRule>
  </conditionalFormatting>
  <conditionalFormatting sqref="I2:I19">
    <cfRule type="cellIs" priority="126" operator="equal" dxfId="0">
      <formula>0</formula>
    </cfRule>
    <cfRule type="cellIs" priority="127" operator="lessThan" dxfId="1">
      <formula>0</formula>
    </cfRule>
    <cfRule type="cellIs" priority="128" operator="greaterThan" dxfId="0">
      <formula>0</formula>
    </cfRule>
    <cfRule type="colorScale" priority="130">
      <colorScale>
        <cfvo type="min"/>
        <cfvo type="percentile" val="50"/>
        <cfvo type="max"/>
        <color rgb="FFF8696B"/>
        <color rgb="FFFFEB84"/>
        <color rgb="FF63BE7B"/>
      </colorScale>
    </cfRule>
    <cfRule type="colorScale" priority="129">
      <colorScale>
        <cfvo type="min"/>
        <cfvo type="percentile" val="50"/>
        <cfvo type="max"/>
        <color rgb="FFF8696B"/>
        <color rgb="FFFFEB84"/>
        <color rgb="FF63BE7B"/>
      </colorScale>
    </cfRule>
  </conditionalFormatting>
  <conditionalFormatting sqref="J2:J19">
    <cfRule type="cellIs" priority="121" operator="equal" dxfId="0">
      <formula>0</formula>
    </cfRule>
    <cfRule type="cellIs" priority="122" operator="lessThan" dxfId="1">
      <formula>0</formula>
    </cfRule>
    <cfRule type="cellIs" priority="123" operator="greaterThan" dxfId="0">
      <formula>0</formula>
    </cfRule>
    <cfRule type="colorScale" priority="125">
      <colorScale>
        <cfvo type="min"/>
        <cfvo type="percentile" val="50"/>
        <cfvo type="max"/>
        <color rgb="FFF8696B"/>
        <color rgb="FFFFEB84"/>
        <color rgb="FF63BE7B"/>
      </colorScale>
    </cfRule>
    <cfRule type="colorScale" priority="124">
      <colorScale>
        <cfvo type="min"/>
        <cfvo type="percentile" val="50"/>
        <cfvo type="max"/>
        <color rgb="FFF8696B"/>
        <color rgb="FFFFEB84"/>
        <color rgb="FF63BE7B"/>
      </colorScale>
    </cfRule>
  </conditionalFormatting>
  <conditionalFormatting sqref="K2:K19">
    <cfRule type="cellIs" priority="116" operator="equal" dxfId="0">
      <formula>0</formula>
    </cfRule>
    <cfRule type="cellIs" priority="117" operator="lessThan" dxfId="1">
      <formula>0</formula>
    </cfRule>
    <cfRule type="cellIs" priority="118" operator="greaterThan" dxfId="0">
      <formula>0</formula>
    </cfRule>
    <cfRule type="colorScale" priority="120">
      <colorScale>
        <cfvo type="min"/>
        <cfvo type="percentile" val="50"/>
        <cfvo type="max"/>
        <color rgb="FFF8696B"/>
        <color rgb="FFFFEB84"/>
        <color rgb="FF63BE7B"/>
      </colorScale>
    </cfRule>
    <cfRule type="colorScale" priority="119">
      <colorScale>
        <cfvo type="min"/>
        <cfvo type="percentile" val="50"/>
        <cfvo type="max"/>
        <color rgb="FFF8696B"/>
        <color rgb="FFFFEB84"/>
        <color rgb="FF63BE7B"/>
      </colorScale>
    </cfRule>
  </conditionalFormatting>
  <conditionalFormatting sqref="L2:L19">
    <cfRule type="cellIs" priority="111" operator="equal" dxfId="0">
      <formula>0</formula>
    </cfRule>
    <cfRule type="cellIs" priority="112" operator="lessThan" dxfId="1">
      <formula>0</formula>
    </cfRule>
    <cfRule type="cellIs" priority="113" operator="greaterThan" dxfId="0">
      <formula>0</formula>
    </cfRule>
    <cfRule type="colorScale" priority="115">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onditionalFormatting>
  <conditionalFormatting sqref="M2:M19">
    <cfRule type="cellIs" priority="106" operator="equal" dxfId="0">
      <formula>0</formula>
    </cfRule>
    <cfRule type="cellIs" priority="107" operator="lessThan" dxfId="1">
      <formula>0</formula>
    </cfRule>
    <cfRule type="cellIs" priority="108" operator="greaterThan" dxfId="0">
      <formula>0</formula>
    </cfRule>
    <cfRule type="colorScale" priority="110">
      <colorScale>
        <cfvo type="min"/>
        <cfvo type="percentile" val="50"/>
        <cfvo type="max"/>
        <color rgb="FFF8696B"/>
        <color rgb="FFFFEB84"/>
        <color rgb="FF63BE7B"/>
      </colorScale>
    </cfRule>
    <cfRule type="colorScale" priority="109">
      <colorScale>
        <cfvo type="min"/>
        <cfvo type="percentile" val="50"/>
        <cfvo type="max"/>
        <color rgb="FFF8696B"/>
        <color rgb="FFFFEB84"/>
        <color rgb="FF63BE7B"/>
      </colorScale>
    </cfRule>
  </conditionalFormatting>
  <conditionalFormatting sqref="N2:N19">
    <cfRule type="cellIs" priority="101" operator="equal" dxfId="0">
      <formula>0</formula>
    </cfRule>
    <cfRule type="cellIs" priority="102" operator="lessThan" dxfId="1">
      <formula>0</formula>
    </cfRule>
    <cfRule type="cellIs" priority="103" operator="greaterThan" dxfId="0">
      <formula>0</formula>
    </cfRule>
    <cfRule type="colorScale" priority="105">
      <colorScale>
        <cfvo type="min"/>
        <cfvo type="percentile" val="50"/>
        <cfvo type="max"/>
        <color rgb="FFF8696B"/>
        <color rgb="FFFFEB84"/>
        <color rgb="FF63BE7B"/>
      </colorScale>
    </cfRule>
    <cfRule type="colorScale" priority="104">
      <colorScale>
        <cfvo type="min"/>
        <cfvo type="percentile" val="50"/>
        <cfvo type="max"/>
        <color rgb="FFF8696B"/>
        <color rgb="FFFFEB84"/>
        <color rgb="FF63BE7B"/>
      </colorScale>
    </cfRule>
  </conditionalFormatting>
  <conditionalFormatting sqref="O2:O19">
    <cfRule type="cellIs" priority="96" operator="equal" dxfId="0">
      <formula>0</formula>
    </cfRule>
    <cfRule type="cellIs" priority="97" operator="lessThan" dxfId="1">
      <formula>0</formula>
    </cfRule>
    <cfRule type="cellIs" priority="98" operator="greaterThan" dxfId="0">
      <formula>0</formula>
    </cfRule>
    <cfRule type="colorScale" priority="100">
      <colorScale>
        <cfvo type="min"/>
        <cfvo type="percentile" val="50"/>
        <cfvo type="max"/>
        <color rgb="FFF8696B"/>
        <color rgb="FFFFEB84"/>
        <color rgb="FF63BE7B"/>
      </colorScale>
    </cfRule>
    <cfRule type="colorScale" priority="99">
      <colorScale>
        <cfvo type="min"/>
        <cfvo type="percentile" val="50"/>
        <cfvo type="max"/>
        <color rgb="FFF8696B"/>
        <color rgb="FFFFEB84"/>
        <color rgb="FF63BE7B"/>
      </colorScale>
    </cfRule>
  </conditionalFormatting>
  <conditionalFormatting sqref="P2:P19">
    <cfRule type="cellIs" priority="91" operator="equal" dxfId="0">
      <formula>0</formula>
    </cfRule>
    <cfRule type="cellIs" priority="92" operator="lessThan" dxfId="1">
      <formula>0</formula>
    </cfRule>
    <cfRule type="cellIs" priority="93" operator="greaterThan" dxfId="0">
      <formula>0</formula>
    </cfRule>
    <cfRule type="colorScale" priority="95">
      <colorScale>
        <cfvo type="min"/>
        <cfvo type="percentile" val="50"/>
        <cfvo type="max"/>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Q2:Q19">
    <cfRule type="cellIs" priority="86" operator="equal" dxfId="0">
      <formula>0</formula>
    </cfRule>
    <cfRule type="cellIs" priority="87" operator="lessThan" dxfId="1">
      <formula>0</formula>
    </cfRule>
    <cfRule type="cellIs" priority="88" operator="greaterThan" dxfId="0">
      <formula>0</formula>
    </cfRule>
    <cfRule type="colorScale" priority="90">
      <colorScale>
        <cfvo type="min"/>
        <cfvo type="percentile" val="50"/>
        <cfvo type="max"/>
        <color rgb="FFF8696B"/>
        <color rgb="FFFFEB84"/>
        <color rgb="FF63BE7B"/>
      </colorScale>
    </cfRule>
    <cfRule type="colorScale" priority="89">
      <colorScale>
        <cfvo type="min"/>
        <cfvo type="percentile" val="50"/>
        <cfvo type="max"/>
        <color rgb="FFF8696B"/>
        <color rgb="FFFFEB84"/>
        <color rgb="FF63BE7B"/>
      </colorScale>
    </cfRule>
  </conditionalFormatting>
  <conditionalFormatting sqref="R2:R19">
    <cfRule type="cellIs" priority="81" operator="equal" dxfId="0">
      <formula>0</formula>
    </cfRule>
    <cfRule type="cellIs" priority="82" operator="lessThan" dxfId="1">
      <formula>0</formula>
    </cfRule>
    <cfRule type="cellIs" priority="83" operator="greaterThan" dxfId="0">
      <formula>0</formula>
    </cfRule>
    <cfRule type="colorScale" priority="85">
      <colorScale>
        <cfvo type="min"/>
        <cfvo type="percentile" val="50"/>
        <cfvo type="max"/>
        <color rgb="FFF8696B"/>
        <color rgb="FFFFEB84"/>
        <color rgb="FF63BE7B"/>
      </colorScale>
    </cfRule>
    <cfRule type="colorScale" priority="84">
      <colorScale>
        <cfvo type="min"/>
        <cfvo type="percentile" val="50"/>
        <cfvo type="max"/>
        <color rgb="FFF8696B"/>
        <color rgb="FFFFEB84"/>
        <color rgb="FF63BE7B"/>
      </colorScale>
    </cfRule>
  </conditionalFormatting>
  <conditionalFormatting sqref="S2:S19">
    <cfRule type="cellIs" priority="76" operator="equal" dxfId="0">
      <formula>0</formula>
    </cfRule>
    <cfRule type="cellIs" priority="77" operator="lessThan" dxfId="1">
      <formula>0</formula>
    </cfRule>
    <cfRule type="cellIs" priority="78" operator="greaterThan" dxfId="0">
      <formula>0</formula>
    </cfRule>
    <cfRule type="colorScale" priority="80">
      <colorScale>
        <cfvo type="min"/>
        <cfvo type="percentile" val="50"/>
        <cfvo type="max"/>
        <color rgb="FFF8696B"/>
        <color rgb="FFFFEB84"/>
        <color rgb="FF63BE7B"/>
      </colorScale>
    </cfRule>
    <cfRule type="colorScale" priority="79">
      <colorScale>
        <cfvo type="min"/>
        <cfvo type="percentile" val="50"/>
        <cfvo type="max"/>
        <color rgb="FFF8696B"/>
        <color rgb="FFFFEB84"/>
        <color rgb="FF63BE7B"/>
      </colorScale>
    </cfRule>
  </conditionalFormatting>
  <conditionalFormatting sqref="T2:T19">
    <cfRule type="cellIs" priority="71" operator="equal" dxfId="0">
      <formula>0</formula>
    </cfRule>
    <cfRule type="cellIs" priority="72" operator="lessThan" dxfId="1">
      <formula>0</formula>
    </cfRule>
    <cfRule type="cellIs" priority="73" operator="greaterThan" dxfId="0">
      <formula>0</formula>
    </cfRule>
    <cfRule type="colorScale" priority="75">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onditionalFormatting>
  <conditionalFormatting sqref="U2:U19">
    <cfRule type="cellIs" priority="66" operator="equal" dxfId="0">
      <formula>0</formula>
    </cfRule>
    <cfRule type="cellIs" priority="67" operator="lessThan" dxfId="1">
      <formula>0</formula>
    </cfRule>
    <cfRule type="cellIs" priority="68" operator="greaterThan" dxfId="0">
      <formula>0</formula>
    </cfRule>
    <cfRule type="colorScale" priority="70">
      <colorScale>
        <cfvo type="min"/>
        <cfvo type="percentile" val="50"/>
        <cfvo type="max"/>
        <color rgb="FFF8696B"/>
        <color rgb="FFFFEB84"/>
        <color rgb="FF63BE7B"/>
      </colorScale>
    </cfRule>
    <cfRule type="colorScale" priority="69">
      <colorScale>
        <cfvo type="min"/>
        <cfvo type="percentile" val="50"/>
        <cfvo type="max"/>
        <color rgb="FFF8696B"/>
        <color rgb="FFFFEB84"/>
        <color rgb="FF63BE7B"/>
      </colorScale>
    </cfRule>
  </conditionalFormatting>
  <conditionalFormatting sqref="V2:V19">
    <cfRule type="cellIs" priority="61" operator="equal" dxfId="0">
      <formula>0</formula>
    </cfRule>
    <cfRule type="cellIs" priority="62" operator="lessThan" dxfId="1">
      <formula>0</formula>
    </cfRule>
    <cfRule type="cellIs" priority="63" operator="greaterThan" dxfId="0">
      <formula>0</formula>
    </cfRule>
    <cfRule type="colorScale" priority="65">
      <colorScale>
        <cfvo type="min"/>
        <cfvo type="percentile" val="50"/>
        <cfvo type="max"/>
        <color rgb="FFF8696B"/>
        <color rgb="FFFFEB84"/>
        <color rgb="FF63BE7B"/>
      </colorScale>
    </cfRule>
    <cfRule type="colorScale" priority="64">
      <colorScale>
        <cfvo type="min"/>
        <cfvo type="percentile" val="50"/>
        <cfvo type="max"/>
        <color rgb="FFF8696B"/>
        <color rgb="FFFFEB84"/>
        <color rgb="FF63BE7B"/>
      </colorScale>
    </cfRule>
  </conditionalFormatting>
  <conditionalFormatting sqref="W2:W19">
    <cfRule type="cellIs" priority="56" operator="equal" dxfId="0">
      <formula>0</formula>
    </cfRule>
    <cfRule type="cellIs" priority="57" operator="lessThan" dxfId="1">
      <formula>0</formula>
    </cfRule>
    <cfRule type="cellIs" priority="58" operator="greaterThan" dxfId="0">
      <formula>0</formula>
    </cfRule>
    <cfRule type="colorScale" priority="60">
      <colorScale>
        <cfvo type="min"/>
        <cfvo type="percentile" val="50"/>
        <cfvo type="max"/>
        <color rgb="FFF8696B"/>
        <color rgb="FFFFEB84"/>
        <color rgb="FF63BE7B"/>
      </colorScale>
    </cfRule>
    <cfRule type="colorScale" priority="59">
      <colorScale>
        <cfvo type="min"/>
        <cfvo type="percentile" val="50"/>
        <cfvo type="max"/>
        <color rgb="FFF8696B"/>
        <color rgb="FFFFEB84"/>
        <color rgb="FF63BE7B"/>
      </colorScale>
    </cfRule>
  </conditionalFormatting>
  <conditionalFormatting sqref="X2:X19">
    <cfRule type="cellIs" priority="51" operator="equal" dxfId="0">
      <formula>0</formula>
    </cfRule>
    <cfRule type="cellIs" priority="52" operator="lessThan" dxfId="1">
      <formula>0</formula>
    </cfRule>
    <cfRule type="cellIs" priority="53" operator="greaterThan" dxfId="0">
      <formula>0</formula>
    </cfRule>
    <cfRule type="colorScale" priority="55">
      <colorScale>
        <cfvo type="min"/>
        <cfvo type="percentile" val="50"/>
        <cfvo type="max"/>
        <color rgb="FFF8696B"/>
        <color rgb="FFFFEB84"/>
        <color rgb="FF63BE7B"/>
      </colorScale>
    </cfRule>
    <cfRule type="colorScale" priority="54">
      <colorScale>
        <cfvo type="min"/>
        <cfvo type="percentile" val="50"/>
        <cfvo type="max"/>
        <color rgb="FFF8696B"/>
        <color rgb="FFFFEB84"/>
        <color rgb="FF63BE7B"/>
      </colorScale>
    </cfRule>
  </conditionalFormatting>
  <conditionalFormatting sqref="Y2:Y19">
    <cfRule type="cellIs" priority="46" operator="equal" dxfId="0">
      <formula>0</formula>
    </cfRule>
    <cfRule type="cellIs" priority="47" operator="lessThan" dxfId="1">
      <formula>0</formula>
    </cfRule>
    <cfRule type="cellIs" priority="48" operator="greaterThan" dxfId="0">
      <formula>0</formula>
    </cfRule>
    <cfRule type="colorScale" priority="50">
      <colorScale>
        <cfvo type="min"/>
        <cfvo type="percentile" val="50"/>
        <cfvo type="max"/>
        <color rgb="FFF8696B"/>
        <color rgb="FFFFEB84"/>
        <color rgb="FF63BE7B"/>
      </colorScale>
    </cfRule>
    <cfRule type="colorScale" priority="49">
      <colorScale>
        <cfvo type="min"/>
        <cfvo type="percentile" val="50"/>
        <cfvo type="max"/>
        <color rgb="FFF8696B"/>
        <color rgb="FFFFEB84"/>
        <color rgb="FF63BE7B"/>
      </colorScale>
    </cfRule>
  </conditionalFormatting>
  <conditionalFormatting sqref="Z2:Z19">
    <cfRule type="cellIs" priority="41" operator="equal" dxfId="0">
      <formula>0</formula>
    </cfRule>
    <cfRule type="cellIs" priority="42" operator="lessThan" dxfId="1">
      <formula>0</formula>
    </cfRule>
    <cfRule type="cellIs" priority="43" operator="greaterThan" dxfId="0">
      <formula>0</formula>
    </cfRule>
    <cfRule type="colorScale" priority="45">
      <colorScale>
        <cfvo type="min"/>
        <cfvo type="percentile" val="50"/>
        <cfvo type="max"/>
        <color rgb="FFF8696B"/>
        <color rgb="FFFFEB84"/>
        <color rgb="FF63BE7B"/>
      </colorScale>
    </cfRule>
    <cfRule type="colorScale" priority="44">
      <colorScale>
        <cfvo type="min"/>
        <cfvo type="percentile" val="50"/>
        <cfvo type="max"/>
        <color rgb="FFF8696B"/>
        <color rgb="FFFFEB84"/>
        <color rgb="FF63BE7B"/>
      </colorScale>
    </cfRule>
  </conditionalFormatting>
  <conditionalFormatting sqref="AA2:AA19">
    <cfRule type="cellIs" priority="36" operator="equal" dxfId="0">
      <formula>0</formula>
    </cfRule>
    <cfRule type="cellIs" priority="37" operator="lessThan" dxfId="1">
      <formula>0</formula>
    </cfRule>
    <cfRule type="cellIs" priority="38" operator="greaterThan" dxfId="0">
      <formula>0</formula>
    </cfRule>
    <cfRule type="colorScale" priority="40">
      <colorScale>
        <cfvo type="min"/>
        <cfvo type="percentile" val="50"/>
        <cfvo type="max"/>
        <color rgb="FFF8696B"/>
        <color rgb="FFFFEB84"/>
        <color rgb="FF63BE7B"/>
      </colorScale>
    </cfRule>
    <cfRule type="colorScale" priority="39">
      <colorScale>
        <cfvo type="min"/>
        <cfvo type="percentile" val="50"/>
        <cfvo type="max"/>
        <color rgb="FFF8696B"/>
        <color rgb="FFFFEB84"/>
        <color rgb="FF63BE7B"/>
      </colorScale>
    </cfRule>
  </conditionalFormatting>
  <conditionalFormatting sqref="AB2:AB19">
    <cfRule type="cellIs" priority="31" operator="equal" dxfId="0">
      <formula>0</formula>
    </cfRule>
    <cfRule type="cellIs" priority="32" operator="lessThan" dxfId="1">
      <formula>0</formula>
    </cfRule>
    <cfRule type="cellIs" priority="33" operator="greaterThan" dxfId="0">
      <formula>0</formula>
    </cfRule>
    <cfRule type="colorScale" priority="35">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onditionalFormatting>
  <conditionalFormatting sqref="AC2:AC19">
    <cfRule type="cellIs" priority="26" operator="equal" dxfId="0">
      <formula>0</formula>
    </cfRule>
    <cfRule type="cellIs" priority="27" operator="lessThan" dxfId="1">
      <formula>0</formula>
    </cfRule>
    <cfRule type="cellIs" priority="28" operator="greaterThan" dxfId="0">
      <formula>0</formula>
    </cfRule>
    <cfRule type="colorScale" priority="30">
      <colorScale>
        <cfvo type="min"/>
        <cfvo type="percentile" val="50"/>
        <cfvo type="max"/>
        <color rgb="FFF8696B"/>
        <color rgb="FFFFEB84"/>
        <color rgb="FF63BE7B"/>
      </colorScale>
    </cfRule>
    <cfRule type="colorScale" priority="29">
      <colorScale>
        <cfvo type="min"/>
        <cfvo type="percentile" val="50"/>
        <cfvo type="max"/>
        <color rgb="FFF8696B"/>
        <color rgb="FFFFEB84"/>
        <color rgb="FF63BE7B"/>
      </colorScale>
    </cfRule>
  </conditionalFormatting>
  <conditionalFormatting sqref="AD2:AD19">
    <cfRule type="cellIs" priority="21" operator="equal" dxfId="0">
      <formula>0</formula>
    </cfRule>
    <cfRule type="cellIs" priority="22" operator="lessThan" dxfId="1">
      <formula>0</formula>
    </cfRule>
    <cfRule type="cellIs" priority="23" operator="greaterThan" dxfId="0">
      <formula>0</formula>
    </cfRule>
    <cfRule type="colorScale" priority="25">
      <colorScale>
        <cfvo type="min"/>
        <cfvo type="percentile" val="50"/>
        <cfvo type="max"/>
        <color rgb="FFF8696B"/>
        <color rgb="FFFFEB84"/>
        <color rgb="FF63BE7B"/>
      </colorScale>
    </cfRule>
    <cfRule type="colorScale" priority="24">
      <colorScale>
        <cfvo type="min"/>
        <cfvo type="percentile" val="50"/>
        <cfvo type="max"/>
        <color rgb="FFF8696B"/>
        <color rgb="FFFFEB84"/>
        <color rgb="FF63BE7B"/>
      </colorScale>
    </cfRule>
  </conditionalFormatting>
  <conditionalFormatting sqref="AE2:AE19">
    <cfRule type="cellIs" priority="16" operator="equal" dxfId="0">
      <formula>0</formula>
    </cfRule>
    <cfRule type="cellIs" priority="17" operator="lessThan" dxfId="1">
      <formula>0</formula>
    </cfRule>
    <cfRule type="cellIs" priority="18" operator="greaterThan" dxfId="0">
      <formula>0</formula>
    </cfRule>
    <cfRule type="colorScale" priority="20">
      <colorScale>
        <cfvo type="min"/>
        <cfvo type="percentile" val="50"/>
        <cfvo type="max"/>
        <color rgb="FFF8696B"/>
        <color rgb="FFFFEB84"/>
        <color rgb="FF63BE7B"/>
      </colorScale>
    </cfRule>
    <cfRule type="colorScale" priority="19">
      <colorScale>
        <cfvo type="min"/>
        <cfvo type="percentile" val="50"/>
        <cfvo type="max"/>
        <color rgb="FFF8696B"/>
        <color rgb="FFFFEB84"/>
        <color rgb="FF63BE7B"/>
      </colorScale>
    </cfRule>
  </conditionalFormatting>
  <conditionalFormatting sqref="AF2:AF19">
    <cfRule type="cellIs" priority="11" operator="equal" dxfId="0">
      <formula>0</formula>
    </cfRule>
    <cfRule type="cellIs" priority="12" operator="lessThan" dxfId="1">
      <formula>0</formula>
    </cfRule>
    <cfRule type="cellIs" priority="13" operator="greaterThan" dxfId="0">
      <formula>0</formula>
    </cfRule>
    <cfRule type="colorScale" priority="15">
      <colorScale>
        <cfvo type="min"/>
        <cfvo type="percentile" val="50"/>
        <cfvo type="max"/>
        <color rgb="FFF8696B"/>
        <color rgb="FFFFEB84"/>
        <color rgb="FF63BE7B"/>
      </colorScale>
    </cfRule>
    <cfRule type="colorScale" priority="14">
      <colorScale>
        <cfvo type="min"/>
        <cfvo type="percentile" val="50"/>
        <cfvo type="max"/>
        <color rgb="FFF8696B"/>
        <color rgb="FFFFEB84"/>
        <color rgb="FF63BE7B"/>
      </colorScale>
    </cfRule>
  </conditionalFormatting>
  <conditionalFormatting sqref="AG2:AG19">
    <cfRule type="cellIs" priority="6" operator="equal" dxfId="0">
      <formula>0</formula>
    </cfRule>
    <cfRule type="cellIs" priority="7" operator="lessThan" dxfId="1">
      <formula>0</formula>
    </cfRule>
    <cfRule type="cellIs" priority="8" operator="greaterThan" dxfId="0">
      <formula>0</formula>
    </cfRule>
    <cfRule type="colorScale" priority="10">
      <colorScale>
        <cfvo type="min"/>
        <cfvo type="percentile" val="50"/>
        <cfvo type="max"/>
        <color rgb="FFF8696B"/>
        <color rgb="FFFFEB84"/>
        <color rgb="FF63BE7B"/>
      </colorScale>
    </cfRule>
    <cfRule type="colorScale" priority="9">
      <colorScale>
        <cfvo type="min"/>
        <cfvo type="percentile" val="50"/>
        <cfvo type="max"/>
        <color rgb="FFF8696B"/>
        <color rgb="FFFFEB84"/>
        <color rgb="FF63BE7B"/>
      </colorScale>
    </cfRule>
  </conditionalFormatting>
  <conditionalFormatting sqref="AH2:AH19">
    <cfRule type="cellIs" priority="1" operator="equal" dxfId="0">
      <formula>0</formula>
    </cfRule>
    <cfRule type="cellIs" priority="2" operator="lessThan" dxfId="1">
      <formula>0</formula>
    </cfRule>
    <cfRule type="cellIs" priority="3" operator="greaterThan" dxfId="0">
      <formula>0</formula>
    </cfRule>
    <cfRule type="colorScale" priority="5">
      <colorScale>
        <cfvo type="min"/>
        <cfvo type="percentile" val="50"/>
        <cfvo type="max"/>
        <color rgb="FFF8696B"/>
        <color rgb="FFFFEB84"/>
        <color rgb="FF63BE7B"/>
      </colorScale>
    </cfRule>
    <cfRule type="colorScale" priority="4">
      <colorScale>
        <cfvo type="min"/>
        <cfvo type="percentile" val="50"/>
        <cfvo type="max"/>
        <color rgb="FFF8696B"/>
        <color rgb="FFFFEB84"/>
        <color rgb="FF63BE7B"/>
      </colorScale>
    </cfRule>
  </conditionalFormatting>
  <pageMargins left="0.7" right="0.7" top="0.75" bottom="0.75" header="0.3" footer="0.3"/>
</worksheet>
</file>

<file path=xl/worksheets/sheet4.xml><?xml version="1.0" encoding="utf-8"?>
<worksheet xmlns="http://schemas.openxmlformats.org/spreadsheetml/2006/main">
  <sheetPr>
    <outlinePr summaryBelow="1" summaryRight="1"/>
    <pageSetUpPr/>
  </sheetPr>
  <dimension ref="A1:AH19"/>
  <sheetViews>
    <sheetView workbookViewId="0">
      <selection activeCell="K37" sqref="K37"/>
    </sheetView>
  </sheetViews>
  <sheetFormatPr baseColWidth="10" defaultRowHeight="15"/>
  <sheetData>
    <row r="1">
      <c r="A1" s="141" t="inlineStr">
        <is>
          <t>New Orders</t>
        </is>
      </c>
      <c r="B1" s="29" t="n">
        <v>43497</v>
      </c>
      <c r="C1" s="24" t="n">
        <v>43525</v>
      </c>
      <c r="D1" s="25" t="n">
        <v>43556</v>
      </c>
      <c r="E1" s="25" t="n">
        <v>43586</v>
      </c>
      <c r="F1" s="25" t="n">
        <v>43617</v>
      </c>
      <c r="G1" s="25" t="n">
        <v>43647</v>
      </c>
      <c r="H1" s="26" t="n">
        <v>43678</v>
      </c>
      <c r="I1" s="26" t="n">
        <v>43678</v>
      </c>
      <c r="J1" s="26" t="n">
        <v>43739</v>
      </c>
      <c r="K1" s="26" t="n">
        <v>43770</v>
      </c>
      <c r="L1" s="26" t="n">
        <v>43800</v>
      </c>
      <c r="M1" s="26" t="n">
        <v>43831</v>
      </c>
      <c r="N1" s="26" t="n">
        <v>43862</v>
      </c>
      <c r="O1" s="26" t="n">
        <v>43891</v>
      </c>
      <c r="P1" s="26" t="n">
        <v>43922</v>
      </c>
      <c r="Q1" s="26" t="n">
        <v>43952</v>
      </c>
      <c r="R1" s="26" t="n">
        <v>43952</v>
      </c>
      <c r="S1" s="26" t="n">
        <v>44013</v>
      </c>
      <c r="T1" s="26" t="n">
        <v>44044</v>
      </c>
      <c r="U1" s="26" t="n">
        <v>44075</v>
      </c>
      <c r="V1" s="26" t="n">
        <v>44105</v>
      </c>
      <c r="W1" s="26" t="n">
        <v>44136</v>
      </c>
      <c r="X1" s="26" t="n">
        <v>44166</v>
      </c>
      <c r="Y1" s="26" t="n">
        <v>44197</v>
      </c>
      <c r="Z1" s="26" t="n">
        <v>44228</v>
      </c>
      <c r="AA1" s="26" t="n">
        <v>44256</v>
      </c>
      <c r="AB1" s="26" t="n">
        <v>44287</v>
      </c>
      <c r="AC1" s="26" t="n">
        <v>44317</v>
      </c>
      <c r="AD1" s="26" t="n">
        <v>44348</v>
      </c>
      <c r="AE1" s="26" t="n">
        <v>44378</v>
      </c>
      <c r="AF1" s="26" t="n">
        <v>44409</v>
      </c>
      <c r="AG1" s="26" t="n">
        <v>44440</v>
      </c>
      <c r="AH1" s="26" t="n">
        <v>44470</v>
      </c>
    </row>
    <row r="2">
      <c r="A2" s="16" t="inlineStr">
        <is>
          <t>Machinery</t>
        </is>
      </c>
      <c r="B2" s="20" t="n">
        <v>1</v>
      </c>
      <c r="C2" s="20" t="n">
        <v>2</v>
      </c>
      <c r="D2" s="20" t="n">
        <v>3</v>
      </c>
      <c r="E2" s="20" t="n">
        <v>4</v>
      </c>
      <c r="F2" s="20" t="n">
        <v>-2</v>
      </c>
      <c r="G2" s="20" t="n">
        <v>0</v>
      </c>
      <c r="H2" s="20" t="n">
        <v>2</v>
      </c>
      <c r="I2" s="20" t="n">
        <v>0</v>
      </c>
      <c r="J2" s="20" t="n">
        <v>-3</v>
      </c>
      <c r="K2" s="20" t="n">
        <v>-5</v>
      </c>
      <c r="L2" s="20" t="n">
        <v>-1</v>
      </c>
      <c r="M2" s="20" t="n">
        <v>1</v>
      </c>
      <c r="N2" s="20" t="n">
        <v>3</v>
      </c>
      <c r="O2" s="20" t="n">
        <v>-1</v>
      </c>
      <c r="P2" s="20" t="n">
        <v>-8</v>
      </c>
      <c r="Q2" s="20" t="n">
        <v>-4</v>
      </c>
      <c r="R2" s="20" t="n">
        <v>2</v>
      </c>
      <c r="S2" s="20" t="n">
        <v>1</v>
      </c>
      <c r="T2" s="20" t="n">
        <v>9</v>
      </c>
      <c r="U2" s="20" t="n">
        <v>3</v>
      </c>
      <c r="V2" s="20" t="n">
        <v>6</v>
      </c>
      <c r="W2" s="20" t="n">
        <v>6</v>
      </c>
      <c r="X2" s="20" t="n">
        <v>9</v>
      </c>
      <c r="Y2" s="20" t="n">
        <v>11</v>
      </c>
      <c r="Z2" s="20" t="n">
        <v>6</v>
      </c>
      <c r="AA2" s="20" t="n">
        <v>9</v>
      </c>
      <c r="AB2" s="20" t="n">
        <v>11</v>
      </c>
      <c r="AC2" s="20" t="n">
        <v>9</v>
      </c>
      <c r="AD2" s="20" t="n">
        <v>9</v>
      </c>
      <c r="AE2" s="20" t="n">
        <v>12</v>
      </c>
      <c r="AF2" s="20" t="n">
        <v>11</v>
      </c>
      <c r="AG2" s="20" t="n">
        <v>8</v>
      </c>
      <c r="AH2" s="20" t="n">
        <v>7</v>
      </c>
    </row>
    <row r="3">
      <c r="A3" s="14" t="inlineStr">
        <is>
          <t>Apparel, Leather &amp; Allied Products</t>
        </is>
      </c>
      <c r="B3" s="20" t="n">
        <v>0</v>
      </c>
      <c r="C3" s="20" t="n">
        <v>-2</v>
      </c>
      <c r="D3" s="20" t="n">
        <v>0</v>
      </c>
      <c r="E3" s="20" t="n">
        <v>-4</v>
      </c>
      <c r="F3" s="20" t="n">
        <v>-6</v>
      </c>
      <c r="G3" s="20" t="n">
        <v>-10</v>
      </c>
      <c r="H3" s="20" t="n">
        <v>-11</v>
      </c>
      <c r="I3" s="20" t="n">
        <v>-11</v>
      </c>
      <c r="J3" s="20" t="n">
        <v>-9</v>
      </c>
      <c r="K3" s="20" t="n">
        <v>5</v>
      </c>
      <c r="L3" s="20" t="n">
        <v>0</v>
      </c>
      <c r="M3" s="20" t="n">
        <v>-3</v>
      </c>
      <c r="N3" s="20" t="n">
        <v>12</v>
      </c>
      <c r="O3" s="20" t="n">
        <v>7</v>
      </c>
      <c r="P3" s="20" t="n">
        <v>0</v>
      </c>
      <c r="Q3" s="20" t="n">
        <v>0</v>
      </c>
      <c r="R3" s="20" t="n">
        <v>0</v>
      </c>
      <c r="S3" s="20" t="n">
        <v>0</v>
      </c>
      <c r="T3" s="20" t="n">
        <v>0</v>
      </c>
      <c r="U3" s="20" t="n">
        <v>-3</v>
      </c>
      <c r="V3" s="20" t="n">
        <v>16</v>
      </c>
      <c r="W3" s="20" t="n">
        <v>15</v>
      </c>
      <c r="X3" s="20" t="n">
        <v>13</v>
      </c>
      <c r="Y3" s="20" t="n">
        <v>0</v>
      </c>
      <c r="Z3" s="20" t="n">
        <v>0</v>
      </c>
      <c r="AA3" s="20" t="n">
        <v>15</v>
      </c>
      <c r="AB3" s="20" t="n">
        <v>0</v>
      </c>
      <c r="AC3" s="20" t="n">
        <v>0</v>
      </c>
      <c r="AD3" s="20" t="n">
        <v>0</v>
      </c>
      <c r="AE3" s="20" t="n">
        <v>0</v>
      </c>
      <c r="AF3" s="20" t="n">
        <v>0</v>
      </c>
      <c r="AG3" s="20" t="n">
        <v>0</v>
      </c>
      <c r="AH3" s="20" t="n">
        <v>14</v>
      </c>
    </row>
    <row r="4">
      <c r="A4" s="14" t="inlineStr">
        <is>
          <t>Primary Metals</t>
        </is>
      </c>
      <c r="B4" s="20" t="n">
        <v>9</v>
      </c>
      <c r="C4" s="20" t="n">
        <v>9</v>
      </c>
      <c r="D4" s="20" t="n">
        <v>-3</v>
      </c>
      <c r="E4" s="20" t="n">
        <v>-2</v>
      </c>
      <c r="F4" s="20" t="n">
        <v>-5</v>
      </c>
      <c r="G4" s="20" t="n">
        <v>-9</v>
      </c>
      <c r="H4" s="20" t="n">
        <v>-3</v>
      </c>
      <c r="I4" s="20" t="n">
        <v>0</v>
      </c>
      <c r="J4" s="20" t="n">
        <v>-10</v>
      </c>
      <c r="K4" s="20" t="n">
        <v>0</v>
      </c>
      <c r="L4" s="20" t="n">
        <v>-4</v>
      </c>
      <c r="M4" s="20" t="n">
        <v>8</v>
      </c>
      <c r="N4" s="20" t="n">
        <v>13</v>
      </c>
      <c r="O4" s="20" t="n">
        <v>-7</v>
      </c>
      <c r="P4" s="20" t="n">
        <v>-2</v>
      </c>
      <c r="Q4" s="20" t="n">
        <v>-10</v>
      </c>
      <c r="R4" s="20" t="n">
        <v>0</v>
      </c>
      <c r="S4" s="20" t="n">
        <v>11</v>
      </c>
      <c r="T4" s="20" t="n">
        <v>15</v>
      </c>
      <c r="U4" s="20" t="n">
        <v>0</v>
      </c>
      <c r="V4" s="20" t="n">
        <v>13</v>
      </c>
      <c r="W4" s="20" t="n">
        <v>2</v>
      </c>
      <c r="X4" s="20" t="n">
        <v>4</v>
      </c>
      <c r="Y4" s="20" t="n">
        <v>13</v>
      </c>
      <c r="Z4" s="20" t="n">
        <v>11</v>
      </c>
      <c r="AA4" s="20" t="n">
        <v>5</v>
      </c>
      <c r="AB4" s="20" t="n">
        <v>13</v>
      </c>
      <c r="AC4" s="20" t="n">
        <v>12</v>
      </c>
      <c r="AD4" s="20" t="n">
        <v>2</v>
      </c>
      <c r="AE4" s="20" t="n">
        <v>1</v>
      </c>
      <c r="AF4" s="20" t="n">
        <v>8</v>
      </c>
      <c r="AG4" s="20" t="n">
        <v>13</v>
      </c>
      <c r="AH4" s="20" t="n">
        <v>10</v>
      </c>
    </row>
    <row r="5">
      <c r="A5" s="14" t="inlineStr">
        <is>
          <t>Computer &amp; Electronic Products</t>
        </is>
      </c>
      <c r="B5" s="20" t="n">
        <v>12</v>
      </c>
      <c r="C5" s="20" t="n">
        <v>7</v>
      </c>
      <c r="D5" s="20" t="n">
        <v>5</v>
      </c>
      <c r="E5" s="20" t="n">
        <v>9</v>
      </c>
      <c r="F5" s="20" t="n">
        <v>1</v>
      </c>
      <c r="G5" s="20" t="n">
        <v>1</v>
      </c>
      <c r="H5" s="20" t="n">
        <v>-1</v>
      </c>
      <c r="I5" s="20" t="n">
        <v>-3</v>
      </c>
      <c r="J5" s="20" t="n">
        <v>2</v>
      </c>
      <c r="K5" s="20" t="n">
        <v>-1</v>
      </c>
      <c r="L5" s="20" t="n">
        <v>-3</v>
      </c>
      <c r="M5" s="20" t="n">
        <v>6</v>
      </c>
      <c r="N5" s="20" t="n">
        <v>7</v>
      </c>
      <c r="O5" s="20" t="n">
        <v>1</v>
      </c>
      <c r="P5" s="20" t="n">
        <v>-4</v>
      </c>
      <c r="Q5" s="20" t="n">
        <v>-6</v>
      </c>
      <c r="R5" s="20" t="n">
        <v>1</v>
      </c>
      <c r="S5" s="20" t="n">
        <v>2</v>
      </c>
      <c r="T5" s="20" t="n">
        <v>12</v>
      </c>
      <c r="U5" s="20" t="n">
        <v>0</v>
      </c>
      <c r="V5" s="20" t="n">
        <v>9</v>
      </c>
      <c r="W5" s="20" t="n">
        <v>5</v>
      </c>
      <c r="X5" s="20" t="n">
        <v>8</v>
      </c>
      <c r="Y5" s="20" t="n">
        <v>1</v>
      </c>
      <c r="Z5" s="20" t="n">
        <v>3</v>
      </c>
      <c r="AA5" s="20" t="n">
        <v>7</v>
      </c>
      <c r="AB5" s="20" t="n">
        <v>2</v>
      </c>
      <c r="AC5" s="20" t="n">
        <v>11</v>
      </c>
      <c r="AD5" s="20" t="n">
        <v>7</v>
      </c>
      <c r="AE5" s="20" t="n">
        <v>14</v>
      </c>
      <c r="AF5" s="20" t="n">
        <v>13</v>
      </c>
      <c r="AG5" s="20" t="n">
        <v>9</v>
      </c>
      <c r="AH5" s="20" t="n">
        <v>4</v>
      </c>
    </row>
    <row r="6">
      <c r="A6" s="14" t="inlineStr">
        <is>
          <t>Plastics &amp; Rubber Products</t>
        </is>
      </c>
      <c r="B6" s="20" t="n">
        <v>7</v>
      </c>
      <c r="C6" s="20" t="n">
        <v>6</v>
      </c>
      <c r="D6" s="20" t="n">
        <v>2</v>
      </c>
      <c r="E6" s="20" t="n">
        <v>10</v>
      </c>
      <c r="F6" s="20" t="n">
        <v>4</v>
      </c>
      <c r="G6" s="20" t="n">
        <v>-1</v>
      </c>
      <c r="H6" s="20" t="n">
        <v>-4</v>
      </c>
      <c r="I6" s="20" t="n">
        <v>-1</v>
      </c>
      <c r="J6" s="20" t="n">
        <v>-6</v>
      </c>
      <c r="K6" s="20" t="n">
        <v>-3</v>
      </c>
      <c r="L6" s="20" t="n">
        <v>0</v>
      </c>
      <c r="M6" s="20" t="n">
        <v>4</v>
      </c>
      <c r="N6" s="20" t="n">
        <v>10</v>
      </c>
      <c r="O6" s="20" t="n">
        <v>4</v>
      </c>
      <c r="P6" s="20" t="n">
        <v>-6</v>
      </c>
      <c r="Q6" s="20" t="n">
        <v>-5</v>
      </c>
      <c r="R6" s="20" t="n">
        <v>10</v>
      </c>
      <c r="S6" s="20" t="n">
        <v>10</v>
      </c>
      <c r="T6" s="20" t="n">
        <v>14</v>
      </c>
      <c r="U6" s="20" t="n">
        <v>10</v>
      </c>
      <c r="V6" s="20" t="n">
        <v>14</v>
      </c>
      <c r="W6" s="20" t="n">
        <v>14</v>
      </c>
      <c r="X6" s="20" t="n">
        <v>5</v>
      </c>
      <c r="Y6" s="20" t="n">
        <v>10</v>
      </c>
      <c r="Z6" s="20" t="n">
        <v>1</v>
      </c>
      <c r="AA6" s="20" t="n">
        <v>2</v>
      </c>
      <c r="AB6" s="20" t="n">
        <v>3</v>
      </c>
      <c r="AC6" s="20" t="n">
        <v>10</v>
      </c>
      <c r="AD6" s="20" t="n">
        <v>4</v>
      </c>
      <c r="AE6" s="20" t="n">
        <v>2</v>
      </c>
      <c r="AF6" s="20" t="n">
        <v>7</v>
      </c>
      <c r="AG6" s="20" t="n">
        <v>0</v>
      </c>
      <c r="AH6" s="20" t="n">
        <v>-1</v>
      </c>
    </row>
    <row r="7">
      <c r="A7" s="14" t="inlineStr">
        <is>
          <t>Miscellaneous Manufacturing</t>
        </is>
      </c>
      <c r="B7" s="20" t="n">
        <v>5</v>
      </c>
      <c r="C7" s="20" t="n">
        <v>1</v>
      </c>
      <c r="D7" s="20" t="n">
        <v>11</v>
      </c>
      <c r="E7" s="20" t="n">
        <v>6</v>
      </c>
      <c r="F7" s="20" t="n">
        <v>3</v>
      </c>
      <c r="G7" s="20" t="n">
        <v>-3</v>
      </c>
      <c r="H7" s="20" t="n">
        <v>-2</v>
      </c>
      <c r="I7" s="20" t="n">
        <v>3</v>
      </c>
      <c r="J7" s="20" t="n">
        <v>-2</v>
      </c>
      <c r="K7" s="20" t="n">
        <v>1</v>
      </c>
      <c r="L7" s="20" t="n">
        <v>1</v>
      </c>
      <c r="M7" s="20" t="n">
        <v>7</v>
      </c>
      <c r="N7" s="20" t="n">
        <v>6</v>
      </c>
      <c r="O7" s="20" t="n">
        <v>-3</v>
      </c>
      <c r="P7" s="20" t="n">
        <v>-5</v>
      </c>
      <c r="Q7" s="20" t="n">
        <v>-8</v>
      </c>
      <c r="R7" s="20" t="n">
        <v>3</v>
      </c>
      <c r="S7" s="20" t="n">
        <v>4</v>
      </c>
      <c r="T7" s="20" t="n">
        <v>3</v>
      </c>
      <c r="U7" s="20" t="n">
        <v>-1</v>
      </c>
      <c r="V7" s="20" t="n">
        <v>1</v>
      </c>
      <c r="W7" s="20" t="n">
        <v>4</v>
      </c>
      <c r="X7" s="20" t="n">
        <v>-1</v>
      </c>
      <c r="Y7" s="20" t="n">
        <v>3</v>
      </c>
      <c r="Z7" s="20" t="n">
        <v>-1</v>
      </c>
      <c r="AA7" s="20" t="n">
        <v>1</v>
      </c>
      <c r="AB7" s="20" t="n">
        <v>7</v>
      </c>
      <c r="AC7" s="20" t="n">
        <v>1</v>
      </c>
      <c r="AD7" s="20" t="n">
        <v>12</v>
      </c>
      <c r="AE7" s="20" t="n">
        <v>11</v>
      </c>
      <c r="AF7" s="20" t="n">
        <v>4</v>
      </c>
      <c r="AG7" s="20" t="n">
        <v>6</v>
      </c>
      <c r="AH7" s="20" t="n">
        <v>5</v>
      </c>
    </row>
    <row r="8">
      <c r="A8" s="14" t="inlineStr">
        <is>
          <t>Printing &amp; Related Support Activities</t>
        </is>
      </c>
      <c r="B8" s="20" t="n">
        <v>11</v>
      </c>
      <c r="C8" s="20" t="n">
        <v>13</v>
      </c>
      <c r="D8" s="20" t="n">
        <v>10</v>
      </c>
      <c r="E8" s="20" t="n">
        <v>11</v>
      </c>
      <c r="F8" s="20" t="n">
        <v>7</v>
      </c>
      <c r="G8" s="20" t="n">
        <v>5</v>
      </c>
      <c r="H8" s="20" t="n">
        <v>0</v>
      </c>
      <c r="I8" s="20" t="n">
        <v>0</v>
      </c>
      <c r="J8" s="20" t="n">
        <v>0</v>
      </c>
      <c r="K8" s="20" t="n">
        <v>-10</v>
      </c>
      <c r="L8" s="20" t="n">
        <v>-9</v>
      </c>
      <c r="M8" s="20" t="n">
        <v>-5</v>
      </c>
      <c r="N8" s="20" t="n">
        <v>14</v>
      </c>
      <c r="O8" s="20" t="n">
        <v>8</v>
      </c>
      <c r="P8" s="20" t="n">
        <v>-14</v>
      </c>
      <c r="Q8" s="20" t="n">
        <v>-12</v>
      </c>
      <c r="R8" s="20" t="n">
        <v>8</v>
      </c>
      <c r="S8" s="20" t="n">
        <v>0</v>
      </c>
      <c r="T8" s="20" t="n">
        <v>-1</v>
      </c>
      <c r="U8" s="20" t="n">
        <v>7</v>
      </c>
      <c r="V8" s="20" t="n">
        <v>0</v>
      </c>
      <c r="W8" s="20" t="n">
        <v>-2</v>
      </c>
      <c r="X8" s="20" t="n">
        <v>0</v>
      </c>
      <c r="Y8" s="20" t="n">
        <v>-2</v>
      </c>
      <c r="Z8" s="20" t="n">
        <v>4</v>
      </c>
      <c r="AA8" s="20" t="n">
        <v>0</v>
      </c>
      <c r="AB8" s="20" t="n">
        <v>-1</v>
      </c>
      <c r="AC8" s="20" t="n">
        <v>-1</v>
      </c>
      <c r="AD8" s="20" t="n">
        <v>14</v>
      </c>
      <c r="AE8" s="20" t="n">
        <v>13</v>
      </c>
      <c r="AF8" s="20" t="n">
        <v>12</v>
      </c>
      <c r="AG8" s="20" t="n">
        <v>-2</v>
      </c>
      <c r="AH8" s="20" t="n">
        <v>12</v>
      </c>
    </row>
    <row r="9">
      <c r="A9" s="14" t="inlineStr">
        <is>
          <t>Paper Products</t>
        </is>
      </c>
      <c r="B9" s="20" t="n">
        <v>4</v>
      </c>
      <c r="C9" s="20" t="n">
        <v>-1</v>
      </c>
      <c r="D9" s="20" t="n">
        <v>7</v>
      </c>
      <c r="E9" s="20" t="n">
        <v>-1</v>
      </c>
      <c r="F9" s="20" t="n">
        <v>2</v>
      </c>
      <c r="G9" s="20" t="n">
        <v>-2</v>
      </c>
      <c r="H9" s="20" t="n">
        <v>-10</v>
      </c>
      <c r="I9" s="20" t="n">
        <v>-4</v>
      </c>
      <c r="J9" s="20" t="n">
        <v>0</v>
      </c>
      <c r="K9" s="20" t="n">
        <v>3</v>
      </c>
      <c r="L9" s="20" t="n">
        <v>-5</v>
      </c>
      <c r="M9" s="20" t="n">
        <v>0</v>
      </c>
      <c r="N9" s="20" t="n">
        <v>15</v>
      </c>
      <c r="O9" s="20" t="n">
        <v>3</v>
      </c>
      <c r="P9" s="20" t="n">
        <v>1</v>
      </c>
      <c r="Q9" s="20" t="n">
        <v>1</v>
      </c>
      <c r="R9" s="20" t="n">
        <v>0</v>
      </c>
      <c r="S9" s="20" t="n">
        <v>-1</v>
      </c>
      <c r="T9" s="20" t="n">
        <v>8</v>
      </c>
      <c r="U9" s="20" t="n">
        <v>8</v>
      </c>
      <c r="V9" s="20" t="n">
        <v>8</v>
      </c>
      <c r="W9" s="20" t="n">
        <v>9</v>
      </c>
      <c r="X9" s="20" t="n">
        <v>0</v>
      </c>
      <c r="Y9" s="20" t="n">
        <v>7</v>
      </c>
      <c r="Z9" s="20" t="n">
        <v>13</v>
      </c>
      <c r="AA9" s="20" t="n">
        <v>12</v>
      </c>
      <c r="AB9" s="20" t="n">
        <v>12</v>
      </c>
      <c r="AC9" s="20" t="n">
        <v>13</v>
      </c>
      <c r="AD9" s="20" t="n">
        <v>5</v>
      </c>
      <c r="AE9" s="20" t="n">
        <v>10</v>
      </c>
      <c r="AF9" s="20" t="n">
        <v>10</v>
      </c>
      <c r="AG9" s="20" t="n">
        <v>5</v>
      </c>
      <c r="AH9" s="20" t="n">
        <v>0</v>
      </c>
    </row>
    <row r="10">
      <c r="A10" s="14" t="inlineStr">
        <is>
          <t>Fabricated Metal Products</t>
        </is>
      </c>
      <c r="B10" s="20" t="n">
        <v>10</v>
      </c>
      <c r="C10" s="20" t="n">
        <v>4</v>
      </c>
      <c r="D10" s="20" t="n">
        <v>4</v>
      </c>
      <c r="E10" s="20" t="n">
        <v>1</v>
      </c>
      <c r="F10" s="20" t="n">
        <v>-1</v>
      </c>
      <c r="G10" s="20" t="n">
        <v>-7</v>
      </c>
      <c r="H10" s="20" t="n">
        <v>-6</v>
      </c>
      <c r="I10" s="20" t="n">
        <v>-2</v>
      </c>
      <c r="J10" s="20" t="n">
        <v>1</v>
      </c>
      <c r="K10" s="20" t="n">
        <v>-7</v>
      </c>
      <c r="L10" s="20" t="n">
        <v>-7</v>
      </c>
      <c r="M10" s="20" t="n">
        <v>2</v>
      </c>
      <c r="N10" s="20" t="n">
        <v>4</v>
      </c>
      <c r="O10" s="20" t="n">
        <v>-2</v>
      </c>
      <c r="P10" s="20" t="n">
        <v>-9</v>
      </c>
      <c r="Q10" s="20" t="n">
        <v>-9</v>
      </c>
      <c r="R10" s="20" t="n">
        <v>-2</v>
      </c>
      <c r="S10" s="20" t="n">
        <v>6</v>
      </c>
      <c r="T10" s="20" t="n">
        <v>5</v>
      </c>
      <c r="U10" s="20" t="n">
        <v>5</v>
      </c>
      <c r="V10" s="20" t="n">
        <v>12</v>
      </c>
      <c r="W10" s="20" t="n">
        <v>10</v>
      </c>
      <c r="X10" s="20" t="n">
        <v>7</v>
      </c>
      <c r="Y10" s="20" t="n">
        <v>6</v>
      </c>
      <c r="Z10" s="20" t="n">
        <v>5</v>
      </c>
      <c r="AA10" s="20" t="n">
        <v>8</v>
      </c>
      <c r="AB10" s="20" t="n">
        <v>14</v>
      </c>
      <c r="AC10" s="20" t="n">
        <v>6</v>
      </c>
      <c r="AD10" s="20" t="n">
        <v>6</v>
      </c>
      <c r="AE10" s="20" t="n">
        <v>5</v>
      </c>
      <c r="AF10" s="20" t="n">
        <v>2</v>
      </c>
      <c r="AG10" s="20" t="n">
        <v>1</v>
      </c>
      <c r="AH10" s="20" t="n">
        <v>2</v>
      </c>
    </row>
    <row r="11">
      <c r="A11" s="14" t="inlineStr">
        <is>
          <t>Food, Beverage &amp; Tobacco Products</t>
        </is>
      </c>
      <c r="B11" s="20" t="n">
        <v>3</v>
      </c>
      <c r="C11" s="20" t="n">
        <v>12</v>
      </c>
      <c r="D11" s="20" t="n">
        <v>1</v>
      </c>
      <c r="E11" s="20" t="n">
        <v>0</v>
      </c>
      <c r="F11" s="20" t="n">
        <v>5</v>
      </c>
      <c r="G11" s="20" t="n">
        <v>4</v>
      </c>
      <c r="H11" s="20" t="n">
        <v>0</v>
      </c>
      <c r="I11" s="20" t="n">
        <v>2</v>
      </c>
      <c r="J11" s="20" t="n">
        <v>3</v>
      </c>
      <c r="K11" s="20" t="n">
        <v>2</v>
      </c>
      <c r="L11" s="20" t="n">
        <v>2</v>
      </c>
      <c r="M11" s="20" t="n">
        <v>5</v>
      </c>
      <c r="N11" s="20" t="n">
        <v>2</v>
      </c>
      <c r="O11" s="20" t="n">
        <v>6</v>
      </c>
      <c r="P11" s="20" t="n">
        <v>2</v>
      </c>
      <c r="Q11" s="20" t="n">
        <v>2</v>
      </c>
      <c r="R11" s="20" t="n">
        <v>7</v>
      </c>
      <c r="S11" s="20" t="n">
        <v>7</v>
      </c>
      <c r="T11" s="20" t="n">
        <v>7</v>
      </c>
      <c r="U11" s="20" t="n">
        <v>6</v>
      </c>
      <c r="V11" s="20" t="n">
        <v>7</v>
      </c>
      <c r="W11" s="20" t="n">
        <v>3</v>
      </c>
      <c r="X11" s="20" t="n">
        <v>1</v>
      </c>
      <c r="Y11" s="20" t="n">
        <v>4</v>
      </c>
      <c r="Z11" s="20" t="n">
        <v>2</v>
      </c>
      <c r="AA11" s="20" t="n">
        <v>6</v>
      </c>
      <c r="AB11" s="20" t="n">
        <v>6</v>
      </c>
      <c r="AC11" s="20" t="n">
        <v>5</v>
      </c>
      <c r="AD11" s="20" t="n">
        <v>1</v>
      </c>
      <c r="AE11" s="20" t="n">
        <v>7</v>
      </c>
      <c r="AF11" s="20" t="n">
        <v>9</v>
      </c>
      <c r="AG11" s="20" t="n">
        <v>12</v>
      </c>
      <c r="AH11" s="20" t="n">
        <v>8</v>
      </c>
    </row>
    <row r="12">
      <c r="A12" s="14" t="inlineStr">
        <is>
          <t>Chemical Products</t>
        </is>
      </c>
      <c r="B12" s="20" t="n">
        <v>6</v>
      </c>
      <c r="C12" s="20" t="n">
        <v>8</v>
      </c>
      <c r="D12" s="20" t="n">
        <v>6</v>
      </c>
      <c r="E12" s="20" t="n">
        <v>3</v>
      </c>
      <c r="F12" s="20" t="n">
        <v>6</v>
      </c>
      <c r="G12" s="20" t="n">
        <v>2</v>
      </c>
      <c r="H12" s="20" t="n">
        <v>1</v>
      </c>
      <c r="I12" s="20" t="n">
        <v>0</v>
      </c>
      <c r="J12" s="20" t="n">
        <v>-1</v>
      </c>
      <c r="K12" s="20" t="n">
        <v>-2</v>
      </c>
      <c r="L12" s="20" t="n">
        <v>-2</v>
      </c>
      <c r="M12" s="20" t="n">
        <v>3</v>
      </c>
      <c r="N12" s="20" t="n">
        <v>1</v>
      </c>
      <c r="O12" s="20" t="n">
        <v>2</v>
      </c>
      <c r="P12" s="20" t="n">
        <v>-1</v>
      </c>
      <c r="Q12" s="20" t="n">
        <v>-3</v>
      </c>
      <c r="R12" s="20" t="n">
        <v>6</v>
      </c>
      <c r="S12" s="20" t="n">
        <v>9</v>
      </c>
      <c r="T12" s="20" t="n">
        <v>11</v>
      </c>
      <c r="U12" s="20" t="n">
        <v>2</v>
      </c>
      <c r="V12" s="20" t="n">
        <v>5</v>
      </c>
      <c r="W12" s="20" t="n">
        <v>7</v>
      </c>
      <c r="X12" s="20" t="n">
        <v>3</v>
      </c>
      <c r="Y12" s="20" t="n">
        <v>5</v>
      </c>
      <c r="Z12" s="20" t="n">
        <v>7</v>
      </c>
      <c r="AA12" s="20" t="n">
        <v>3</v>
      </c>
      <c r="AB12" s="20" t="n">
        <v>9</v>
      </c>
      <c r="AC12" s="20" t="n">
        <v>8</v>
      </c>
      <c r="AD12" s="20" t="n">
        <v>8</v>
      </c>
      <c r="AE12" s="20" t="n">
        <v>8</v>
      </c>
      <c r="AF12" s="20" t="n">
        <v>5</v>
      </c>
      <c r="AG12" s="20" t="n">
        <v>7</v>
      </c>
      <c r="AH12" s="20" t="n">
        <v>9</v>
      </c>
    </row>
    <row r="13">
      <c r="A13" s="14" t="inlineStr">
        <is>
          <t>Nonmetallic Mineral Products</t>
        </is>
      </c>
      <c r="B13" s="20" t="n">
        <v>-1</v>
      </c>
      <c r="C13" s="20" t="n">
        <v>0</v>
      </c>
      <c r="D13" s="20" t="n">
        <v>14</v>
      </c>
      <c r="E13" s="20" t="n">
        <v>5</v>
      </c>
      <c r="F13" s="20" t="n">
        <v>9</v>
      </c>
      <c r="G13" s="20" t="n">
        <v>-4</v>
      </c>
      <c r="H13" s="20" t="n">
        <v>3</v>
      </c>
      <c r="I13" s="20" t="n">
        <v>-7</v>
      </c>
      <c r="J13" s="20" t="n">
        <v>-5</v>
      </c>
      <c r="K13" s="20" t="n">
        <v>-4</v>
      </c>
      <c r="L13" s="20" t="n">
        <v>-10</v>
      </c>
      <c r="M13" s="20" t="n">
        <v>0</v>
      </c>
      <c r="N13" s="20" t="n">
        <v>5</v>
      </c>
      <c r="O13" s="20" t="n">
        <v>-5</v>
      </c>
      <c r="P13" s="20" t="n">
        <v>-13</v>
      </c>
      <c r="Q13" s="20" t="n">
        <v>3</v>
      </c>
      <c r="R13" s="20" t="n">
        <v>0</v>
      </c>
      <c r="S13" s="20" t="n">
        <v>0</v>
      </c>
      <c r="T13" s="20" t="n">
        <v>10</v>
      </c>
      <c r="U13" s="20" t="n">
        <v>4</v>
      </c>
      <c r="V13" s="20" t="n">
        <v>2</v>
      </c>
      <c r="W13" s="20" t="n">
        <v>8</v>
      </c>
      <c r="X13" s="20" t="n">
        <v>-3</v>
      </c>
      <c r="Y13" s="20" t="n">
        <v>0</v>
      </c>
      <c r="Z13" s="20" t="n">
        <v>0</v>
      </c>
      <c r="AA13" s="20" t="n">
        <v>11</v>
      </c>
      <c r="AB13" s="20" t="n">
        <v>10</v>
      </c>
      <c r="AC13" s="20" t="n">
        <v>16</v>
      </c>
      <c r="AD13" s="20" t="n">
        <v>11</v>
      </c>
      <c r="AE13" s="20" t="n">
        <v>3</v>
      </c>
      <c r="AF13" s="20" t="n">
        <v>-1</v>
      </c>
      <c r="AG13" s="20" t="n">
        <v>4</v>
      </c>
      <c r="AH13" s="20" t="n">
        <v>-2</v>
      </c>
    </row>
    <row r="14">
      <c r="A14" s="14" t="inlineStr">
        <is>
          <t>Electrical Equipment, Appliances &amp; Components</t>
        </is>
      </c>
      <c r="B14" s="20" t="n">
        <v>2</v>
      </c>
      <c r="C14" s="20" t="n">
        <v>3</v>
      </c>
      <c r="D14" s="20" t="n">
        <v>12</v>
      </c>
      <c r="E14" s="20" t="n">
        <v>7</v>
      </c>
      <c r="F14" s="20" t="n">
        <v>0</v>
      </c>
      <c r="G14" s="20" t="n">
        <v>-6</v>
      </c>
      <c r="H14" s="20" t="n">
        <v>0</v>
      </c>
      <c r="I14" s="20" t="n">
        <v>-8</v>
      </c>
      <c r="J14" s="20" t="n">
        <v>0</v>
      </c>
      <c r="K14" s="20" t="n">
        <v>4</v>
      </c>
      <c r="L14" s="20" t="n">
        <v>-6</v>
      </c>
      <c r="M14" s="20" t="n">
        <v>-2</v>
      </c>
      <c r="N14" s="20" t="n">
        <v>11</v>
      </c>
      <c r="O14" s="20" t="n">
        <v>5</v>
      </c>
      <c r="P14" s="20" t="n">
        <v>-7</v>
      </c>
      <c r="Q14" s="20" t="n">
        <v>-1</v>
      </c>
      <c r="R14" s="20" t="n">
        <v>4</v>
      </c>
      <c r="S14" s="20" t="n">
        <v>8</v>
      </c>
      <c r="T14" s="20" t="n">
        <v>1</v>
      </c>
      <c r="U14" s="20" t="n">
        <v>11</v>
      </c>
      <c r="V14" s="20" t="n">
        <v>11</v>
      </c>
      <c r="W14" s="20" t="n">
        <v>11</v>
      </c>
      <c r="X14" s="20" t="n">
        <v>2</v>
      </c>
      <c r="Y14" s="20" t="n">
        <v>12</v>
      </c>
      <c r="Z14" s="20" t="n">
        <v>9</v>
      </c>
      <c r="AA14" s="20" t="n">
        <v>14</v>
      </c>
      <c r="AB14" s="20" t="n">
        <v>0</v>
      </c>
      <c r="AC14" s="20" t="n">
        <v>14</v>
      </c>
      <c r="AD14" s="20" t="n">
        <v>10</v>
      </c>
      <c r="AE14" s="20" t="n">
        <v>9</v>
      </c>
      <c r="AF14" s="20" t="n">
        <v>1</v>
      </c>
      <c r="AG14" s="20" t="n">
        <v>2</v>
      </c>
      <c r="AH14" s="20" t="n">
        <v>3</v>
      </c>
    </row>
    <row r="15">
      <c r="A15" s="14" t="inlineStr">
        <is>
          <t>Transportation Equipment</t>
        </is>
      </c>
      <c r="B15" s="20" t="n">
        <v>0</v>
      </c>
      <c r="C15" s="20" t="n">
        <v>5</v>
      </c>
      <c r="D15" s="20" t="n">
        <v>-1</v>
      </c>
      <c r="E15" s="20" t="n">
        <v>2</v>
      </c>
      <c r="F15" s="20" t="n">
        <v>-3</v>
      </c>
      <c r="G15" s="20" t="n">
        <v>-5</v>
      </c>
      <c r="H15" s="20" t="n">
        <v>-8</v>
      </c>
      <c r="I15" s="20" t="n">
        <v>-5</v>
      </c>
      <c r="J15" s="20" t="n">
        <v>-7</v>
      </c>
      <c r="K15" s="20" t="n">
        <v>-8</v>
      </c>
      <c r="L15" s="20" t="n">
        <v>-8</v>
      </c>
      <c r="M15" s="20" t="n">
        <v>-1</v>
      </c>
      <c r="N15" s="20" t="n">
        <v>-1</v>
      </c>
      <c r="O15" s="20" t="n">
        <v>-8</v>
      </c>
      <c r="P15" s="20" t="n">
        <v>-12</v>
      </c>
      <c r="Q15" s="20" t="n">
        <v>-11</v>
      </c>
      <c r="R15" s="20" t="n">
        <v>-1</v>
      </c>
      <c r="S15" s="20" t="n">
        <v>3</v>
      </c>
      <c r="T15" s="20" t="n">
        <v>2</v>
      </c>
      <c r="U15" s="20" t="n">
        <v>1</v>
      </c>
      <c r="V15" s="20" t="n">
        <v>3</v>
      </c>
      <c r="W15" s="20" t="n">
        <v>1</v>
      </c>
      <c r="X15" s="20" t="n">
        <v>6</v>
      </c>
      <c r="Y15" s="20" t="n">
        <v>9</v>
      </c>
      <c r="Z15" s="20" t="n">
        <v>8</v>
      </c>
      <c r="AA15" s="20" t="n">
        <v>4</v>
      </c>
      <c r="AB15" s="20" t="n">
        <v>5</v>
      </c>
      <c r="AC15" s="20" t="n">
        <v>2</v>
      </c>
      <c r="AD15" s="20" t="n">
        <v>13</v>
      </c>
      <c r="AE15" s="20" t="n">
        <v>6</v>
      </c>
      <c r="AF15" s="20" t="n">
        <v>3</v>
      </c>
      <c r="AG15" s="20" t="n">
        <v>3</v>
      </c>
      <c r="AH15" s="20" t="n">
        <v>1</v>
      </c>
    </row>
    <row r="16">
      <c r="A16" s="14" t="inlineStr">
        <is>
          <t>Petroleum &amp; Coal Products</t>
        </is>
      </c>
      <c r="B16" s="20" t="n">
        <v>0</v>
      </c>
      <c r="C16" s="20" t="n">
        <v>11</v>
      </c>
      <c r="D16" s="20" t="n">
        <v>-2</v>
      </c>
      <c r="E16" s="20" t="n">
        <v>-3</v>
      </c>
      <c r="F16" s="20" t="n">
        <v>0</v>
      </c>
      <c r="G16" s="20" t="n">
        <v>-8</v>
      </c>
      <c r="H16" s="20" t="n">
        <v>-5</v>
      </c>
      <c r="I16" s="20" t="n">
        <v>-6</v>
      </c>
      <c r="J16" s="20" t="n">
        <v>-4</v>
      </c>
      <c r="K16" s="20" t="n">
        <v>-6</v>
      </c>
      <c r="L16" s="20" t="n">
        <v>0</v>
      </c>
      <c r="M16" s="20" t="n">
        <v>0</v>
      </c>
      <c r="N16" s="20" t="n">
        <v>-2</v>
      </c>
      <c r="O16" s="20" t="n">
        <v>-9</v>
      </c>
      <c r="P16" s="20" t="n">
        <v>-11</v>
      </c>
      <c r="Q16" s="20" t="n">
        <v>-7</v>
      </c>
      <c r="R16" s="20" t="n">
        <v>0</v>
      </c>
      <c r="S16" s="20" t="n">
        <v>5</v>
      </c>
      <c r="T16" s="20" t="n">
        <v>6</v>
      </c>
      <c r="U16" s="20" t="n">
        <v>0</v>
      </c>
      <c r="V16" s="20" t="n">
        <v>4</v>
      </c>
      <c r="W16" s="20" t="n">
        <v>-1</v>
      </c>
      <c r="X16" s="20" t="n">
        <v>10</v>
      </c>
      <c r="Y16" s="20" t="n">
        <v>0</v>
      </c>
      <c r="Z16" s="20" t="n">
        <v>0</v>
      </c>
      <c r="AA16" s="20" t="n">
        <v>0</v>
      </c>
      <c r="AB16" s="20" t="n">
        <v>1</v>
      </c>
      <c r="AC16" s="20" t="n">
        <v>3</v>
      </c>
      <c r="AD16" s="20" t="n">
        <v>3</v>
      </c>
      <c r="AE16" s="20" t="n">
        <v>4</v>
      </c>
      <c r="AF16" s="20" t="n">
        <v>6</v>
      </c>
      <c r="AG16" s="20" t="n">
        <v>10</v>
      </c>
      <c r="AH16" s="20" t="n">
        <v>6</v>
      </c>
    </row>
    <row r="17">
      <c r="A17" s="14" t="inlineStr">
        <is>
          <t>Furniture &amp; Related Products</t>
        </is>
      </c>
      <c r="B17" s="20" t="n">
        <v>8</v>
      </c>
      <c r="C17" s="20" t="n">
        <v>0</v>
      </c>
      <c r="D17" s="20" t="n">
        <v>8</v>
      </c>
      <c r="E17" s="20" t="n">
        <v>12</v>
      </c>
      <c r="F17" s="20" t="n">
        <v>10</v>
      </c>
      <c r="G17" s="20" t="n">
        <v>0</v>
      </c>
      <c r="H17" s="20" t="n">
        <v>0</v>
      </c>
      <c r="I17" s="20" t="n">
        <v>0</v>
      </c>
      <c r="J17" s="20" t="n">
        <v>4</v>
      </c>
      <c r="K17" s="20" t="n">
        <v>-9</v>
      </c>
      <c r="L17" s="20" t="n">
        <v>-11</v>
      </c>
      <c r="M17" s="20" t="n">
        <v>9</v>
      </c>
      <c r="N17" s="20" t="n">
        <v>8</v>
      </c>
      <c r="O17" s="20" t="n">
        <v>-4</v>
      </c>
      <c r="P17" s="20" t="n">
        <v>-10</v>
      </c>
      <c r="Q17" s="20" t="n">
        <v>0</v>
      </c>
      <c r="R17" s="20" t="n">
        <v>5</v>
      </c>
      <c r="S17" s="20" t="n">
        <v>12</v>
      </c>
      <c r="T17" s="20" t="n">
        <v>4</v>
      </c>
      <c r="U17" s="20" t="n">
        <v>9</v>
      </c>
      <c r="V17" s="20" t="n">
        <v>10</v>
      </c>
      <c r="W17" s="20" t="n">
        <v>0</v>
      </c>
      <c r="X17" s="20" t="n">
        <v>11</v>
      </c>
      <c r="Y17" s="20" t="n">
        <v>2</v>
      </c>
      <c r="Z17" s="20" t="n">
        <v>0</v>
      </c>
      <c r="AA17" s="20" t="n">
        <v>10</v>
      </c>
      <c r="AB17" s="20" t="n">
        <v>8</v>
      </c>
      <c r="AC17" s="20" t="n">
        <v>15</v>
      </c>
      <c r="AD17" s="20" t="n">
        <v>15</v>
      </c>
      <c r="AE17" s="20" t="n">
        <v>15</v>
      </c>
      <c r="AF17" s="20" t="n">
        <v>14</v>
      </c>
      <c r="AG17" s="20" t="n">
        <v>11</v>
      </c>
      <c r="AH17" s="20" t="n">
        <v>13</v>
      </c>
    </row>
    <row r="18">
      <c r="A18" s="14" t="inlineStr">
        <is>
          <t>Textile Mills</t>
        </is>
      </c>
      <c r="B18" s="20" t="n">
        <v>0</v>
      </c>
      <c r="C18" s="20" t="n">
        <v>10</v>
      </c>
      <c r="D18" s="20" t="n">
        <v>9</v>
      </c>
      <c r="E18" s="20" t="n">
        <v>8</v>
      </c>
      <c r="F18" s="20" t="n">
        <v>8</v>
      </c>
      <c r="G18" s="20" t="n">
        <v>3</v>
      </c>
      <c r="H18" s="20" t="n">
        <v>-7</v>
      </c>
      <c r="I18" s="20" t="n">
        <v>-10</v>
      </c>
      <c r="J18" s="20" t="n">
        <v>-8</v>
      </c>
      <c r="K18" s="20" t="n">
        <v>-11</v>
      </c>
      <c r="L18" s="20" t="n">
        <v>3</v>
      </c>
      <c r="M18" s="20" t="n">
        <v>-4</v>
      </c>
      <c r="N18" s="20" t="n">
        <v>9</v>
      </c>
      <c r="O18" s="20" t="n">
        <v>-6</v>
      </c>
      <c r="P18" s="20" t="n">
        <v>-15</v>
      </c>
      <c r="Q18" s="20" t="n">
        <v>4</v>
      </c>
      <c r="R18" s="20" t="n">
        <v>11</v>
      </c>
      <c r="S18" s="20" t="n">
        <v>-2</v>
      </c>
      <c r="T18" s="20" t="n">
        <v>0</v>
      </c>
      <c r="U18" s="20" t="n">
        <v>-2</v>
      </c>
      <c r="V18" s="20" t="n">
        <v>-1</v>
      </c>
      <c r="W18" s="20" t="n">
        <v>13</v>
      </c>
      <c r="X18" s="20" t="n">
        <v>-2</v>
      </c>
      <c r="Y18" s="20" t="n">
        <v>-1</v>
      </c>
      <c r="Z18" s="20" t="n">
        <v>10</v>
      </c>
      <c r="AA18" s="20" t="n">
        <v>13</v>
      </c>
      <c r="AB18" s="20" t="n">
        <v>15</v>
      </c>
      <c r="AC18" s="20" t="n">
        <v>7</v>
      </c>
      <c r="AD18" s="20" t="n">
        <v>0</v>
      </c>
      <c r="AE18" s="20" t="n">
        <v>-1</v>
      </c>
      <c r="AF18" s="20" t="n">
        <v>0</v>
      </c>
      <c r="AG18" s="20" t="n">
        <v>0</v>
      </c>
      <c r="AH18" s="20" t="n">
        <v>11</v>
      </c>
    </row>
    <row r="19">
      <c r="A19" s="15" t="inlineStr">
        <is>
          <t>Wood Products</t>
        </is>
      </c>
      <c r="B19" s="20" t="n">
        <v>13</v>
      </c>
      <c r="C19" s="20" t="n">
        <v>14</v>
      </c>
      <c r="D19" s="20" t="n">
        <v>13</v>
      </c>
      <c r="E19" s="20" t="n">
        <v>0</v>
      </c>
      <c r="F19" s="20" t="n">
        <v>-4</v>
      </c>
      <c r="G19" s="20" t="n">
        <v>6</v>
      </c>
      <c r="H19" s="20" t="n">
        <v>-9</v>
      </c>
      <c r="I19" s="20" t="n">
        <v>-9</v>
      </c>
      <c r="J19" s="20" t="n">
        <v>5</v>
      </c>
      <c r="K19" s="20" t="n">
        <v>-12</v>
      </c>
      <c r="L19" s="20" t="n">
        <v>-12</v>
      </c>
      <c r="M19" s="20" t="n">
        <v>10</v>
      </c>
      <c r="N19" s="20" t="n">
        <v>16</v>
      </c>
      <c r="O19" s="20" t="n">
        <v>9</v>
      </c>
      <c r="P19" s="20" t="n">
        <v>-3</v>
      </c>
      <c r="Q19" s="20" t="n">
        <v>-2</v>
      </c>
      <c r="R19" s="20" t="n">
        <v>9</v>
      </c>
      <c r="S19" s="20" t="n">
        <v>13</v>
      </c>
      <c r="T19" s="20" t="n">
        <v>13</v>
      </c>
      <c r="U19" s="20" t="n">
        <v>12</v>
      </c>
      <c r="V19" s="20" t="n">
        <v>15</v>
      </c>
      <c r="W19" s="20" t="n">
        <v>12</v>
      </c>
      <c r="X19" s="20" t="n">
        <v>12</v>
      </c>
      <c r="Y19" s="20" t="n">
        <v>8</v>
      </c>
      <c r="Z19" s="20" t="n">
        <v>12</v>
      </c>
      <c r="AA19" s="20" t="n">
        <v>-1</v>
      </c>
      <c r="AB19" s="20" t="n">
        <v>4</v>
      </c>
      <c r="AC19" s="20" t="n">
        <v>4</v>
      </c>
      <c r="AD19" s="20" t="n">
        <v>-1</v>
      </c>
      <c r="AE19" s="20" t="n">
        <v>0</v>
      </c>
      <c r="AF19" s="20" t="n">
        <v>0</v>
      </c>
      <c r="AG19" s="20" t="n">
        <v>-1</v>
      </c>
      <c r="AH19" s="20" t="n">
        <v>0</v>
      </c>
    </row>
  </sheetData>
  <conditionalFormatting sqref="C2:C19">
    <cfRule type="cellIs" priority="161" operator="equal" dxfId="0">
      <formula>0</formula>
    </cfRule>
    <cfRule type="cellIs" priority="162" operator="lessThan" dxfId="1">
      <formula>0</formula>
    </cfRule>
    <cfRule type="cellIs" priority="163" operator="greaterThan" dxfId="0">
      <formula>0</formula>
    </cfRule>
    <cfRule type="colorScale" priority="165">
      <colorScale>
        <cfvo type="min"/>
        <cfvo type="percentile" val="50"/>
        <cfvo type="max"/>
        <color rgb="FFF8696B"/>
        <color rgb="FFFFEB84"/>
        <color rgb="FF63BE7B"/>
      </colorScale>
    </cfRule>
    <cfRule type="colorScale" priority="164">
      <colorScale>
        <cfvo type="min"/>
        <cfvo type="percentile" val="50"/>
        <cfvo type="max"/>
        <color rgb="FFF8696B"/>
        <color rgb="FFFFEB84"/>
        <color rgb="FF63BE7B"/>
      </colorScale>
    </cfRule>
  </conditionalFormatting>
  <conditionalFormatting sqref="D2:D19">
    <cfRule type="cellIs" priority="156" operator="equal" dxfId="0">
      <formula>0</formula>
    </cfRule>
    <cfRule type="cellIs" priority="157" operator="lessThan" dxfId="1">
      <formula>0</formula>
    </cfRule>
    <cfRule type="cellIs" priority="158" operator="greaterThan" dxfId="0">
      <formula>0</formula>
    </cfRule>
    <cfRule type="colorScale" priority="160">
      <colorScale>
        <cfvo type="min"/>
        <cfvo type="percentile" val="50"/>
        <cfvo type="max"/>
        <color rgb="FFF8696B"/>
        <color rgb="FFFFEB84"/>
        <color rgb="FF63BE7B"/>
      </colorScale>
    </cfRule>
    <cfRule type="colorScale" priority="159">
      <colorScale>
        <cfvo type="min"/>
        <cfvo type="percentile" val="50"/>
        <cfvo type="max"/>
        <color rgb="FFF8696B"/>
        <color rgb="FFFFEB84"/>
        <color rgb="FF63BE7B"/>
      </colorScale>
    </cfRule>
  </conditionalFormatting>
  <conditionalFormatting sqref="E2:E19">
    <cfRule type="cellIs" priority="151" operator="equal" dxfId="0">
      <formula>0</formula>
    </cfRule>
    <cfRule type="cellIs" priority="152" operator="lessThan" dxfId="1">
      <formula>0</formula>
    </cfRule>
    <cfRule type="cellIs" priority="153" operator="greaterThan" dxfId="0">
      <formula>0</formula>
    </cfRule>
    <cfRule type="colorScale" priority="155">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onditionalFormatting>
  <conditionalFormatting sqref="F2:F19">
    <cfRule type="cellIs" priority="146" operator="equal" dxfId="0">
      <formula>0</formula>
    </cfRule>
    <cfRule type="cellIs" priority="147" operator="lessThan" dxfId="1">
      <formula>0</formula>
    </cfRule>
    <cfRule type="cellIs" priority="148" operator="greaterThan" dxfId="0">
      <formula>0</formula>
    </cfRule>
    <cfRule type="colorScale" priority="150">
      <colorScale>
        <cfvo type="min"/>
        <cfvo type="percentile" val="50"/>
        <cfvo type="max"/>
        <color rgb="FFF8696B"/>
        <color rgb="FFFFEB84"/>
        <color rgb="FF63BE7B"/>
      </colorScale>
    </cfRule>
    <cfRule type="colorScale" priority="149">
      <colorScale>
        <cfvo type="min"/>
        <cfvo type="percentile" val="50"/>
        <cfvo type="max"/>
        <color rgb="FFF8696B"/>
        <color rgb="FFFFEB84"/>
        <color rgb="FF63BE7B"/>
      </colorScale>
    </cfRule>
  </conditionalFormatting>
  <conditionalFormatting sqref="G2:G19">
    <cfRule type="cellIs" priority="141" operator="equal" dxfId="0">
      <formula>0</formula>
    </cfRule>
    <cfRule type="cellIs" priority="142" operator="lessThan" dxfId="1">
      <formula>0</formula>
    </cfRule>
    <cfRule type="cellIs" priority="143" operator="greaterThan" dxfId="0">
      <formula>0</formula>
    </cfRule>
    <cfRule type="colorScale" priority="145">
      <colorScale>
        <cfvo type="min"/>
        <cfvo type="percentile" val="50"/>
        <cfvo type="max"/>
        <color rgb="FFF8696B"/>
        <color rgb="FFFFEB84"/>
        <color rgb="FF63BE7B"/>
      </colorScale>
    </cfRule>
    <cfRule type="colorScale" priority="144">
      <colorScale>
        <cfvo type="min"/>
        <cfvo type="percentile" val="50"/>
        <cfvo type="max"/>
        <color rgb="FFF8696B"/>
        <color rgb="FFFFEB84"/>
        <color rgb="FF63BE7B"/>
      </colorScale>
    </cfRule>
  </conditionalFormatting>
  <conditionalFormatting sqref="H2:H19">
    <cfRule type="cellIs" priority="136" operator="equal" dxfId="0">
      <formula>0</formula>
    </cfRule>
    <cfRule type="cellIs" priority="137" operator="lessThan" dxfId="1">
      <formula>0</formula>
    </cfRule>
    <cfRule type="cellIs" priority="138" operator="greaterThan" dxfId="0">
      <formula>0</formula>
    </cfRule>
    <cfRule type="colorScale" priority="140">
      <colorScale>
        <cfvo type="min"/>
        <cfvo type="percentile" val="50"/>
        <cfvo type="max"/>
        <color rgb="FFF8696B"/>
        <color rgb="FFFFEB84"/>
        <color rgb="FF63BE7B"/>
      </colorScale>
    </cfRule>
    <cfRule type="colorScale" priority="139">
      <colorScale>
        <cfvo type="min"/>
        <cfvo type="percentile" val="50"/>
        <cfvo type="max"/>
        <color rgb="FFF8696B"/>
        <color rgb="FFFFEB84"/>
        <color rgb="FF63BE7B"/>
      </colorScale>
    </cfRule>
  </conditionalFormatting>
  <conditionalFormatting sqref="B2:B19">
    <cfRule type="cellIs" priority="131" operator="equal" dxfId="0">
      <formula>0</formula>
    </cfRule>
    <cfRule type="cellIs" priority="132" operator="lessThan" dxfId="1">
      <formula>0</formula>
    </cfRule>
    <cfRule type="cellIs" priority="133" operator="greaterThan" dxfId="0">
      <formula>0</formula>
    </cfRule>
    <cfRule type="colorScale" priority="135">
      <colorScale>
        <cfvo type="min"/>
        <cfvo type="percentile" val="50"/>
        <cfvo type="max"/>
        <color rgb="FFF8696B"/>
        <color rgb="FFFFEB84"/>
        <color rgb="FF63BE7B"/>
      </colorScale>
    </cfRule>
    <cfRule type="colorScale" priority="134">
      <colorScale>
        <cfvo type="min"/>
        <cfvo type="percentile" val="50"/>
        <cfvo type="max"/>
        <color rgb="FFF8696B"/>
        <color rgb="FFFFEB84"/>
        <color rgb="FF63BE7B"/>
      </colorScale>
    </cfRule>
  </conditionalFormatting>
  <conditionalFormatting sqref="I2:I19">
    <cfRule type="cellIs" priority="126" operator="equal" dxfId="0">
      <formula>0</formula>
    </cfRule>
    <cfRule type="cellIs" priority="127" operator="lessThan" dxfId="1">
      <formula>0</formula>
    </cfRule>
    <cfRule type="cellIs" priority="128" operator="greaterThan" dxfId="0">
      <formula>0</formula>
    </cfRule>
    <cfRule type="colorScale" priority="130">
      <colorScale>
        <cfvo type="min"/>
        <cfvo type="percentile" val="50"/>
        <cfvo type="max"/>
        <color rgb="FFF8696B"/>
        <color rgb="FFFFEB84"/>
        <color rgb="FF63BE7B"/>
      </colorScale>
    </cfRule>
    <cfRule type="colorScale" priority="129">
      <colorScale>
        <cfvo type="min"/>
        <cfvo type="percentile" val="50"/>
        <cfvo type="max"/>
        <color rgb="FFF8696B"/>
        <color rgb="FFFFEB84"/>
        <color rgb="FF63BE7B"/>
      </colorScale>
    </cfRule>
  </conditionalFormatting>
  <conditionalFormatting sqref="J2:J19">
    <cfRule type="cellIs" priority="121" operator="equal" dxfId="0">
      <formula>0</formula>
    </cfRule>
    <cfRule type="cellIs" priority="122" operator="lessThan" dxfId="1">
      <formula>0</formula>
    </cfRule>
    <cfRule type="cellIs" priority="123" operator="greaterThan" dxfId="0">
      <formula>0</formula>
    </cfRule>
    <cfRule type="colorScale" priority="125">
      <colorScale>
        <cfvo type="min"/>
        <cfvo type="percentile" val="50"/>
        <cfvo type="max"/>
        <color rgb="FFF8696B"/>
        <color rgb="FFFFEB84"/>
        <color rgb="FF63BE7B"/>
      </colorScale>
    </cfRule>
    <cfRule type="colorScale" priority="124">
      <colorScale>
        <cfvo type="min"/>
        <cfvo type="percentile" val="50"/>
        <cfvo type="max"/>
        <color rgb="FFF8696B"/>
        <color rgb="FFFFEB84"/>
        <color rgb="FF63BE7B"/>
      </colorScale>
    </cfRule>
  </conditionalFormatting>
  <conditionalFormatting sqref="K2:K19">
    <cfRule type="cellIs" priority="116" operator="equal" dxfId="0">
      <formula>0</formula>
    </cfRule>
    <cfRule type="cellIs" priority="117" operator="lessThan" dxfId="1">
      <formula>0</formula>
    </cfRule>
    <cfRule type="cellIs" priority="118" operator="greaterThan" dxfId="0">
      <formula>0</formula>
    </cfRule>
    <cfRule type="colorScale" priority="120">
      <colorScale>
        <cfvo type="min"/>
        <cfvo type="percentile" val="50"/>
        <cfvo type="max"/>
        <color rgb="FFF8696B"/>
        <color rgb="FFFFEB84"/>
        <color rgb="FF63BE7B"/>
      </colorScale>
    </cfRule>
    <cfRule type="colorScale" priority="119">
      <colorScale>
        <cfvo type="min"/>
        <cfvo type="percentile" val="50"/>
        <cfvo type="max"/>
        <color rgb="FFF8696B"/>
        <color rgb="FFFFEB84"/>
        <color rgb="FF63BE7B"/>
      </colorScale>
    </cfRule>
  </conditionalFormatting>
  <conditionalFormatting sqref="L2:L19">
    <cfRule type="cellIs" priority="111" operator="equal" dxfId="0">
      <formula>0</formula>
    </cfRule>
    <cfRule type="cellIs" priority="112" operator="lessThan" dxfId="1">
      <formula>0</formula>
    </cfRule>
    <cfRule type="cellIs" priority="113" operator="greaterThan" dxfId="0">
      <formula>0</formula>
    </cfRule>
    <cfRule type="colorScale" priority="115">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onditionalFormatting>
  <conditionalFormatting sqref="M2:M19">
    <cfRule type="cellIs" priority="106" operator="equal" dxfId="0">
      <formula>0</formula>
    </cfRule>
    <cfRule type="cellIs" priority="107" operator="lessThan" dxfId="1">
      <formula>0</formula>
    </cfRule>
    <cfRule type="cellIs" priority="108" operator="greaterThan" dxfId="0">
      <formula>0</formula>
    </cfRule>
    <cfRule type="colorScale" priority="110">
      <colorScale>
        <cfvo type="min"/>
        <cfvo type="percentile" val="50"/>
        <cfvo type="max"/>
        <color rgb="FFF8696B"/>
        <color rgb="FFFFEB84"/>
        <color rgb="FF63BE7B"/>
      </colorScale>
    </cfRule>
    <cfRule type="colorScale" priority="109">
      <colorScale>
        <cfvo type="min"/>
        <cfvo type="percentile" val="50"/>
        <cfvo type="max"/>
        <color rgb="FFF8696B"/>
        <color rgb="FFFFEB84"/>
        <color rgb="FF63BE7B"/>
      </colorScale>
    </cfRule>
  </conditionalFormatting>
  <conditionalFormatting sqref="N2:N19">
    <cfRule type="cellIs" priority="101" operator="equal" dxfId="0">
      <formula>0</formula>
    </cfRule>
    <cfRule type="cellIs" priority="102" operator="lessThan" dxfId="1">
      <formula>0</formula>
    </cfRule>
    <cfRule type="cellIs" priority="103" operator="greaterThan" dxfId="0">
      <formula>0</formula>
    </cfRule>
    <cfRule type="colorScale" priority="105">
      <colorScale>
        <cfvo type="min"/>
        <cfvo type="percentile" val="50"/>
        <cfvo type="max"/>
        <color rgb="FFF8696B"/>
        <color rgb="FFFFEB84"/>
        <color rgb="FF63BE7B"/>
      </colorScale>
    </cfRule>
    <cfRule type="colorScale" priority="104">
      <colorScale>
        <cfvo type="min"/>
        <cfvo type="percentile" val="50"/>
        <cfvo type="max"/>
        <color rgb="FFF8696B"/>
        <color rgb="FFFFEB84"/>
        <color rgb="FF63BE7B"/>
      </colorScale>
    </cfRule>
  </conditionalFormatting>
  <conditionalFormatting sqref="O2:O19">
    <cfRule type="cellIs" priority="96" operator="equal" dxfId="0">
      <formula>0</formula>
    </cfRule>
    <cfRule type="cellIs" priority="97" operator="lessThan" dxfId="1">
      <formula>0</formula>
    </cfRule>
    <cfRule type="cellIs" priority="98" operator="greaterThan" dxfId="0">
      <formula>0</formula>
    </cfRule>
    <cfRule type="colorScale" priority="100">
      <colorScale>
        <cfvo type="min"/>
        <cfvo type="percentile" val="50"/>
        <cfvo type="max"/>
        <color rgb="FFF8696B"/>
        <color rgb="FFFFEB84"/>
        <color rgb="FF63BE7B"/>
      </colorScale>
    </cfRule>
    <cfRule type="colorScale" priority="99">
      <colorScale>
        <cfvo type="min"/>
        <cfvo type="percentile" val="50"/>
        <cfvo type="max"/>
        <color rgb="FFF8696B"/>
        <color rgb="FFFFEB84"/>
        <color rgb="FF63BE7B"/>
      </colorScale>
    </cfRule>
  </conditionalFormatting>
  <conditionalFormatting sqref="P2:P19">
    <cfRule type="cellIs" priority="91" operator="equal" dxfId="0">
      <formula>0</formula>
    </cfRule>
    <cfRule type="cellIs" priority="92" operator="lessThan" dxfId="1">
      <formula>0</formula>
    </cfRule>
    <cfRule type="cellIs" priority="93" operator="greaterThan" dxfId="0">
      <formula>0</formula>
    </cfRule>
    <cfRule type="colorScale" priority="95">
      <colorScale>
        <cfvo type="min"/>
        <cfvo type="percentile" val="50"/>
        <cfvo type="max"/>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Q2:Q19">
    <cfRule type="cellIs" priority="86" operator="equal" dxfId="0">
      <formula>0</formula>
    </cfRule>
    <cfRule type="cellIs" priority="87" operator="lessThan" dxfId="1">
      <formula>0</formula>
    </cfRule>
    <cfRule type="cellIs" priority="88" operator="greaterThan" dxfId="0">
      <formula>0</formula>
    </cfRule>
    <cfRule type="colorScale" priority="90">
      <colorScale>
        <cfvo type="min"/>
        <cfvo type="percentile" val="50"/>
        <cfvo type="max"/>
        <color rgb="FFF8696B"/>
        <color rgb="FFFFEB84"/>
        <color rgb="FF63BE7B"/>
      </colorScale>
    </cfRule>
    <cfRule type="colorScale" priority="89">
      <colorScale>
        <cfvo type="min"/>
        <cfvo type="percentile" val="50"/>
        <cfvo type="max"/>
        <color rgb="FFF8696B"/>
        <color rgb="FFFFEB84"/>
        <color rgb="FF63BE7B"/>
      </colorScale>
    </cfRule>
  </conditionalFormatting>
  <conditionalFormatting sqref="R2:R19">
    <cfRule type="cellIs" priority="81" operator="equal" dxfId="0">
      <formula>0</formula>
    </cfRule>
    <cfRule type="cellIs" priority="82" operator="lessThan" dxfId="1">
      <formula>0</formula>
    </cfRule>
    <cfRule type="cellIs" priority="83" operator="greaterThan" dxfId="0">
      <formula>0</formula>
    </cfRule>
    <cfRule type="colorScale" priority="85">
      <colorScale>
        <cfvo type="min"/>
        <cfvo type="percentile" val="50"/>
        <cfvo type="max"/>
        <color rgb="FFF8696B"/>
        <color rgb="FFFFEB84"/>
        <color rgb="FF63BE7B"/>
      </colorScale>
    </cfRule>
    <cfRule type="colorScale" priority="84">
      <colorScale>
        <cfvo type="min"/>
        <cfvo type="percentile" val="50"/>
        <cfvo type="max"/>
        <color rgb="FFF8696B"/>
        <color rgb="FFFFEB84"/>
        <color rgb="FF63BE7B"/>
      </colorScale>
    </cfRule>
  </conditionalFormatting>
  <conditionalFormatting sqref="S2:S19">
    <cfRule type="cellIs" priority="76" operator="equal" dxfId="0">
      <formula>0</formula>
    </cfRule>
    <cfRule type="cellIs" priority="77" operator="lessThan" dxfId="1">
      <formula>0</formula>
    </cfRule>
    <cfRule type="cellIs" priority="78" operator="greaterThan" dxfId="0">
      <formula>0</formula>
    </cfRule>
    <cfRule type="colorScale" priority="80">
      <colorScale>
        <cfvo type="min"/>
        <cfvo type="percentile" val="50"/>
        <cfvo type="max"/>
        <color rgb="FFF8696B"/>
        <color rgb="FFFFEB84"/>
        <color rgb="FF63BE7B"/>
      </colorScale>
    </cfRule>
    <cfRule type="colorScale" priority="79">
      <colorScale>
        <cfvo type="min"/>
        <cfvo type="percentile" val="50"/>
        <cfvo type="max"/>
        <color rgb="FFF8696B"/>
        <color rgb="FFFFEB84"/>
        <color rgb="FF63BE7B"/>
      </colorScale>
    </cfRule>
  </conditionalFormatting>
  <conditionalFormatting sqref="T2:T19">
    <cfRule type="cellIs" priority="71" operator="equal" dxfId="0">
      <formula>0</formula>
    </cfRule>
    <cfRule type="cellIs" priority="72" operator="lessThan" dxfId="1">
      <formula>0</formula>
    </cfRule>
    <cfRule type="cellIs" priority="73" operator="greaterThan" dxfId="0">
      <formula>0</formula>
    </cfRule>
    <cfRule type="colorScale" priority="75">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onditionalFormatting>
  <conditionalFormatting sqref="U2:U19">
    <cfRule type="cellIs" priority="66" operator="equal" dxfId="0">
      <formula>0</formula>
    </cfRule>
    <cfRule type="cellIs" priority="67" operator="lessThan" dxfId="1">
      <formula>0</formula>
    </cfRule>
    <cfRule type="cellIs" priority="68" operator="greaterThan" dxfId="0">
      <formula>0</formula>
    </cfRule>
    <cfRule type="colorScale" priority="70">
      <colorScale>
        <cfvo type="min"/>
        <cfvo type="percentile" val="50"/>
        <cfvo type="max"/>
        <color rgb="FFF8696B"/>
        <color rgb="FFFFEB84"/>
        <color rgb="FF63BE7B"/>
      </colorScale>
    </cfRule>
    <cfRule type="colorScale" priority="69">
      <colorScale>
        <cfvo type="min"/>
        <cfvo type="percentile" val="50"/>
        <cfvo type="max"/>
        <color rgb="FFF8696B"/>
        <color rgb="FFFFEB84"/>
        <color rgb="FF63BE7B"/>
      </colorScale>
    </cfRule>
  </conditionalFormatting>
  <conditionalFormatting sqref="V2:V19">
    <cfRule type="cellIs" priority="61" operator="equal" dxfId="0">
      <formula>0</formula>
    </cfRule>
    <cfRule type="cellIs" priority="62" operator="lessThan" dxfId="1">
      <formula>0</formula>
    </cfRule>
    <cfRule type="cellIs" priority="63" operator="greaterThan" dxfId="0">
      <formula>0</formula>
    </cfRule>
    <cfRule type="colorScale" priority="65">
      <colorScale>
        <cfvo type="min"/>
        <cfvo type="percentile" val="50"/>
        <cfvo type="max"/>
        <color rgb="FFF8696B"/>
        <color rgb="FFFFEB84"/>
        <color rgb="FF63BE7B"/>
      </colorScale>
    </cfRule>
    <cfRule type="colorScale" priority="64">
      <colorScale>
        <cfvo type="min"/>
        <cfvo type="percentile" val="50"/>
        <cfvo type="max"/>
        <color rgb="FFF8696B"/>
        <color rgb="FFFFEB84"/>
        <color rgb="FF63BE7B"/>
      </colorScale>
    </cfRule>
  </conditionalFormatting>
  <conditionalFormatting sqref="W2:W19">
    <cfRule type="cellIs" priority="56" operator="equal" dxfId="0">
      <formula>0</formula>
    </cfRule>
    <cfRule type="cellIs" priority="57" operator="lessThan" dxfId="1">
      <formula>0</formula>
    </cfRule>
    <cfRule type="cellIs" priority="58" operator="greaterThan" dxfId="0">
      <formula>0</formula>
    </cfRule>
    <cfRule type="colorScale" priority="60">
      <colorScale>
        <cfvo type="min"/>
        <cfvo type="percentile" val="50"/>
        <cfvo type="max"/>
        <color rgb="FFF8696B"/>
        <color rgb="FFFFEB84"/>
        <color rgb="FF63BE7B"/>
      </colorScale>
    </cfRule>
    <cfRule type="colorScale" priority="59">
      <colorScale>
        <cfvo type="min"/>
        <cfvo type="percentile" val="50"/>
        <cfvo type="max"/>
        <color rgb="FFF8696B"/>
        <color rgb="FFFFEB84"/>
        <color rgb="FF63BE7B"/>
      </colorScale>
    </cfRule>
  </conditionalFormatting>
  <conditionalFormatting sqref="X2:X19">
    <cfRule type="cellIs" priority="51" operator="equal" dxfId="0">
      <formula>0</formula>
    </cfRule>
    <cfRule type="cellIs" priority="52" operator="lessThan" dxfId="1">
      <formula>0</formula>
    </cfRule>
    <cfRule type="cellIs" priority="53" operator="greaterThan" dxfId="0">
      <formula>0</formula>
    </cfRule>
    <cfRule type="colorScale" priority="55">
      <colorScale>
        <cfvo type="min"/>
        <cfvo type="percentile" val="50"/>
        <cfvo type="max"/>
        <color rgb="FFF8696B"/>
        <color rgb="FFFFEB84"/>
        <color rgb="FF63BE7B"/>
      </colorScale>
    </cfRule>
    <cfRule type="colorScale" priority="54">
      <colorScale>
        <cfvo type="min"/>
        <cfvo type="percentile" val="50"/>
        <cfvo type="max"/>
        <color rgb="FFF8696B"/>
        <color rgb="FFFFEB84"/>
        <color rgb="FF63BE7B"/>
      </colorScale>
    </cfRule>
  </conditionalFormatting>
  <conditionalFormatting sqref="Y2:Y19">
    <cfRule type="cellIs" priority="46" operator="equal" dxfId="0">
      <formula>0</formula>
    </cfRule>
    <cfRule type="cellIs" priority="47" operator="lessThan" dxfId="1">
      <formula>0</formula>
    </cfRule>
    <cfRule type="cellIs" priority="48" operator="greaterThan" dxfId="0">
      <formula>0</formula>
    </cfRule>
    <cfRule type="colorScale" priority="50">
      <colorScale>
        <cfvo type="min"/>
        <cfvo type="percentile" val="50"/>
        <cfvo type="max"/>
        <color rgb="FFF8696B"/>
        <color rgb="FFFFEB84"/>
        <color rgb="FF63BE7B"/>
      </colorScale>
    </cfRule>
    <cfRule type="colorScale" priority="49">
      <colorScale>
        <cfvo type="min"/>
        <cfvo type="percentile" val="50"/>
        <cfvo type="max"/>
        <color rgb="FFF8696B"/>
        <color rgb="FFFFEB84"/>
        <color rgb="FF63BE7B"/>
      </colorScale>
    </cfRule>
  </conditionalFormatting>
  <conditionalFormatting sqref="Z2:Z19">
    <cfRule type="cellIs" priority="41" operator="equal" dxfId="0">
      <formula>0</formula>
    </cfRule>
    <cfRule type="cellIs" priority="42" operator="lessThan" dxfId="1">
      <formula>0</formula>
    </cfRule>
    <cfRule type="cellIs" priority="43" operator="greaterThan" dxfId="0">
      <formula>0</formula>
    </cfRule>
    <cfRule type="colorScale" priority="45">
      <colorScale>
        <cfvo type="min"/>
        <cfvo type="percentile" val="50"/>
        <cfvo type="max"/>
        <color rgb="FFF8696B"/>
        <color rgb="FFFFEB84"/>
        <color rgb="FF63BE7B"/>
      </colorScale>
    </cfRule>
    <cfRule type="colorScale" priority="44">
      <colorScale>
        <cfvo type="min"/>
        <cfvo type="percentile" val="50"/>
        <cfvo type="max"/>
        <color rgb="FFF8696B"/>
        <color rgb="FFFFEB84"/>
        <color rgb="FF63BE7B"/>
      </colorScale>
    </cfRule>
  </conditionalFormatting>
  <conditionalFormatting sqref="AA2:AA19">
    <cfRule type="cellIs" priority="36" operator="equal" dxfId="0">
      <formula>0</formula>
    </cfRule>
    <cfRule type="cellIs" priority="37" operator="lessThan" dxfId="1">
      <formula>0</formula>
    </cfRule>
    <cfRule type="cellIs" priority="38" operator="greaterThan" dxfId="0">
      <formula>0</formula>
    </cfRule>
    <cfRule type="colorScale" priority="40">
      <colorScale>
        <cfvo type="min"/>
        <cfvo type="percentile" val="50"/>
        <cfvo type="max"/>
        <color rgb="FFF8696B"/>
        <color rgb="FFFFEB84"/>
        <color rgb="FF63BE7B"/>
      </colorScale>
    </cfRule>
    <cfRule type="colorScale" priority="39">
      <colorScale>
        <cfvo type="min"/>
        <cfvo type="percentile" val="50"/>
        <cfvo type="max"/>
        <color rgb="FFF8696B"/>
        <color rgb="FFFFEB84"/>
        <color rgb="FF63BE7B"/>
      </colorScale>
    </cfRule>
  </conditionalFormatting>
  <conditionalFormatting sqref="AB2:AB19">
    <cfRule type="cellIs" priority="31" operator="equal" dxfId="0">
      <formula>0</formula>
    </cfRule>
    <cfRule type="cellIs" priority="32" operator="lessThan" dxfId="1">
      <formula>0</formula>
    </cfRule>
    <cfRule type="cellIs" priority="33" operator="greaterThan" dxfId="0">
      <formula>0</formula>
    </cfRule>
    <cfRule type="colorScale" priority="35">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onditionalFormatting>
  <conditionalFormatting sqref="AC2:AC19">
    <cfRule type="cellIs" priority="26" operator="equal" dxfId="0">
      <formula>0</formula>
    </cfRule>
    <cfRule type="cellIs" priority="27" operator="lessThan" dxfId="1">
      <formula>0</formula>
    </cfRule>
    <cfRule type="cellIs" priority="28" operator="greaterThan" dxfId="0">
      <formula>0</formula>
    </cfRule>
    <cfRule type="colorScale" priority="30">
      <colorScale>
        <cfvo type="min"/>
        <cfvo type="percentile" val="50"/>
        <cfvo type="max"/>
        <color rgb="FFF8696B"/>
        <color rgb="FFFFEB84"/>
        <color rgb="FF63BE7B"/>
      </colorScale>
    </cfRule>
    <cfRule type="colorScale" priority="29">
      <colorScale>
        <cfvo type="min"/>
        <cfvo type="percentile" val="50"/>
        <cfvo type="max"/>
        <color rgb="FFF8696B"/>
        <color rgb="FFFFEB84"/>
        <color rgb="FF63BE7B"/>
      </colorScale>
    </cfRule>
  </conditionalFormatting>
  <conditionalFormatting sqref="AD2:AD19">
    <cfRule type="cellIs" priority="21" operator="equal" dxfId="0">
      <formula>0</formula>
    </cfRule>
    <cfRule type="cellIs" priority="22" operator="lessThan" dxfId="1">
      <formula>0</formula>
    </cfRule>
    <cfRule type="cellIs" priority="23" operator="greaterThan" dxfId="0">
      <formula>0</formula>
    </cfRule>
    <cfRule type="colorScale" priority="25">
      <colorScale>
        <cfvo type="min"/>
        <cfvo type="percentile" val="50"/>
        <cfvo type="max"/>
        <color rgb="FFF8696B"/>
        <color rgb="FFFFEB84"/>
        <color rgb="FF63BE7B"/>
      </colorScale>
    </cfRule>
    <cfRule type="colorScale" priority="24">
      <colorScale>
        <cfvo type="min"/>
        <cfvo type="percentile" val="50"/>
        <cfvo type="max"/>
        <color rgb="FFF8696B"/>
        <color rgb="FFFFEB84"/>
        <color rgb="FF63BE7B"/>
      </colorScale>
    </cfRule>
  </conditionalFormatting>
  <conditionalFormatting sqref="AE2:AE19">
    <cfRule type="cellIs" priority="16" operator="equal" dxfId="0">
      <formula>0</formula>
    </cfRule>
    <cfRule type="cellIs" priority="17" operator="lessThan" dxfId="1">
      <formula>0</formula>
    </cfRule>
    <cfRule type="cellIs" priority="18" operator="greaterThan" dxfId="0">
      <formula>0</formula>
    </cfRule>
    <cfRule type="colorScale" priority="20">
      <colorScale>
        <cfvo type="min"/>
        <cfvo type="percentile" val="50"/>
        <cfvo type="max"/>
        <color rgb="FFF8696B"/>
        <color rgb="FFFFEB84"/>
        <color rgb="FF63BE7B"/>
      </colorScale>
    </cfRule>
    <cfRule type="colorScale" priority="19">
      <colorScale>
        <cfvo type="min"/>
        <cfvo type="percentile" val="50"/>
        <cfvo type="max"/>
        <color rgb="FFF8696B"/>
        <color rgb="FFFFEB84"/>
        <color rgb="FF63BE7B"/>
      </colorScale>
    </cfRule>
  </conditionalFormatting>
  <conditionalFormatting sqref="AF2:AF19">
    <cfRule type="cellIs" priority="11" operator="equal" dxfId="0">
      <formula>0</formula>
    </cfRule>
    <cfRule type="cellIs" priority="12" operator="lessThan" dxfId="1">
      <formula>0</formula>
    </cfRule>
    <cfRule type="cellIs" priority="13" operator="greaterThan" dxfId="0">
      <formula>0</formula>
    </cfRule>
    <cfRule type="colorScale" priority="15">
      <colorScale>
        <cfvo type="min"/>
        <cfvo type="percentile" val="50"/>
        <cfvo type="max"/>
        <color rgb="FFF8696B"/>
        <color rgb="FFFFEB84"/>
        <color rgb="FF63BE7B"/>
      </colorScale>
    </cfRule>
    <cfRule type="colorScale" priority="14">
      <colorScale>
        <cfvo type="min"/>
        <cfvo type="percentile" val="50"/>
        <cfvo type="max"/>
        <color rgb="FFF8696B"/>
        <color rgb="FFFFEB84"/>
        <color rgb="FF63BE7B"/>
      </colorScale>
    </cfRule>
  </conditionalFormatting>
  <conditionalFormatting sqref="AG2:AG19">
    <cfRule type="cellIs" priority="6" operator="equal" dxfId="0">
      <formula>0</formula>
    </cfRule>
    <cfRule type="cellIs" priority="7" operator="lessThan" dxfId="1">
      <formula>0</formula>
    </cfRule>
    <cfRule type="cellIs" priority="8" operator="greaterThan" dxfId="0">
      <formula>0</formula>
    </cfRule>
    <cfRule type="colorScale" priority="10">
      <colorScale>
        <cfvo type="min"/>
        <cfvo type="percentile" val="50"/>
        <cfvo type="max"/>
        <color rgb="FFF8696B"/>
        <color rgb="FFFFEB84"/>
        <color rgb="FF63BE7B"/>
      </colorScale>
    </cfRule>
    <cfRule type="colorScale" priority="9">
      <colorScale>
        <cfvo type="min"/>
        <cfvo type="percentile" val="50"/>
        <cfvo type="max"/>
        <color rgb="FFF8696B"/>
        <color rgb="FFFFEB84"/>
        <color rgb="FF63BE7B"/>
      </colorScale>
    </cfRule>
  </conditionalFormatting>
  <conditionalFormatting sqref="AH2:AH19">
    <cfRule type="cellIs" priority="1" operator="equal" dxfId="0">
      <formula>0</formula>
    </cfRule>
    <cfRule type="cellIs" priority="2" operator="lessThan" dxfId="1">
      <formula>0</formula>
    </cfRule>
    <cfRule type="cellIs" priority="3" operator="greaterThan" dxfId="0">
      <formula>0</formula>
    </cfRule>
    <cfRule type="colorScale" priority="5">
      <colorScale>
        <cfvo type="min"/>
        <cfvo type="percentile" val="50"/>
        <cfvo type="max"/>
        <color rgb="FFF8696B"/>
        <color rgb="FFFFEB84"/>
        <color rgb="FF63BE7B"/>
      </colorScale>
    </cfRule>
    <cfRule type="colorScale" priority="4">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outlinePr summaryBelow="1" summaryRight="1"/>
    <pageSetUpPr/>
  </sheetPr>
  <dimension ref="A1:AH19"/>
  <sheetViews>
    <sheetView workbookViewId="0">
      <selection activeCell="K29" sqref="K29"/>
    </sheetView>
  </sheetViews>
  <sheetFormatPr baseColWidth="10" defaultRowHeight="15"/>
  <sheetData>
    <row r="1">
      <c r="A1" s="141" t="inlineStr">
        <is>
          <t>Production</t>
        </is>
      </c>
      <c r="B1" s="29" t="n">
        <v>43497</v>
      </c>
      <c r="C1" s="24" t="n">
        <v>43525</v>
      </c>
      <c r="D1" s="25" t="n">
        <v>43556</v>
      </c>
      <c r="E1" s="25" t="n">
        <v>43586</v>
      </c>
      <c r="F1" s="25" t="n">
        <v>43617</v>
      </c>
      <c r="G1" s="25" t="n">
        <v>43647</v>
      </c>
      <c r="H1" s="26" t="n">
        <v>43678</v>
      </c>
      <c r="I1" s="26" t="n">
        <v>43678</v>
      </c>
      <c r="J1" s="26" t="n">
        <v>43739</v>
      </c>
      <c r="K1" s="26" t="n">
        <v>43770</v>
      </c>
      <c r="L1" s="26" t="n">
        <v>43800</v>
      </c>
      <c r="M1" s="26" t="n">
        <v>43831</v>
      </c>
      <c r="N1" s="26" t="n">
        <v>43862</v>
      </c>
      <c r="O1" s="26" t="n">
        <v>43891</v>
      </c>
      <c r="P1" s="26" t="n">
        <v>43922</v>
      </c>
      <c r="Q1" s="26" t="n">
        <v>43952</v>
      </c>
      <c r="R1" s="26" t="n">
        <v>43952</v>
      </c>
      <c r="S1" s="26" t="n">
        <v>44013</v>
      </c>
      <c r="T1" s="26" t="n">
        <v>44044</v>
      </c>
      <c r="U1" s="26" t="n">
        <v>44075</v>
      </c>
      <c r="V1" s="26" t="n">
        <v>44105</v>
      </c>
      <c r="W1" s="26" t="n">
        <v>44136</v>
      </c>
      <c r="X1" s="26" t="n">
        <v>44166</v>
      </c>
      <c r="Y1" s="26" t="n">
        <v>44197</v>
      </c>
      <c r="Z1" s="26" t="n">
        <v>44228</v>
      </c>
      <c r="AA1" s="26" t="n">
        <v>44256</v>
      </c>
      <c r="AB1" s="26" t="n">
        <v>44287</v>
      </c>
      <c r="AC1" s="26" t="n">
        <v>44317</v>
      </c>
      <c r="AD1" s="26" t="n">
        <v>44348</v>
      </c>
      <c r="AE1" s="26" t="n">
        <v>44378</v>
      </c>
      <c r="AF1" s="26" t="n">
        <v>44409</v>
      </c>
      <c r="AG1" s="26" t="n">
        <v>44440</v>
      </c>
      <c r="AH1" s="26" t="n">
        <v>44470</v>
      </c>
    </row>
    <row r="2">
      <c r="A2" s="17" t="inlineStr">
        <is>
          <t>Apparel, Leather &amp; Allied Products</t>
        </is>
      </c>
      <c r="B2" s="20" t="n">
        <v>0</v>
      </c>
      <c r="C2" s="20" t="n">
        <v>-4</v>
      </c>
      <c r="D2" s="20" t="n">
        <v>-3</v>
      </c>
      <c r="E2" s="20" t="n">
        <v>-4</v>
      </c>
      <c r="F2" s="20" t="n">
        <v>-5</v>
      </c>
      <c r="G2" s="20" t="n">
        <v>-10</v>
      </c>
      <c r="H2" s="20" t="n">
        <v>-9</v>
      </c>
      <c r="I2" s="20" t="n">
        <v>-11</v>
      </c>
      <c r="J2" s="20" t="n">
        <v>-9</v>
      </c>
      <c r="K2" s="20" t="n">
        <v>7</v>
      </c>
      <c r="L2" s="20" t="n">
        <v>-14</v>
      </c>
      <c r="M2" s="20" t="n">
        <v>-7</v>
      </c>
      <c r="N2" s="20" t="n">
        <v>-3</v>
      </c>
      <c r="O2" s="20" t="n">
        <v>5</v>
      </c>
      <c r="P2" s="20" t="n">
        <v>0</v>
      </c>
      <c r="Q2" s="20" t="n">
        <v>0</v>
      </c>
      <c r="R2" s="20" t="n">
        <v>0</v>
      </c>
      <c r="S2" s="20" t="n">
        <v>0</v>
      </c>
      <c r="T2" s="20" t="n">
        <v>0</v>
      </c>
      <c r="U2" s="20" t="n">
        <v>-3</v>
      </c>
      <c r="V2" s="20" t="n">
        <v>0</v>
      </c>
      <c r="W2" s="20" t="n">
        <v>14</v>
      </c>
      <c r="X2" s="20" t="n">
        <v>13</v>
      </c>
      <c r="Y2" s="20" t="n">
        <v>0</v>
      </c>
      <c r="Z2" s="20" t="n">
        <v>0</v>
      </c>
      <c r="AA2" s="20" t="n">
        <v>0</v>
      </c>
      <c r="AB2" s="20" t="n">
        <v>0</v>
      </c>
      <c r="AC2" s="20" t="n">
        <v>0</v>
      </c>
      <c r="AD2" s="20" t="n">
        <v>0</v>
      </c>
      <c r="AE2" s="20" t="n">
        <v>0</v>
      </c>
      <c r="AF2" s="20" t="n">
        <v>0</v>
      </c>
      <c r="AG2" s="20" t="n">
        <v>-2</v>
      </c>
      <c r="AH2" s="20" t="n">
        <v>0</v>
      </c>
    </row>
    <row r="3">
      <c r="A3" s="17" t="inlineStr">
        <is>
          <t>Machinery</t>
        </is>
      </c>
      <c r="B3" s="20" t="n">
        <v>1</v>
      </c>
      <c r="C3" s="20" t="n">
        <v>-2</v>
      </c>
      <c r="D3" s="20" t="n">
        <v>6</v>
      </c>
      <c r="E3" s="20" t="n">
        <v>0</v>
      </c>
      <c r="F3" s="20" t="n">
        <v>1</v>
      </c>
      <c r="G3" s="20" t="n">
        <v>-2</v>
      </c>
      <c r="H3" s="20" t="n">
        <v>-1</v>
      </c>
      <c r="I3" s="20" t="n">
        <v>-4</v>
      </c>
      <c r="J3" s="20" t="n">
        <v>-5</v>
      </c>
      <c r="K3" s="20" t="n">
        <v>-1</v>
      </c>
      <c r="L3" s="20" t="n">
        <v>1</v>
      </c>
      <c r="M3" s="20" t="n">
        <v>-1</v>
      </c>
      <c r="N3" s="20" t="n">
        <v>3</v>
      </c>
      <c r="O3" s="20" t="n">
        <v>-1</v>
      </c>
      <c r="P3" s="20" t="n">
        <v>-8</v>
      </c>
      <c r="Q3" s="20" t="n">
        <v>-7</v>
      </c>
      <c r="R3" s="20" t="n">
        <v>3</v>
      </c>
      <c r="S3" s="20" t="n">
        <v>3</v>
      </c>
      <c r="T3" s="20" t="n">
        <v>8</v>
      </c>
      <c r="U3" s="20" t="n">
        <v>10</v>
      </c>
      <c r="V3" s="20" t="n">
        <v>6</v>
      </c>
      <c r="W3" s="20" t="n">
        <v>5</v>
      </c>
      <c r="X3" s="20" t="n">
        <v>4</v>
      </c>
      <c r="Y3" s="20" t="n">
        <v>12</v>
      </c>
      <c r="Z3" s="20" t="n">
        <v>10</v>
      </c>
      <c r="AA3" s="20" t="n">
        <v>11</v>
      </c>
      <c r="AB3" s="20" t="n">
        <v>12</v>
      </c>
      <c r="AC3" s="20" t="n">
        <v>9</v>
      </c>
      <c r="AD3" s="20" t="n">
        <v>11</v>
      </c>
      <c r="AE3" s="20" t="n">
        <v>2</v>
      </c>
      <c r="AF3" s="20" t="n">
        <v>6</v>
      </c>
      <c r="AG3" s="20" t="n">
        <v>10</v>
      </c>
      <c r="AH3" s="20" t="n">
        <v>7</v>
      </c>
    </row>
    <row r="4">
      <c r="A4" s="17" t="inlineStr">
        <is>
          <t>Paper Products</t>
        </is>
      </c>
      <c r="B4" s="20" t="n">
        <v>4</v>
      </c>
      <c r="C4" s="20" t="n">
        <v>-3</v>
      </c>
      <c r="D4" s="20" t="n">
        <v>5</v>
      </c>
      <c r="E4" s="20" t="n">
        <v>-1</v>
      </c>
      <c r="F4" s="20" t="n">
        <v>3</v>
      </c>
      <c r="G4" s="20" t="n">
        <v>-9</v>
      </c>
      <c r="H4" s="20" t="n">
        <v>-8</v>
      </c>
      <c r="I4" s="20" t="n">
        <v>-5</v>
      </c>
      <c r="J4" s="20" t="n">
        <v>4</v>
      </c>
      <c r="K4" s="20" t="n">
        <v>6</v>
      </c>
      <c r="L4" s="20" t="n">
        <v>-8</v>
      </c>
      <c r="M4" s="20" t="n">
        <v>0</v>
      </c>
      <c r="N4" s="20" t="n">
        <v>11</v>
      </c>
      <c r="O4" s="20" t="n">
        <v>0</v>
      </c>
      <c r="P4" s="20" t="n">
        <v>2</v>
      </c>
      <c r="Q4" s="20" t="n">
        <v>1</v>
      </c>
      <c r="R4" s="20" t="n">
        <v>4</v>
      </c>
      <c r="S4" s="20" t="n">
        <v>4</v>
      </c>
      <c r="T4" s="20" t="n">
        <v>1</v>
      </c>
      <c r="U4" s="20" t="n">
        <v>11</v>
      </c>
      <c r="V4" s="20" t="n">
        <v>5</v>
      </c>
      <c r="W4" s="20" t="n">
        <v>11</v>
      </c>
      <c r="X4" s="20" t="n">
        <v>0</v>
      </c>
      <c r="Y4" s="20" t="n">
        <v>2</v>
      </c>
      <c r="Z4" s="20" t="n">
        <v>14</v>
      </c>
      <c r="AA4" s="20" t="n">
        <v>0</v>
      </c>
      <c r="AB4" s="20" t="n">
        <v>-1</v>
      </c>
      <c r="AC4" s="20" t="n">
        <v>-1</v>
      </c>
      <c r="AD4" s="20" t="n">
        <v>0</v>
      </c>
      <c r="AE4" s="20" t="n">
        <v>6</v>
      </c>
      <c r="AF4" s="20" t="n">
        <v>-2</v>
      </c>
      <c r="AG4" s="20" t="n">
        <v>0</v>
      </c>
      <c r="AH4" s="20" t="n">
        <v>0</v>
      </c>
    </row>
    <row r="5">
      <c r="A5" s="17" t="inlineStr">
        <is>
          <t>Computer &amp; Electronic Products</t>
        </is>
      </c>
      <c r="B5" s="20" t="n">
        <v>8</v>
      </c>
      <c r="C5" s="20" t="n">
        <v>5</v>
      </c>
      <c r="D5" s="20" t="n">
        <v>2</v>
      </c>
      <c r="E5" s="20" t="n">
        <v>4</v>
      </c>
      <c r="F5" s="20" t="n">
        <v>4</v>
      </c>
      <c r="G5" s="20" t="n">
        <v>1</v>
      </c>
      <c r="H5" s="20" t="n">
        <v>0</v>
      </c>
      <c r="I5" s="20" t="n">
        <v>2</v>
      </c>
      <c r="J5" s="20" t="n">
        <v>0</v>
      </c>
      <c r="K5" s="20" t="n">
        <v>-2</v>
      </c>
      <c r="L5" s="20" t="n">
        <v>-1</v>
      </c>
      <c r="M5" s="20" t="n">
        <v>3</v>
      </c>
      <c r="N5" s="20" t="n">
        <v>0</v>
      </c>
      <c r="O5" s="20" t="n">
        <v>-2</v>
      </c>
      <c r="P5" s="20" t="n">
        <v>-3</v>
      </c>
      <c r="Q5" s="20" t="n">
        <v>-2</v>
      </c>
      <c r="R5" s="20" t="n">
        <v>5</v>
      </c>
      <c r="S5" s="20" t="n">
        <v>7</v>
      </c>
      <c r="T5" s="20" t="n">
        <v>2</v>
      </c>
      <c r="U5" s="20" t="n">
        <v>3</v>
      </c>
      <c r="V5" s="20" t="n">
        <v>1</v>
      </c>
      <c r="W5" s="20" t="n">
        <v>3</v>
      </c>
      <c r="X5" s="20" t="n">
        <v>7</v>
      </c>
      <c r="Y5" s="20" t="n">
        <v>1</v>
      </c>
      <c r="Z5" s="20" t="n">
        <v>2</v>
      </c>
      <c r="AA5" s="20" t="n">
        <v>10</v>
      </c>
      <c r="AB5" s="20" t="n">
        <v>3</v>
      </c>
      <c r="AC5" s="20" t="n">
        <v>6</v>
      </c>
      <c r="AD5" s="20" t="n">
        <v>7</v>
      </c>
      <c r="AE5" s="20" t="n">
        <v>9</v>
      </c>
      <c r="AF5" s="20" t="n">
        <v>10</v>
      </c>
      <c r="AG5" s="20" t="n">
        <v>3</v>
      </c>
      <c r="AH5" s="20" t="n">
        <v>4</v>
      </c>
    </row>
    <row r="6">
      <c r="A6" s="17" t="inlineStr">
        <is>
          <t>Petroleum &amp; Coal Products</t>
        </is>
      </c>
      <c r="B6" s="20" t="n">
        <v>7</v>
      </c>
      <c r="C6" s="20" t="n">
        <v>2</v>
      </c>
      <c r="D6" s="20" t="n">
        <v>0</v>
      </c>
      <c r="E6" s="20" t="n">
        <v>-3</v>
      </c>
      <c r="F6" s="20" t="n">
        <v>9</v>
      </c>
      <c r="G6" s="20" t="n">
        <v>-5</v>
      </c>
      <c r="H6" s="20" t="n">
        <v>-7</v>
      </c>
      <c r="I6" s="20" t="n">
        <v>-8</v>
      </c>
      <c r="J6" s="20" t="n">
        <v>-8</v>
      </c>
      <c r="K6" s="20" t="n">
        <v>4</v>
      </c>
      <c r="L6" s="20" t="n">
        <v>-6</v>
      </c>
      <c r="M6" s="20" t="n">
        <v>4</v>
      </c>
      <c r="N6" s="20" t="n">
        <v>0</v>
      </c>
      <c r="O6" s="20" t="n">
        <v>0</v>
      </c>
      <c r="P6" s="20" t="n">
        <v>-5</v>
      </c>
      <c r="Q6" s="20" t="n">
        <v>-8</v>
      </c>
      <c r="R6" s="20" t="n">
        <v>9</v>
      </c>
      <c r="S6" s="20" t="n">
        <v>0</v>
      </c>
      <c r="T6" s="20" t="n">
        <v>5</v>
      </c>
      <c r="U6" s="20" t="n">
        <v>-1</v>
      </c>
      <c r="V6" s="20" t="n">
        <v>0</v>
      </c>
      <c r="W6" s="20" t="n">
        <v>-1</v>
      </c>
      <c r="X6" s="20" t="n">
        <v>5</v>
      </c>
      <c r="Y6" s="20" t="n">
        <v>0</v>
      </c>
      <c r="Z6" s="20" t="n">
        <v>0</v>
      </c>
      <c r="AA6" s="20" t="n">
        <v>12</v>
      </c>
      <c r="AB6" s="20" t="n">
        <v>11</v>
      </c>
      <c r="AC6" s="20" t="n">
        <v>0</v>
      </c>
      <c r="AD6" s="20" t="n">
        <v>14</v>
      </c>
      <c r="AE6" s="20" t="n">
        <v>10</v>
      </c>
      <c r="AF6" s="20" t="n">
        <v>7</v>
      </c>
      <c r="AG6" s="20" t="n">
        <v>12</v>
      </c>
      <c r="AH6" s="20" t="n">
        <v>10</v>
      </c>
    </row>
    <row r="7">
      <c r="A7" s="17" t="inlineStr">
        <is>
          <t>Primary Metals</t>
        </is>
      </c>
      <c r="B7" s="20" t="n">
        <v>5</v>
      </c>
      <c r="C7" s="20" t="n">
        <v>0</v>
      </c>
      <c r="D7" s="20" t="n">
        <v>-2</v>
      </c>
      <c r="E7" s="20" t="n">
        <v>-2</v>
      </c>
      <c r="F7" s="20" t="n">
        <v>-3</v>
      </c>
      <c r="G7" s="20" t="n">
        <v>3</v>
      </c>
      <c r="H7" s="20" t="n">
        <v>-5</v>
      </c>
      <c r="I7" s="20" t="n">
        <v>-6</v>
      </c>
      <c r="J7" s="20" t="n">
        <v>-10</v>
      </c>
      <c r="K7" s="20" t="n">
        <v>-8</v>
      </c>
      <c r="L7" s="20" t="n">
        <v>-2</v>
      </c>
      <c r="M7" s="20" t="n">
        <v>0</v>
      </c>
      <c r="N7" s="20" t="n">
        <v>7</v>
      </c>
      <c r="O7" s="20" t="n">
        <v>4</v>
      </c>
      <c r="P7" s="20" t="n">
        <v>-1</v>
      </c>
      <c r="Q7" s="20" t="n">
        <v>-9</v>
      </c>
      <c r="R7" s="20" t="n">
        <v>-3</v>
      </c>
      <c r="S7" s="20" t="n">
        <v>16</v>
      </c>
      <c r="T7" s="20" t="n">
        <v>14</v>
      </c>
      <c r="U7" s="20" t="n">
        <v>5</v>
      </c>
      <c r="V7" s="20" t="n">
        <v>8</v>
      </c>
      <c r="W7" s="20" t="n">
        <v>8</v>
      </c>
      <c r="X7" s="20" t="n">
        <v>8</v>
      </c>
      <c r="Y7" s="20" t="n">
        <v>11</v>
      </c>
      <c r="Z7" s="20" t="n">
        <v>12</v>
      </c>
      <c r="AA7" s="20" t="n">
        <v>9</v>
      </c>
      <c r="AB7" s="20" t="n">
        <v>13</v>
      </c>
      <c r="AC7" s="20" t="n">
        <v>10</v>
      </c>
      <c r="AD7" s="20" t="n">
        <v>9</v>
      </c>
      <c r="AE7" s="20" t="n">
        <v>12</v>
      </c>
      <c r="AF7" s="20" t="n">
        <v>4</v>
      </c>
      <c r="AG7" s="20" t="n">
        <v>4</v>
      </c>
      <c r="AH7" s="20" t="n">
        <v>-2</v>
      </c>
    </row>
    <row r="8">
      <c r="A8" s="17" t="inlineStr">
        <is>
          <t>Printing &amp; Related Support Activities</t>
        </is>
      </c>
      <c r="B8" s="20" t="n">
        <v>12</v>
      </c>
      <c r="C8" s="20" t="n">
        <v>8</v>
      </c>
      <c r="D8" s="20" t="n">
        <v>11</v>
      </c>
      <c r="E8" s="20" t="n">
        <v>10</v>
      </c>
      <c r="F8" s="20" t="n">
        <v>10</v>
      </c>
      <c r="G8" s="20" t="n">
        <v>7</v>
      </c>
      <c r="H8" s="20" t="n">
        <v>0</v>
      </c>
      <c r="I8" s="20" t="n">
        <v>0</v>
      </c>
      <c r="J8" s="20" t="n">
        <v>6</v>
      </c>
      <c r="K8" s="20" t="n">
        <v>-9</v>
      </c>
      <c r="L8" s="20" t="n">
        <v>-11</v>
      </c>
      <c r="M8" s="20" t="n">
        <v>-6</v>
      </c>
      <c r="N8" s="20" t="n">
        <v>10</v>
      </c>
      <c r="O8" s="20" t="n">
        <v>6</v>
      </c>
      <c r="P8" s="20" t="n">
        <v>-13</v>
      </c>
      <c r="Q8" s="20" t="n">
        <v>-11</v>
      </c>
      <c r="R8" s="20" t="n">
        <v>10</v>
      </c>
      <c r="S8" s="20" t="n">
        <v>12</v>
      </c>
      <c r="T8" s="20" t="n">
        <v>-1</v>
      </c>
      <c r="U8" s="20" t="n">
        <v>0</v>
      </c>
      <c r="V8" s="20" t="n">
        <v>0</v>
      </c>
      <c r="W8" s="20" t="n">
        <v>0</v>
      </c>
      <c r="X8" s="20" t="n">
        <v>0</v>
      </c>
      <c r="Y8" s="20" t="n">
        <v>-2</v>
      </c>
      <c r="Z8" s="20" t="n">
        <v>-2</v>
      </c>
      <c r="AA8" s="20" t="n">
        <v>0</v>
      </c>
      <c r="AB8" s="20" t="n">
        <v>-2</v>
      </c>
      <c r="AC8" s="20" t="n">
        <v>-2</v>
      </c>
      <c r="AD8" s="20" t="n">
        <v>-1</v>
      </c>
      <c r="AE8" s="20" t="n">
        <v>16</v>
      </c>
      <c r="AF8" s="20" t="n">
        <v>11</v>
      </c>
      <c r="AG8" s="20" t="n">
        <v>14</v>
      </c>
      <c r="AH8" s="20" t="n">
        <v>-4</v>
      </c>
    </row>
    <row r="9">
      <c r="A9" s="17" t="inlineStr">
        <is>
          <t>Furniture &amp; Related Products</t>
        </is>
      </c>
      <c r="B9" s="20" t="n">
        <v>-2</v>
      </c>
      <c r="C9" s="20" t="n">
        <v>0</v>
      </c>
      <c r="D9" s="20" t="n">
        <v>8</v>
      </c>
      <c r="E9" s="20" t="n">
        <v>11</v>
      </c>
      <c r="F9" s="20" t="n">
        <v>12</v>
      </c>
      <c r="G9" s="20" t="n">
        <v>6</v>
      </c>
      <c r="H9" s="20" t="n">
        <v>0</v>
      </c>
      <c r="I9" s="20" t="n">
        <v>0</v>
      </c>
      <c r="J9" s="20" t="n">
        <v>5</v>
      </c>
      <c r="K9" s="20" t="n">
        <v>-6</v>
      </c>
      <c r="L9" s="20" t="n">
        <v>-4</v>
      </c>
      <c r="M9" s="20" t="n">
        <v>7</v>
      </c>
      <c r="N9" s="20" t="n">
        <v>9</v>
      </c>
      <c r="O9" s="20" t="n">
        <v>0</v>
      </c>
      <c r="P9" s="20" t="n">
        <v>-12</v>
      </c>
      <c r="Q9" s="20" t="n">
        <v>4</v>
      </c>
      <c r="R9" s="20" t="n">
        <v>12</v>
      </c>
      <c r="S9" s="20" t="n">
        <v>13</v>
      </c>
      <c r="T9" s="20" t="n">
        <v>0</v>
      </c>
      <c r="U9" s="20" t="n">
        <v>12</v>
      </c>
      <c r="V9" s="20" t="n">
        <v>0</v>
      </c>
      <c r="W9" s="20" t="n">
        <v>0</v>
      </c>
      <c r="X9" s="20" t="n">
        <v>10</v>
      </c>
      <c r="Y9" s="20" t="n">
        <v>0</v>
      </c>
      <c r="Z9" s="20" t="n">
        <v>3</v>
      </c>
      <c r="AA9" s="20" t="n">
        <v>6</v>
      </c>
      <c r="AB9" s="20" t="n">
        <v>8</v>
      </c>
      <c r="AC9" s="20" t="n">
        <v>12</v>
      </c>
      <c r="AD9" s="20" t="n">
        <v>6</v>
      </c>
      <c r="AE9" s="20" t="n">
        <v>13</v>
      </c>
      <c r="AF9" s="20" t="n">
        <v>13</v>
      </c>
      <c r="AG9" s="20" t="n">
        <v>13</v>
      </c>
      <c r="AH9" s="20" t="n">
        <v>9</v>
      </c>
    </row>
    <row r="10">
      <c r="A10" s="17" t="inlineStr">
        <is>
          <t>Transportation Equipment</t>
        </is>
      </c>
      <c r="B10" s="20" t="n">
        <v>3</v>
      </c>
      <c r="C10" s="20" t="n">
        <v>0</v>
      </c>
      <c r="D10" s="20" t="n">
        <v>-1</v>
      </c>
      <c r="E10" s="20" t="n">
        <v>1</v>
      </c>
      <c r="F10" s="20" t="n">
        <v>-4</v>
      </c>
      <c r="G10" s="20" t="n">
        <v>-6</v>
      </c>
      <c r="H10" s="20" t="n">
        <v>-6</v>
      </c>
      <c r="I10" s="20" t="n">
        <v>0</v>
      </c>
      <c r="J10" s="20" t="n">
        <v>-3</v>
      </c>
      <c r="K10" s="20" t="n">
        <v>-3</v>
      </c>
      <c r="L10" s="20" t="n">
        <v>-10</v>
      </c>
      <c r="M10" s="20" t="n">
        <v>-4</v>
      </c>
      <c r="N10" s="20" t="n">
        <v>-1</v>
      </c>
      <c r="O10" s="20" t="n">
        <v>-5</v>
      </c>
      <c r="P10" s="20" t="n">
        <v>-11</v>
      </c>
      <c r="Q10" s="20" t="n">
        <v>-6</v>
      </c>
      <c r="R10" s="20" t="n">
        <v>-2</v>
      </c>
      <c r="S10" s="20" t="n">
        <v>2</v>
      </c>
      <c r="T10" s="20" t="n">
        <v>10</v>
      </c>
      <c r="U10" s="20" t="n">
        <v>6</v>
      </c>
      <c r="V10" s="20" t="n">
        <v>4</v>
      </c>
      <c r="W10" s="20" t="n">
        <v>2</v>
      </c>
      <c r="X10" s="20" t="n">
        <v>3</v>
      </c>
      <c r="Y10" s="20" t="n">
        <v>7</v>
      </c>
      <c r="Z10" s="20" t="n">
        <v>6</v>
      </c>
      <c r="AA10" s="20" t="n">
        <v>5</v>
      </c>
      <c r="AB10" s="20" t="n">
        <v>0</v>
      </c>
      <c r="AC10" s="20" t="n">
        <v>2</v>
      </c>
      <c r="AD10" s="20" t="n">
        <v>3</v>
      </c>
      <c r="AE10" s="20" t="n">
        <v>7</v>
      </c>
      <c r="AF10" s="20" t="n">
        <v>1</v>
      </c>
      <c r="AG10" s="20" t="n">
        <v>8</v>
      </c>
      <c r="AH10" s="20" t="n">
        <v>2</v>
      </c>
    </row>
    <row r="11">
      <c r="A11" s="17" t="inlineStr">
        <is>
          <t>Chemical Products</t>
        </is>
      </c>
      <c r="B11" s="20" t="n">
        <v>11</v>
      </c>
      <c r="C11" s="20" t="n">
        <v>3</v>
      </c>
      <c r="D11" s="20" t="n">
        <v>7</v>
      </c>
      <c r="E11" s="20" t="n">
        <v>7</v>
      </c>
      <c r="F11" s="20" t="n">
        <v>6</v>
      </c>
      <c r="G11" s="20" t="n">
        <v>2</v>
      </c>
      <c r="H11" s="20" t="n">
        <v>1</v>
      </c>
      <c r="I11" s="20" t="n">
        <v>3</v>
      </c>
      <c r="J11" s="20" t="n">
        <v>-2</v>
      </c>
      <c r="K11" s="20" t="n">
        <v>1</v>
      </c>
      <c r="L11" s="20" t="n">
        <v>-5</v>
      </c>
      <c r="M11" s="20" t="n">
        <v>1</v>
      </c>
      <c r="N11" s="20" t="n">
        <v>0</v>
      </c>
      <c r="O11" s="20" t="n">
        <v>2</v>
      </c>
      <c r="P11" s="20" t="n">
        <v>-2</v>
      </c>
      <c r="Q11" s="20" t="n">
        <v>-4</v>
      </c>
      <c r="R11" s="20" t="n">
        <v>6</v>
      </c>
      <c r="S11" s="20" t="n">
        <v>10</v>
      </c>
      <c r="T11" s="20" t="n">
        <v>13</v>
      </c>
      <c r="U11" s="20" t="n">
        <v>9</v>
      </c>
      <c r="V11" s="20" t="n">
        <v>3</v>
      </c>
      <c r="W11" s="20" t="n">
        <v>4</v>
      </c>
      <c r="X11" s="20" t="n">
        <v>1</v>
      </c>
      <c r="Y11" s="20" t="n">
        <v>8</v>
      </c>
      <c r="Z11" s="20" t="n">
        <v>9</v>
      </c>
      <c r="AA11" s="20" t="n">
        <v>4</v>
      </c>
      <c r="AB11" s="20" t="n">
        <v>5</v>
      </c>
      <c r="AC11" s="20" t="n">
        <v>5</v>
      </c>
      <c r="AD11" s="20" t="n">
        <v>10</v>
      </c>
      <c r="AE11" s="20" t="n">
        <v>15</v>
      </c>
      <c r="AF11" s="20" t="n">
        <v>8</v>
      </c>
      <c r="AG11" s="20" t="n">
        <v>7</v>
      </c>
      <c r="AH11" s="20" t="n">
        <v>5</v>
      </c>
    </row>
    <row r="12">
      <c r="A12" s="17" t="inlineStr">
        <is>
          <t>Food, Beverage &amp; Tobacco Products</t>
        </is>
      </c>
      <c r="B12" s="20" t="n">
        <v>2</v>
      </c>
      <c r="C12" s="20" t="n">
        <v>9</v>
      </c>
      <c r="D12" s="20" t="n">
        <v>4</v>
      </c>
      <c r="E12" s="20" t="n">
        <v>3</v>
      </c>
      <c r="F12" s="20" t="n">
        <v>7</v>
      </c>
      <c r="G12" s="20" t="n">
        <v>5</v>
      </c>
      <c r="H12" s="20" t="n">
        <v>3</v>
      </c>
      <c r="I12" s="20" t="n">
        <v>0</v>
      </c>
      <c r="J12" s="20" t="n">
        <v>3</v>
      </c>
      <c r="K12" s="20" t="n">
        <v>5</v>
      </c>
      <c r="L12" s="20" t="n">
        <v>2</v>
      </c>
      <c r="M12" s="20" t="n">
        <v>5</v>
      </c>
      <c r="N12" s="20" t="n">
        <v>1</v>
      </c>
      <c r="O12" s="20" t="n">
        <v>3</v>
      </c>
      <c r="P12" s="20" t="n">
        <v>1</v>
      </c>
      <c r="Q12" s="20" t="n">
        <v>2</v>
      </c>
      <c r="R12" s="20" t="n">
        <v>7</v>
      </c>
      <c r="S12" s="20" t="n">
        <v>8</v>
      </c>
      <c r="T12" s="20" t="n">
        <v>7</v>
      </c>
      <c r="U12" s="20" t="n">
        <v>4</v>
      </c>
      <c r="V12" s="20" t="n">
        <v>7</v>
      </c>
      <c r="W12" s="20" t="n">
        <v>1</v>
      </c>
      <c r="X12" s="20" t="n">
        <v>0</v>
      </c>
      <c r="Y12" s="20" t="n">
        <v>5</v>
      </c>
      <c r="Z12" s="20" t="n">
        <v>4</v>
      </c>
      <c r="AA12" s="20" t="n">
        <v>8</v>
      </c>
      <c r="AB12" s="20" t="n">
        <v>6</v>
      </c>
      <c r="AC12" s="20" t="n">
        <v>4</v>
      </c>
      <c r="AD12" s="20" t="n">
        <v>1</v>
      </c>
      <c r="AE12" s="20" t="n">
        <v>4</v>
      </c>
      <c r="AF12" s="20" t="n">
        <v>3</v>
      </c>
      <c r="AG12" s="20" t="n">
        <v>5</v>
      </c>
      <c r="AH12" s="20" t="n">
        <v>1</v>
      </c>
    </row>
    <row r="13">
      <c r="A13" s="17" t="inlineStr">
        <is>
          <t>Miscellaneous Manufacturing</t>
        </is>
      </c>
      <c r="B13" s="20" t="n">
        <v>10</v>
      </c>
      <c r="C13" s="20" t="n">
        <v>-1</v>
      </c>
      <c r="D13" s="20" t="n">
        <v>3</v>
      </c>
      <c r="E13" s="20" t="n">
        <v>9</v>
      </c>
      <c r="F13" s="20" t="n">
        <v>2</v>
      </c>
      <c r="G13" s="20" t="n">
        <v>-3</v>
      </c>
      <c r="H13" s="20" t="n">
        <v>0</v>
      </c>
      <c r="I13" s="20" t="n">
        <v>1</v>
      </c>
      <c r="J13" s="20" t="n">
        <v>-1</v>
      </c>
      <c r="K13" s="20" t="n">
        <v>2</v>
      </c>
      <c r="L13" s="20" t="n">
        <v>3</v>
      </c>
      <c r="M13" s="20" t="n">
        <v>-3</v>
      </c>
      <c r="N13" s="20" t="n">
        <v>5</v>
      </c>
      <c r="O13" s="20" t="n">
        <v>0</v>
      </c>
      <c r="P13" s="20" t="n">
        <v>-6</v>
      </c>
      <c r="Q13" s="20" t="n">
        <v>-10</v>
      </c>
      <c r="R13" s="20" t="n">
        <v>1</v>
      </c>
      <c r="S13" s="20" t="n">
        <v>1</v>
      </c>
      <c r="T13" s="20" t="n">
        <v>3</v>
      </c>
      <c r="U13" s="20" t="n">
        <v>1</v>
      </c>
      <c r="V13" s="20" t="n">
        <v>0</v>
      </c>
      <c r="W13" s="20" t="n">
        <v>0</v>
      </c>
      <c r="X13" s="20" t="n">
        <v>-1</v>
      </c>
      <c r="Y13" s="20" t="n">
        <v>4</v>
      </c>
      <c r="Z13" s="20" t="n">
        <v>1</v>
      </c>
      <c r="AA13" s="20" t="n">
        <v>2</v>
      </c>
      <c r="AB13" s="20" t="n">
        <v>10</v>
      </c>
      <c r="AC13" s="20" t="n">
        <v>3</v>
      </c>
      <c r="AD13" s="20" t="n">
        <v>2</v>
      </c>
      <c r="AE13" s="20" t="n">
        <v>11</v>
      </c>
      <c r="AF13" s="20" t="n">
        <v>2</v>
      </c>
      <c r="AG13" s="20" t="n">
        <v>1</v>
      </c>
      <c r="AH13" s="20" t="n">
        <v>3</v>
      </c>
    </row>
    <row r="14">
      <c r="A14" s="17" t="inlineStr">
        <is>
          <t>Electrical Equipment, Appliances &amp; Components</t>
        </is>
      </c>
      <c r="B14" s="20" t="n">
        <v>9</v>
      </c>
      <c r="C14" s="20" t="n">
        <v>4</v>
      </c>
      <c r="D14" s="20" t="n">
        <v>13</v>
      </c>
      <c r="E14" s="20" t="n">
        <v>6</v>
      </c>
      <c r="F14" s="20" t="n">
        <v>5</v>
      </c>
      <c r="G14" s="20" t="n">
        <v>-8</v>
      </c>
      <c r="H14" s="20" t="n">
        <v>-4</v>
      </c>
      <c r="I14" s="20" t="n">
        <v>-2</v>
      </c>
      <c r="J14" s="20" t="n">
        <v>2</v>
      </c>
      <c r="K14" s="20" t="n">
        <v>3</v>
      </c>
      <c r="L14" s="20" t="n">
        <v>-3</v>
      </c>
      <c r="M14" s="20" t="n">
        <v>-5</v>
      </c>
      <c r="N14" s="20" t="n">
        <v>2</v>
      </c>
      <c r="O14" s="20" t="n">
        <v>1</v>
      </c>
      <c r="P14" s="20" t="n">
        <v>-4</v>
      </c>
      <c r="Q14" s="20" t="n">
        <v>-1</v>
      </c>
      <c r="R14" s="20" t="n">
        <v>2</v>
      </c>
      <c r="S14" s="20" t="n">
        <v>9</v>
      </c>
      <c r="T14" s="20" t="n">
        <v>4</v>
      </c>
      <c r="U14" s="20" t="n">
        <v>13</v>
      </c>
      <c r="V14" s="20" t="n">
        <v>2</v>
      </c>
      <c r="W14" s="20" t="n">
        <v>10</v>
      </c>
      <c r="X14" s="20" t="n">
        <v>2</v>
      </c>
      <c r="Y14" s="20" t="n">
        <v>9</v>
      </c>
      <c r="Z14" s="20" t="n">
        <v>11</v>
      </c>
      <c r="AA14" s="20" t="n">
        <v>13</v>
      </c>
      <c r="AB14" s="20" t="n">
        <v>14</v>
      </c>
      <c r="AC14" s="20" t="n">
        <v>1</v>
      </c>
      <c r="AD14" s="20" t="n">
        <v>13</v>
      </c>
      <c r="AE14" s="20" t="n">
        <v>5</v>
      </c>
      <c r="AF14" s="20" t="n">
        <v>9</v>
      </c>
      <c r="AG14" s="20" t="n">
        <v>2</v>
      </c>
      <c r="AH14" s="20" t="n">
        <v>8</v>
      </c>
    </row>
    <row r="15">
      <c r="A15" s="17" t="inlineStr">
        <is>
          <t>Plastics &amp; Rubber Products</t>
        </is>
      </c>
      <c r="B15" s="20" t="n">
        <v>-1</v>
      </c>
      <c r="C15" s="20" t="n">
        <v>0</v>
      </c>
      <c r="D15" s="20" t="n">
        <v>1</v>
      </c>
      <c r="E15" s="20" t="n">
        <v>8</v>
      </c>
      <c r="F15" s="20" t="n">
        <v>-1</v>
      </c>
      <c r="G15" s="20" t="n">
        <v>-1</v>
      </c>
      <c r="H15" s="20" t="n">
        <v>-3</v>
      </c>
      <c r="I15" s="20" t="n">
        <v>-3</v>
      </c>
      <c r="J15" s="20" t="n">
        <v>-4</v>
      </c>
      <c r="K15" s="20" t="n">
        <v>-5</v>
      </c>
      <c r="L15" s="20" t="n">
        <v>0</v>
      </c>
      <c r="M15" s="20" t="n">
        <v>-2</v>
      </c>
      <c r="N15" s="20" t="n">
        <v>8</v>
      </c>
      <c r="O15" s="20" t="n">
        <v>0</v>
      </c>
      <c r="P15" s="20" t="n">
        <v>-10</v>
      </c>
      <c r="Q15" s="20" t="n">
        <v>-3</v>
      </c>
      <c r="R15" s="20" t="n">
        <v>8</v>
      </c>
      <c r="S15" s="20" t="n">
        <v>11</v>
      </c>
      <c r="T15" s="20" t="n">
        <v>12</v>
      </c>
      <c r="U15" s="20" t="n">
        <v>2</v>
      </c>
      <c r="V15" s="20" t="n">
        <v>9</v>
      </c>
      <c r="W15" s="20" t="n">
        <v>7</v>
      </c>
      <c r="X15" s="20" t="n">
        <v>6</v>
      </c>
      <c r="Y15" s="20" t="n">
        <v>3</v>
      </c>
      <c r="Z15" s="20" t="n">
        <v>5</v>
      </c>
      <c r="AA15" s="20" t="n">
        <v>1</v>
      </c>
      <c r="AB15" s="20" t="n">
        <v>7</v>
      </c>
      <c r="AC15" s="20" t="n">
        <v>11</v>
      </c>
      <c r="AD15" s="20" t="n">
        <v>4</v>
      </c>
      <c r="AE15" s="20" t="n">
        <v>1</v>
      </c>
      <c r="AF15" s="20" t="n">
        <v>-1</v>
      </c>
      <c r="AG15" s="20" t="n">
        <v>-1</v>
      </c>
      <c r="AH15" s="20" t="n">
        <v>-1</v>
      </c>
    </row>
    <row r="16">
      <c r="A16" s="14" t="inlineStr">
        <is>
          <t>Fabricated Metal Products</t>
        </is>
      </c>
      <c r="B16" s="20" t="n">
        <v>6</v>
      </c>
      <c r="C16" s="20" t="n">
        <v>1</v>
      </c>
      <c r="D16" s="20" t="n">
        <v>9</v>
      </c>
      <c r="E16" s="20" t="n">
        <v>2</v>
      </c>
      <c r="F16" s="20" t="n">
        <v>-2</v>
      </c>
      <c r="G16" s="20" t="n">
        <v>-4</v>
      </c>
      <c r="H16" s="20" t="n">
        <v>-2</v>
      </c>
      <c r="I16" s="20" t="n">
        <v>-1</v>
      </c>
      <c r="J16" s="20" t="n">
        <v>1</v>
      </c>
      <c r="K16" s="20" t="n">
        <v>-4</v>
      </c>
      <c r="L16" s="20" t="n">
        <v>-7</v>
      </c>
      <c r="M16" s="20" t="n">
        <v>2</v>
      </c>
      <c r="N16" s="20" t="n">
        <v>4</v>
      </c>
      <c r="O16" s="20" t="n">
        <v>-3</v>
      </c>
      <c r="P16" s="20" t="n">
        <v>-9</v>
      </c>
      <c r="Q16" s="20" t="n">
        <v>-5</v>
      </c>
      <c r="R16" s="20" t="n">
        <v>-1</v>
      </c>
      <c r="S16" s="20" t="n">
        <v>5</v>
      </c>
      <c r="T16" s="20" t="n">
        <v>6</v>
      </c>
      <c r="U16" s="20" t="n">
        <v>8</v>
      </c>
      <c r="V16" s="20" t="n">
        <v>10</v>
      </c>
      <c r="W16" s="20" t="n">
        <v>9</v>
      </c>
      <c r="X16" s="20" t="n">
        <v>9</v>
      </c>
      <c r="Y16" s="20" t="n">
        <v>6</v>
      </c>
      <c r="Z16" s="20" t="n">
        <v>8</v>
      </c>
      <c r="AA16" s="20" t="n">
        <v>7</v>
      </c>
      <c r="AB16" s="20" t="n">
        <v>9</v>
      </c>
      <c r="AC16" s="20" t="n">
        <v>7</v>
      </c>
      <c r="AD16" s="20" t="n">
        <v>5</v>
      </c>
      <c r="AE16" s="20" t="n">
        <v>3</v>
      </c>
      <c r="AF16" s="20" t="n">
        <v>5</v>
      </c>
      <c r="AG16" s="20" t="n">
        <v>6</v>
      </c>
      <c r="AH16" s="20" t="n">
        <v>6</v>
      </c>
    </row>
    <row r="17">
      <c r="A17" s="17" t="inlineStr">
        <is>
          <t>Wood Products</t>
        </is>
      </c>
      <c r="B17" s="20" t="n">
        <v>0</v>
      </c>
      <c r="C17" s="20" t="n">
        <v>0</v>
      </c>
      <c r="D17" s="20" t="n">
        <v>0</v>
      </c>
      <c r="E17" s="20" t="n">
        <v>0</v>
      </c>
      <c r="F17" s="20" t="n">
        <v>13</v>
      </c>
      <c r="G17" s="20" t="n">
        <v>8</v>
      </c>
      <c r="H17" s="20" t="n">
        <v>0</v>
      </c>
      <c r="I17" s="20" t="n">
        <v>-10</v>
      </c>
      <c r="J17" s="20" t="n">
        <v>-6</v>
      </c>
      <c r="K17" s="20" t="n">
        <v>-7</v>
      </c>
      <c r="L17" s="20" t="n">
        <v>-13</v>
      </c>
      <c r="M17" s="20" t="n">
        <v>6</v>
      </c>
      <c r="N17" s="20" t="n">
        <v>12</v>
      </c>
      <c r="O17" s="20" t="n">
        <v>7</v>
      </c>
      <c r="P17" s="20" t="n">
        <v>0</v>
      </c>
      <c r="Q17" s="20" t="n">
        <v>3</v>
      </c>
      <c r="R17" s="20" t="n">
        <v>11</v>
      </c>
      <c r="S17" s="20" t="n">
        <v>15</v>
      </c>
      <c r="T17" s="20" t="n">
        <v>15</v>
      </c>
      <c r="U17" s="20" t="n">
        <v>14</v>
      </c>
      <c r="V17" s="20" t="n">
        <v>0</v>
      </c>
      <c r="W17" s="20" t="n">
        <v>12</v>
      </c>
      <c r="X17" s="20" t="n">
        <v>11</v>
      </c>
      <c r="Y17" s="20" t="n">
        <v>10</v>
      </c>
      <c r="Z17" s="20" t="n">
        <v>7</v>
      </c>
      <c r="AA17" s="20" t="n">
        <v>0</v>
      </c>
      <c r="AB17" s="20" t="n">
        <v>4</v>
      </c>
      <c r="AC17" s="20" t="n">
        <v>8</v>
      </c>
      <c r="AD17" s="20" t="n">
        <v>8</v>
      </c>
      <c r="AE17" s="20" t="n">
        <v>14</v>
      </c>
      <c r="AF17" s="20" t="n">
        <v>12</v>
      </c>
      <c r="AG17" s="20" t="n">
        <v>0</v>
      </c>
      <c r="AH17" s="20" t="n">
        <v>-3</v>
      </c>
    </row>
    <row r="18">
      <c r="A18" s="17" t="inlineStr">
        <is>
          <t>Textile Mills</t>
        </is>
      </c>
      <c r="B18" s="20" t="n">
        <v>-4</v>
      </c>
      <c r="C18" s="20" t="n">
        <v>6</v>
      </c>
      <c r="D18" s="20" t="n">
        <v>10</v>
      </c>
      <c r="E18" s="20" t="n">
        <v>0</v>
      </c>
      <c r="F18" s="20" t="n">
        <v>11</v>
      </c>
      <c r="G18" s="20" t="n">
        <v>4</v>
      </c>
      <c r="H18" s="20" t="n">
        <v>4</v>
      </c>
      <c r="I18" s="20" t="n">
        <v>-9</v>
      </c>
      <c r="J18" s="20" t="n">
        <v>-11</v>
      </c>
      <c r="K18" s="20" t="n">
        <v>-10</v>
      </c>
      <c r="L18" s="20" t="n">
        <v>-9</v>
      </c>
      <c r="M18" s="20" t="n">
        <v>0</v>
      </c>
      <c r="N18" s="20" t="n">
        <v>6</v>
      </c>
      <c r="O18" s="20" t="n">
        <v>-4</v>
      </c>
      <c r="P18" s="20" t="n">
        <v>-14</v>
      </c>
      <c r="Q18" s="20" t="n">
        <v>0</v>
      </c>
      <c r="R18" s="20" t="n">
        <v>13</v>
      </c>
      <c r="S18" s="20" t="n">
        <v>14</v>
      </c>
      <c r="T18" s="20" t="n">
        <v>9</v>
      </c>
      <c r="U18" s="20" t="n">
        <v>-2</v>
      </c>
      <c r="V18" s="20" t="n">
        <v>-1</v>
      </c>
      <c r="W18" s="20" t="n">
        <v>13</v>
      </c>
      <c r="X18" s="20" t="n">
        <v>0</v>
      </c>
      <c r="Y18" s="20" t="n">
        <v>-1</v>
      </c>
      <c r="Z18" s="20" t="n">
        <v>13</v>
      </c>
      <c r="AA18" s="20" t="n">
        <v>14</v>
      </c>
      <c r="AB18" s="20" t="n">
        <v>2</v>
      </c>
      <c r="AC18" s="20" t="n">
        <v>0</v>
      </c>
      <c r="AD18" s="20" t="n">
        <v>0</v>
      </c>
      <c r="AE18" s="20" t="n">
        <v>-1</v>
      </c>
      <c r="AF18" s="20" t="n">
        <v>-4</v>
      </c>
      <c r="AG18" s="20" t="n">
        <v>11</v>
      </c>
      <c r="AH18" s="20" t="n">
        <v>0</v>
      </c>
    </row>
    <row r="19">
      <c r="A19" s="18" t="inlineStr">
        <is>
          <t>Nonmetallic Mineral Products</t>
        </is>
      </c>
      <c r="B19" s="20" t="n">
        <v>-3</v>
      </c>
      <c r="C19" s="20" t="n">
        <v>7</v>
      </c>
      <c r="D19" s="20" t="n">
        <v>12</v>
      </c>
      <c r="E19" s="20" t="n">
        <v>5</v>
      </c>
      <c r="F19" s="20" t="n">
        <v>8</v>
      </c>
      <c r="G19" s="20" t="n">
        <v>-7</v>
      </c>
      <c r="H19" s="20" t="n">
        <v>2</v>
      </c>
      <c r="I19" s="20" t="n">
        <v>-7</v>
      </c>
      <c r="J19" s="20" t="n">
        <v>-7</v>
      </c>
      <c r="K19" s="20" t="n">
        <v>-11</v>
      </c>
      <c r="L19" s="20" t="n">
        <v>-12</v>
      </c>
      <c r="M19" s="20" t="n">
        <v>0</v>
      </c>
      <c r="N19" s="20" t="n">
        <v>-2</v>
      </c>
      <c r="O19" s="20" t="n">
        <v>0</v>
      </c>
      <c r="P19" s="20" t="n">
        <v>-7</v>
      </c>
      <c r="Q19" s="20" t="n">
        <v>0</v>
      </c>
      <c r="R19" s="20" t="n">
        <v>0</v>
      </c>
      <c r="S19" s="20" t="n">
        <v>6</v>
      </c>
      <c r="T19" s="20" t="n">
        <v>11</v>
      </c>
      <c r="U19" s="20" t="n">
        <v>7</v>
      </c>
      <c r="V19" s="20" t="n">
        <v>11</v>
      </c>
      <c r="W19" s="20" t="n">
        <v>6</v>
      </c>
      <c r="X19" s="20" t="n">
        <v>-2</v>
      </c>
      <c r="Y19" s="20" t="n">
        <v>0</v>
      </c>
      <c r="Z19" s="20" t="n">
        <v>-1</v>
      </c>
      <c r="AA19" s="20" t="n">
        <v>3</v>
      </c>
      <c r="AB19" s="20" t="n">
        <v>1</v>
      </c>
      <c r="AC19" s="20" t="n">
        <v>13</v>
      </c>
      <c r="AD19" s="20" t="n">
        <v>12</v>
      </c>
      <c r="AE19" s="20" t="n">
        <v>8</v>
      </c>
      <c r="AF19" s="20" t="n">
        <v>-3</v>
      </c>
      <c r="AG19" s="20" t="n">
        <v>9</v>
      </c>
      <c r="AH19" s="20" t="n">
        <v>0</v>
      </c>
    </row>
  </sheetData>
  <conditionalFormatting sqref="C2:C19">
    <cfRule type="cellIs" priority="161" operator="equal" dxfId="0">
      <formula>0</formula>
    </cfRule>
    <cfRule type="cellIs" priority="162" operator="lessThan" dxfId="1">
      <formula>0</formula>
    </cfRule>
    <cfRule type="cellIs" priority="163" operator="greaterThan" dxfId="0">
      <formula>0</formula>
    </cfRule>
    <cfRule type="colorScale" priority="165">
      <colorScale>
        <cfvo type="min"/>
        <cfvo type="percentile" val="50"/>
        <cfvo type="max"/>
        <color rgb="FFF8696B"/>
        <color rgb="FFFFEB84"/>
        <color rgb="FF63BE7B"/>
      </colorScale>
    </cfRule>
    <cfRule type="colorScale" priority="164">
      <colorScale>
        <cfvo type="min"/>
        <cfvo type="percentile" val="50"/>
        <cfvo type="max"/>
        <color rgb="FFF8696B"/>
        <color rgb="FFFFEB84"/>
        <color rgb="FF63BE7B"/>
      </colorScale>
    </cfRule>
  </conditionalFormatting>
  <conditionalFormatting sqref="D2:D19">
    <cfRule type="cellIs" priority="156" operator="equal" dxfId="0">
      <formula>0</formula>
    </cfRule>
    <cfRule type="cellIs" priority="157" operator="lessThan" dxfId="1">
      <formula>0</formula>
    </cfRule>
    <cfRule type="cellIs" priority="158" operator="greaterThan" dxfId="0">
      <formula>0</formula>
    </cfRule>
    <cfRule type="colorScale" priority="160">
      <colorScale>
        <cfvo type="min"/>
        <cfvo type="percentile" val="50"/>
        <cfvo type="max"/>
        <color rgb="FFF8696B"/>
        <color rgb="FFFFEB84"/>
        <color rgb="FF63BE7B"/>
      </colorScale>
    </cfRule>
    <cfRule type="colorScale" priority="159">
      <colorScale>
        <cfvo type="min"/>
        <cfvo type="percentile" val="50"/>
        <cfvo type="max"/>
        <color rgb="FFF8696B"/>
        <color rgb="FFFFEB84"/>
        <color rgb="FF63BE7B"/>
      </colorScale>
    </cfRule>
  </conditionalFormatting>
  <conditionalFormatting sqref="E2:E19">
    <cfRule type="cellIs" priority="151" operator="equal" dxfId="0">
      <formula>0</formula>
    </cfRule>
    <cfRule type="cellIs" priority="152" operator="lessThan" dxfId="1">
      <formula>0</formula>
    </cfRule>
    <cfRule type="cellIs" priority="153" operator="greaterThan" dxfId="0">
      <formula>0</formula>
    </cfRule>
    <cfRule type="colorScale" priority="155">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onditionalFormatting>
  <conditionalFormatting sqref="F2:F19">
    <cfRule type="cellIs" priority="146" operator="equal" dxfId="0">
      <formula>0</formula>
    </cfRule>
    <cfRule type="cellIs" priority="147" operator="lessThan" dxfId="1">
      <formula>0</formula>
    </cfRule>
    <cfRule type="cellIs" priority="148" operator="greaterThan" dxfId="0">
      <formula>0</formula>
    </cfRule>
    <cfRule type="colorScale" priority="150">
      <colorScale>
        <cfvo type="min"/>
        <cfvo type="percentile" val="50"/>
        <cfvo type="max"/>
        <color rgb="FFF8696B"/>
        <color rgb="FFFFEB84"/>
        <color rgb="FF63BE7B"/>
      </colorScale>
    </cfRule>
    <cfRule type="colorScale" priority="149">
      <colorScale>
        <cfvo type="min"/>
        <cfvo type="percentile" val="50"/>
        <cfvo type="max"/>
        <color rgb="FFF8696B"/>
        <color rgb="FFFFEB84"/>
        <color rgb="FF63BE7B"/>
      </colorScale>
    </cfRule>
  </conditionalFormatting>
  <conditionalFormatting sqref="G2:G19">
    <cfRule type="cellIs" priority="141" operator="equal" dxfId="0">
      <formula>0</formula>
    </cfRule>
    <cfRule type="cellIs" priority="142" operator="lessThan" dxfId="1">
      <formula>0</formula>
    </cfRule>
    <cfRule type="cellIs" priority="143" operator="greaterThan" dxfId="0">
      <formula>0</formula>
    </cfRule>
    <cfRule type="colorScale" priority="145">
      <colorScale>
        <cfvo type="min"/>
        <cfvo type="percentile" val="50"/>
        <cfvo type="max"/>
        <color rgb="FFF8696B"/>
        <color rgb="FFFFEB84"/>
        <color rgb="FF63BE7B"/>
      </colorScale>
    </cfRule>
    <cfRule type="colorScale" priority="144">
      <colorScale>
        <cfvo type="min"/>
        <cfvo type="percentile" val="50"/>
        <cfvo type="max"/>
        <color rgb="FFF8696B"/>
        <color rgb="FFFFEB84"/>
        <color rgb="FF63BE7B"/>
      </colorScale>
    </cfRule>
  </conditionalFormatting>
  <conditionalFormatting sqref="H2:H19">
    <cfRule type="cellIs" priority="136" operator="equal" dxfId="0">
      <formula>0</formula>
    </cfRule>
    <cfRule type="cellIs" priority="137" operator="lessThan" dxfId="1">
      <formula>0</formula>
    </cfRule>
    <cfRule type="cellIs" priority="138" operator="greaterThan" dxfId="0">
      <formula>0</formula>
    </cfRule>
    <cfRule type="colorScale" priority="140">
      <colorScale>
        <cfvo type="min"/>
        <cfvo type="percentile" val="50"/>
        <cfvo type="max"/>
        <color rgb="FFF8696B"/>
        <color rgb="FFFFEB84"/>
        <color rgb="FF63BE7B"/>
      </colorScale>
    </cfRule>
    <cfRule type="colorScale" priority="139">
      <colorScale>
        <cfvo type="min"/>
        <cfvo type="percentile" val="50"/>
        <cfvo type="max"/>
        <color rgb="FFF8696B"/>
        <color rgb="FFFFEB84"/>
        <color rgb="FF63BE7B"/>
      </colorScale>
    </cfRule>
  </conditionalFormatting>
  <conditionalFormatting sqref="B2:B19">
    <cfRule type="cellIs" priority="131" operator="equal" dxfId="0">
      <formula>0</formula>
    </cfRule>
    <cfRule type="cellIs" priority="132" operator="lessThan" dxfId="1">
      <formula>0</formula>
    </cfRule>
    <cfRule type="cellIs" priority="133" operator="greaterThan" dxfId="0">
      <formula>0</formula>
    </cfRule>
    <cfRule type="colorScale" priority="135">
      <colorScale>
        <cfvo type="min"/>
        <cfvo type="percentile" val="50"/>
        <cfvo type="max"/>
        <color rgb="FFF8696B"/>
        <color rgb="FFFFEB84"/>
        <color rgb="FF63BE7B"/>
      </colorScale>
    </cfRule>
    <cfRule type="colorScale" priority="134">
      <colorScale>
        <cfvo type="min"/>
        <cfvo type="percentile" val="50"/>
        <cfvo type="max"/>
        <color rgb="FFF8696B"/>
        <color rgb="FFFFEB84"/>
        <color rgb="FF63BE7B"/>
      </colorScale>
    </cfRule>
  </conditionalFormatting>
  <conditionalFormatting sqref="I2:I19">
    <cfRule type="cellIs" priority="126" operator="equal" dxfId="0">
      <formula>0</formula>
    </cfRule>
    <cfRule type="cellIs" priority="127" operator="lessThan" dxfId="1">
      <formula>0</formula>
    </cfRule>
    <cfRule type="cellIs" priority="128" operator="greaterThan" dxfId="0">
      <formula>0</formula>
    </cfRule>
    <cfRule type="colorScale" priority="130">
      <colorScale>
        <cfvo type="min"/>
        <cfvo type="percentile" val="50"/>
        <cfvo type="max"/>
        <color rgb="FFF8696B"/>
        <color rgb="FFFFEB84"/>
        <color rgb="FF63BE7B"/>
      </colorScale>
    </cfRule>
    <cfRule type="colorScale" priority="129">
      <colorScale>
        <cfvo type="min"/>
        <cfvo type="percentile" val="50"/>
        <cfvo type="max"/>
        <color rgb="FFF8696B"/>
        <color rgb="FFFFEB84"/>
        <color rgb="FF63BE7B"/>
      </colorScale>
    </cfRule>
  </conditionalFormatting>
  <conditionalFormatting sqref="J2:J19">
    <cfRule type="cellIs" priority="121" operator="equal" dxfId="0">
      <formula>0</formula>
    </cfRule>
    <cfRule type="cellIs" priority="122" operator="lessThan" dxfId="1">
      <formula>0</formula>
    </cfRule>
    <cfRule type="cellIs" priority="123" operator="greaterThan" dxfId="0">
      <formula>0</formula>
    </cfRule>
    <cfRule type="colorScale" priority="125">
      <colorScale>
        <cfvo type="min"/>
        <cfvo type="percentile" val="50"/>
        <cfvo type="max"/>
        <color rgb="FFF8696B"/>
        <color rgb="FFFFEB84"/>
        <color rgb="FF63BE7B"/>
      </colorScale>
    </cfRule>
    <cfRule type="colorScale" priority="124">
      <colorScale>
        <cfvo type="min"/>
        <cfvo type="percentile" val="50"/>
        <cfvo type="max"/>
        <color rgb="FFF8696B"/>
        <color rgb="FFFFEB84"/>
        <color rgb="FF63BE7B"/>
      </colorScale>
    </cfRule>
  </conditionalFormatting>
  <conditionalFormatting sqref="K2:K19">
    <cfRule type="cellIs" priority="116" operator="equal" dxfId="0">
      <formula>0</formula>
    </cfRule>
    <cfRule type="cellIs" priority="117" operator="lessThan" dxfId="1">
      <formula>0</formula>
    </cfRule>
    <cfRule type="cellIs" priority="118" operator="greaterThan" dxfId="0">
      <formula>0</formula>
    </cfRule>
    <cfRule type="colorScale" priority="120">
      <colorScale>
        <cfvo type="min"/>
        <cfvo type="percentile" val="50"/>
        <cfvo type="max"/>
        <color rgb="FFF8696B"/>
        <color rgb="FFFFEB84"/>
        <color rgb="FF63BE7B"/>
      </colorScale>
    </cfRule>
    <cfRule type="colorScale" priority="119">
      <colorScale>
        <cfvo type="min"/>
        <cfvo type="percentile" val="50"/>
        <cfvo type="max"/>
        <color rgb="FFF8696B"/>
        <color rgb="FFFFEB84"/>
        <color rgb="FF63BE7B"/>
      </colorScale>
    </cfRule>
  </conditionalFormatting>
  <conditionalFormatting sqref="L2:L19">
    <cfRule type="cellIs" priority="111" operator="equal" dxfId="0">
      <formula>0</formula>
    </cfRule>
    <cfRule type="cellIs" priority="112" operator="lessThan" dxfId="1">
      <formula>0</formula>
    </cfRule>
    <cfRule type="cellIs" priority="113" operator="greaterThan" dxfId="0">
      <formula>0</formula>
    </cfRule>
    <cfRule type="colorScale" priority="115">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onditionalFormatting>
  <conditionalFormatting sqref="M2:M19">
    <cfRule type="cellIs" priority="106" operator="equal" dxfId="0">
      <formula>0</formula>
    </cfRule>
    <cfRule type="cellIs" priority="107" operator="lessThan" dxfId="1">
      <formula>0</formula>
    </cfRule>
    <cfRule type="cellIs" priority="108" operator="greaterThan" dxfId="0">
      <formula>0</formula>
    </cfRule>
    <cfRule type="colorScale" priority="110">
      <colorScale>
        <cfvo type="min"/>
        <cfvo type="percentile" val="50"/>
        <cfvo type="max"/>
        <color rgb="FFF8696B"/>
        <color rgb="FFFFEB84"/>
        <color rgb="FF63BE7B"/>
      </colorScale>
    </cfRule>
    <cfRule type="colorScale" priority="109">
      <colorScale>
        <cfvo type="min"/>
        <cfvo type="percentile" val="50"/>
        <cfvo type="max"/>
        <color rgb="FFF8696B"/>
        <color rgb="FFFFEB84"/>
        <color rgb="FF63BE7B"/>
      </colorScale>
    </cfRule>
  </conditionalFormatting>
  <conditionalFormatting sqref="N2:N19">
    <cfRule type="cellIs" priority="101" operator="equal" dxfId="0">
      <formula>0</formula>
    </cfRule>
    <cfRule type="cellIs" priority="102" operator="lessThan" dxfId="1">
      <formula>0</formula>
    </cfRule>
    <cfRule type="cellIs" priority="103" operator="greaterThan" dxfId="0">
      <formula>0</formula>
    </cfRule>
    <cfRule type="colorScale" priority="105">
      <colorScale>
        <cfvo type="min"/>
        <cfvo type="percentile" val="50"/>
        <cfvo type="max"/>
        <color rgb="FFF8696B"/>
        <color rgb="FFFFEB84"/>
        <color rgb="FF63BE7B"/>
      </colorScale>
    </cfRule>
    <cfRule type="colorScale" priority="104">
      <colorScale>
        <cfvo type="min"/>
        <cfvo type="percentile" val="50"/>
        <cfvo type="max"/>
        <color rgb="FFF8696B"/>
        <color rgb="FFFFEB84"/>
        <color rgb="FF63BE7B"/>
      </colorScale>
    </cfRule>
  </conditionalFormatting>
  <conditionalFormatting sqref="O2:O19">
    <cfRule type="cellIs" priority="96" operator="equal" dxfId="0">
      <formula>0</formula>
    </cfRule>
    <cfRule type="cellIs" priority="97" operator="lessThan" dxfId="1">
      <formula>0</formula>
    </cfRule>
    <cfRule type="cellIs" priority="98" operator="greaterThan" dxfId="0">
      <formula>0</formula>
    </cfRule>
    <cfRule type="colorScale" priority="100">
      <colorScale>
        <cfvo type="min"/>
        <cfvo type="percentile" val="50"/>
        <cfvo type="max"/>
        <color rgb="FFF8696B"/>
        <color rgb="FFFFEB84"/>
        <color rgb="FF63BE7B"/>
      </colorScale>
    </cfRule>
    <cfRule type="colorScale" priority="99">
      <colorScale>
        <cfvo type="min"/>
        <cfvo type="percentile" val="50"/>
        <cfvo type="max"/>
        <color rgb="FFF8696B"/>
        <color rgb="FFFFEB84"/>
        <color rgb="FF63BE7B"/>
      </colorScale>
    </cfRule>
  </conditionalFormatting>
  <conditionalFormatting sqref="P2:P19">
    <cfRule type="cellIs" priority="91" operator="equal" dxfId="0">
      <formula>0</formula>
    </cfRule>
    <cfRule type="cellIs" priority="92" operator="lessThan" dxfId="1">
      <formula>0</formula>
    </cfRule>
    <cfRule type="cellIs" priority="93" operator="greaterThan" dxfId="0">
      <formula>0</formula>
    </cfRule>
    <cfRule type="colorScale" priority="95">
      <colorScale>
        <cfvo type="min"/>
        <cfvo type="percentile" val="50"/>
        <cfvo type="max"/>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Q2:Q19">
    <cfRule type="cellIs" priority="86" operator="equal" dxfId="0">
      <formula>0</formula>
    </cfRule>
    <cfRule type="cellIs" priority="87" operator="lessThan" dxfId="1">
      <formula>0</formula>
    </cfRule>
    <cfRule type="cellIs" priority="88" operator="greaterThan" dxfId="0">
      <formula>0</formula>
    </cfRule>
    <cfRule type="colorScale" priority="90">
      <colorScale>
        <cfvo type="min"/>
        <cfvo type="percentile" val="50"/>
        <cfvo type="max"/>
        <color rgb="FFF8696B"/>
        <color rgb="FFFFEB84"/>
        <color rgb="FF63BE7B"/>
      </colorScale>
    </cfRule>
    <cfRule type="colorScale" priority="89">
      <colorScale>
        <cfvo type="min"/>
        <cfvo type="percentile" val="50"/>
        <cfvo type="max"/>
        <color rgb="FFF8696B"/>
        <color rgb="FFFFEB84"/>
        <color rgb="FF63BE7B"/>
      </colorScale>
    </cfRule>
  </conditionalFormatting>
  <conditionalFormatting sqref="R2:R19">
    <cfRule type="cellIs" priority="81" operator="equal" dxfId="0">
      <formula>0</formula>
    </cfRule>
    <cfRule type="cellIs" priority="82" operator="lessThan" dxfId="1">
      <formula>0</formula>
    </cfRule>
    <cfRule type="cellIs" priority="83" operator="greaterThan" dxfId="0">
      <formula>0</formula>
    </cfRule>
    <cfRule type="colorScale" priority="85">
      <colorScale>
        <cfvo type="min"/>
        <cfvo type="percentile" val="50"/>
        <cfvo type="max"/>
        <color rgb="FFF8696B"/>
        <color rgb="FFFFEB84"/>
        <color rgb="FF63BE7B"/>
      </colorScale>
    </cfRule>
    <cfRule type="colorScale" priority="84">
      <colorScale>
        <cfvo type="min"/>
        <cfvo type="percentile" val="50"/>
        <cfvo type="max"/>
        <color rgb="FFF8696B"/>
        <color rgb="FFFFEB84"/>
        <color rgb="FF63BE7B"/>
      </colorScale>
    </cfRule>
  </conditionalFormatting>
  <conditionalFormatting sqref="S2:S19">
    <cfRule type="cellIs" priority="76" operator="equal" dxfId="0">
      <formula>0</formula>
    </cfRule>
    <cfRule type="cellIs" priority="77" operator="lessThan" dxfId="1">
      <formula>0</formula>
    </cfRule>
    <cfRule type="cellIs" priority="78" operator="greaterThan" dxfId="0">
      <formula>0</formula>
    </cfRule>
    <cfRule type="colorScale" priority="80">
      <colorScale>
        <cfvo type="min"/>
        <cfvo type="percentile" val="50"/>
        <cfvo type="max"/>
        <color rgb="FFF8696B"/>
        <color rgb="FFFFEB84"/>
        <color rgb="FF63BE7B"/>
      </colorScale>
    </cfRule>
    <cfRule type="colorScale" priority="79">
      <colorScale>
        <cfvo type="min"/>
        <cfvo type="percentile" val="50"/>
        <cfvo type="max"/>
        <color rgb="FFF8696B"/>
        <color rgb="FFFFEB84"/>
        <color rgb="FF63BE7B"/>
      </colorScale>
    </cfRule>
  </conditionalFormatting>
  <conditionalFormatting sqref="T2:T19">
    <cfRule type="cellIs" priority="71" operator="equal" dxfId="0">
      <formula>0</formula>
    </cfRule>
    <cfRule type="cellIs" priority="72" operator="lessThan" dxfId="1">
      <formula>0</formula>
    </cfRule>
    <cfRule type="cellIs" priority="73" operator="greaterThan" dxfId="0">
      <formula>0</formula>
    </cfRule>
    <cfRule type="colorScale" priority="75">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onditionalFormatting>
  <conditionalFormatting sqref="U2:U19">
    <cfRule type="cellIs" priority="66" operator="equal" dxfId="0">
      <formula>0</formula>
    </cfRule>
    <cfRule type="cellIs" priority="67" operator="lessThan" dxfId="1">
      <formula>0</formula>
    </cfRule>
    <cfRule type="cellIs" priority="68" operator="greaterThan" dxfId="0">
      <formula>0</formula>
    </cfRule>
    <cfRule type="colorScale" priority="70">
      <colorScale>
        <cfvo type="min"/>
        <cfvo type="percentile" val="50"/>
        <cfvo type="max"/>
        <color rgb="FFF8696B"/>
        <color rgb="FFFFEB84"/>
        <color rgb="FF63BE7B"/>
      </colorScale>
    </cfRule>
    <cfRule type="colorScale" priority="69">
      <colorScale>
        <cfvo type="min"/>
        <cfvo type="percentile" val="50"/>
        <cfvo type="max"/>
        <color rgb="FFF8696B"/>
        <color rgb="FFFFEB84"/>
        <color rgb="FF63BE7B"/>
      </colorScale>
    </cfRule>
  </conditionalFormatting>
  <conditionalFormatting sqref="V2:V19">
    <cfRule type="cellIs" priority="61" operator="equal" dxfId="0">
      <formula>0</formula>
    </cfRule>
    <cfRule type="cellIs" priority="62" operator="lessThan" dxfId="1">
      <formula>0</formula>
    </cfRule>
    <cfRule type="cellIs" priority="63" operator="greaterThan" dxfId="0">
      <formula>0</formula>
    </cfRule>
    <cfRule type="colorScale" priority="65">
      <colorScale>
        <cfvo type="min"/>
        <cfvo type="percentile" val="50"/>
        <cfvo type="max"/>
        <color rgb="FFF8696B"/>
        <color rgb="FFFFEB84"/>
        <color rgb="FF63BE7B"/>
      </colorScale>
    </cfRule>
    <cfRule type="colorScale" priority="64">
      <colorScale>
        <cfvo type="min"/>
        <cfvo type="percentile" val="50"/>
        <cfvo type="max"/>
        <color rgb="FFF8696B"/>
        <color rgb="FFFFEB84"/>
        <color rgb="FF63BE7B"/>
      </colorScale>
    </cfRule>
  </conditionalFormatting>
  <conditionalFormatting sqref="W2:W19">
    <cfRule type="cellIs" priority="56" operator="equal" dxfId="0">
      <formula>0</formula>
    </cfRule>
    <cfRule type="cellIs" priority="57" operator="lessThan" dxfId="1">
      <formula>0</formula>
    </cfRule>
    <cfRule type="cellIs" priority="58" operator="greaterThan" dxfId="0">
      <formula>0</formula>
    </cfRule>
    <cfRule type="colorScale" priority="60">
      <colorScale>
        <cfvo type="min"/>
        <cfvo type="percentile" val="50"/>
        <cfvo type="max"/>
        <color rgb="FFF8696B"/>
        <color rgb="FFFFEB84"/>
        <color rgb="FF63BE7B"/>
      </colorScale>
    </cfRule>
    <cfRule type="colorScale" priority="59">
      <colorScale>
        <cfvo type="min"/>
        <cfvo type="percentile" val="50"/>
        <cfvo type="max"/>
        <color rgb="FFF8696B"/>
        <color rgb="FFFFEB84"/>
        <color rgb="FF63BE7B"/>
      </colorScale>
    </cfRule>
  </conditionalFormatting>
  <conditionalFormatting sqref="X2:X19">
    <cfRule type="cellIs" priority="51" operator="equal" dxfId="0">
      <formula>0</formula>
    </cfRule>
    <cfRule type="cellIs" priority="52" operator="lessThan" dxfId="1">
      <formula>0</formula>
    </cfRule>
    <cfRule type="cellIs" priority="53" operator="greaterThan" dxfId="0">
      <formula>0</formula>
    </cfRule>
    <cfRule type="colorScale" priority="55">
      <colorScale>
        <cfvo type="min"/>
        <cfvo type="percentile" val="50"/>
        <cfvo type="max"/>
        <color rgb="FFF8696B"/>
        <color rgb="FFFFEB84"/>
        <color rgb="FF63BE7B"/>
      </colorScale>
    </cfRule>
    <cfRule type="colorScale" priority="54">
      <colorScale>
        <cfvo type="min"/>
        <cfvo type="percentile" val="50"/>
        <cfvo type="max"/>
        <color rgb="FFF8696B"/>
        <color rgb="FFFFEB84"/>
        <color rgb="FF63BE7B"/>
      </colorScale>
    </cfRule>
  </conditionalFormatting>
  <conditionalFormatting sqref="Y2:Y19">
    <cfRule type="cellIs" priority="46" operator="equal" dxfId="0">
      <formula>0</formula>
    </cfRule>
    <cfRule type="cellIs" priority="47" operator="lessThan" dxfId="1">
      <formula>0</formula>
    </cfRule>
    <cfRule type="cellIs" priority="48" operator="greaterThan" dxfId="0">
      <formula>0</formula>
    </cfRule>
    <cfRule type="colorScale" priority="50">
      <colorScale>
        <cfvo type="min"/>
        <cfvo type="percentile" val="50"/>
        <cfvo type="max"/>
        <color rgb="FFF8696B"/>
        <color rgb="FFFFEB84"/>
        <color rgb="FF63BE7B"/>
      </colorScale>
    </cfRule>
    <cfRule type="colorScale" priority="49">
      <colorScale>
        <cfvo type="min"/>
        <cfvo type="percentile" val="50"/>
        <cfvo type="max"/>
        <color rgb="FFF8696B"/>
        <color rgb="FFFFEB84"/>
        <color rgb="FF63BE7B"/>
      </colorScale>
    </cfRule>
  </conditionalFormatting>
  <conditionalFormatting sqref="Z2:Z19">
    <cfRule type="cellIs" priority="41" operator="equal" dxfId="0">
      <formula>0</formula>
    </cfRule>
    <cfRule type="cellIs" priority="42" operator="lessThan" dxfId="1">
      <formula>0</formula>
    </cfRule>
    <cfRule type="cellIs" priority="43" operator="greaterThan" dxfId="0">
      <formula>0</formula>
    </cfRule>
    <cfRule type="colorScale" priority="45">
      <colorScale>
        <cfvo type="min"/>
        <cfvo type="percentile" val="50"/>
        <cfvo type="max"/>
        <color rgb="FFF8696B"/>
        <color rgb="FFFFEB84"/>
        <color rgb="FF63BE7B"/>
      </colorScale>
    </cfRule>
    <cfRule type="colorScale" priority="44">
      <colorScale>
        <cfvo type="min"/>
        <cfvo type="percentile" val="50"/>
        <cfvo type="max"/>
        <color rgb="FFF8696B"/>
        <color rgb="FFFFEB84"/>
        <color rgb="FF63BE7B"/>
      </colorScale>
    </cfRule>
  </conditionalFormatting>
  <conditionalFormatting sqref="AA2:AA19">
    <cfRule type="cellIs" priority="36" operator="equal" dxfId="0">
      <formula>0</formula>
    </cfRule>
    <cfRule type="cellIs" priority="37" operator="lessThan" dxfId="1">
      <formula>0</formula>
    </cfRule>
    <cfRule type="cellIs" priority="38" operator="greaterThan" dxfId="0">
      <formula>0</formula>
    </cfRule>
    <cfRule type="colorScale" priority="40">
      <colorScale>
        <cfvo type="min"/>
        <cfvo type="percentile" val="50"/>
        <cfvo type="max"/>
        <color rgb="FFF8696B"/>
        <color rgb="FFFFEB84"/>
        <color rgb="FF63BE7B"/>
      </colorScale>
    </cfRule>
    <cfRule type="colorScale" priority="39">
      <colorScale>
        <cfvo type="min"/>
        <cfvo type="percentile" val="50"/>
        <cfvo type="max"/>
        <color rgb="FFF8696B"/>
        <color rgb="FFFFEB84"/>
        <color rgb="FF63BE7B"/>
      </colorScale>
    </cfRule>
  </conditionalFormatting>
  <conditionalFormatting sqref="AB2:AB19">
    <cfRule type="cellIs" priority="31" operator="equal" dxfId="0">
      <formula>0</formula>
    </cfRule>
    <cfRule type="cellIs" priority="32" operator="lessThan" dxfId="1">
      <formula>0</formula>
    </cfRule>
    <cfRule type="cellIs" priority="33" operator="greaterThan" dxfId="0">
      <formula>0</formula>
    </cfRule>
    <cfRule type="colorScale" priority="35">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onditionalFormatting>
  <conditionalFormatting sqref="AC2:AC19">
    <cfRule type="cellIs" priority="26" operator="equal" dxfId="0">
      <formula>0</formula>
    </cfRule>
    <cfRule type="cellIs" priority="27" operator="lessThan" dxfId="1">
      <formula>0</formula>
    </cfRule>
    <cfRule type="cellIs" priority="28" operator="greaterThan" dxfId="0">
      <formula>0</formula>
    </cfRule>
    <cfRule type="colorScale" priority="30">
      <colorScale>
        <cfvo type="min"/>
        <cfvo type="percentile" val="50"/>
        <cfvo type="max"/>
        <color rgb="FFF8696B"/>
        <color rgb="FFFFEB84"/>
        <color rgb="FF63BE7B"/>
      </colorScale>
    </cfRule>
    <cfRule type="colorScale" priority="29">
      <colorScale>
        <cfvo type="min"/>
        <cfvo type="percentile" val="50"/>
        <cfvo type="max"/>
        <color rgb="FFF8696B"/>
        <color rgb="FFFFEB84"/>
        <color rgb="FF63BE7B"/>
      </colorScale>
    </cfRule>
  </conditionalFormatting>
  <conditionalFormatting sqref="AD2:AD19">
    <cfRule type="cellIs" priority="21" operator="equal" dxfId="0">
      <formula>0</formula>
    </cfRule>
    <cfRule type="cellIs" priority="22" operator="lessThan" dxfId="1">
      <formula>0</formula>
    </cfRule>
    <cfRule type="cellIs" priority="23" operator="greaterThan" dxfId="0">
      <formula>0</formula>
    </cfRule>
    <cfRule type="colorScale" priority="25">
      <colorScale>
        <cfvo type="min"/>
        <cfvo type="percentile" val="50"/>
        <cfvo type="max"/>
        <color rgb="FFF8696B"/>
        <color rgb="FFFFEB84"/>
        <color rgb="FF63BE7B"/>
      </colorScale>
    </cfRule>
    <cfRule type="colorScale" priority="24">
      <colorScale>
        <cfvo type="min"/>
        <cfvo type="percentile" val="50"/>
        <cfvo type="max"/>
        <color rgb="FFF8696B"/>
        <color rgb="FFFFEB84"/>
        <color rgb="FF63BE7B"/>
      </colorScale>
    </cfRule>
  </conditionalFormatting>
  <conditionalFormatting sqref="AE2:AE19">
    <cfRule type="cellIs" priority="16" operator="equal" dxfId="0">
      <formula>0</formula>
    </cfRule>
    <cfRule type="cellIs" priority="17" operator="lessThan" dxfId="1">
      <formula>0</formula>
    </cfRule>
    <cfRule type="cellIs" priority="18" operator="greaterThan" dxfId="0">
      <formula>0</formula>
    </cfRule>
    <cfRule type="colorScale" priority="20">
      <colorScale>
        <cfvo type="min"/>
        <cfvo type="percentile" val="50"/>
        <cfvo type="max"/>
        <color rgb="FFF8696B"/>
        <color rgb="FFFFEB84"/>
        <color rgb="FF63BE7B"/>
      </colorScale>
    </cfRule>
    <cfRule type="colorScale" priority="19">
      <colorScale>
        <cfvo type="min"/>
        <cfvo type="percentile" val="50"/>
        <cfvo type="max"/>
        <color rgb="FFF8696B"/>
        <color rgb="FFFFEB84"/>
        <color rgb="FF63BE7B"/>
      </colorScale>
    </cfRule>
  </conditionalFormatting>
  <conditionalFormatting sqref="AF2:AF19">
    <cfRule type="cellIs" priority="11" operator="equal" dxfId="0">
      <formula>0</formula>
    </cfRule>
    <cfRule type="cellIs" priority="12" operator="lessThan" dxfId="1">
      <formula>0</formula>
    </cfRule>
    <cfRule type="cellIs" priority="13" operator="greaterThan" dxfId="0">
      <formula>0</formula>
    </cfRule>
    <cfRule type="colorScale" priority="15">
      <colorScale>
        <cfvo type="min"/>
        <cfvo type="percentile" val="50"/>
        <cfvo type="max"/>
        <color rgb="FFF8696B"/>
        <color rgb="FFFFEB84"/>
        <color rgb="FF63BE7B"/>
      </colorScale>
    </cfRule>
    <cfRule type="colorScale" priority="14">
      <colorScale>
        <cfvo type="min"/>
        <cfvo type="percentile" val="50"/>
        <cfvo type="max"/>
        <color rgb="FFF8696B"/>
        <color rgb="FFFFEB84"/>
        <color rgb="FF63BE7B"/>
      </colorScale>
    </cfRule>
  </conditionalFormatting>
  <conditionalFormatting sqref="AG2:AG19">
    <cfRule type="cellIs" priority="6" operator="equal" dxfId="0">
      <formula>0</formula>
    </cfRule>
    <cfRule type="cellIs" priority="7" operator="lessThan" dxfId="1">
      <formula>0</formula>
    </cfRule>
    <cfRule type="cellIs" priority="8" operator="greaterThan" dxfId="0">
      <formula>0</formula>
    </cfRule>
    <cfRule type="colorScale" priority="10">
      <colorScale>
        <cfvo type="min"/>
        <cfvo type="percentile" val="50"/>
        <cfvo type="max"/>
        <color rgb="FFF8696B"/>
        <color rgb="FFFFEB84"/>
        <color rgb="FF63BE7B"/>
      </colorScale>
    </cfRule>
    <cfRule type="colorScale" priority="9">
      <colorScale>
        <cfvo type="min"/>
        <cfvo type="percentile" val="50"/>
        <cfvo type="max"/>
        <color rgb="FFF8696B"/>
        <color rgb="FFFFEB84"/>
        <color rgb="FF63BE7B"/>
      </colorScale>
    </cfRule>
  </conditionalFormatting>
  <conditionalFormatting sqref="AH2:AH19">
    <cfRule type="cellIs" priority="1" operator="equal" dxfId="0">
      <formula>0</formula>
    </cfRule>
    <cfRule type="cellIs" priority="2" operator="lessThan" dxfId="1">
      <formula>0</formula>
    </cfRule>
    <cfRule type="cellIs" priority="3" operator="greaterThan" dxfId="0">
      <formula>0</formula>
    </cfRule>
    <cfRule type="colorScale" priority="5">
      <colorScale>
        <cfvo type="min"/>
        <cfvo type="percentile" val="50"/>
        <cfvo type="max"/>
        <color rgb="FFF8696B"/>
        <color rgb="FFFFEB84"/>
        <color rgb="FF63BE7B"/>
      </colorScale>
    </cfRule>
    <cfRule type="colorScale" priority="4">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S34"/>
  <sheetViews>
    <sheetView workbookViewId="0">
      <selection activeCell="V57" sqref="V57"/>
    </sheetView>
  </sheetViews>
  <sheetFormatPr baseColWidth="10" defaultRowHeight="15"/>
  <sheetData>
    <row r="1">
      <c r="A1" t="inlineStr">
        <is>
          <t>DATE</t>
        </is>
      </c>
      <c r="B1" t="inlineStr">
        <is>
          <t>Machinery</t>
        </is>
      </c>
      <c r="C1" t="inlineStr">
        <is>
          <t>Computer &amp; Electronic Products</t>
        </is>
      </c>
      <c r="D1" t="inlineStr">
        <is>
          <t>Paper Products</t>
        </is>
      </c>
      <c r="E1" t="inlineStr">
        <is>
          <t>Apparel, Leather &amp; Allied Products</t>
        </is>
      </c>
      <c r="F1" t="inlineStr">
        <is>
          <t>Printing &amp; Related Support Activities</t>
        </is>
      </c>
      <c r="G1" t="inlineStr">
        <is>
          <t>Primary Metals</t>
        </is>
      </c>
      <c r="H1" t="inlineStr">
        <is>
          <t>Nonmetallic Mineral Products</t>
        </is>
      </c>
      <c r="I1" t="inlineStr">
        <is>
          <t>Petroleum &amp; Coal Products</t>
        </is>
      </c>
      <c r="J1" t="inlineStr">
        <is>
          <t>Plastics &amp; Rubber Products</t>
        </is>
      </c>
      <c r="K1" t="inlineStr">
        <is>
          <t>Miscellaneous Manufacturing</t>
        </is>
      </c>
      <c r="L1" t="inlineStr">
        <is>
          <t>Food, Beverage &amp; Tobacco Products</t>
        </is>
      </c>
      <c r="M1" t="inlineStr">
        <is>
          <t>Furniture &amp; Related Products</t>
        </is>
      </c>
      <c r="N1" t="inlineStr">
        <is>
          <t>Transportation Equipment</t>
        </is>
      </c>
      <c r="O1" t="inlineStr">
        <is>
          <t>Chemical Products</t>
        </is>
      </c>
      <c r="P1" t="inlineStr">
        <is>
          <t>Fabricated Metal Products</t>
        </is>
      </c>
      <c r="Q1" t="inlineStr">
        <is>
          <t>Electrical Equipment, Appliances &amp; Components</t>
        </is>
      </c>
      <c r="R1" t="inlineStr">
        <is>
          <t>Textile Mills</t>
        </is>
      </c>
      <c r="S1" t="inlineStr">
        <is>
          <t>Wood Products</t>
        </is>
      </c>
    </row>
    <row r="2">
      <c r="A2" s="143" t="n">
        <v>43497</v>
      </c>
      <c r="B2" t="n">
        <v>3</v>
      </c>
      <c r="C2" t="n">
        <v>14</v>
      </c>
      <c r="D2" t="n">
        <v>11</v>
      </c>
      <c r="E2" t="n">
        <v>0</v>
      </c>
      <c r="F2" t="n">
        <v>16</v>
      </c>
      <c r="G2" t="n">
        <v>9</v>
      </c>
      <c r="H2" t="n">
        <v>-1</v>
      </c>
      <c r="I2" t="n">
        <v>5</v>
      </c>
      <c r="J2" t="n">
        <v>1</v>
      </c>
      <c r="K2" t="n">
        <v>6</v>
      </c>
      <c r="L2" t="n">
        <v>7</v>
      </c>
      <c r="M2" t="n">
        <v>2</v>
      </c>
      <c r="N2" t="n">
        <v>4</v>
      </c>
      <c r="O2" t="n">
        <v>8</v>
      </c>
      <c r="P2" t="n">
        <v>12</v>
      </c>
      <c r="Q2" t="n">
        <v>13</v>
      </c>
      <c r="R2" t="n">
        <v>15</v>
      </c>
      <c r="S2" t="n">
        <v>10</v>
      </c>
    </row>
    <row r="3">
      <c r="A3" s="143" t="n">
        <v>43525</v>
      </c>
      <c r="B3" t="n">
        <v>1</v>
      </c>
      <c r="C3" t="n">
        <v>12</v>
      </c>
      <c r="D3" t="n">
        <v>-1</v>
      </c>
      <c r="E3" t="n">
        <v>-2</v>
      </c>
      <c r="F3" t="n">
        <v>16</v>
      </c>
      <c r="G3" t="n">
        <v>2</v>
      </c>
      <c r="H3" t="n">
        <v>6</v>
      </c>
      <c r="I3" t="n">
        <v>13</v>
      </c>
      <c r="J3" t="n">
        <v>8</v>
      </c>
      <c r="K3" t="n">
        <v>4</v>
      </c>
      <c r="L3" t="n">
        <v>14</v>
      </c>
      <c r="M3" t="n">
        <v>10</v>
      </c>
      <c r="N3" t="n">
        <v>5</v>
      </c>
      <c r="O3" t="n">
        <v>9</v>
      </c>
      <c r="P3" t="n">
        <v>3</v>
      </c>
      <c r="Q3" t="n">
        <v>11</v>
      </c>
      <c r="R3" t="n">
        <v>15</v>
      </c>
      <c r="S3" t="n">
        <v>7</v>
      </c>
    </row>
    <row r="4">
      <c r="A4" s="143" t="n">
        <v>43556</v>
      </c>
      <c r="B4" t="n">
        <v>6</v>
      </c>
      <c r="C4" t="n">
        <v>3</v>
      </c>
      <c r="D4" t="n">
        <v>2</v>
      </c>
      <c r="E4" t="n">
        <v>-5</v>
      </c>
      <c r="F4" t="n">
        <v>10</v>
      </c>
      <c r="G4" t="n">
        <v>-4</v>
      </c>
      <c r="H4" t="n">
        <v>8</v>
      </c>
      <c r="I4" t="n">
        <v>-2</v>
      </c>
      <c r="J4" t="n">
        <v>7</v>
      </c>
      <c r="K4" t="n">
        <v>11</v>
      </c>
      <c r="L4" t="n">
        <v>4</v>
      </c>
      <c r="M4" t="n">
        <v>5</v>
      </c>
      <c r="N4" t="n">
        <v>-1</v>
      </c>
      <c r="O4" t="n">
        <v>9</v>
      </c>
      <c r="P4" t="n">
        <v>1</v>
      </c>
      <c r="Q4" t="n">
        <v>12</v>
      </c>
      <c r="R4" t="n">
        <v>13</v>
      </c>
      <c r="S4" t="n">
        <v>-3</v>
      </c>
    </row>
    <row r="5">
      <c r="A5" s="143" t="n">
        <v>43586</v>
      </c>
      <c r="B5" t="n">
        <v>1</v>
      </c>
      <c r="C5" t="n">
        <v>5</v>
      </c>
      <c r="D5" t="n">
        <v>-2</v>
      </c>
      <c r="E5" t="n">
        <v>-6</v>
      </c>
      <c r="F5" t="n">
        <v>11</v>
      </c>
      <c r="G5" t="n">
        <v>-5</v>
      </c>
      <c r="H5" t="n">
        <v>2</v>
      </c>
      <c r="I5" t="n">
        <v>-4</v>
      </c>
      <c r="J5" t="n">
        <v>9</v>
      </c>
      <c r="K5" t="n">
        <v>7</v>
      </c>
      <c r="L5" t="n">
        <v>3</v>
      </c>
      <c r="M5" t="n">
        <v>10</v>
      </c>
      <c r="N5" t="n">
        <v>0</v>
      </c>
      <c r="O5" t="n">
        <v>4</v>
      </c>
      <c r="P5" t="n">
        <v>-1</v>
      </c>
      <c r="Q5" t="n">
        <v>6</v>
      </c>
      <c r="R5" t="n">
        <v>8</v>
      </c>
      <c r="S5" t="n">
        <v>-3</v>
      </c>
    </row>
    <row r="6">
      <c r="A6" s="143" t="n">
        <v>43617</v>
      </c>
      <c r="B6" t="n">
        <v>1</v>
      </c>
      <c r="C6" t="n">
        <v>5</v>
      </c>
      <c r="D6" t="n">
        <v>4</v>
      </c>
      <c r="E6" t="n">
        <v>-5</v>
      </c>
      <c r="F6" t="n">
        <v>11</v>
      </c>
      <c r="G6" t="n">
        <v>-4</v>
      </c>
      <c r="H6" t="n">
        <v>9</v>
      </c>
      <c r="I6" t="n">
        <v>7</v>
      </c>
      <c r="J6" t="n">
        <v>0</v>
      </c>
      <c r="K6" t="n">
        <v>3</v>
      </c>
      <c r="L6" t="n">
        <v>8</v>
      </c>
      <c r="M6" t="n">
        <v>12</v>
      </c>
      <c r="N6" t="n">
        <v>-2</v>
      </c>
      <c r="O6" t="n">
        <v>6</v>
      </c>
      <c r="P6" t="n">
        <v>-1</v>
      </c>
      <c r="Q6" t="n">
        <v>2</v>
      </c>
      <c r="R6" t="n">
        <v>10</v>
      </c>
      <c r="S6" t="n">
        <v>-3</v>
      </c>
    </row>
    <row r="7">
      <c r="A7" s="143" t="n">
        <v>43647</v>
      </c>
      <c r="B7" t="n">
        <v>-1</v>
      </c>
      <c r="C7" t="n">
        <v>4</v>
      </c>
      <c r="D7" t="n">
        <v>-4</v>
      </c>
      <c r="E7" t="n">
        <v>-9</v>
      </c>
      <c r="F7" t="n">
        <v>8</v>
      </c>
      <c r="G7" t="n">
        <v>-7</v>
      </c>
      <c r="H7" t="n">
        <v>-6</v>
      </c>
      <c r="I7" t="n">
        <v>2</v>
      </c>
      <c r="J7" t="n">
        <v>5</v>
      </c>
      <c r="K7" t="n">
        <v>-3</v>
      </c>
      <c r="L7" t="n">
        <v>6</v>
      </c>
      <c r="M7" t="n">
        <v>7</v>
      </c>
      <c r="N7" t="n">
        <v>-5</v>
      </c>
      <c r="O7" t="n">
        <v>1</v>
      </c>
      <c r="P7" t="n">
        <v>-8</v>
      </c>
      <c r="Q7" t="n">
        <v>-2</v>
      </c>
      <c r="R7" t="n">
        <v>3</v>
      </c>
      <c r="S7" t="n">
        <v>0</v>
      </c>
    </row>
    <row r="8">
      <c r="A8" s="143" t="n">
        <v>43678</v>
      </c>
      <c r="B8" t="n">
        <v>3</v>
      </c>
      <c r="C8" t="n">
        <v>0</v>
      </c>
      <c r="D8" t="n">
        <v>-2</v>
      </c>
      <c r="E8" t="n">
        <v>-7</v>
      </c>
      <c r="F8" t="n">
        <v>0</v>
      </c>
      <c r="G8" t="n">
        <v>-4</v>
      </c>
      <c r="H8" t="n">
        <v>4</v>
      </c>
      <c r="I8" t="n">
        <v>5</v>
      </c>
      <c r="J8" t="n">
        <v>-3</v>
      </c>
      <c r="K8" t="n">
        <v>2</v>
      </c>
      <c r="L8" t="n">
        <v>7</v>
      </c>
      <c r="M8" t="n">
        <v>8</v>
      </c>
      <c r="N8" t="n">
        <v>-5</v>
      </c>
      <c r="O8" t="n">
        <v>1</v>
      </c>
      <c r="P8" t="n">
        <v>-6</v>
      </c>
      <c r="Q8" t="n">
        <v>-1</v>
      </c>
      <c r="R8" t="n">
        <v>9</v>
      </c>
      <c r="S8" t="n">
        <v>6</v>
      </c>
    </row>
    <row r="9">
      <c r="A9" s="143" t="n">
        <v>43709</v>
      </c>
      <c r="B9" t="n">
        <v>-3</v>
      </c>
      <c r="C9" t="n">
        <v>-1</v>
      </c>
      <c r="D9" t="n">
        <v>-10</v>
      </c>
      <c r="E9" t="n">
        <v>-15</v>
      </c>
      <c r="F9" t="n">
        <v>-14</v>
      </c>
      <c r="G9" t="n">
        <v>-6</v>
      </c>
      <c r="H9" t="n">
        <v>-4</v>
      </c>
      <c r="I9" t="n">
        <v>-7</v>
      </c>
      <c r="J9" t="n">
        <v>-8</v>
      </c>
      <c r="K9" t="n">
        <v>3</v>
      </c>
      <c r="L9" t="n">
        <v>2</v>
      </c>
      <c r="M9" t="n">
        <v>-2</v>
      </c>
      <c r="N9" t="n">
        <v>-5</v>
      </c>
      <c r="O9" t="n">
        <v>1</v>
      </c>
      <c r="P9" t="n">
        <v>-9</v>
      </c>
      <c r="Q9" t="n">
        <v>-12</v>
      </c>
      <c r="R9" t="n">
        <v>-11</v>
      </c>
      <c r="S9" t="n">
        <v>-13</v>
      </c>
    </row>
    <row r="10">
      <c r="A10" s="143" t="n">
        <v>43739</v>
      </c>
      <c r="B10" t="n">
        <v>-7</v>
      </c>
      <c r="C10" t="n">
        <v>1</v>
      </c>
      <c r="D10" t="n">
        <v>-1</v>
      </c>
      <c r="E10" t="n">
        <v>-11</v>
      </c>
      <c r="F10" t="n">
        <v>4</v>
      </c>
      <c r="G10" t="n">
        <v>-12</v>
      </c>
      <c r="H10" t="n">
        <v>0</v>
      </c>
      <c r="I10" t="n">
        <v>-5</v>
      </c>
      <c r="J10" t="n">
        <v>-8</v>
      </c>
      <c r="K10" t="n">
        <v>-2</v>
      </c>
      <c r="L10" t="n">
        <v>3</v>
      </c>
      <c r="M10" t="n">
        <v>5</v>
      </c>
      <c r="N10" t="n">
        <v>-9</v>
      </c>
      <c r="O10" t="n">
        <v>-6</v>
      </c>
      <c r="P10" t="n">
        <v>-3</v>
      </c>
      <c r="Q10" t="n">
        <v>-4</v>
      </c>
      <c r="R10" t="n">
        <v>-10</v>
      </c>
      <c r="S10" t="n">
        <v>2</v>
      </c>
    </row>
    <row r="11">
      <c r="A11" s="143" t="n">
        <v>43770</v>
      </c>
      <c r="B11" t="n">
        <v>-3</v>
      </c>
      <c r="C11" t="n">
        <v>1</v>
      </c>
      <c r="D11" t="n">
        <v>3</v>
      </c>
      <c r="E11" t="n">
        <v>5</v>
      </c>
      <c r="F11" t="n">
        <v>-12</v>
      </c>
      <c r="G11" t="n">
        <v>-7</v>
      </c>
      <c r="H11" t="n">
        <v>-4</v>
      </c>
      <c r="I11" t="n">
        <v>-5</v>
      </c>
      <c r="J11" t="n">
        <v>-6</v>
      </c>
      <c r="K11" t="n">
        <v>2</v>
      </c>
      <c r="L11" t="n">
        <v>4</v>
      </c>
      <c r="M11" t="n">
        <v>-11</v>
      </c>
      <c r="N11" t="n">
        <v>-8</v>
      </c>
      <c r="O11" t="n">
        <v>-2</v>
      </c>
      <c r="P11" t="n">
        <v>-9</v>
      </c>
      <c r="Q11" t="n">
        <v>-1</v>
      </c>
      <c r="R11" t="n">
        <v>-10</v>
      </c>
      <c r="S11" t="n">
        <v>-13</v>
      </c>
    </row>
    <row r="12">
      <c r="A12" s="143" t="n">
        <v>43800</v>
      </c>
      <c r="B12" t="n">
        <v>-1</v>
      </c>
      <c r="C12" t="n">
        <v>1</v>
      </c>
      <c r="D12" t="n">
        <v>-9</v>
      </c>
      <c r="E12" t="n">
        <v>-15</v>
      </c>
      <c r="F12" t="n">
        <v>-13</v>
      </c>
      <c r="G12" t="n">
        <v>-4</v>
      </c>
      <c r="H12" t="n">
        <v>-10</v>
      </c>
      <c r="I12" t="n">
        <v>-7</v>
      </c>
      <c r="J12" t="n">
        <v>-2</v>
      </c>
      <c r="K12" t="n">
        <v>2</v>
      </c>
      <c r="L12" t="n">
        <v>3</v>
      </c>
      <c r="M12" t="n">
        <v>-12</v>
      </c>
      <c r="N12" t="n">
        <v>-11</v>
      </c>
      <c r="O12" t="n">
        <v>-3</v>
      </c>
      <c r="P12" t="n">
        <v>-8</v>
      </c>
      <c r="Q12" t="n">
        <v>-6</v>
      </c>
      <c r="R12" t="n">
        <v>-5</v>
      </c>
      <c r="S12" t="n">
        <v>-14</v>
      </c>
    </row>
    <row r="13">
      <c r="A13" s="143" t="n">
        <v>43831</v>
      </c>
      <c r="B13" t="n">
        <v>-1</v>
      </c>
      <c r="C13" t="n">
        <v>5</v>
      </c>
      <c r="D13" t="n">
        <v>0</v>
      </c>
      <c r="E13" t="n">
        <v>-7</v>
      </c>
      <c r="F13" t="n">
        <v>-8</v>
      </c>
      <c r="G13" t="n">
        <v>-2</v>
      </c>
      <c r="H13" t="n">
        <v>3</v>
      </c>
      <c r="I13" t="n">
        <v>-5</v>
      </c>
      <c r="J13" t="n">
        <v>0</v>
      </c>
      <c r="K13" t="n">
        <v>4</v>
      </c>
      <c r="L13" t="n">
        <v>6</v>
      </c>
      <c r="M13" t="n">
        <v>8</v>
      </c>
      <c r="N13" t="n">
        <v>-3</v>
      </c>
      <c r="O13" t="n">
        <v>2</v>
      </c>
      <c r="P13" t="n">
        <v>1</v>
      </c>
      <c r="Q13" t="n">
        <v>-6</v>
      </c>
      <c r="R13" t="n">
        <v>-4</v>
      </c>
      <c r="S13" t="n">
        <v>7</v>
      </c>
    </row>
    <row r="14">
      <c r="A14" s="143" t="n">
        <v>43862</v>
      </c>
      <c r="B14" t="n">
        <v>2</v>
      </c>
      <c r="C14" t="n">
        <v>6</v>
      </c>
      <c r="D14" t="n">
        <v>10</v>
      </c>
      <c r="E14" t="n">
        <v>0</v>
      </c>
      <c r="F14" t="n">
        <v>11</v>
      </c>
      <c r="G14" t="n">
        <v>8</v>
      </c>
      <c r="H14" t="n">
        <v>-1</v>
      </c>
      <c r="I14" t="n">
        <v>-3</v>
      </c>
      <c r="J14" t="n">
        <v>12</v>
      </c>
      <c r="K14" t="n">
        <v>5</v>
      </c>
      <c r="L14" t="n">
        <v>7</v>
      </c>
      <c r="M14" t="n">
        <v>13</v>
      </c>
      <c r="N14" t="n">
        <v>-2</v>
      </c>
      <c r="O14" t="n">
        <v>1</v>
      </c>
      <c r="P14" t="n">
        <v>3</v>
      </c>
      <c r="Q14" t="n">
        <v>4</v>
      </c>
      <c r="R14" t="n">
        <v>9</v>
      </c>
      <c r="S14" t="n">
        <v>14</v>
      </c>
    </row>
    <row r="15">
      <c r="A15" s="143" t="n">
        <v>43891</v>
      </c>
      <c r="B15" t="n">
        <v>-1</v>
      </c>
      <c r="C15" t="n">
        <v>4</v>
      </c>
      <c r="D15" t="n">
        <v>6</v>
      </c>
      <c r="E15" t="n">
        <v>8</v>
      </c>
      <c r="F15" t="n">
        <v>10</v>
      </c>
      <c r="G15" t="n">
        <v>3</v>
      </c>
      <c r="H15" t="n">
        <v>0</v>
      </c>
      <c r="I15" t="n">
        <v>-6</v>
      </c>
      <c r="J15" t="n">
        <v>1</v>
      </c>
      <c r="K15" t="n">
        <v>2</v>
      </c>
      <c r="L15" t="n">
        <v>9</v>
      </c>
      <c r="M15" t="n">
        <v>-3</v>
      </c>
      <c r="N15" t="n">
        <v>-4</v>
      </c>
      <c r="O15" t="n">
        <v>5</v>
      </c>
      <c r="P15" t="n">
        <v>-2</v>
      </c>
      <c r="Q15" t="n">
        <v>0</v>
      </c>
      <c r="R15" t="n">
        <v>-5</v>
      </c>
      <c r="S15" t="n">
        <v>7</v>
      </c>
    </row>
    <row r="16">
      <c r="A16" s="143" t="n">
        <v>43922</v>
      </c>
      <c r="B16" t="n">
        <v>-9</v>
      </c>
      <c r="C16" t="n">
        <v>-3</v>
      </c>
      <c r="D16" t="n">
        <v>2</v>
      </c>
      <c r="E16" t="n">
        <v>0</v>
      </c>
      <c r="F16" t="n">
        <v>-15</v>
      </c>
      <c r="G16" t="n">
        <v>-2</v>
      </c>
      <c r="H16" t="n">
        <v>-10</v>
      </c>
      <c r="I16" t="n">
        <v>-6</v>
      </c>
      <c r="J16" t="n">
        <v>-8</v>
      </c>
      <c r="K16" t="n">
        <v>-4</v>
      </c>
      <c r="L16" t="n">
        <v>1</v>
      </c>
      <c r="M16" t="n">
        <v>-14</v>
      </c>
      <c r="N16" t="n">
        <v>-13</v>
      </c>
      <c r="O16" t="n">
        <v>-1</v>
      </c>
      <c r="P16" t="n">
        <v>-11</v>
      </c>
      <c r="Q16" t="n">
        <v>-7</v>
      </c>
      <c r="R16" t="n">
        <v>-12</v>
      </c>
      <c r="S16" t="n">
        <v>-5</v>
      </c>
    </row>
    <row r="17">
      <c r="A17" s="143" t="n">
        <v>43952</v>
      </c>
      <c r="B17" t="n">
        <v>-6</v>
      </c>
      <c r="C17" t="n">
        <v>-2</v>
      </c>
      <c r="D17" t="n">
        <v>2</v>
      </c>
      <c r="E17" t="n">
        <v>4</v>
      </c>
      <c r="F17" t="n">
        <v>-11</v>
      </c>
      <c r="G17" t="n">
        <v>-10</v>
      </c>
      <c r="H17" t="n">
        <v>6</v>
      </c>
      <c r="I17" t="n">
        <v>-8</v>
      </c>
      <c r="J17" t="n">
        <v>0</v>
      </c>
      <c r="K17" t="n">
        <v>-5</v>
      </c>
      <c r="L17" t="n">
        <v>3</v>
      </c>
      <c r="M17" t="n">
        <v>5</v>
      </c>
      <c r="N17" t="n">
        <v>-9</v>
      </c>
      <c r="O17" t="n">
        <v>-3</v>
      </c>
      <c r="P17" t="n">
        <v>-7</v>
      </c>
      <c r="Q17" t="n">
        <v>-4</v>
      </c>
      <c r="R17" t="n">
        <v>0</v>
      </c>
      <c r="S17" t="n">
        <v>1</v>
      </c>
    </row>
    <row r="18">
      <c r="A18" s="143" t="n">
        <v>43983</v>
      </c>
      <c r="B18" t="n">
        <v>-1</v>
      </c>
      <c r="C18" t="n">
        <v>7</v>
      </c>
      <c r="D18" t="n">
        <v>2</v>
      </c>
      <c r="E18" t="n">
        <v>9</v>
      </c>
      <c r="F18" t="n">
        <v>10</v>
      </c>
      <c r="G18" t="n">
        <v>-3</v>
      </c>
      <c r="H18" t="n">
        <v>3</v>
      </c>
      <c r="I18" t="n">
        <v>0</v>
      </c>
      <c r="J18" t="n">
        <v>6</v>
      </c>
      <c r="K18" t="n">
        <v>4</v>
      </c>
      <c r="L18" t="n">
        <v>8</v>
      </c>
      <c r="M18" t="n">
        <v>11</v>
      </c>
      <c r="N18" t="n">
        <v>-4</v>
      </c>
      <c r="O18" t="n">
        <v>5</v>
      </c>
      <c r="P18" t="n">
        <v>-2</v>
      </c>
      <c r="Q18" t="n">
        <v>1</v>
      </c>
      <c r="R18" t="n">
        <v>13</v>
      </c>
      <c r="S18" t="n">
        <v>12</v>
      </c>
    </row>
    <row r="19">
      <c r="A19" s="143" t="n">
        <v>44013</v>
      </c>
      <c r="B19" t="n">
        <v>-2</v>
      </c>
      <c r="C19" t="n">
        <v>5</v>
      </c>
      <c r="D19" t="n">
        <v>0</v>
      </c>
      <c r="E19" t="n">
        <v>6</v>
      </c>
      <c r="F19" t="n">
        <v>10</v>
      </c>
      <c r="G19" t="n">
        <v>4</v>
      </c>
      <c r="H19" t="n">
        <v>0</v>
      </c>
      <c r="I19" t="n">
        <v>3</v>
      </c>
      <c r="J19" t="n">
        <v>8</v>
      </c>
      <c r="K19" t="n">
        <v>2</v>
      </c>
      <c r="L19" t="n">
        <v>9</v>
      </c>
      <c r="M19" t="n">
        <v>12</v>
      </c>
      <c r="N19" t="n">
        <v>-3</v>
      </c>
      <c r="O19" t="n">
        <v>7</v>
      </c>
      <c r="P19" t="n">
        <v>-1</v>
      </c>
      <c r="Q19" t="n">
        <v>1</v>
      </c>
      <c r="R19" t="n">
        <v>11</v>
      </c>
      <c r="S19" t="n">
        <v>13</v>
      </c>
    </row>
    <row r="20">
      <c r="A20" s="143" t="n">
        <v>44044</v>
      </c>
      <c r="B20" t="n">
        <v>7</v>
      </c>
      <c r="C20" t="n">
        <v>10</v>
      </c>
      <c r="D20" t="n">
        <v>2</v>
      </c>
      <c r="E20" t="n">
        <v>6</v>
      </c>
      <c r="F20" t="n">
        <v>-3</v>
      </c>
      <c r="G20" t="n">
        <v>9</v>
      </c>
      <c r="H20" t="n">
        <v>5</v>
      </c>
      <c r="I20" t="n">
        <v>-2</v>
      </c>
      <c r="J20" t="n">
        <v>14</v>
      </c>
      <c r="K20" t="n">
        <v>4</v>
      </c>
      <c r="L20" t="n">
        <v>13</v>
      </c>
      <c r="M20" t="n">
        <v>-1</v>
      </c>
      <c r="N20" t="n">
        <v>1</v>
      </c>
      <c r="O20" t="n">
        <v>11</v>
      </c>
      <c r="P20" t="n">
        <v>8</v>
      </c>
      <c r="Q20" t="n">
        <v>3</v>
      </c>
      <c r="R20" t="n">
        <v>12</v>
      </c>
      <c r="S20" t="n">
        <v>15</v>
      </c>
    </row>
    <row r="21">
      <c r="A21" s="143" t="n">
        <v>44075</v>
      </c>
      <c r="B21" t="n">
        <v>4</v>
      </c>
      <c r="C21" t="n">
        <v>2</v>
      </c>
      <c r="D21" t="n">
        <v>14</v>
      </c>
      <c r="E21" t="n">
        <v>-4</v>
      </c>
      <c r="F21" t="n">
        <v>-3</v>
      </c>
      <c r="G21" t="n">
        <v>-1</v>
      </c>
      <c r="H21" t="n">
        <v>9</v>
      </c>
      <c r="I21" t="n">
        <v>-2</v>
      </c>
      <c r="J21" t="n">
        <v>5</v>
      </c>
      <c r="K21" t="n">
        <v>6</v>
      </c>
      <c r="L21" t="n">
        <v>12</v>
      </c>
      <c r="M21" t="n">
        <v>11</v>
      </c>
      <c r="N21" t="n">
        <v>1</v>
      </c>
      <c r="O21" t="n">
        <v>7</v>
      </c>
      <c r="P21" t="n">
        <v>8</v>
      </c>
      <c r="Q21" t="n">
        <v>10</v>
      </c>
      <c r="R21" t="n">
        <v>3</v>
      </c>
      <c r="S21" t="n">
        <v>13</v>
      </c>
    </row>
    <row r="22">
      <c r="A22" s="143" t="n">
        <v>44105</v>
      </c>
      <c r="B22" t="n">
        <v>10</v>
      </c>
      <c r="C22" t="n">
        <v>4</v>
      </c>
      <c r="D22" t="n">
        <v>8</v>
      </c>
      <c r="E22" t="n">
        <v>15</v>
      </c>
      <c r="F22" t="n">
        <v>-1</v>
      </c>
      <c r="G22" t="n">
        <v>5</v>
      </c>
      <c r="H22" t="n">
        <v>13</v>
      </c>
      <c r="I22" t="n">
        <v>0</v>
      </c>
      <c r="J22" t="n">
        <v>11</v>
      </c>
      <c r="K22" t="n">
        <v>1</v>
      </c>
      <c r="L22" t="n">
        <v>12</v>
      </c>
      <c r="M22" t="n">
        <v>9</v>
      </c>
      <c r="N22" t="n">
        <v>3</v>
      </c>
      <c r="O22" t="n">
        <v>6</v>
      </c>
      <c r="P22" t="n">
        <v>14</v>
      </c>
      <c r="Q22" t="n">
        <v>2</v>
      </c>
      <c r="R22" t="n">
        <v>-2</v>
      </c>
      <c r="S22" t="n">
        <v>7</v>
      </c>
    </row>
    <row r="23">
      <c r="A23" s="143" t="n">
        <v>44136</v>
      </c>
      <c r="B23" t="n">
        <v>7</v>
      </c>
      <c r="C23" t="n">
        <v>6</v>
      </c>
      <c r="D23" t="n">
        <v>5</v>
      </c>
      <c r="E23" t="n">
        <v>16</v>
      </c>
      <c r="F23" t="n">
        <v>-2</v>
      </c>
      <c r="G23" t="n">
        <v>0</v>
      </c>
      <c r="H23" t="n">
        <v>15</v>
      </c>
      <c r="I23" t="n">
        <v>-1</v>
      </c>
      <c r="J23" t="n">
        <v>10</v>
      </c>
      <c r="K23" t="n">
        <v>4</v>
      </c>
      <c r="L23" t="n">
        <v>1</v>
      </c>
      <c r="M23" t="n">
        <v>2</v>
      </c>
      <c r="N23" t="n">
        <v>3</v>
      </c>
      <c r="O23" t="n">
        <v>8</v>
      </c>
      <c r="P23" t="n">
        <v>11</v>
      </c>
      <c r="Q23" t="n">
        <v>12</v>
      </c>
      <c r="R23" t="n">
        <v>14</v>
      </c>
      <c r="S23" t="n">
        <v>13</v>
      </c>
    </row>
    <row r="24">
      <c r="A24" s="143" t="n">
        <v>44166</v>
      </c>
      <c r="B24" t="n">
        <v>12</v>
      </c>
      <c r="C24" t="n">
        <v>11</v>
      </c>
      <c r="D24" t="n">
        <v>8</v>
      </c>
      <c r="E24" t="n">
        <v>16</v>
      </c>
      <c r="F24" t="n">
        <v>-2</v>
      </c>
      <c r="G24" t="n">
        <v>5</v>
      </c>
      <c r="H24" t="n">
        <v>-1</v>
      </c>
      <c r="I24" t="n">
        <v>6</v>
      </c>
      <c r="J24" t="n">
        <v>9</v>
      </c>
      <c r="K24" t="n">
        <v>1</v>
      </c>
      <c r="L24" t="n">
        <v>2</v>
      </c>
      <c r="M24" t="n">
        <v>15</v>
      </c>
      <c r="N24" t="n">
        <v>10</v>
      </c>
      <c r="O24" t="n">
        <v>7</v>
      </c>
      <c r="P24" t="n">
        <v>13</v>
      </c>
      <c r="Q24" t="n">
        <v>3</v>
      </c>
      <c r="R24" t="n">
        <v>4</v>
      </c>
      <c r="S24" t="n">
        <v>14</v>
      </c>
    </row>
    <row r="25">
      <c r="A25" s="143" t="n">
        <v>44197</v>
      </c>
      <c r="B25" t="n">
        <v>15</v>
      </c>
      <c r="C25" t="n">
        <v>1</v>
      </c>
      <c r="D25" t="n">
        <v>8</v>
      </c>
      <c r="E25" t="n">
        <v>9</v>
      </c>
      <c r="F25" t="n">
        <v>-2</v>
      </c>
      <c r="G25" t="n">
        <v>14</v>
      </c>
      <c r="H25" t="n">
        <v>5</v>
      </c>
      <c r="I25" t="n">
        <v>-1</v>
      </c>
      <c r="J25" t="n">
        <v>11</v>
      </c>
      <c r="K25" t="n">
        <v>3</v>
      </c>
      <c r="L25" t="n">
        <v>6</v>
      </c>
      <c r="M25" t="n">
        <v>4</v>
      </c>
      <c r="N25" t="n">
        <v>10</v>
      </c>
      <c r="O25" t="n">
        <v>13</v>
      </c>
      <c r="P25" t="n">
        <v>12</v>
      </c>
      <c r="Q25" t="n">
        <v>16</v>
      </c>
      <c r="R25" t="n">
        <v>2</v>
      </c>
      <c r="S25" t="n">
        <v>7</v>
      </c>
    </row>
    <row r="26">
      <c r="A26" s="143" t="n">
        <v>44228</v>
      </c>
      <c r="B26" t="n">
        <v>11</v>
      </c>
      <c r="C26" t="n">
        <v>6</v>
      </c>
      <c r="D26" t="n">
        <v>13</v>
      </c>
      <c r="E26" t="n">
        <v>5</v>
      </c>
      <c r="F26" t="n">
        <v>-2</v>
      </c>
      <c r="G26" t="n">
        <v>14</v>
      </c>
      <c r="H26" t="n">
        <v>1</v>
      </c>
      <c r="I26" t="n">
        <v>-1</v>
      </c>
      <c r="J26" t="n">
        <v>7</v>
      </c>
      <c r="K26" t="n">
        <v>3</v>
      </c>
      <c r="L26" t="n">
        <v>4</v>
      </c>
      <c r="M26" t="n">
        <v>2</v>
      </c>
      <c r="N26" t="n">
        <v>9</v>
      </c>
      <c r="O26" t="n">
        <v>12</v>
      </c>
      <c r="P26" t="n">
        <v>10</v>
      </c>
      <c r="Q26" t="n">
        <v>15</v>
      </c>
      <c r="R26" t="n">
        <v>16</v>
      </c>
      <c r="S26" t="n">
        <v>8</v>
      </c>
    </row>
    <row r="27">
      <c r="A27" s="143" t="n">
        <v>44256</v>
      </c>
      <c r="B27" t="n">
        <v>15</v>
      </c>
      <c r="C27" t="n">
        <v>14</v>
      </c>
      <c r="D27" t="n">
        <v>7</v>
      </c>
      <c r="E27" t="n">
        <v>13</v>
      </c>
      <c r="F27" t="n">
        <v>2</v>
      </c>
      <c r="G27" t="n">
        <v>9</v>
      </c>
      <c r="H27" t="n">
        <v>4</v>
      </c>
      <c r="I27" t="n">
        <v>1</v>
      </c>
      <c r="J27" t="n">
        <v>8</v>
      </c>
      <c r="K27" t="n">
        <v>3</v>
      </c>
      <c r="L27" t="n">
        <v>10</v>
      </c>
      <c r="M27" t="n">
        <v>12</v>
      </c>
      <c r="N27" t="n">
        <v>6</v>
      </c>
      <c r="O27" t="n">
        <v>5</v>
      </c>
      <c r="P27" t="n">
        <v>11</v>
      </c>
      <c r="Q27" t="n">
        <v>16</v>
      </c>
      <c r="R27" t="n">
        <v>17</v>
      </c>
      <c r="S27" t="n">
        <v>0</v>
      </c>
    </row>
    <row r="28">
      <c r="A28" s="143" t="n">
        <v>44287</v>
      </c>
      <c r="B28" t="n">
        <v>15</v>
      </c>
      <c r="C28" t="n">
        <v>8</v>
      </c>
      <c r="D28" t="n">
        <v>4</v>
      </c>
      <c r="E28" t="n">
        <v>6</v>
      </c>
      <c r="F28" t="n">
        <v>2</v>
      </c>
      <c r="G28" t="n">
        <v>13</v>
      </c>
      <c r="H28" t="n">
        <v>7</v>
      </c>
      <c r="I28" t="n">
        <v>3</v>
      </c>
      <c r="J28" t="n">
        <v>10</v>
      </c>
      <c r="K28" t="n">
        <v>12</v>
      </c>
      <c r="L28" t="n">
        <v>9</v>
      </c>
      <c r="M28" t="n">
        <v>16</v>
      </c>
      <c r="N28" t="n">
        <v>5</v>
      </c>
      <c r="O28" t="n">
        <v>11</v>
      </c>
      <c r="P28" t="n">
        <v>14</v>
      </c>
      <c r="Q28" t="n">
        <v>0</v>
      </c>
      <c r="R28" t="n">
        <v>17</v>
      </c>
      <c r="S28" t="n">
        <v>1</v>
      </c>
    </row>
    <row r="29">
      <c r="A29" s="143" t="n">
        <v>44317</v>
      </c>
      <c r="B29" t="n">
        <v>7</v>
      </c>
      <c r="C29" t="n">
        <v>11</v>
      </c>
      <c r="D29" t="n">
        <v>2</v>
      </c>
      <c r="E29" t="n">
        <v>0</v>
      </c>
      <c r="F29" t="n">
        <v>-1</v>
      </c>
      <c r="G29" t="n">
        <v>12</v>
      </c>
      <c r="H29" t="n">
        <v>15</v>
      </c>
      <c r="I29" t="n">
        <v>1</v>
      </c>
      <c r="J29" t="n">
        <v>14</v>
      </c>
      <c r="K29" t="n">
        <v>5</v>
      </c>
      <c r="L29" t="n">
        <v>8</v>
      </c>
      <c r="M29" t="n">
        <v>16</v>
      </c>
      <c r="N29" t="n">
        <v>4</v>
      </c>
      <c r="O29" t="n">
        <v>6</v>
      </c>
      <c r="P29" t="n">
        <v>9</v>
      </c>
      <c r="Q29" t="n">
        <v>10</v>
      </c>
      <c r="R29" t="n">
        <v>13</v>
      </c>
      <c r="S29" t="n">
        <v>3</v>
      </c>
    </row>
    <row r="30">
      <c r="A30" s="143" t="n">
        <v>44348</v>
      </c>
      <c r="B30" t="n">
        <v>16</v>
      </c>
      <c r="C30" t="n">
        <v>14</v>
      </c>
      <c r="D30" t="n">
        <v>4</v>
      </c>
      <c r="E30" t="n">
        <v>0</v>
      </c>
      <c r="F30" t="n">
        <v>3</v>
      </c>
      <c r="G30" t="n">
        <v>6</v>
      </c>
      <c r="H30" t="n">
        <v>8</v>
      </c>
      <c r="I30" t="n">
        <v>1</v>
      </c>
      <c r="J30" t="n">
        <v>13</v>
      </c>
      <c r="K30" t="n">
        <v>9</v>
      </c>
      <c r="L30" t="n">
        <v>5</v>
      </c>
      <c r="M30" t="n">
        <v>17</v>
      </c>
      <c r="N30" t="n">
        <v>10</v>
      </c>
      <c r="O30" t="n">
        <v>12</v>
      </c>
      <c r="P30" t="n">
        <v>11</v>
      </c>
      <c r="Q30" t="n">
        <v>15</v>
      </c>
      <c r="R30" t="n">
        <v>7</v>
      </c>
      <c r="S30" t="n">
        <v>2</v>
      </c>
    </row>
    <row r="31">
      <c r="A31" s="143" t="n">
        <v>44378</v>
      </c>
      <c r="B31" t="n">
        <v>11</v>
      </c>
      <c r="C31" t="n">
        <v>13</v>
      </c>
      <c r="D31" t="n">
        <v>9</v>
      </c>
      <c r="E31" t="n">
        <v>15</v>
      </c>
      <c r="F31" t="n">
        <v>16</v>
      </c>
      <c r="G31" t="n">
        <v>6</v>
      </c>
      <c r="H31" t="n">
        <v>12</v>
      </c>
      <c r="I31" t="n">
        <v>1</v>
      </c>
      <c r="J31" t="n">
        <v>5</v>
      </c>
      <c r="K31" t="n">
        <v>14</v>
      </c>
      <c r="L31" t="n">
        <v>7</v>
      </c>
      <c r="M31" t="n">
        <v>17</v>
      </c>
      <c r="N31" t="n">
        <v>4</v>
      </c>
      <c r="O31" t="n">
        <v>8</v>
      </c>
      <c r="P31" t="n">
        <v>10</v>
      </c>
      <c r="Q31" t="n">
        <v>3</v>
      </c>
      <c r="R31" t="n">
        <v>-1</v>
      </c>
      <c r="S31" t="n">
        <v>2</v>
      </c>
    </row>
    <row r="32">
      <c r="A32" s="143" t="n">
        <v>44409</v>
      </c>
      <c r="B32" t="n">
        <v>13</v>
      </c>
      <c r="C32" t="n">
        <v>14</v>
      </c>
      <c r="D32" t="n">
        <v>2</v>
      </c>
      <c r="E32" t="n">
        <v>0</v>
      </c>
      <c r="F32" t="n">
        <v>3</v>
      </c>
      <c r="G32" t="n">
        <v>12</v>
      </c>
      <c r="H32" t="n">
        <v>-1</v>
      </c>
      <c r="I32" t="n">
        <v>1</v>
      </c>
      <c r="J32" t="n">
        <v>9</v>
      </c>
      <c r="K32" t="n">
        <v>7</v>
      </c>
      <c r="L32" t="n">
        <v>6</v>
      </c>
      <c r="M32" t="n">
        <v>15</v>
      </c>
      <c r="N32" t="n">
        <v>5</v>
      </c>
      <c r="O32" t="n">
        <v>8</v>
      </c>
      <c r="P32" t="n">
        <v>10</v>
      </c>
      <c r="Q32" t="n">
        <v>11</v>
      </c>
      <c r="R32" t="n">
        <v>-2</v>
      </c>
      <c r="S32" t="n">
        <v>4</v>
      </c>
    </row>
    <row r="33">
      <c r="A33" s="143" t="n">
        <v>44440</v>
      </c>
      <c r="B33" t="n">
        <v>15</v>
      </c>
      <c r="C33" t="n">
        <v>13</v>
      </c>
      <c r="D33" t="n">
        <v>9</v>
      </c>
      <c r="E33" t="n">
        <v>11</v>
      </c>
      <c r="F33" t="n">
        <v>8</v>
      </c>
      <c r="G33" t="n">
        <v>3</v>
      </c>
      <c r="H33" t="n">
        <v>2</v>
      </c>
      <c r="I33" t="n">
        <v>16</v>
      </c>
      <c r="J33" t="n">
        <v>1</v>
      </c>
      <c r="K33" t="n">
        <v>7</v>
      </c>
      <c r="L33" t="n">
        <v>6</v>
      </c>
      <c r="M33" t="n">
        <v>17</v>
      </c>
      <c r="N33" t="n">
        <v>4</v>
      </c>
      <c r="O33" t="n">
        <v>12</v>
      </c>
      <c r="P33" t="n">
        <v>5</v>
      </c>
      <c r="Q33" t="n">
        <v>14</v>
      </c>
      <c r="R33" t="n">
        <v>10</v>
      </c>
      <c r="S33" t="n">
        <v>-1</v>
      </c>
    </row>
    <row r="34">
      <c r="A34" s="143" t="n">
        <v>44470</v>
      </c>
      <c r="B34" t="n">
        <v>12</v>
      </c>
      <c r="C34" t="n">
        <v>9</v>
      </c>
      <c r="D34" t="n">
        <v>3</v>
      </c>
      <c r="E34" t="n">
        <v>16</v>
      </c>
      <c r="F34" t="n">
        <v>11</v>
      </c>
      <c r="G34" t="n">
        <v>2</v>
      </c>
      <c r="H34" t="n">
        <v>-1</v>
      </c>
      <c r="I34" t="n">
        <v>5</v>
      </c>
      <c r="J34" t="n">
        <v>4</v>
      </c>
      <c r="K34" t="n">
        <v>6</v>
      </c>
      <c r="L34" t="n">
        <v>10</v>
      </c>
      <c r="M34" t="n">
        <v>15</v>
      </c>
      <c r="N34" t="n">
        <v>1</v>
      </c>
      <c r="O34" t="n">
        <v>8</v>
      </c>
      <c r="P34" t="n">
        <v>7</v>
      </c>
      <c r="Q34" t="n">
        <v>13</v>
      </c>
      <c r="R34" t="n">
        <v>14</v>
      </c>
      <c r="S34" t="n">
        <v>-2</v>
      </c>
    </row>
  </sheetData>
  <pageMargins left="0.7" right="0.7" top="0.75" bottom="0.75" header="0.3" footer="0.3"/>
</worksheet>
</file>

<file path=xl/worksheets/sheet7.xml><?xml version="1.0" encoding="utf-8"?>
<worksheet xmlns="http://schemas.openxmlformats.org/spreadsheetml/2006/main">
  <sheetPr>
    <tabColor theme="6"/>
    <outlinePr summaryBelow="1" summaryRight="1"/>
    <pageSetUpPr/>
  </sheetPr>
  <dimension ref="A1:S34"/>
  <sheetViews>
    <sheetView workbookViewId="0">
      <selection activeCell="Q47" sqref="Q47"/>
    </sheetView>
  </sheetViews>
  <sheetFormatPr baseColWidth="10" defaultRowHeight="15"/>
  <sheetData>
    <row r="1">
      <c r="A1" t="inlineStr">
        <is>
          <t>DATE</t>
        </is>
      </c>
      <c r="B1" t="inlineStr">
        <is>
          <t>Machinery</t>
        </is>
      </c>
      <c r="C1" t="inlineStr">
        <is>
          <t>Apparel, Leather &amp; Allied Products</t>
        </is>
      </c>
      <c r="D1" t="inlineStr">
        <is>
          <t>Primary Metals</t>
        </is>
      </c>
      <c r="E1" t="inlineStr">
        <is>
          <t>Computer &amp; Electronic Products</t>
        </is>
      </c>
      <c r="F1" t="inlineStr">
        <is>
          <t>Plastics &amp; Rubber Products</t>
        </is>
      </c>
      <c r="G1" t="inlineStr">
        <is>
          <t>Miscellaneous Manufacturing</t>
        </is>
      </c>
      <c r="H1" t="inlineStr">
        <is>
          <t>Printing &amp; Related Support Activities</t>
        </is>
      </c>
      <c r="I1" t="inlineStr">
        <is>
          <t>Paper Products</t>
        </is>
      </c>
      <c r="J1" t="inlineStr">
        <is>
          <t>Fabricated Metal Products</t>
        </is>
      </c>
      <c r="K1" t="inlineStr">
        <is>
          <t>Food, Beverage &amp; Tobacco Products</t>
        </is>
      </c>
      <c r="L1" t="inlineStr">
        <is>
          <t>Chemical Products</t>
        </is>
      </c>
      <c r="M1" t="inlineStr">
        <is>
          <t>Nonmetallic Mineral Products</t>
        </is>
      </c>
      <c r="N1" t="inlineStr">
        <is>
          <t>Electrical Equipment, Appliances &amp; Components</t>
        </is>
      </c>
      <c r="O1" t="inlineStr">
        <is>
          <t>Transportation Equipment</t>
        </is>
      </c>
      <c r="P1" t="inlineStr">
        <is>
          <t>Petroleum &amp; Coal Products</t>
        </is>
      </c>
      <c r="Q1" t="inlineStr">
        <is>
          <t>Furniture &amp; Related Products</t>
        </is>
      </c>
      <c r="R1" t="inlineStr">
        <is>
          <t>Textile Mills</t>
        </is>
      </c>
      <c r="S1" t="inlineStr">
        <is>
          <t>Wood Products</t>
        </is>
      </c>
    </row>
    <row r="2">
      <c r="A2" s="143" t="n">
        <v>43497</v>
      </c>
      <c r="B2" t="n">
        <v>1</v>
      </c>
      <c r="C2" t="n">
        <v>0</v>
      </c>
      <c r="D2" t="n">
        <v>9</v>
      </c>
      <c r="E2" t="n">
        <v>12</v>
      </c>
      <c r="F2" t="n">
        <v>7</v>
      </c>
      <c r="G2" t="n">
        <v>5</v>
      </c>
      <c r="H2" t="n">
        <v>11</v>
      </c>
      <c r="I2" t="n">
        <v>4</v>
      </c>
      <c r="J2" t="n">
        <v>10</v>
      </c>
      <c r="K2" t="n">
        <v>3</v>
      </c>
      <c r="L2" t="n">
        <v>6</v>
      </c>
      <c r="M2" t="n">
        <v>-1</v>
      </c>
      <c r="N2" t="n">
        <v>2</v>
      </c>
      <c r="O2" t="n">
        <v>0</v>
      </c>
      <c r="P2" t="n">
        <v>0</v>
      </c>
      <c r="Q2" t="n">
        <v>8</v>
      </c>
      <c r="R2" t="n">
        <v>0</v>
      </c>
      <c r="S2" t="n">
        <v>13</v>
      </c>
    </row>
    <row r="3">
      <c r="A3" s="143" t="n">
        <v>43525</v>
      </c>
      <c r="B3" t="n">
        <v>2</v>
      </c>
      <c r="C3" t="n">
        <v>-2</v>
      </c>
      <c r="D3" t="n">
        <v>9</v>
      </c>
      <c r="E3" t="n">
        <v>7</v>
      </c>
      <c r="F3" t="n">
        <v>6</v>
      </c>
      <c r="G3" t="n">
        <v>1</v>
      </c>
      <c r="H3" t="n">
        <v>13</v>
      </c>
      <c r="I3" t="n">
        <v>-1</v>
      </c>
      <c r="J3" t="n">
        <v>4</v>
      </c>
      <c r="K3" t="n">
        <v>12</v>
      </c>
      <c r="L3" t="n">
        <v>8</v>
      </c>
      <c r="M3" t="n">
        <v>0</v>
      </c>
      <c r="N3" t="n">
        <v>3</v>
      </c>
      <c r="O3" t="n">
        <v>5</v>
      </c>
      <c r="P3" t="n">
        <v>11</v>
      </c>
      <c r="Q3" t="n">
        <v>0</v>
      </c>
      <c r="R3" t="n">
        <v>10</v>
      </c>
      <c r="S3" t="n">
        <v>14</v>
      </c>
    </row>
    <row r="4">
      <c r="A4" s="143" t="n">
        <v>43556</v>
      </c>
      <c r="B4" t="n">
        <v>3</v>
      </c>
      <c r="C4" t="n">
        <v>0</v>
      </c>
      <c r="D4" t="n">
        <v>-3</v>
      </c>
      <c r="E4" t="n">
        <v>5</v>
      </c>
      <c r="F4" t="n">
        <v>2</v>
      </c>
      <c r="G4" t="n">
        <v>11</v>
      </c>
      <c r="H4" t="n">
        <v>10</v>
      </c>
      <c r="I4" t="n">
        <v>7</v>
      </c>
      <c r="J4" t="n">
        <v>4</v>
      </c>
      <c r="K4" t="n">
        <v>1</v>
      </c>
      <c r="L4" t="n">
        <v>6</v>
      </c>
      <c r="M4" t="n">
        <v>14</v>
      </c>
      <c r="N4" t="n">
        <v>12</v>
      </c>
      <c r="O4" t="n">
        <v>-1</v>
      </c>
      <c r="P4" t="n">
        <v>-2</v>
      </c>
      <c r="Q4" t="n">
        <v>8</v>
      </c>
      <c r="R4" t="n">
        <v>9</v>
      </c>
      <c r="S4" t="n">
        <v>13</v>
      </c>
    </row>
    <row r="5">
      <c r="A5" s="143" t="n">
        <v>43586</v>
      </c>
      <c r="B5" t="n">
        <v>4</v>
      </c>
      <c r="C5" t="n">
        <v>-4</v>
      </c>
      <c r="D5" t="n">
        <v>-2</v>
      </c>
      <c r="E5" t="n">
        <v>9</v>
      </c>
      <c r="F5" t="n">
        <v>10</v>
      </c>
      <c r="G5" t="n">
        <v>6</v>
      </c>
      <c r="H5" t="n">
        <v>11</v>
      </c>
      <c r="I5" t="n">
        <v>-1</v>
      </c>
      <c r="J5" t="n">
        <v>1</v>
      </c>
      <c r="K5" t="n">
        <v>0</v>
      </c>
      <c r="L5" t="n">
        <v>3</v>
      </c>
      <c r="M5" t="n">
        <v>5</v>
      </c>
      <c r="N5" t="n">
        <v>7</v>
      </c>
      <c r="O5" t="n">
        <v>2</v>
      </c>
      <c r="P5" t="n">
        <v>-3</v>
      </c>
      <c r="Q5" t="n">
        <v>12</v>
      </c>
      <c r="R5" t="n">
        <v>8</v>
      </c>
      <c r="S5" t="n">
        <v>0</v>
      </c>
    </row>
    <row r="6">
      <c r="A6" s="143" t="n">
        <v>43617</v>
      </c>
      <c r="B6" t="n">
        <v>-2</v>
      </c>
      <c r="C6" t="n">
        <v>-6</v>
      </c>
      <c r="D6" t="n">
        <v>-5</v>
      </c>
      <c r="E6" t="n">
        <v>1</v>
      </c>
      <c r="F6" t="n">
        <v>4</v>
      </c>
      <c r="G6" t="n">
        <v>3</v>
      </c>
      <c r="H6" t="n">
        <v>7</v>
      </c>
      <c r="I6" t="n">
        <v>2</v>
      </c>
      <c r="J6" t="n">
        <v>-1</v>
      </c>
      <c r="K6" t="n">
        <v>5</v>
      </c>
      <c r="L6" t="n">
        <v>6</v>
      </c>
      <c r="M6" t="n">
        <v>9</v>
      </c>
      <c r="N6" t="n">
        <v>0</v>
      </c>
      <c r="O6" t="n">
        <v>-3</v>
      </c>
      <c r="P6" t="n">
        <v>0</v>
      </c>
      <c r="Q6" t="n">
        <v>10</v>
      </c>
      <c r="R6" t="n">
        <v>8</v>
      </c>
      <c r="S6" t="n">
        <v>-4</v>
      </c>
    </row>
    <row r="7">
      <c r="A7" s="143" t="n">
        <v>43647</v>
      </c>
      <c r="B7" t="n">
        <v>0</v>
      </c>
      <c r="C7" t="n">
        <v>-10</v>
      </c>
      <c r="D7" t="n">
        <v>-9</v>
      </c>
      <c r="E7" t="n">
        <v>1</v>
      </c>
      <c r="F7" t="n">
        <v>-1</v>
      </c>
      <c r="G7" t="n">
        <v>-3</v>
      </c>
      <c r="H7" t="n">
        <v>5</v>
      </c>
      <c r="I7" t="n">
        <v>-2</v>
      </c>
      <c r="J7" t="n">
        <v>-7</v>
      </c>
      <c r="K7" t="n">
        <v>4</v>
      </c>
      <c r="L7" t="n">
        <v>2</v>
      </c>
      <c r="M7" t="n">
        <v>-4</v>
      </c>
      <c r="N7" t="n">
        <v>-6</v>
      </c>
      <c r="O7" t="n">
        <v>-5</v>
      </c>
      <c r="P7" t="n">
        <v>-8</v>
      </c>
      <c r="Q7" t="n">
        <v>0</v>
      </c>
      <c r="R7" t="n">
        <v>3</v>
      </c>
      <c r="S7" t="n">
        <v>6</v>
      </c>
    </row>
    <row r="8">
      <c r="A8" s="143" t="n">
        <v>43678</v>
      </c>
      <c r="B8" t="n">
        <v>2</v>
      </c>
      <c r="C8" t="n">
        <v>-11</v>
      </c>
      <c r="D8" t="n">
        <v>-3</v>
      </c>
      <c r="E8" t="n">
        <v>-1</v>
      </c>
      <c r="F8" t="n">
        <v>-4</v>
      </c>
      <c r="G8" t="n">
        <v>-2</v>
      </c>
      <c r="H8" t="n">
        <v>0</v>
      </c>
      <c r="I8" t="n">
        <v>-10</v>
      </c>
      <c r="J8" t="n">
        <v>-6</v>
      </c>
      <c r="K8" t="n">
        <v>0</v>
      </c>
      <c r="L8" t="n">
        <v>1</v>
      </c>
      <c r="M8" t="n">
        <v>3</v>
      </c>
      <c r="N8" t="n">
        <v>0</v>
      </c>
      <c r="O8" t="n">
        <v>-8</v>
      </c>
      <c r="P8" t="n">
        <v>-5</v>
      </c>
      <c r="Q8" t="n">
        <v>0</v>
      </c>
      <c r="R8" t="n">
        <v>-7</v>
      </c>
      <c r="S8" t="n">
        <v>-9</v>
      </c>
    </row>
    <row r="9">
      <c r="A9" s="143" t="n">
        <v>43678.00000115741</v>
      </c>
      <c r="B9" t="n">
        <v>0</v>
      </c>
      <c r="C9" t="n">
        <v>-11</v>
      </c>
      <c r="D9" t="n">
        <v>0</v>
      </c>
      <c r="E9" t="n">
        <v>-3</v>
      </c>
      <c r="F9" t="n">
        <v>-1</v>
      </c>
      <c r="G9" t="n">
        <v>3</v>
      </c>
      <c r="H9" t="n">
        <v>0</v>
      </c>
      <c r="I9" t="n">
        <v>-4</v>
      </c>
      <c r="J9" t="n">
        <v>-2</v>
      </c>
      <c r="K9" t="n">
        <v>2</v>
      </c>
      <c r="L9" t="n">
        <v>0</v>
      </c>
      <c r="M9" t="n">
        <v>-7</v>
      </c>
      <c r="N9" t="n">
        <v>-8</v>
      </c>
      <c r="O9" t="n">
        <v>-5</v>
      </c>
      <c r="P9" t="n">
        <v>-6</v>
      </c>
      <c r="Q9" t="n">
        <v>0</v>
      </c>
      <c r="R9" t="n">
        <v>-10</v>
      </c>
      <c r="S9" t="n">
        <v>-9</v>
      </c>
    </row>
    <row r="10">
      <c r="A10" s="143" t="n">
        <v>43739</v>
      </c>
      <c r="B10" t="n">
        <v>-3</v>
      </c>
      <c r="C10" t="n">
        <v>-9</v>
      </c>
      <c r="D10" t="n">
        <v>-10</v>
      </c>
      <c r="E10" t="n">
        <v>2</v>
      </c>
      <c r="F10" t="n">
        <v>-6</v>
      </c>
      <c r="G10" t="n">
        <v>-2</v>
      </c>
      <c r="H10" t="n">
        <v>0</v>
      </c>
      <c r="I10" t="n">
        <v>0</v>
      </c>
      <c r="J10" t="n">
        <v>1</v>
      </c>
      <c r="K10" t="n">
        <v>3</v>
      </c>
      <c r="L10" t="n">
        <v>-1</v>
      </c>
      <c r="M10" t="n">
        <v>-5</v>
      </c>
      <c r="N10" t="n">
        <v>0</v>
      </c>
      <c r="O10" t="n">
        <v>-7</v>
      </c>
      <c r="P10" t="n">
        <v>-4</v>
      </c>
      <c r="Q10" t="n">
        <v>4</v>
      </c>
      <c r="R10" t="n">
        <v>-8</v>
      </c>
      <c r="S10" t="n">
        <v>5</v>
      </c>
    </row>
    <row r="11">
      <c r="A11" s="143" t="n">
        <v>43770</v>
      </c>
      <c r="B11" t="n">
        <v>-5</v>
      </c>
      <c r="C11" t="n">
        <v>5</v>
      </c>
      <c r="D11" t="n">
        <v>0</v>
      </c>
      <c r="E11" t="n">
        <v>-1</v>
      </c>
      <c r="F11" t="n">
        <v>-3</v>
      </c>
      <c r="G11" t="n">
        <v>1</v>
      </c>
      <c r="H11" t="n">
        <v>-10</v>
      </c>
      <c r="I11" t="n">
        <v>3</v>
      </c>
      <c r="J11" t="n">
        <v>-7</v>
      </c>
      <c r="K11" t="n">
        <v>2</v>
      </c>
      <c r="L11" t="n">
        <v>-2</v>
      </c>
      <c r="M11" t="n">
        <v>-4</v>
      </c>
      <c r="N11" t="n">
        <v>4</v>
      </c>
      <c r="O11" t="n">
        <v>-8</v>
      </c>
      <c r="P11" t="n">
        <v>-6</v>
      </c>
      <c r="Q11" t="n">
        <v>-9</v>
      </c>
      <c r="R11" t="n">
        <v>-11</v>
      </c>
      <c r="S11" t="n">
        <v>-12</v>
      </c>
    </row>
    <row r="12">
      <c r="A12" s="143" t="n">
        <v>43800</v>
      </c>
      <c r="B12" t="n">
        <v>-1</v>
      </c>
      <c r="C12" t="n">
        <v>0</v>
      </c>
      <c r="D12" t="n">
        <v>-4</v>
      </c>
      <c r="E12" t="n">
        <v>-3</v>
      </c>
      <c r="F12" t="n">
        <v>0</v>
      </c>
      <c r="G12" t="n">
        <v>1</v>
      </c>
      <c r="H12" t="n">
        <v>-9</v>
      </c>
      <c r="I12" t="n">
        <v>-5</v>
      </c>
      <c r="J12" t="n">
        <v>-7</v>
      </c>
      <c r="K12" t="n">
        <v>2</v>
      </c>
      <c r="L12" t="n">
        <v>-2</v>
      </c>
      <c r="M12" t="n">
        <v>-10</v>
      </c>
      <c r="N12" t="n">
        <v>-6</v>
      </c>
      <c r="O12" t="n">
        <v>-8</v>
      </c>
      <c r="P12" t="n">
        <v>0</v>
      </c>
      <c r="Q12" t="n">
        <v>-11</v>
      </c>
      <c r="R12" t="n">
        <v>3</v>
      </c>
      <c r="S12" t="n">
        <v>-12</v>
      </c>
    </row>
    <row r="13">
      <c r="A13" s="143" t="n">
        <v>43831</v>
      </c>
      <c r="B13" t="n">
        <v>1</v>
      </c>
      <c r="C13" t="n">
        <v>-3</v>
      </c>
      <c r="D13" t="n">
        <v>8</v>
      </c>
      <c r="E13" t="n">
        <v>6</v>
      </c>
      <c r="F13" t="n">
        <v>4</v>
      </c>
      <c r="G13" t="n">
        <v>7</v>
      </c>
      <c r="H13" t="n">
        <v>-5</v>
      </c>
      <c r="I13" t="n">
        <v>0</v>
      </c>
      <c r="J13" t="n">
        <v>2</v>
      </c>
      <c r="K13" t="n">
        <v>5</v>
      </c>
      <c r="L13" t="n">
        <v>3</v>
      </c>
      <c r="M13" t="n">
        <v>0</v>
      </c>
      <c r="N13" t="n">
        <v>-2</v>
      </c>
      <c r="O13" t="n">
        <v>-1</v>
      </c>
      <c r="P13" t="n">
        <v>0</v>
      </c>
      <c r="Q13" t="n">
        <v>9</v>
      </c>
      <c r="R13" t="n">
        <v>-4</v>
      </c>
      <c r="S13" t="n">
        <v>10</v>
      </c>
    </row>
    <row r="14">
      <c r="A14" s="143" t="n">
        <v>43862</v>
      </c>
      <c r="B14" t="n">
        <v>3</v>
      </c>
      <c r="C14" t="n">
        <v>12</v>
      </c>
      <c r="D14" t="n">
        <v>13</v>
      </c>
      <c r="E14" t="n">
        <v>7</v>
      </c>
      <c r="F14" t="n">
        <v>10</v>
      </c>
      <c r="G14" t="n">
        <v>6</v>
      </c>
      <c r="H14" t="n">
        <v>14</v>
      </c>
      <c r="I14" t="n">
        <v>15</v>
      </c>
      <c r="J14" t="n">
        <v>4</v>
      </c>
      <c r="K14" t="n">
        <v>2</v>
      </c>
      <c r="L14" t="n">
        <v>1</v>
      </c>
      <c r="M14" t="n">
        <v>5</v>
      </c>
      <c r="N14" t="n">
        <v>11</v>
      </c>
      <c r="O14" t="n">
        <v>-1</v>
      </c>
      <c r="P14" t="n">
        <v>-2</v>
      </c>
      <c r="Q14" t="n">
        <v>8</v>
      </c>
      <c r="R14" t="n">
        <v>9</v>
      </c>
      <c r="S14" t="n">
        <v>16</v>
      </c>
    </row>
    <row r="15">
      <c r="A15" s="143" t="n">
        <v>43891</v>
      </c>
      <c r="B15" t="n">
        <v>-1</v>
      </c>
      <c r="C15" t="n">
        <v>7</v>
      </c>
      <c r="D15" t="n">
        <v>-7</v>
      </c>
      <c r="E15" t="n">
        <v>1</v>
      </c>
      <c r="F15" t="n">
        <v>4</v>
      </c>
      <c r="G15" t="n">
        <v>-3</v>
      </c>
      <c r="H15" t="n">
        <v>8</v>
      </c>
      <c r="I15" t="n">
        <v>3</v>
      </c>
      <c r="J15" t="n">
        <v>-2</v>
      </c>
      <c r="K15" t="n">
        <v>6</v>
      </c>
      <c r="L15" t="n">
        <v>2</v>
      </c>
      <c r="M15" t="n">
        <v>-5</v>
      </c>
      <c r="N15" t="n">
        <v>5</v>
      </c>
      <c r="O15" t="n">
        <v>-8</v>
      </c>
      <c r="P15" t="n">
        <v>-9</v>
      </c>
      <c r="Q15" t="n">
        <v>-4</v>
      </c>
      <c r="R15" t="n">
        <v>-6</v>
      </c>
      <c r="S15" t="n">
        <v>9</v>
      </c>
    </row>
    <row r="16">
      <c r="A16" s="143" t="n">
        <v>43922</v>
      </c>
      <c r="B16" t="n">
        <v>-8</v>
      </c>
      <c r="C16" t="n">
        <v>0</v>
      </c>
      <c r="D16" t="n">
        <v>-2</v>
      </c>
      <c r="E16" t="n">
        <v>-4</v>
      </c>
      <c r="F16" t="n">
        <v>-6</v>
      </c>
      <c r="G16" t="n">
        <v>-5</v>
      </c>
      <c r="H16" t="n">
        <v>-14</v>
      </c>
      <c r="I16" t="n">
        <v>1</v>
      </c>
      <c r="J16" t="n">
        <v>-9</v>
      </c>
      <c r="K16" t="n">
        <v>2</v>
      </c>
      <c r="L16" t="n">
        <v>-1</v>
      </c>
      <c r="M16" t="n">
        <v>-13</v>
      </c>
      <c r="N16" t="n">
        <v>-7</v>
      </c>
      <c r="O16" t="n">
        <v>-12</v>
      </c>
      <c r="P16" t="n">
        <v>-11</v>
      </c>
      <c r="Q16" t="n">
        <v>-10</v>
      </c>
      <c r="R16" t="n">
        <v>-15</v>
      </c>
      <c r="S16" t="n">
        <v>-3</v>
      </c>
    </row>
    <row r="17">
      <c r="A17" s="143" t="n">
        <v>43952</v>
      </c>
      <c r="B17" t="n">
        <v>-4</v>
      </c>
      <c r="C17" t="n">
        <v>0</v>
      </c>
      <c r="D17" t="n">
        <v>-10</v>
      </c>
      <c r="E17" t="n">
        <v>-6</v>
      </c>
      <c r="F17" t="n">
        <v>-5</v>
      </c>
      <c r="G17" t="n">
        <v>-8</v>
      </c>
      <c r="H17" t="n">
        <v>-12</v>
      </c>
      <c r="I17" t="n">
        <v>1</v>
      </c>
      <c r="J17" t="n">
        <v>-9</v>
      </c>
      <c r="K17" t="n">
        <v>2</v>
      </c>
      <c r="L17" t="n">
        <v>-3</v>
      </c>
      <c r="M17" t="n">
        <v>3</v>
      </c>
      <c r="N17" t="n">
        <v>-1</v>
      </c>
      <c r="O17" t="n">
        <v>-11</v>
      </c>
      <c r="P17" t="n">
        <v>-7</v>
      </c>
      <c r="Q17" t="n">
        <v>0</v>
      </c>
      <c r="R17" t="n">
        <v>4</v>
      </c>
      <c r="S17" t="n">
        <v>-2</v>
      </c>
    </row>
    <row r="18">
      <c r="A18" s="143" t="n">
        <v>43952.00000115741</v>
      </c>
      <c r="B18" t="n">
        <v>2</v>
      </c>
      <c r="C18" t="n">
        <v>0</v>
      </c>
      <c r="D18" t="n">
        <v>0</v>
      </c>
      <c r="E18" t="n">
        <v>1</v>
      </c>
      <c r="F18" t="n">
        <v>10</v>
      </c>
      <c r="G18" t="n">
        <v>3</v>
      </c>
      <c r="H18" t="n">
        <v>8</v>
      </c>
      <c r="I18" t="n">
        <v>0</v>
      </c>
      <c r="J18" t="n">
        <v>-2</v>
      </c>
      <c r="K18" t="n">
        <v>7</v>
      </c>
      <c r="L18" t="n">
        <v>6</v>
      </c>
      <c r="M18" t="n">
        <v>0</v>
      </c>
      <c r="N18" t="n">
        <v>4</v>
      </c>
      <c r="O18" t="n">
        <v>-1</v>
      </c>
      <c r="P18" t="n">
        <v>0</v>
      </c>
      <c r="Q18" t="n">
        <v>5</v>
      </c>
      <c r="R18" t="n">
        <v>11</v>
      </c>
      <c r="S18" t="n">
        <v>9</v>
      </c>
    </row>
    <row r="19">
      <c r="A19" s="143" t="n">
        <v>44013</v>
      </c>
      <c r="B19" t="n">
        <v>1</v>
      </c>
      <c r="C19" t="n">
        <v>0</v>
      </c>
      <c r="D19" t="n">
        <v>11</v>
      </c>
      <c r="E19" t="n">
        <v>2</v>
      </c>
      <c r="F19" t="n">
        <v>10</v>
      </c>
      <c r="G19" t="n">
        <v>4</v>
      </c>
      <c r="H19" t="n">
        <v>0</v>
      </c>
      <c r="I19" t="n">
        <v>-1</v>
      </c>
      <c r="J19" t="n">
        <v>6</v>
      </c>
      <c r="K19" t="n">
        <v>7</v>
      </c>
      <c r="L19" t="n">
        <v>9</v>
      </c>
      <c r="M19" t="n">
        <v>0</v>
      </c>
      <c r="N19" t="n">
        <v>8</v>
      </c>
      <c r="O19" t="n">
        <v>3</v>
      </c>
      <c r="P19" t="n">
        <v>5</v>
      </c>
      <c r="Q19" t="n">
        <v>12</v>
      </c>
      <c r="R19" t="n">
        <v>-2</v>
      </c>
      <c r="S19" t="n">
        <v>13</v>
      </c>
    </row>
    <row r="20">
      <c r="A20" s="143" t="n">
        <v>44044</v>
      </c>
      <c r="B20" t="n">
        <v>9</v>
      </c>
      <c r="C20" t="n">
        <v>0</v>
      </c>
      <c r="D20" t="n">
        <v>15</v>
      </c>
      <c r="E20" t="n">
        <v>12</v>
      </c>
      <c r="F20" t="n">
        <v>14</v>
      </c>
      <c r="G20" t="n">
        <v>3</v>
      </c>
      <c r="H20" t="n">
        <v>-1</v>
      </c>
      <c r="I20" t="n">
        <v>8</v>
      </c>
      <c r="J20" t="n">
        <v>5</v>
      </c>
      <c r="K20" t="n">
        <v>7</v>
      </c>
      <c r="L20" t="n">
        <v>11</v>
      </c>
      <c r="M20" t="n">
        <v>10</v>
      </c>
      <c r="N20" t="n">
        <v>1</v>
      </c>
      <c r="O20" t="n">
        <v>2</v>
      </c>
      <c r="P20" t="n">
        <v>6</v>
      </c>
      <c r="Q20" t="n">
        <v>4</v>
      </c>
      <c r="R20" t="n">
        <v>0</v>
      </c>
      <c r="S20" t="n">
        <v>13</v>
      </c>
    </row>
    <row r="21">
      <c r="A21" s="143" t="n">
        <v>44075</v>
      </c>
      <c r="B21" t="n">
        <v>3</v>
      </c>
      <c r="C21" t="n">
        <v>-3</v>
      </c>
      <c r="D21" t="n">
        <v>0</v>
      </c>
      <c r="E21" t="n">
        <v>0</v>
      </c>
      <c r="F21" t="n">
        <v>10</v>
      </c>
      <c r="G21" t="n">
        <v>-1</v>
      </c>
      <c r="H21" t="n">
        <v>7</v>
      </c>
      <c r="I21" t="n">
        <v>8</v>
      </c>
      <c r="J21" t="n">
        <v>5</v>
      </c>
      <c r="K21" t="n">
        <v>6</v>
      </c>
      <c r="L21" t="n">
        <v>2</v>
      </c>
      <c r="M21" t="n">
        <v>4</v>
      </c>
      <c r="N21" t="n">
        <v>11</v>
      </c>
      <c r="O21" t="n">
        <v>1</v>
      </c>
      <c r="P21" t="n">
        <v>0</v>
      </c>
      <c r="Q21" t="n">
        <v>9</v>
      </c>
      <c r="R21" t="n">
        <v>-2</v>
      </c>
      <c r="S21" t="n">
        <v>12</v>
      </c>
    </row>
    <row r="22">
      <c r="A22" s="143" t="n">
        <v>44105</v>
      </c>
      <c r="B22" t="n">
        <v>6</v>
      </c>
      <c r="C22" t="n">
        <v>16</v>
      </c>
      <c r="D22" t="n">
        <v>13</v>
      </c>
      <c r="E22" t="n">
        <v>9</v>
      </c>
      <c r="F22" t="n">
        <v>14</v>
      </c>
      <c r="G22" t="n">
        <v>1</v>
      </c>
      <c r="H22" t="n">
        <v>0</v>
      </c>
      <c r="I22" t="n">
        <v>8</v>
      </c>
      <c r="J22" t="n">
        <v>12</v>
      </c>
      <c r="K22" t="n">
        <v>7</v>
      </c>
      <c r="L22" t="n">
        <v>5</v>
      </c>
      <c r="M22" t="n">
        <v>2</v>
      </c>
      <c r="N22" t="n">
        <v>11</v>
      </c>
      <c r="O22" t="n">
        <v>3</v>
      </c>
      <c r="P22" t="n">
        <v>4</v>
      </c>
      <c r="Q22" t="n">
        <v>10</v>
      </c>
      <c r="R22" t="n">
        <v>-1</v>
      </c>
      <c r="S22" t="n">
        <v>15</v>
      </c>
    </row>
    <row r="23">
      <c r="A23" s="143" t="n">
        <v>44136</v>
      </c>
      <c r="B23" t="n">
        <v>6</v>
      </c>
      <c r="C23" t="n">
        <v>15</v>
      </c>
      <c r="D23" t="n">
        <v>2</v>
      </c>
      <c r="E23" t="n">
        <v>5</v>
      </c>
      <c r="F23" t="n">
        <v>14</v>
      </c>
      <c r="G23" t="n">
        <v>4</v>
      </c>
      <c r="H23" t="n">
        <v>-2</v>
      </c>
      <c r="I23" t="n">
        <v>9</v>
      </c>
      <c r="J23" t="n">
        <v>10</v>
      </c>
      <c r="K23" t="n">
        <v>3</v>
      </c>
      <c r="L23" t="n">
        <v>7</v>
      </c>
      <c r="M23" t="n">
        <v>8</v>
      </c>
      <c r="N23" t="n">
        <v>11</v>
      </c>
      <c r="O23" t="n">
        <v>1</v>
      </c>
      <c r="P23" t="n">
        <v>-1</v>
      </c>
      <c r="Q23" t="n">
        <v>0</v>
      </c>
      <c r="R23" t="n">
        <v>13</v>
      </c>
      <c r="S23" t="n">
        <v>12</v>
      </c>
    </row>
    <row r="24">
      <c r="A24" s="143" t="n">
        <v>44166</v>
      </c>
      <c r="B24" t="n">
        <v>9</v>
      </c>
      <c r="C24" t="n">
        <v>13</v>
      </c>
      <c r="D24" t="n">
        <v>4</v>
      </c>
      <c r="E24" t="n">
        <v>8</v>
      </c>
      <c r="F24" t="n">
        <v>5</v>
      </c>
      <c r="G24" t="n">
        <v>-1</v>
      </c>
      <c r="H24" t="n">
        <v>0</v>
      </c>
      <c r="I24" t="n">
        <v>0</v>
      </c>
      <c r="J24" t="n">
        <v>7</v>
      </c>
      <c r="K24" t="n">
        <v>1</v>
      </c>
      <c r="L24" t="n">
        <v>3</v>
      </c>
      <c r="M24" t="n">
        <v>-3</v>
      </c>
      <c r="N24" t="n">
        <v>2</v>
      </c>
      <c r="O24" t="n">
        <v>6</v>
      </c>
      <c r="P24" t="n">
        <v>10</v>
      </c>
      <c r="Q24" t="n">
        <v>11</v>
      </c>
      <c r="R24" t="n">
        <v>-2</v>
      </c>
      <c r="S24" t="n">
        <v>12</v>
      </c>
    </row>
    <row r="25">
      <c r="A25" s="143" t="n">
        <v>44197</v>
      </c>
      <c r="B25" t="n">
        <v>11</v>
      </c>
      <c r="C25" t="n">
        <v>0</v>
      </c>
      <c r="D25" t="n">
        <v>13</v>
      </c>
      <c r="E25" t="n">
        <v>1</v>
      </c>
      <c r="F25" t="n">
        <v>10</v>
      </c>
      <c r="G25" t="n">
        <v>3</v>
      </c>
      <c r="H25" t="n">
        <v>-2</v>
      </c>
      <c r="I25" t="n">
        <v>7</v>
      </c>
      <c r="J25" t="n">
        <v>6</v>
      </c>
      <c r="K25" t="n">
        <v>4</v>
      </c>
      <c r="L25" t="n">
        <v>5</v>
      </c>
      <c r="M25" t="n">
        <v>0</v>
      </c>
      <c r="N25" t="n">
        <v>12</v>
      </c>
      <c r="O25" t="n">
        <v>9</v>
      </c>
      <c r="P25" t="n">
        <v>0</v>
      </c>
      <c r="Q25" t="n">
        <v>2</v>
      </c>
      <c r="R25" t="n">
        <v>-1</v>
      </c>
      <c r="S25" t="n">
        <v>8</v>
      </c>
    </row>
    <row r="26">
      <c r="A26" s="143" t="n">
        <v>44228</v>
      </c>
      <c r="B26" t="n">
        <v>6</v>
      </c>
      <c r="C26" t="n">
        <v>0</v>
      </c>
      <c r="D26" t="n">
        <v>11</v>
      </c>
      <c r="E26" t="n">
        <v>3</v>
      </c>
      <c r="F26" t="n">
        <v>1</v>
      </c>
      <c r="G26" t="n">
        <v>-1</v>
      </c>
      <c r="H26" t="n">
        <v>4</v>
      </c>
      <c r="I26" t="n">
        <v>13</v>
      </c>
      <c r="J26" t="n">
        <v>5</v>
      </c>
      <c r="K26" t="n">
        <v>2</v>
      </c>
      <c r="L26" t="n">
        <v>7</v>
      </c>
      <c r="M26" t="n">
        <v>0</v>
      </c>
      <c r="N26" t="n">
        <v>9</v>
      </c>
      <c r="O26" t="n">
        <v>8</v>
      </c>
      <c r="P26" t="n">
        <v>0</v>
      </c>
      <c r="Q26" t="n">
        <v>0</v>
      </c>
      <c r="R26" t="n">
        <v>10</v>
      </c>
      <c r="S26" t="n">
        <v>12</v>
      </c>
    </row>
    <row r="27">
      <c r="A27" s="143" t="n">
        <v>44256</v>
      </c>
      <c r="B27" t="n">
        <v>9</v>
      </c>
      <c r="C27" t="n">
        <v>15</v>
      </c>
      <c r="D27" t="n">
        <v>5</v>
      </c>
      <c r="E27" t="n">
        <v>7</v>
      </c>
      <c r="F27" t="n">
        <v>2</v>
      </c>
      <c r="G27" t="n">
        <v>1</v>
      </c>
      <c r="H27" t="n">
        <v>0</v>
      </c>
      <c r="I27" t="n">
        <v>12</v>
      </c>
      <c r="J27" t="n">
        <v>8</v>
      </c>
      <c r="K27" t="n">
        <v>6</v>
      </c>
      <c r="L27" t="n">
        <v>3</v>
      </c>
      <c r="M27" t="n">
        <v>11</v>
      </c>
      <c r="N27" t="n">
        <v>14</v>
      </c>
      <c r="O27" t="n">
        <v>4</v>
      </c>
      <c r="P27" t="n">
        <v>0</v>
      </c>
      <c r="Q27" t="n">
        <v>10</v>
      </c>
      <c r="R27" t="n">
        <v>13</v>
      </c>
      <c r="S27" t="n">
        <v>-1</v>
      </c>
    </row>
    <row r="28">
      <c r="A28" s="143" t="n">
        <v>44287</v>
      </c>
      <c r="B28" t="n">
        <v>11</v>
      </c>
      <c r="C28" t="n">
        <v>0</v>
      </c>
      <c r="D28" t="n">
        <v>13</v>
      </c>
      <c r="E28" t="n">
        <v>2</v>
      </c>
      <c r="F28" t="n">
        <v>3</v>
      </c>
      <c r="G28" t="n">
        <v>7</v>
      </c>
      <c r="H28" t="n">
        <v>-1</v>
      </c>
      <c r="I28" t="n">
        <v>12</v>
      </c>
      <c r="J28" t="n">
        <v>14</v>
      </c>
      <c r="K28" t="n">
        <v>6</v>
      </c>
      <c r="L28" t="n">
        <v>9</v>
      </c>
      <c r="M28" t="n">
        <v>10</v>
      </c>
      <c r="N28" t="n">
        <v>0</v>
      </c>
      <c r="O28" t="n">
        <v>5</v>
      </c>
      <c r="P28" t="n">
        <v>1</v>
      </c>
      <c r="Q28" t="n">
        <v>8</v>
      </c>
      <c r="R28" t="n">
        <v>15</v>
      </c>
      <c r="S28" t="n">
        <v>4</v>
      </c>
    </row>
    <row r="29">
      <c r="A29" s="143" t="n">
        <v>44317</v>
      </c>
      <c r="B29" t="n">
        <v>9</v>
      </c>
      <c r="C29" t="n">
        <v>0</v>
      </c>
      <c r="D29" t="n">
        <v>12</v>
      </c>
      <c r="E29" t="n">
        <v>11</v>
      </c>
      <c r="F29" t="n">
        <v>10</v>
      </c>
      <c r="G29" t="n">
        <v>1</v>
      </c>
      <c r="H29" t="n">
        <v>-1</v>
      </c>
      <c r="I29" t="n">
        <v>13</v>
      </c>
      <c r="J29" t="n">
        <v>6</v>
      </c>
      <c r="K29" t="n">
        <v>5</v>
      </c>
      <c r="L29" t="n">
        <v>8</v>
      </c>
      <c r="M29" t="n">
        <v>16</v>
      </c>
      <c r="N29" t="n">
        <v>14</v>
      </c>
      <c r="O29" t="n">
        <v>2</v>
      </c>
      <c r="P29" t="n">
        <v>3</v>
      </c>
      <c r="Q29" t="n">
        <v>15</v>
      </c>
      <c r="R29" t="n">
        <v>7</v>
      </c>
      <c r="S29" t="n">
        <v>4</v>
      </c>
    </row>
    <row r="30">
      <c r="A30" s="143" t="n">
        <v>44348</v>
      </c>
      <c r="B30" t="n">
        <v>9</v>
      </c>
      <c r="C30" t="n">
        <v>0</v>
      </c>
      <c r="D30" t="n">
        <v>2</v>
      </c>
      <c r="E30" t="n">
        <v>7</v>
      </c>
      <c r="F30" t="n">
        <v>4</v>
      </c>
      <c r="G30" t="n">
        <v>12</v>
      </c>
      <c r="H30" t="n">
        <v>14</v>
      </c>
      <c r="I30" t="n">
        <v>5</v>
      </c>
      <c r="J30" t="n">
        <v>6</v>
      </c>
      <c r="K30" t="n">
        <v>1</v>
      </c>
      <c r="L30" t="n">
        <v>8</v>
      </c>
      <c r="M30" t="n">
        <v>11</v>
      </c>
      <c r="N30" t="n">
        <v>10</v>
      </c>
      <c r="O30" t="n">
        <v>13</v>
      </c>
      <c r="P30" t="n">
        <v>3</v>
      </c>
      <c r="Q30" t="n">
        <v>15</v>
      </c>
      <c r="R30" t="n">
        <v>0</v>
      </c>
      <c r="S30" t="n">
        <v>-1</v>
      </c>
    </row>
    <row r="31">
      <c r="A31" s="143" t="n">
        <v>44378</v>
      </c>
      <c r="B31" t="n">
        <v>12</v>
      </c>
      <c r="C31" t="n">
        <v>0</v>
      </c>
      <c r="D31" t="n">
        <v>1</v>
      </c>
      <c r="E31" t="n">
        <v>14</v>
      </c>
      <c r="F31" t="n">
        <v>2</v>
      </c>
      <c r="G31" t="n">
        <v>11</v>
      </c>
      <c r="H31" t="n">
        <v>13</v>
      </c>
      <c r="I31" t="n">
        <v>10</v>
      </c>
      <c r="J31" t="n">
        <v>5</v>
      </c>
      <c r="K31" t="n">
        <v>7</v>
      </c>
      <c r="L31" t="n">
        <v>8</v>
      </c>
      <c r="M31" t="n">
        <v>3</v>
      </c>
      <c r="N31" t="n">
        <v>9</v>
      </c>
      <c r="O31" t="n">
        <v>6</v>
      </c>
      <c r="P31" t="n">
        <v>4</v>
      </c>
      <c r="Q31" t="n">
        <v>15</v>
      </c>
      <c r="R31" t="n">
        <v>-1</v>
      </c>
      <c r="S31" t="n">
        <v>0</v>
      </c>
    </row>
    <row r="32">
      <c r="A32" s="143" t="n">
        <v>44409</v>
      </c>
      <c r="B32" t="n">
        <v>11</v>
      </c>
      <c r="C32" t="n">
        <v>0</v>
      </c>
      <c r="D32" t="n">
        <v>8</v>
      </c>
      <c r="E32" t="n">
        <v>13</v>
      </c>
      <c r="F32" t="n">
        <v>7</v>
      </c>
      <c r="G32" t="n">
        <v>4</v>
      </c>
      <c r="H32" t="n">
        <v>12</v>
      </c>
      <c r="I32" t="n">
        <v>10</v>
      </c>
      <c r="J32" t="n">
        <v>2</v>
      </c>
      <c r="K32" t="n">
        <v>9</v>
      </c>
      <c r="L32" t="n">
        <v>5</v>
      </c>
      <c r="M32" t="n">
        <v>-1</v>
      </c>
      <c r="N32" t="n">
        <v>1</v>
      </c>
      <c r="O32" t="n">
        <v>3</v>
      </c>
      <c r="P32" t="n">
        <v>6</v>
      </c>
      <c r="Q32" t="n">
        <v>14</v>
      </c>
      <c r="R32" t="n">
        <v>0</v>
      </c>
      <c r="S32" t="n">
        <v>0</v>
      </c>
    </row>
    <row r="33">
      <c r="A33" s="143" t="n">
        <v>44440</v>
      </c>
      <c r="B33" t="n">
        <v>8</v>
      </c>
      <c r="C33" t="n">
        <v>0</v>
      </c>
      <c r="D33" t="n">
        <v>13</v>
      </c>
      <c r="E33" t="n">
        <v>9</v>
      </c>
      <c r="F33" t="n">
        <v>0</v>
      </c>
      <c r="G33" t="n">
        <v>6</v>
      </c>
      <c r="H33" t="n">
        <v>-2</v>
      </c>
      <c r="I33" t="n">
        <v>5</v>
      </c>
      <c r="J33" t="n">
        <v>1</v>
      </c>
      <c r="K33" t="n">
        <v>12</v>
      </c>
      <c r="L33" t="n">
        <v>7</v>
      </c>
      <c r="M33" t="n">
        <v>4</v>
      </c>
      <c r="N33" t="n">
        <v>2</v>
      </c>
      <c r="O33" t="n">
        <v>3</v>
      </c>
      <c r="P33" t="n">
        <v>10</v>
      </c>
      <c r="Q33" t="n">
        <v>11</v>
      </c>
      <c r="R33" t="n">
        <v>0</v>
      </c>
      <c r="S33" t="n">
        <v>-1</v>
      </c>
    </row>
    <row r="34">
      <c r="A34" s="143" t="n">
        <v>44470</v>
      </c>
      <c r="B34" t="n">
        <v>7</v>
      </c>
      <c r="C34" t="n">
        <v>14</v>
      </c>
      <c r="D34" t="n">
        <v>10</v>
      </c>
      <c r="E34" t="n">
        <v>4</v>
      </c>
      <c r="F34" t="n">
        <v>-1</v>
      </c>
      <c r="G34" t="n">
        <v>5</v>
      </c>
      <c r="H34" t="n">
        <v>12</v>
      </c>
      <c r="I34" t="n">
        <v>0</v>
      </c>
      <c r="J34" t="n">
        <v>2</v>
      </c>
      <c r="K34" t="n">
        <v>8</v>
      </c>
      <c r="L34" t="n">
        <v>9</v>
      </c>
      <c r="M34" t="n">
        <v>-2</v>
      </c>
      <c r="N34" t="n">
        <v>3</v>
      </c>
      <c r="O34" t="n">
        <v>1</v>
      </c>
      <c r="P34" t="n">
        <v>6</v>
      </c>
      <c r="Q34" t="n">
        <v>13</v>
      </c>
      <c r="R34" t="n">
        <v>11</v>
      </c>
      <c r="S34" t="n">
        <v>0</v>
      </c>
    </row>
  </sheetData>
  <pageMargins left="0.7" right="0.7" top="0.75" bottom="0.75" header="0.3" footer="0.3"/>
</worksheet>
</file>

<file path=xl/worksheets/sheet8.xml><?xml version="1.0" encoding="utf-8"?>
<worksheet xmlns="http://schemas.openxmlformats.org/spreadsheetml/2006/main">
  <sheetPr>
    <tabColor theme="6"/>
    <outlinePr summaryBelow="1" summaryRight="1"/>
    <pageSetUpPr/>
  </sheetPr>
  <dimension ref="A1:S34"/>
  <sheetViews>
    <sheetView workbookViewId="0">
      <selection activeCell="R61" sqref="R61"/>
    </sheetView>
  </sheetViews>
  <sheetFormatPr baseColWidth="10" defaultRowHeight="15"/>
  <cols>
    <col width="10.33203125" customWidth="1"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43"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43"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43"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43"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43"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43"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43"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43"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43"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43"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43"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43"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43"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43"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43"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43"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43"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43"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43"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43"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43"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43"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43"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43"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43"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43"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43"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43"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43"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43"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43"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43"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43"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sheetData>
  <pageMargins left="0.7" right="0.7" top="0.75" bottom="0.75" header="0.3" footer="0.3"/>
</worksheet>
</file>

<file path=xl/worksheets/sheet9.xml><?xml version="1.0" encoding="utf-8"?>
<worksheet xmlns="http://schemas.openxmlformats.org/spreadsheetml/2006/main">
  <sheetPr codeName="Sheet27">
    <tabColor theme="4" tint="0.5999938962981048"/>
    <outlinePr summaryBelow="1" summaryRight="1"/>
    <pageSetUpPr/>
  </sheetPr>
  <dimension ref="A1:Y16"/>
  <sheetViews>
    <sheetView zoomScale="150" zoomScaleNormal="150" workbookViewId="0">
      <selection activeCell="F11" sqref="F11"/>
    </sheetView>
  </sheetViews>
  <sheetFormatPr baseColWidth="10" defaultColWidth="9.1640625" defaultRowHeight="15"/>
  <cols>
    <col width="9.6640625" customWidth="1" style="116" min="1" max="1"/>
    <col width="8.83203125" customWidth="1" style="116" min="2" max="18"/>
    <col width="11.33203125" customWidth="1" style="116" min="19" max="19"/>
    <col width="8.83203125" customWidth="1" style="116" min="20" max="20"/>
    <col width="9.1640625" customWidth="1" style="116" min="21" max="27"/>
    <col width="9.1640625" customWidth="1" style="116" min="28" max="16384"/>
  </cols>
  <sheetData>
    <row r="1">
      <c r="J1" s="116" t="inlineStr">
        <is>
          <t>Last Month</t>
        </is>
      </c>
      <c r="L1" s="79">
        <f>Sectors!L1</f>
        <v/>
      </c>
      <c r="O1" s="6" t="n"/>
    </row>
    <row r="2">
      <c r="L2" s="116">
        <f>Sectors!L2</f>
        <v/>
      </c>
      <c r="Y2" s="79" t="n"/>
    </row>
    <row r="4" ht="16" customHeight="1" thickBot="1">
      <c r="U4" s="79">
        <f>DATE(YEAR(U5),MONTH(U5)-1,DAY(U5))</f>
        <v/>
      </c>
      <c r="V4" s="13">
        <f>V5-1</f>
        <v/>
      </c>
    </row>
    <row r="5" ht="45" customHeight="1" thickBot="1">
      <c r="B5" s="100" t="inlineStr">
        <is>
          <t>Machinery</t>
        </is>
      </c>
      <c r="C5" s="101" t="inlineStr">
        <is>
          <t>Computer &amp; Electronic Products</t>
        </is>
      </c>
      <c r="D5" s="101" t="inlineStr">
        <is>
          <t>Paper Products</t>
        </is>
      </c>
      <c r="E5" s="101" t="inlineStr">
        <is>
          <t>Apparel, Leather &amp; Allied Products</t>
        </is>
      </c>
      <c r="F5" s="101" t="inlineStr">
        <is>
          <t>Printing &amp; Related Support Activities</t>
        </is>
      </c>
      <c r="G5" s="101" t="inlineStr">
        <is>
          <t>Primary Metals</t>
        </is>
      </c>
      <c r="H5" s="101" t="inlineStr">
        <is>
          <t>Nonmetallic Mineral Products</t>
        </is>
      </c>
      <c r="I5" s="101" t="inlineStr">
        <is>
          <t>Petroleum &amp; Coal Products</t>
        </is>
      </c>
      <c r="J5" s="101" t="inlineStr">
        <is>
          <t>Plastics &amp; Rubber Products</t>
        </is>
      </c>
      <c r="K5" s="101" t="inlineStr">
        <is>
          <t>Miscellaneous Manufacturing</t>
        </is>
      </c>
      <c r="L5" s="101" t="inlineStr">
        <is>
          <t>Food, Beverage &amp; Tobacco Products</t>
        </is>
      </c>
      <c r="M5" s="101" t="inlineStr">
        <is>
          <t>Furniture &amp; Related Products</t>
        </is>
      </c>
      <c r="N5" s="101" t="inlineStr">
        <is>
          <t>Transportation Equipment</t>
        </is>
      </c>
      <c r="O5" s="101" t="inlineStr">
        <is>
          <t>Chemical Products</t>
        </is>
      </c>
      <c r="P5" s="101" t="inlineStr">
        <is>
          <t>Fabricated Metal Products</t>
        </is>
      </c>
      <c r="Q5" s="101" t="inlineStr">
        <is>
          <t>Electrical Equipment, Appliances &amp; Components</t>
        </is>
      </c>
      <c r="R5" s="101" t="inlineStr">
        <is>
          <t>Textile Mills</t>
        </is>
      </c>
      <c r="S5" s="80" t="inlineStr">
        <is>
          <t>Wood Products</t>
        </is>
      </c>
      <c r="U5" s="79">
        <f>DATE(YEAR(U6),MONTH(U6)-1,DAY(U6))</f>
        <v/>
      </c>
      <c r="V5" s="13">
        <f>V6-1</f>
        <v/>
      </c>
    </row>
    <row r="6">
      <c r="A6" s="81">
        <f>DATE(YEAR(A7),MONTH(A7)-1,DAY(A7))</f>
        <v/>
      </c>
      <c r="B6" s="82">
        <f>VLOOKUP($B$5,'Sectors Trend'!$B$50:$AL$67,VLOOKUP(A6,$U:$V,2,),)</f>
        <v/>
      </c>
      <c r="C6" s="82">
        <f>VLOOKUP($C$5,'Sectors Trend'!$B$50:$AL$67,VLOOKUP(A6,$U:$V,2,),)</f>
        <v/>
      </c>
      <c r="D6" s="82">
        <f>VLOOKUP($D$5,'Sectors Trend'!$B$50:$AL$67,VLOOKUP(A6,$U:$V,2,),)</f>
        <v/>
      </c>
      <c r="E6" s="82">
        <f>VLOOKUP($E$5,'Sectors Trend'!$B$50:$AL$67,VLOOKUP(A6,$U:$V,2,),)</f>
        <v/>
      </c>
      <c r="F6" s="82">
        <f>VLOOKUP($F$5,'Sectors Trend'!$B$50:$AL$67,VLOOKUP(A6,$U:$V,2,),)</f>
        <v/>
      </c>
      <c r="G6" s="82">
        <f>VLOOKUP($G$5,'Sectors Trend'!$B$50:$AL$67,VLOOKUP(A6,$U:$V,2,),)</f>
        <v/>
      </c>
      <c r="H6" s="82">
        <f>VLOOKUP($H$5,'Sectors Trend'!$B$50:$AL$67,VLOOKUP(A6,$U:$V,2,),)</f>
        <v/>
      </c>
      <c r="I6" s="82">
        <f>VLOOKUP($I$5,'Sectors Trend'!$B$50:$AL$67,VLOOKUP(A6,$U:$V,2,),)</f>
        <v/>
      </c>
      <c r="J6" s="82">
        <f>VLOOKUP($J$5,'Sectors Trend'!$B$50:$AL$67,VLOOKUP(A6,$U:$V,2,),)</f>
        <v/>
      </c>
      <c r="K6" s="82">
        <f>VLOOKUP($K$5,'Sectors Trend'!$B$50:$AL$67,VLOOKUP(A6,$U:$V,2,),)</f>
        <v/>
      </c>
      <c r="L6" s="82">
        <f>VLOOKUP($L$5,'Sectors Trend'!$B$50:$AL$67,VLOOKUP(A6,$U:$V,2,),)</f>
        <v/>
      </c>
      <c r="M6" s="82">
        <f>VLOOKUP($M$5,'Sectors Trend'!$B$50:$AL$67,VLOOKUP(A6,$U:$V,2,),)</f>
        <v/>
      </c>
      <c r="N6" s="82">
        <f>VLOOKUP($N$5,'Sectors Trend'!$B$50:$AL$67,VLOOKUP(A6,$U:$V,2,),)</f>
        <v/>
      </c>
      <c r="O6" s="82">
        <f>VLOOKUP($O$5,'Sectors Trend'!$B$50:$AL$67,VLOOKUP(A6,$U:$V,2,),)</f>
        <v/>
      </c>
      <c r="P6" s="82">
        <f>VLOOKUP($P$5,'Sectors Trend'!$B$50:$AL$67,VLOOKUP(A6,$U:$V,2,),)</f>
        <v/>
      </c>
      <c r="Q6" s="82">
        <f>VLOOKUP($Q$5,'Sectors Trend'!$B$50:$AL$67,VLOOKUP(A6,$U:$V,2,),)</f>
        <v/>
      </c>
      <c r="R6" s="82">
        <f>VLOOKUP($R$5,'Sectors Trend'!$B$50:$AL$67,VLOOKUP(A6,$U:$V,2,),)</f>
        <v/>
      </c>
      <c r="S6" s="83">
        <f>VLOOKUP($S$5,'Sectors Trend'!$B$50:$AL$67,VLOOKUP(A6,$U:$V,2,),)</f>
        <v/>
      </c>
      <c r="U6" s="79">
        <f>DATE(YEAR(U7),MONTH(U7)-1,DAY(U7))</f>
        <v/>
      </c>
      <c r="V6" s="13">
        <f>V7-1</f>
        <v/>
      </c>
    </row>
    <row r="7">
      <c r="A7" s="84">
        <f>DATE(YEAR(A8),MONTH(A8)-1,DAY(A8))</f>
        <v/>
      </c>
      <c r="B7" s="5">
        <f>VLOOKUP($B$5,'Sectors Trend'!$B$50:$AL$67,VLOOKUP(A7,$U:$V,2,),)</f>
        <v/>
      </c>
      <c r="C7" s="5">
        <f>VLOOKUP($C$5,'Sectors Trend'!$B$50:$AL$67,VLOOKUP(A7,$U:$V,2,),)</f>
        <v/>
      </c>
      <c r="D7" s="5">
        <f>VLOOKUP($D$5,'Sectors Trend'!$B$50:$AL$67,VLOOKUP(A7,$U:$V,2,),)</f>
        <v/>
      </c>
      <c r="E7" s="5">
        <f>VLOOKUP($E$5,'Sectors Trend'!$B$50:$AL$67,VLOOKUP(A7,$U:$V,2,),)</f>
        <v/>
      </c>
      <c r="F7" s="5">
        <f>VLOOKUP($F$5,'Sectors Trend'!$B$50:$AL$67,VLOOKUP(A7,$U:$V,2,),)</f>
        <v/>
      </c>
      <c r="G7" s="5">
        <f>VLOOKUP($G$5,'Sectors Trend'!$B$50:$AL$67,VLOOKUP(A7,$U:$V,2,),)</f>
        <v/>
      </c>
      <c r="H7" s="5">
        <f>VLOOKUP($H$5,'Sectors Trend'!$B$50:$AL$67,VLOOKUP(A7,$U:$V,2,),)</f>
        <v/>
      </c>
      <c r="I7" s="5">
        <f>VLOOKUP($I$5,'Sectors Trend'!$B$50:$AL$67,VLOOKUP(A7,$U:$V,2,),)</f>
        <v/>
      </c>
      <c r="J7" s="5">
        <f>VLOOKUP($J$5,'Sectors Trend'!$B$50:$AL$67,VLOOKUP(A7,$U:$V,2,),)</f>
        <v/>
      </c>
      <c r="K7" s="5">
        <f>VLOOKUP($K$5,'Sectors Trend'!$B$50:$AL$67,VLOOKUP(A7,$U:$V,2,),)</f>
        <v/>
      </c>
      <c r="L7" s="5">
        <f>VLOOKUP($L$5,'Sectors Trend'!$B$50:$AL$67,VLOOKUP(A7,$U:$V,2,),)</f>
        <v/>
      </c>
      <c r="M7" s="5">
        <f>VLOOKUP($M$5,'Sectors Trend'!$B$50:$AL$67,VLOOKUP(A7,$U:$V,2,),)</f>
        <v/>
      </c>
      <c r="N7" s="5">
        <f>VLOOKUP($N$5,'Sectors Trend'!$B$50:$AL$67,VLOOKUP(A7,$U:$V,2,),)</f>
        <v/>
      </c>
      <c r="O7" s="5">
        <f>VLOOKUP($O$5,'Sectors Trend'!$B$50:$AL$67,VLOOKUP(A7,$U:$V,2,),)</f>
        <v/>
      </c>
      <c r="P7" s="5">
        <f>VLOOKUP($P$5,'Sectors Trend'!$B$50:$AL$67,VLOOKUP(A7,$U:$V,2,),)</f>
        <v/>
      </c>
      <c r="Q7" s="5">
        <f>VLOOKUP($Q$5,'Sectors Trend'!$B$50:$AL$67,VLOOKUP(A7,$U:$V,2,),)</f>
        <v/>
      </c>
      <c r="R7" s="5">
        <f>VLOOKUP($R$5,'Sectors Trend'!$B$50:$AL$67,VLOOKUP(A7,$U:$V,2,),)</f>
        <v/>
      </c>
      <c r="S7" s="85">
        <f>VLOOKUP($S$5,'Sectors Trend'!$B$50:$AL$67,VLOOKUP(A7,$U:$V,2,),)</f>
        <v/>
      </c>
      <c r="U7" s="79">
        <f>DATE(YEAR(U8),MONTH(U8)-1,DAY(U8))</f>
        <v/>
      </c>
      <c r="V7" s="13">
        <f>V8-1</f>
        <v/>
      </c>
    </row>
    <row r="8">
      <c r="A8" s="84">
        <f>DATE(YEAR(A9),MONTH(A9)-1,DAY(A9))</f>
        <v/>
      </c>
      <c r="B8" s="5">
        <f>VLOOKUP($B$5,'Sectors Trend'!$B$50:$AL$67,VLOOKUP(A8,$U:$V,2,),)</f>
        <v/>
      </c>
      <c r="C8" s="5">
        <f>VLOOKUP($C$5,'Sectors Trend'!$B$50:$AL$67,VLOOKUP(A8,$U:$V,2,),)</f>
        <v/>
      </c>
      <c r="D8" s="5">
        <f>VLOOKUP($D$5,'Sectors Trend'!$B$50:$AL$67,VLOOKUP(A8,$U:$V,2,),)</f>
        <v/>
      </c>
      <c r="E8" s="5">
        <f>VLOOKUP($E$5,'Sectors Trend'!$B$50:$AL$67,VLOOKUP(A8,$U:$V,2,),)</f>
        <v/>
      </c>
      <c r="F8" s="5">
        <f>VLOOKUP($F$5,'Sectors Trend'!$B$50:$AL$67,VLOOKUP(A8,$U:$V,2,),)</f>
        <v/>
      </c>
      <c r="G8" s="5">
        <f>VLOOKUP($G$5,'Sectors Trend'!$B$50:$AL$67,VLOOKUP(A8,$U:$V,2,),)</f>
        <v/>
      </c>
      <c r="H8" s="5">
        <f>VLOOKUP($H$5,'Sectors Trend'!$B$50:$AL$67,VLOOKUP(A8,$U:$V,2,),)</f>
        <v/>
      </c>
      <c r="I8" s="5">
        <f>VLOOKUP($I$5,'Sectors Trend'!$B$50:$AL$67,VLOOKUP(A8,$U:$V,2,),)</f>
        <v/>
      </c>
      <c r="J8" s="5">
        <f>VLOOKUP($J$5,'Sectors Trend'!$B$50:$AL$67,VLOOKUP(A8,$U:$V,2,),)</f>
        <v/>
      </c>
      <c r="K8" s="5">
        <f>VLOOKUP($K$5,'Sectors Trend'!$B$50:$AL$67,VLOOKUP(A8,$U:$V,2,),)</f>
        <v/>
      </c>
      <c r="L8" s="5">
        <f>VLOOKUP($L$5,'Sectors Trend'!$B$50:$AL$67,VLOOKUP(A8,$U:$V,2,),)</f>
        <v/>
      </c>
      <c r="M8" s="5">
        <f>VLOOKUP($M$5,'Sectors Trend'!$B$50:$AL$67,VLOOKUP(A8,$U:$V,2,),)</f>
        <v/>
      </c>
      <c r="N8" s="5">
        <f>VLOOKUP($N$5,'Sectors Trend'!$B$50:$AL$67,VLOOKUP(A8,$U:$V,2,),)</f>
        <v/>
      </c>
      <c r="O8" s="5">
        <f>VLOOKUP($O$5,'Sectors Trend'!$B$50:$AL$67,VLOOKUP(A8,$U:$V,2,),)</f>
        <v/>
      </c>
      <c r="P8" s="5">
        <f>VLOOKUP($P$5,'Sectors Trend'!$B$50:$AL$67,VLOOKUP(A8,$U:$V,2,),)</f>
        <v/>
      </c>
      <c r="Q8" s="5">
        <f>VLOOKUP($Q$5,'Sectors Trend'!$B$50:$AL$67,VLOOKUP(A8,$U:$V,2,),)</f>
        <v/>
      </c>
      <c r="R8" s="5">
        <f>VLOOKUP($R$5,'Sectors Trend'!$B$50:$AL$67,VLOOKUP(A8,$U:$V,2,),)</f>
        <v/>
      </c>
      <c r="S8" s="85">
        <f>VLOOKUP($S$5,'Sectors Trend'!$B$50:$AL$67,VLOOKUP(A8,$U:$V,2,),)</f>
        <v/>
      </c>
      <c r="U8" s="79">
        <f>DATE(YEAR(U9),MONTH(U9)-1,DAY(U9))</f>
        <v/>
      </c>
      <c r="V8" s="13">
        <f>V9-1</f>
        <v/>
      </c>
    </row>
    <row r="9">
      <c r="A9" s="84">
        <f>DATE(YEAR(A10),MONTH(A10)-1,DAY(A10))</f>
        <v/>
      </c>
      <c r="B9" s="5">
        <f>VLOOKUP($B$5,'Sectors Trend'!$B$50:$AL$67,VLOOKUP(A9,$U:$V,2,),)</f>
        <v/>
      </c>
      <c r="C9" s="5">
        <f>VLOOKUP($C$5,'Sectors Trend'!$B$50:$AL$67,VLOOKUP(A9,$U:$V,2,),)</f>
        <v/>
      </c>
      <c r="D9" s="5">
        <f>VLOOKUP($D$5,'Sectors Trend'!$B$50:$AL$67,VLOOKUP(A9,$U:$V,2,),)</f>
        <v/>
      </c>
      <c r="E9" s="5">
        <f>VLOOKUP($E$5,'Sectors Trend'!$B$50:$AL$67,VLOOKUP(A9,$U:$V,2,),)</f>
        <v/>
      </c>
      <c r="F9" s="5">
        <f>VLOOKUP($F$5,'Sectors Trend'!$B$50:$AL$67,VLOOKUP(A9,$U:$V,2,),)</f>
        <v/>
      </c>
      <c r="G9" s="5">
        <f>VLOOKUP($G$5,'Sectors Trend'!$B$50:$AL$67,VLOOKUP(A9,$U:$V,2,),)</f>
        <v/>
      </c>
      <c r="H9" s="5">
        <f>VLOOKUP($H$5,'Sectors Trend'!$B$50:$AL$67,VLOOKUP(A9,$U:$V,2,),)</f>
        <v/>
      </c>
      <c r="I9" s="5">
        <f>VLOOKUP($I$5,'Sectors Trend'!$B$50:$AL$67,VLOOKUP(A9,$U:$V,2,),)</f>
        <v/>
      </c>
      <c r="J9" s="5">
        <f>VLOOKUP($J$5,'Sectors Trend'!$B$50:$AL$67,VLOOKUP(A9,$U:$V,2,),)</f>
        <v/>
      </c>
      <c r="K9" s="5">
        <f>VLOOKUP($K$5,'Sectors Trend'!$B$50:$AL$67,VLOOKUP(A9,$U:$V,2,),)</f>
        <v/>
      </c>
      <c r="L9" s="5">
        <f>VLOOKUP($L$5,'Sectors Trend'!$B$50:$AL$67,VLOOKUP(A9,$U:$V,2,),)</f>
        <v/>
      </c>
      <c r="M9" s="5">
        <f>VLOOKUP($M$5,'Sectors Trend'!$B$50:$AL$67,VLOOKUP(A9,$U:$V,2,),)</f>
        <v/>
      </c>
      <c r="N9" s="5">
        <f>VLOOKUP($N$5,'Sectors Trend'!$B$50:$AL$67,VLOOKUP(A9,$U:$V,2,),)</f>
        <v/>
      </c>
      <c r="O9" s="5">
        <f>VLOOKUP($O$5,'Sectors Trend'!$B$50:$AL$67,VLOOKUP(A9,$U:$V,2,),)</f>
        <v/>
      </c>
      <c r="P9" s="5">
        <f>VLOOKUP($P$5,'Sectors Trend'!$B$50:$AL$67,VLOOKUP(A9,$U:$V,2,),)</f>
        <v/>
      </c>
      <c r="Q9" s="5">
        <f>VLOOKUP($Q$5,'Sectors Trend'!$B$50:$AL$67,VLOOKUP(A9,$U:$V,2,),)</f>
        <v/>
      </c>
      <c r="R9" s="5">
        <f>VLOOKUP($R$5,'Sectors Trend'!$B$50:$AL$67,VLOOKUP(A9,$U:$V,2,),)</f>
        <v/>
      </c>
      <c r="S9" s="85">
        <f>VLOOKUP($S$5,'Sectors Trend'!$B$50:$AL$67,VLOOKUP(A9,$U:$V,2,),)</f>
        <v/>
      </c>
      <c r="U9" s="79">
        <f>DATE(YEAR(U10),MONTH(U10)-1,DAY(U10))</f>
        <v/>
      </c>
      <c r="V9" s="13">
        <f>V10-1</f>
        <v/>
      </c>
    </row>
    <row r="10">
      <c r="A10" s="84">
        <f>DATE(YEAR(A11),MONTH(A11)-1,DAY(A11))</f>
        <v/>
      </c>
      <c r="B10" s="5">
        <f>VLOOKUP($B$5,'Sectors Trend'!$B$50:$AL$67,VLOOKUP(A10,$U:$V,2,),)</f>
        <v/>
      </c>
      <c r="C10" s="5">
        <f>VLOOKUP($C$5,'Sectors Trend'!$B$50:$AL$67,VLOOKUP(A10,$U:$V,2,),)</f>
        <v/>
      </c>
      <c r="D10" s="5">
        <f>VLOOKUP($D$5,'Sectors Trend'!$B$50:$AL$67,VLOOKUP(A10,$U:$V,2,),)</f>
        <v/>
      </c>
      <c r="E10" s="5">
        <f>VLOOKUP($E$5,'Sectors Trend'!$B$50:$AL$67,VLOOKUP(A10,$U:$V,2,),)</f>
        <v/>
      </c>
      <c r="F10" s="5">
        <f>VLOOKUP($F$5,'Sectors Trend'!$B$50:$AL$67,VLOOKUP(A10,$U:$V,2,),)</f>
        <v/>
      </c>
      <c r="G10" s="5">
        <f>VLOOKUP($G$5,'Sectors Trend'!$B$50:$AL$67,VLOOKUP(A10,$U:$V,2,),)</f>
        <v/>
      </c>
      <c r="H10" s="5">
        <f>VLOOKUP($H$5,'Sectors Trend'!$B$50:$AL$67,VLOOKUP(A10,$U:$V,2,),)</f>
        <v/>
      </c>
      <c r="I10" s="5">
        <f>VLOOKUP($I$5,'Sectors Trend'!$B$50:$AL$67,VLOOKUP(A10,$U:$V,2,),)</f>
        <v/>
      </c>
      <c r="J10" s="5">
        <f>VLOOKUP($J$5,'Sectors Trend'!$B$50:$AL$67,VLOOKUP(A10,$U:$V,2,),)</f>
        <v/>
      </c>
      <c r="K10" s="5">
        <f>VLOOKUP($K$5,'Sectors Trend'!$B$50:$AL$67,VLOOKUP(A10,$U:$V,2,),)</f>
        <v/>
      </c>
      <c r="L10" s="5">
        <f>VLOOKUP($L$5,'Sectors Trend'!$B$50:$AL$67,VLOOKUP(A10,$U:$V,2,),)</f>
        <v/>
      </c>
      <c r="M10" s="5">
        <f>VLOOKUP($M$5,'Sectors Trend'!$B$50:$AL$67,VLOOKUP(A10,$U:$V,2,),)</f>
        <v/>
      </c>
      <c r="N10" s="5">
        <f>VLOOKUP($N$5,'Sectors Trend'!$B$50:$AL$67,VLOOKUP(A10,$U:$V,2,),)</f>
        <v/>
      </c>
      <c r="O10" s="5">
        <f>VLOOKUP($O$5,'Sectors Trend'!$B$50:$AL$67,VLOOKUP(A10,$U:$V,2,),)</f>
        <v/>
      </c>
      <c r="P10" s="5">
        <f>VLOOKUP($P$5,'Sectors Trend'!$B$50:$AL$67,VLOOKUP(A10,$U:$V,2,),)</f>
        <v/>
      </c>
      <c r="Q10" s="5">
        <f>VLOOKUP($Q$5,'Sectors Trend'!$B$50:$AL$67,VLOOKUP(A10,$U:$V,2,),)</f>
        <v/>
      </c>
      <c r="R10" s="5">
        <f>VLOOKUP($R$5,'Sectors Trend'!$B$50:$AL$67,VLOOKUP(A10,$U:$V,2,),)</f>
        <v/>
      </c>
      <c r="S10" s="85">
        <f>VLOOKUP($S$5,'Sectors Trend'!$B$50:$AL$67,VLOOKUP(A10,$U:$V,2,),)</f>
        <v/>
      </c>
      <c r="U10" s="79">
        <f>DATE(YEAR(U11),MONTH(U11)-1,DAY(U11))</f>
        <v/>
      </c>
      <c r="V10" s="13">
        <f>V11-1</f>
        <v/>
      </c>
    </row>
    <row r="11" ht="16" customHeight="1" thickBot="1">
      <c r="A11" s="86">
        <f>L1</f>
        <v/>
      </c>
      <c r="B11" s="87">
        <f>VLOOKUP($B$5,'Sectors Trend'!$B$50:$AL$67,VLOOKUP(A11,$U:$V,2,),)</f>
        <v/>
      </c>
      <c r="C11" s="87">
        <f>VLOOKUP($C$5,'Sectors Trend'!$B$50:$AL$67,VLOOKUP(A11,$U:$V,2,),)</f>
        <v/>
      </c>
      <c r="D11" s="87">
        <f>VLOOKUP($D$5,'Sectors Trend'!$B$50:$AL$67,VLOOKUP(A11,$U:$V,2,),)</f>
        <v/>
      </c>
      <c r="E11" s="87">
        <f>VLOOKUP($E$5,'Sectors Trend'!$B$50:$AL$67,VLOOKUP(A11,$U:$V,2,),)</f>
        <v/>
      </c>
      <c r="F11" s="87">
        <f>VLOOKUP($F$5,'Sectors Trend'!$B$50:$AL$67,VLOOKUP(A11,$U:$V,2,),)</f>
        <v/>
      </c>
      <c r="G11" s="87">
        <f>VLOOKUP($G$5,'Sectors Trend'!$B$50:$AL$67,VLOOKUP(A11,$U:$V,2,),)</f>
        <v/>
      </c>
      <c r="H11" s="87">
        <f>VLOOKUP($H$5,'Sectors Trend'!$B$50:$AL$67,VLOOKUP(A11,$U:$V,2,),)</f>
        <v/>
      </c>
      <c r="I11" s="87">
        <f>VLOOKUP($I$5,'Sectors Trend'!$B$50:$AL$67,VLOOKUP(A11,$U:$V,2,),)</f>
        <v/>
      </c>
      <c r="J11" s="87">
        <f>VLOOKUP($J$5,'Sectors Trend'!$B$50:$AL$67,VLOOKUP(A11,$U:$V,2,),)</f>
        <v/>
      </c>
      <c r="K11" s="87">
        <f>VLOOKUP($K$5,'Sectors Trend'!$B$50:$AL$67,VLOOKUP(A11,$U:$V,2,),)</f>
        <v/>
      </c>
      <c r="L11" s="87">
        <f>VLOOKUP($L$5,'Sectors Trend'!$B$50:$AL$67,VLOOKUP(A11,$U:$V,2,),)</f>
        <v/>
      </c>
      <c r="M11" s="87">
        <f>VLOOKUP($M$5,'Sectors Trend'!$B$50:$AL$67,VLOOKUP(A11,$U:$V,2,),)</f>
        <v/>
      </c>
      <c r="N11" s="87">
        <f>VLOOKUP($N$5,'Sectors Trend'!$B$50:$AL$67,VLOOKUP(A11,$U:$V,2,),)</f>
        <v/>
      </c>
      <c r="O11" s="87">
        <f>VLOOKUP($O$5,'Sectors Trend'!$B$50:$AL$67,VLOOKUP(A11,$U:$V,2,),)</f>
        <v/>
      </c>
      <c r="P11" s="87">
        <f>VLOOKUP($P$5,'Sectors Trend'!$B$50:$AL$67,VLOOKUP(A11,$U:$V,2,),)</f>
        <v/>
      </c>
      <c r="Q11" s="87">
        <f>VLOOKUP($Q$5,'Sectors Trend'!$B$50:$AL$67,VLOOKUP(A11,$U:$V,2,),)</f>
        <v/>
      </c>
      <c r="R11" s="87">
        <f>VLOOKUP($R$5,'Sectors Trend'!$B$50:$AL$67,VLOOKUP(A11,$U:$V,2,),)</f>
        <v/>
      </c>
      <c r="S11" s="88">
        <f>VLOOKUP($S$5,'Sectors Trend'!$B$50:$AL$67,VLOOKUP(A11,$U:$V,2,),)</f>
        <v/>
      </c>
      <c r="U11" s="79">
        <f>L1</f>
        <v/>
      </c>
      <c r="V11" s="13">
        <f>L2</f>
        <v/>
      </c>
    </row>
    <row r="12">
      <c r="R12" s="79" t="n"/>
    </row>
    <row r="13">
      <c r="R13" s="79" t="n"/>
    </row>
    <row r="14">
      <c r="R14" s="79" t="n"/>
    </row>
    <row r="15">
      <c r="R15" s="79" t="n"/>
    </row>
    <row r="16">
      <c r="R16" s="79"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21">
    <tabColor theme="4" tint="0.5999938962981048"/>
    <outlinePr summaryBelow="1" summaryRight="1"/>
    <pageSetUpPr/>
  </sheetPr>
  <dimension ref="A1:Y16"/>
  <sheetViews>
    <sheetView zoomScale="140" zoomScaleNormal="140" workbookViewId="0">
      <selection activeCell="H11" sqref="H11"/>
    </sheetView>
  </sheetViews>
  <sheetFormatPr baseColWidth="10" defaultColWidth="9.1640625" defaultRowHeight="15"/>
  <cols>
    <col width="9.6640625" customWidth="1" style="116" min="1" max="1"/>
    <col width="8.83203125" customWidth="1" style="116" min="2" max="18"/>
    <col width="11.33203125" customWidth="1" style="116" min="19" max="19"/>
    <col width="8.83203125" customWidth="1" style="116" min="20" max="20"/>
    <col width="9.1640625" customWidth="1" style="116" min="21" max="27"/>
    <col width="9.1640625" customWidth="1" style="116" min="28" max="16384"/>
  </cols>
  <sheetData>
    <row r="1">
      <c r="J1" s="116" t="inlineStr">
        <is>
          <t>Last Month</t>
        </is>
      </c>
      <c r="L1" s="79">
        <f>Sectors!L1</f>
        <v/>
      </c>
      <c r="O1" s="6" t="n"/>
    </row>
    <row r="2">
      <c r="L2" s="116">
        <f>Sectors!L2</f>
        <v/>
      </c>
      <c r="Y2" s="79" t="n"/>
    </row>
    <row r="4" ht="16" customHeight="1" thickBot="1">
      <c r="U4" s="79">
        <f>DATE(YEAR(U5),MONTH(U5)-1,DAY(U5))</f>
        <v/>
      </c>
      <c r="V4" s="13">
        <f>V5-1</f>
        <v/>
      </c>
    </row>
    <row r="5" ht="61.5" customHeight="1" thickBot="1">
      <c r="B5" s="100" t="inlineStr">
        <is>
          <t>Machinery</t>
        </is>
      </c>
      <c r="C5" s="101" t="inlineStr">
        <is>
          <t>Computer &amp; Electronic Products</t>
        </is>
      </c>
      <c r="D5" s="101" t="inlineStr">
        <is>
          <t>Paper Products</t>
        </is>
      </c>
      <c r="E5" s="101" t="inlineStr">
        <is>
          <t>Apparel, Leather &amp; Allied Products</t>
        </is>
      </c>
      <c r="F5" s="101" t="inlineStr">
        <is>
          <t>Printing &amp; Related Support Activities</t>
        </is>
      </c>
      <c r="G5" s="101" t="inlineStr">
        <is>
          <t>Primary Metals</t>
        </is>
      </c>
      <c r="H5" s="101" t="inlineStr">
        <is>
          <t>Nonmetallic Mineral Products</t>
        </is>
      </c>
      <c r="I5" s="101" t="inlineStr">
        <is>
          <t>Petroleum &amp; Coal Products</t>
        </is>
      </c>
      <c r="J5" s="101" t="inlineStr">
        <is>
          <t>Plastics &amp; Rubber Products</t>
        </is>
      </c>
      <c r="K5" s="101" t="inlineStr">
        <is>
          <t>Miscellaneous Manufacturing</t>
        </is>
      </c>
      <c r="L5" s="101" t="inlineStr">
        <is>
          <t>Food, Beverage &amp; Tobacco Products</t>
        </is>
      </c>
      <c r="M5" s="101" t="inlineStr">
        <is>
          <t>Furniture &amp; Related Products</t>
        </is>
      </c>
      <c r="N5" s="101" t="inlineStr">
        <is>
          <t>Transportation Equipment</t>
        </is>
      </c>
      <c r="O5" s="101" t="inlineStr">
        <is>
          <t>Chemical Products</t>
        </is>
      </c>
      <c r="P5" s="101" t="inlineStr">
        <is>
          <t>Fabricated Metal Products</t>
        </is>
      </c>
      <c r="Q5" s="101" t="inlineStr">
        <is>
          <t>Electrical Equipment, Appliances &amp; Components</t>
        </is>
      </c>
      <c r="R5" s="101" t="inlineStr">
        <is>
          <t>Textile Mills</t>
        </is>
      </c>
      <c r="S5" s="80" t="inlineStr">
        <is>
          <t>Wood Products</t>
        </is>
      </c>
      <c r="U5" s="79">
        <f>DATE(YEAR(U6),MONTH(U6)-1,DAY(U6))</f>
        <v/>
      </c>
      <c r="V5" s="13">
        <f>V6-1</f>
        <v/>
      </c>
    </row>
    <row r="6">
      <c r="A6" s="81">
        <f>DATE(YEAR(A7),MONTH(A7)-1,DAY(A7))</f>
        <v/>
      </c>
      <c r="B6" s="82">
        <f>VLOOKUP($B$5,'Sectors Trend'!$B$28:$AL$45,VLOOKUP(A6,$U:$V,2,),)</f>
        <v/>
      </c>
      <c r="C6" s="82">
        <f>VLOOKUP($C$5,'Sectors Trend'!$B$28:$AL$45,VLOOKUP(A6,$U:$V,2,),)</f>
        <v/>
      </c>
      <c r="D6" s="82">
        <f>VLOOKUP($D$5,'Sectors Trend'!$B$28:$AL$45,VLOOKUP(A6,$U:$V,2,),)</f>
        <v/>
      </c>
      <c r="E6" s="82">
        <f>VLOOKUP($E$5,'Sectors Trend'!$B$28:$AL$45,VLOOKUP(A6,$U:$V,2,),)</f>
        <v/>
      </c>
      <c r="F6" s="82">
        <f>VLOOKUP($F$5,'Sectors Trend'!$B$28:$AL$45,VLOOKUP(A6,$U:$V,2,),)</f>
        <v/>
      </c>
      <c r="G6" s="82">
        <f>VLOOKUP($G$5,'Sectors Trend'!$B$28:$AL$45,VLOOKUP(A6,$U:$V,2,),)</f>
        <v/>
      </c>
      <c r="H6" s="82">
        <f>VLOOKUP($H$5,'Sectors Trend'!$B$28:$AL$45,VLOOKUP(A6,$U:$V,2,),)</f>
        <v/>
      </c>
      <c r="I6" s="82">
        <f>VLOOKUP($I$5,'Sectors Trend'!$B$28:$AL$45,VLOOKUP(A6,$U:$V,2,),)</f>
        <v/>
      </c>
      <c r="J6" s="82">
        <f>VLOOKUP($J$5,'Sectors Trend'!$B$28:$AL$45,VLOOKUP(A6,$U:$V,2,),)</f>
        <v/>
      </c>
      <c r="K6" s="82">
        <f>VLOOKUP($K$5,'Sectors Trend'!$B$28:$AL$45,VLOOKUP(A6,$U:$V,2,),)</f>
        <v/>
      </c>
      <c r="L6" s="82">
        <f>VLOOKUP($L$5,'Sectors Trend'!$B$28:$AL$45,VLOOKUP(A6,$U:$V,2,),)</f>
        <v/>
      </c>
      <c r="M6" s="82">
        <f>VLOOKUP($M$5,'Sectors Trend'!$B$28:$AL$45,VLOOKUP(A6,$U:$V,2,),)</f>
        <v/>
      </c>
      <c r="N6" s="82">
        <f>VLOOKUP($N$5,'Sectors Trend'!$B$28:$AL$45,VLOOKUP(A6,$U:$V,2,),)</f>
        <v/>
      </c>
      <c r="O6" s="82">
        <f>VLOOKUP($O$5,'Sectors Trend'!$B$28:$AL$45,VLOOKUP(A6,$U:$V,2,),)</f>
        <v/>
      </c>
      <c r="P6" s="82">
        <f>VLOOKUP($P$5,'Sectors Trend'!$B$28:$AL$45,VLOOKUP(A6,$U:$V,2,),)</f>
        <v/>
      </c>
      <c r="Q6" s="82">
        <f>VLOOKUP($Q$5,'Sectors Trend'!$B$28:$AL$45,VLOOKUP(A6,$U:$V,2,),)</f>
        <v/>
      </c>
      <c r="R6" s="82">
        <f>VLOOKUP($R$5,'Sectors Trend'!$B$28:$AL$45,VLOOKUP(A6,$U:$V,2,),)</f>
        <v/>
      </c>
      <c r="S6" s="83">
        <f>VLOOKUP($S$5,'Sectors Trend'!$B$28:$AL$45,VLOOKUP(A6,$U:$V,2,),)</f>
        <v/>
      </c>
      <c r="U6" s="79">
        <f>DATE(YEAR(U7),MONTH(U7)-1,DAY(U7))</f>
        <v/>
      </c>
      <c r="V6" s="13">
        <f>V7-1</f>
        <v/>
      </c>
    </row>
    <row r="7">
      <c r="A7" s="84">
        <f>DATE(YEAR(A8),MONTH(A8)-1,DAY(A8))</f>
        <v/>
      </c>
      <c r="B7" s="5">
        <f>VLOOKUP($B$5,'Sectors Trend'!$B$28:$AL$45,VLOOKUP(A7,$U:$V,2,),)</f>
        <v/>
      </c>
      <c r="C7" s="5">
        <f>VLOOKUP($C$5,'Sectors Trend'!$B$28:$AL$45,VLOOKUP(A7,$U:$V,2,),)</f>
        <v/>
      </c>
      <c r="D7" s="5">
        <f>VLOOKUP($D$5,'Sectors Trend'!$B$28:$AL$45,VLOOKUP(A7,$U:$V,2,),)</f>
        <v/>
      </c>
      <c r="E7" s="5">
        <f>VLOOKUP($E$5,'Sectors Trend'!$B$28:$AL$45,VLOOKUP(A7,$U:$V,2,),)</f>
        <v/>
      </c>
      <c r="F7" s="5">
        <f>VLOOKUP($F$5,'Sectors Trend'!$B$28:$AL$45,VLOOKUP(A7,$U:$V,2,),)</f>
        <v/>
      </c>
      <c r="G7" s="5">
        <f>VLOOKUP($G$5,'Sectors Trend'!$B$28:$AL$45,VLOOKUP(A7,$U:$V,2,),)</f>
        <v/>
      </c>
      <c r="H7" s="5">
        <f>VLOOKUP($H$5,'Sectors Trend'!$B$28:$AL$45,VLOOKUP(A7,$U:$V,2,),)</f>
        <v/>
      </c>
      <c r="I7" s="5">
        <f>VLOOKUP($I$5,'Sectors Trend'!$B$28:$AL$45,VLOOKUP(A7,$U:$V,2,),)</f>
        <v/>
      </c>
      <c r="J7" s="5">
        <f>VLOOKUP($J$5,'Sectors Trend'!$B$28:$AL$45,VLOOKUP(A7,$U:$V,2,),)</f>
        <v/>
      </c>
      <c r="K7" s="5">
        <f>VLOOKUP($K$5,'Sectors Trend'!$B$28:$AL$45,VLOOKUP(A7,$U:$V,2,),)</f>
        <v/>
      </c>
      <c r="L7" s="5">
        <f>VLOOKUP($L$5,'Sectors Trend'!$B$28:$AL$45,VLOOKUP(A7,$U:$V,2,),)</f>
        <v/>
      </c>
      <c r="M7" s="5">
        <f>VLOOKUP($M$5,'Sectors Trend'!$B$28:$AL$45,VLOOKUP(A7,$U:$V,2,),)</f>
        <v/>
      </c>
      <c r="N7" s="5">
        <f>VLOOKUP($N$5,'Sectors Trend'!$B$28:$AL$45,VLOOKUP(A7,$U:$V,2,),)</f>
        <v/>
      </c>
      <c r="O7" s="5">
        <f>VLOOKUP($O$5,'Sectors Trend'!$B$28:$AL$45,VLOOKUP(A7,$U:$V,2,),)</f>
        <v/>
      </c>
      <c r="P7" s="5">
        <f>VLOOKUP($P$5,'Sectors Trend'!$B$28:$AL$45,VLOOKUP(A7,$U:$V,2,),)</f>
        <v/>
      </c>
      <c r="Q7" s="5">
        <f>VLOOKUP($Q$5,'Sectors Trend'!$B$28:$AL$45,VLOOKUP(A7,$U:$V,2,),)</f>
        <v/>
      </c>
      <c r="R7" s="5">
        <f>VLOOKUP($R$5,'Sectors Trend'!$B$28:$AL$45,VLOOKUP(A7,$U:$V,2,),)</f>
        <v/>
      </c>
      <c r="S7" s="85">
        <f>VLOOKUP($S$5,'Sectors Trend'!$B$28:$AL$45,VLOOKUP(A7,$U:$V,2,),)</f>
        <v/>
      </c>
      <c r="U7" s="79">
        <f>DATE(YEAR(U8),MONTH(U8)-1,DAY(U8))</f>
        <v/>
      </c>
      <c r="V7" s="13">
        <f>V8-1</f>
        <v/>
      </c>
    </row>
    <row r="8">
      <c r="A8" s="84">
        <f>DATE(YEAR(A9),MONTH(A9)-1,DAY(A9))</f>
        <v/>
      </c>
      <c r="B8" s="5">
        <f>VLOOKUP($B$5,'Sectors Trend'!$B$28:$AL$45,VLOOKUP(A8,$U:$V,2,),)</f>
        <v/>
      </c>
      <c r="C8" s="5">
        <f>VLOOKUP($C$5,'Sectors Trend'!$B$28:$AL$45,VLOOKUP(A8,$U:$V,2,),)</f>
        <v/>
      </c>
      <c r="D8" s="5">
        <f>VLOOKUP($D$5,'Sectors Trend'!$B$28:$AL$45,VLOOKUP(A8,$U:$V,2,),)</f>
        <v/>
      </c>
      <c r="E8" s="5">
        <f>VLOOKUP($E$5,'Sectors Trend'!$B$28:$AL$45,VLOOKUP(A8,$U:$V,2,),)</f>
        <v/>
      </c>
      <c r="F8" s="5">
        <f>VLOOKUP($F$5,'Sectors Trend'!$B$28:$AL$45,VLOOKUP(A8,$U:$V,2,),)</f>
        <v/>
      </c>
      <c r="G8" s="5">
        <f>VLOOKUP($G$5,'Sectors Trend'!$B$28:$AL$45,VLOOKUP(A8,$U:$V,2,),)</f>
        <v/>
      </c>
      <c r="H8" s="5">
        <f>VLOOKUP($H$5,'Sectors Trend'!$B$28:$AL$45,VLOOKUP(A8,$U:$V,2,),)</f>
        <v/>
      </c>
      <c r="I8" s="5">
        <f>VLOOKUP($I$5,'Sectors Trend'!$B$28:$AL$45,VLOOKUP(A8,$U:$V,2,),)</f>
        <v/>
      </c>
      <c r="J8" s="5">
        <f>VLOOKUP($J$5,'Sectors Trend'!$B$28:$AL$45,VLOOKUP(A8,$U:$V,2,),)</f>
        <v/>
      </c>
      <c r="K8" s="5">
        <f>VLOOKUP($K$5,'Sectors Trend'!$B$28:$AL$45,VLOOKUP(A8,$U:$V,2,),)</f>
        <v/>
      </c>
      <c r="L8" s="5">
        <f>VLOOKUP($L$5,'Sectors Trend'!$B$28:$AL$45,VLOOKUP(A8,$U:$V,2,),)</f>
        <v/>
      </c>
      <c r="M8" s="5">
        <f>VLOOKUP($M$5,'Sectors Trend'!$B$28:$AL$45,VLOOKUP(A8,$U:$V,2,),)</f>
        <v/>
      </c>
      <c r="N8" s="5">
        <f>VLOOKUP($N$5,'Sectors Trend'!$B$28:$AL$45,VLOOKUP(A8,$U:$V,2,),)</f>
        <v/>
      </c>
      <c r="O8" s="5">
        <f>VLOOKUP($O$5,'Sectors Trend'!$B$28:$AL$45,VLOOKUP(A8,$U:$V,2,),)</f>
        <v/>
      </c>
      <c r="P8" s="5">
        <f>VLOOKUP($P$5,'Sectors Trend'!$B$28:$AL$45,VLOOKUP(A8,$U:$V,2,),)</f>
        <v/>
      </c>
      <c r="Q8" s="5">
        <f>VLOOKUP($Q$5,'Sectors Trend'!$B$28:$AL$45,VLOOKUP(A8,$U:$V,2,),)</f>
        <v/>
      </c>
      <c r="R8" s="5">
        <f>VLOOKUP($R$5,'Sectors Trend'!$B$28:$AL$45,VLOOKUP(A8,$U:$V,2,),)</f>
        <v/>
      </c>
      <c r="S8" s="85">
        <f>VLOOKUP($S$5,'Sectors Trend'!$B$28:$AL$45,VLOOKUP(A8,$U:$V,2,),)</f>
        <v/>
      </c>
      <c r="U8" s="79">
        <f>DATE(YEAR(U9),MONTH(U9)-1,DAY(U9))</f>
        <v/>
      </c>
      <c r="V8" s="13">
        <f>V9-1</f>
        <v/>
      </c>
    </row>
    <row r="9">
      <c r="A9" s="84">
        <f>DATE(YEAR(A10),MONTH(A10)-1,DAY(A10))</f>
        <v/>
      </c>
      <c r="B9" s="5">
        <f>VLOOKUP($B$5,'Sectors Trend'!$B$28:$AL$45,VLOOKUP(A9,$U:$V,2,),)</f>
        <v/>
      </c>
      <c r="C9" s="5">
        <f>VLOOKUP($C$5,'Sectors Trend'!$B$28:$AL$45,VLOOKUP(A9,$U:$V,2,),)</f>
        <v/>
      </c>
      <c r="D9" s="5">
        <f>VLOOKUP($D$5,'Sectors Trend'!$B$28:$AL$45,VLOOKUP(A9,$U:$V,2,),)</f>
        <v/>
      </c>
      <c r="E9" s="5">
        <f>VLOOKUP($E$5,'Sectors Trend'!$B$28:$AL$45,VLOOKUP(A9,$U:$V,2,),)</f>
        <v/>
      </c>
      <c r="F9" s="5">
        <f>VLOOKUP($F$5,'Sectors Trend'!$B$28:$AL$45,VLOOKUP(A9,$U:$V,2,),)</f>
        <v/>
      </c>
      <c r="G9" s="5">
        <f>VLOOKUP($G$5,'Sectors Trend'!$B$28:$AL$45,VLOOKUP(A9,$U:$V,2,),)</f>
        <v/>
      </c>
      <c r="H9" s="5">
        <f>VLOOKUP($H$5,'Sectors Trend'!$B$28:$AL$45,VLOOKUP(A9,$U:$V,2,),)</f>
        <v/>
      </c>
      <c r="I9" s="5">
        <f>VLOOKUP($I$5,'Sectors Trend'!$B$28:$AL$45,VLOOKUP(A9,$U:$V,2,),)</f>
        <v/>
      </c>
      <c r="J9" s="5">
        <f>VLOOKUP($J$5,'Sectors Trend'!$B$28:$AL$45,VLOOKUP(A9,$U:$V,2,),)</f>
        <v/>
      </c>
      <c r="K9" s="5">
        <f>VLOOKUP($K$5,'Sectors Trend'!$B$28:$AL$45,VLOOKUP(A9,$U:$V,2,),)</f>
        <v/>
      </c>
      <c r="L9" s="5">
        <f>VLOOKUP($L$5,'Sectors Trend'!$B$28:$AL$45,VLOOKUP(A9,$U:$V,2,),)</f>
        <v/>
      </c>
      <c r="M9" s="5">
        <f>VLOOKUP($M$5,'Sectors Trend'!$B$28:$AL$45,VLOOKUP(A9,$U:$V,2,),)</f>
        <v/>
      </c>
      <c r="N9" s="5">
        <f>VLOOKUP($N$5,'Sectors Trend'!$B$28:$AL$45,VLOOKUP(A9,$U:$V,2,),)</f>
        <v/>
      </c>
      <c r="O9" s="5">
        <f>VLOOKUP($O$5,'Sectors Trend'!$B$28:$AL$45,VLOOKUP(A9,$U:$V,2,),)</f>
        <v/>
      </c>
      <c r="P9" s="5">
        <f>VLOOKUP($P$5,'Sectors Trend'!$B$28:$AL$45,VLOOKUP(A9,$U:$V,2,),)</f>
        <v/>
      </c>
      <c r="Q9" s="5">
        <f>VLOOKUP($Q$5,'Sectors Trend'!$B$28:$AL$45,VLOOKUP(A9,$U:$V,2,),)</f>
        <v/>
      </c>
      <c r="R9" s="5">
        <f>VLOOKUP($R$5,'Sectors Trend'!$B$28:$AL$45,VLOOKUP(A9,$U:$V,2,),)</f>
        <v/>
      </c>
      <c r="S9" s="85">
        <f>VLOOKUP($S$5,'Sectors Trend'!$B$28:$AL$45,VLOOKUP(A9,$U:$V,2,),)</f>
        <v/>
      </c>
      <c r="U9" s="79">
        <f>DATE(YEAR(U10),MONTH(U10)-1,DAY(U10))</f>
        <v/>
      </c>
      <c r="V9" s="13">
        <f>V10-1</f>
        <v/>
      </c>
    </row>
    <row r="10">
      <c r="A10" s="84">
        <f>DATE(YEAR(A11),MONTH(A11)-1,DAY(A11))</f>
        <v/>
      </c>
      <c r="B10" s="5">
        <f>VLOOKUP($B$5,'Sectors Trend'!$B$28:$AL$45,VLOOKUP(A10,$U:$V,2,),)</f>
        <v/>
      </c>
      <c r="C10" s="5">
        <f>VLOOKUP($C$5,'Sectors Trend'!$B$28:$AL$45,VLOOKUP(A10,$U:$V,2,),)</f>
        <v/>
      </c>
      <c r="D10" s="5">
        <f>VLOOKUP($D$5,'Sectors Trend'!$B$28:$AL$45,VLOOKUP(A10,$U:$V,2,),)</f>
        <v/>
      </c>
      <c r="E10" s="5">
        <f>VLOOKUP($E$5,'Sectors Trend'!$B$28:$AL$45,VLOOKUP(A10,$U:$V,2,),)</f>
        <v/>
      </c>
      <c r="F10" s="5">
        <f>VLOOKUP($F$5,'Sectors Trend'!$B$28:$AL$45,VLOOKUP(A10,$U:$V,2,),)</f>
        <v/>
      </c>
      <c r="G10" s="5">
        <f>VLOOKUP($G$5,'Sectors Trend'!$B$28:$AL$45,VLOOKUP(A10,$U:$V,2,),)</f>
        <v/>
      </c>
      <c r="H10" s="5">
        <f>VLOOKUP($H$5,'Sectors Trend'!$B$28:$AL$45,VLOOKUP(A10,$U:$V,2,),)</f>
        <v/>
      </c>
      <c r="I10" s="5">
        <f>VLOOKUP($I$5,'Sectors Trend'!$B$28:$AL$45,VLOOKUP(A10,$U:$V,2,),)</f>
        <v/>
      </c>
      <c r="J10" s="5">
        <f>VLOOKUP($J$5,'Sectors Trend'!$B$28:$AL$45,VLOOKUP(A10,$U:$V,2,),)</f>
        <v/>
      </c>
      <c r="K10" s="5">
        <f>VLOOKUP($K$5,'Sectors Trend'!$B$28:$AL$45,VLOOKUP(A10,$U:$V,2,),)</f>
        <v/>
      </c>
      <c r="L10" s="5">
        <f>VLOOKUP($L$5,'Sectors Trend'!$B$28:$AL$45,VLOOKUP(A10,$U:$V,2,),)</f>
        <v/>
      </c>
      <c r="M10" s="5">
        <f>VLOOKUP($M$5,'Sectors Trend'!$B$28:$AL$45,VLOOKUP(A10,$U:$V,2,),)</f>
        <v/>
      </c>
      <c r="N10" s="5">
        <f>VLOOKUP($N$5,'Sectors Trend'!$B$28:$AL$45,VLOOKUP(A10,$U:$V,2,),)</f>
        <v/>
      </c>
      <c r="O10" s="5">
        <f>VLOOKUP($O$5,'Sectors Trend'!$B$28:$AL$45,VLOOKUP(A10,$U:$V,2,),)</f>
        <v/>
      </c>
      <c r="P10" s="5">
        <f>VLOOKUP($P$5,'Sectors Trend'!$B$28:$AL$45,VLOOKUP(A10,$U:$V,2,),)</f>
        <v/>
      </c>
      <c r="Q10" s="5">
        <f>VLOOKUP($Q$5,'Sectors Trend'!$B$28:$AL$45,VLOOKUP(A10,$U:$V,2,),)</f>
        <v/>
      </c>
      <c r="R10" s="5">
        <f>VLOOKUP($R$5,'Sectors Trend'!$B$28:$AL$45,VLOOKUP(A10,$U:$V,2,),)</f>
        <v/>
      </c>
      <c r="S10" s="85">
        <f>VLOOKUP($S$5,'Sectors Trend'!$B$28:$AL$45,VLOOKUP(A10,$U:$V,2,),)</f>
        <v/>
      </c>
      <c r="U10" s="79">
        <f>DATE(YEAR(U11),MONTH(U11)-1,DAY(U11))</f>
        <v/>
      </c>
      <c r="V10" s="13">
        <f>V11-1</f>
        <v/>
      </c>
    </row>
    <row r="11" ht="16" customHeight="1" thickBot="1">
      <c r="A11" s="86">
        <f>L1</f>
        <v/>
      </c>
      <c r="B11" s="87">
        <f>VLOOKUP($B$5,'Sectors Trend'!$B$28:$AL$45,VLOOKUP(A11,$U:$V,2,),)</f>
        <v/>
      </c>
      <c r="C11" s="87">
        <f>VLOOKUP($C$5,'Sectors Trend'!$B$28:$AL$45,VLOOKUP(A11,$U:$V,2,),)</f>
        <v/>
      </c>
      <c r="D11" s="87">
        <f>VLOOKUP($D$5,'Sectors Trend'!$B$28:$AL$45,VLOOKUP(A11,$U:$V,2,),)</f>
        <v/>
      </c>
      <c r="E11" s="87">
        <f>VLOOKUP($E$5,'Sectors Trend'!$B$28:$AL$45,VLOOKUP(A11,$U:$V,2,),)</f>
        <v/>
      </c>
      <c r="F11" s="87">
        <f>VLOOKUP($F$5,'Sectors Trend'!$B$28:$AL$45,VLOOKUP(A11,$U:$V,2,),)</f>
        <v/>
      </c>
      <c r="G11" s="87">
        <f>VLOOKUP($G$5,'Sectors Trend'!$B$28:$AL$45,VLOOKUP(A11,$U:$V,2,),)</f>
        <v/>
      </c>
      <c r="H11" s="87">
        <f>VLOOKUP($H$5,'Sectors Trend'!$B$28:$AL$45,VLOOKUP(A11,$U:$V,2,),)</f>
        <v/>
      </c>
      <c r="I11" s="87">
        <f>VLOOKUP($I$5,'Sectors Trend'!$B$28:$AL$45,VLOOKUP(A11,$U:$V,2,),)</f>
        <v/>
      </c>
      <c r="J11" s="87">
        <f>VLOOKUP($J$5,'Sectors Trend'!$B$28:$AL$45,VLOOKUP(A11,$U:$V,2,),)</f>
        <v/>
      </c>
      <c r="K11" s="87">
        <f>VLOOKUP($K$5,'Sectors Trend'!$B$28:$AL$45,VLOOKUP(A11,$U:$V,2,),)</f>
        <v/>
      </c>
      <c r="L11" s="87">
        <f>VLOOKUP($L$5,'Sectors Trend'!$B$28:$AL$45,VLOOKUP(A11,$U:$V,2,),)</f>
        <v/>
      </c>
      <c r="M11" s="87">
        <f>VLOOKUP($M$5,'Sectors Trend'!$B$28:$AL$45,VLOOKUP(A11,$U:$V,2,),)</f>
        <v/>
      </c>
      <c r="N11" s="87">
        <f>VLOOKUP($N$5,'Sectors Trend'!$B$28:$AL$45,VLOOKUP(A11,$U:$V,2,),)</f>
        <v/>
      </c>
      <c r="O11" s="87">
        <f>VLOOKUP($O$5,'Sectors Trend'!$B$28:$AL$45,VLOOKUP(A11,$U:$V,2,),)</f>
        <v/>
      </c>
      <c r="P11" s="87">
        <f>VLOOKUP($P$5,'Sectors Trend'!$B$28:$AL$45,VLOOKUP(A11,$U:$V,2,),)</f>
        <v/>
      </c>
      <c r="Q11" s="87">
        <f>VLOOKUP($Q$5,'Sectors Trend'!$B$28:$AL$45,VLOOKUP(A11,$U:$V,2,),)</f>
        <v/>
      </c>
      <c r="R11" s="87">
        <f>VLOOKUP($R$5,'Sectors Trend'!$B$28:$AL$45,VLOOKUP(A11,$U:$V,2,),)</f>
        <v/>
      </c>
      <c r="S11" s="88">
        <f>VLOOKUP($S$5,'Sectors Trend'!$B$28:$AL$45,VLOOKUP(A11,$U:$V,2,),)</f>
        <v/>
      </c>
      <c r="U11" s="79">
        <f>L1</f>
        <v/>
      </c>
      <c r="V11" s="13">
        <f>L2</f>
        <v/>
      </c>
    </row>
    <row r="12">
      <c r="R12" s="79" t="n"/>
    </row>
    <row r="13">
      <c r="R13" s="79" t="n"/>
    </row>
    <row r="14">
      <c r="R14" s="79" t="n"/>
    </row>
    <row r="15">
      <c r="R15" s="79" t="n"/>
    </row>
    <row r="16">
      <c r="R16" s="79"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1.xml><?xml version="1.0" encoding="utf-8"?>
<worksheet xmlns="http://schemas.openxmlformats.org/spreadsheetml/2006/main">
  <sheetPr codeName="Sheet2">
    <tabColor theme="4" tint="0.5999938962981048"/>
    <outlinePr summaryBelow="1" summaryRight="1"/>
    <pageSetUpPr/>
  </sheetPr>
  <dimension ref="A1:Y16"/>
  <sheetViews>
    <sheetView zoomScale="140" zoomScaleNormal="140" workbookViewId="0">
      <selection activeCell="L1" sqref="L1"/>
    </sheetView>
  </sheetViews>
  <sheetFormatPr baseColWidth="10" defaultColWidth="9.1640625" defaultRowHeight="15"/>
  <cols>
    <col width="9.6640625" customWidth="1" style="116" min="1" max="1"/>
    <col width="8.83203125" customWidth="1" style="116" min="2" max="18"/>
    <col width="11.33203125" customWidth="1" style="116" min="19" max="19"/>
    <col width="8.83203125" customWidth="1" style="116" min="20" max="20"/>
    <col width="9.1640625" customWidth="1" style="116" min="21" max="27"/>
    <col width="9.1640625" customWidth="1" style="116" min="28" max="16384"/>
  </cols>
  <sheetData>
    <row r="1">
      <c r="J1" s="116" t="inlineStr">
        <is>
          <t>Last Month</t>
        </is>
      </c>
      <c r="L1" s="32" t="n">
        <v>44440</v>
      </c>
      <c r="O1" s="6" t="n"/>
    </row>
    <row r="2">
      <c r="D2" s="116">
        <f>VLOOKUP(A6,$U:$V,2,)</f>
        <v/>
      </c>
      <c r="L2" s="33" t="n">
        <v>32</v>
      </c>
      <c r="Y2" s="79" t="n"/>
    </row>
    <row r="4" ht="16" customHeight="1" thickBot="1">
      <c r="U4" s="79">
        <f>DATE(YEAR(U5),MONTH(U5)-1,DAY(U5))</f>
        <v/>
      </c>
      <c r="V4" s="1">
        <f>V5-1</f>
        <v/>
      </c>
    </row>
    <row r="5" ht="74.25" customHeight="1" thickBot="1">
      <c r="B5" s="100" t="inlineStr">
        <is>
          <t>Machinery</t>
        </is>
      </c>
      <c r="C5" s="101" t="inlineStr">
        <is>
          <t>Computer &amp; Electronic Products</t>
        </is>
      </c>
      <c r="D5" s="101" t="inlineStr">
        <is>
          <t>Paper Products</t>
        </is>
      </c>
      <c r="E5" s="101" t="inlineStr">
        <is>
          <t>Apparel, Leather &amp; Allied Products</t>
        </is>
      </c>
      <c r="F5" s="101" t="inlineStr">
        <is>
          <t>Printing &amp; Related Support Activities</t>
        </is>
      </c>
      <c r="G5" s="101" t="inlineStr">
        <is>
          <t>Primary Metals</t>
        </is>
      </c>
      <c r="H5" s="101" t="inlineStr">
        <is>
          <t>Nonmetallic Mineral Products</t>
        </is>
      </c>
      <c r="I5" s="101" t="inlineStr">
        <is>
          <t>Petroleum &amp; Coal Products</t>
        </is>
      </c>
      <c r="J5" s="101" t="inlineStr">
        <is>
          <t>Plastics &amp; Rubber Products</t>
        </is>
      </c>
      <c r="K5" s="101" t="inlineStr">
        <is>
          <t>Miscellaneous Manufacturing</t>
        </is>
      </c>
      <c r="L5" s="101" t="inlineStr">
        <is>
          <t>Food, Beverage &amp; Tobacco Products</t>
        </is>
      </c>
      <c r="M5" s="101" t="inlineStr">
        <is>
          <t>Furniture &amp; Related Products</t>
        </is>
      </c>
      <c r="N5" s="101" t="inlineStr">
        <is>
          <t>Transportation Equipment</t>
        </is>
      </c>
      <c r="O5" s="101" t="inlineStr">
        <is>
          <t>Chemical Products</t>
        </is>
      </c>
      <c r="P5" s="101" t="inlineStr">
        <is>
          <t>Fabricated Metal Products</t>
        </is>
      </c>
      <c r="Q5" s="101" t="inlineStr">
        <is>
          <t>Electrical Equipment, Appliances &amp; Components</t>
        </is>
      </c>
      <c r="R5" s="101" t="inlineStr">
        <is>
          <t>Textile Mills</t>
        </is>
      </c>
      <c r="S5" s="80" t="inlineStr">
        <is>
          <t>Wood Products</t>
        </is>
      </c>
      <c r="U5" s="79">
        <f>DATE(YEAR(U6),MONTH(U6)-1,DAY(U6))</f>
        <v/>
      </c>
      <c r="V5" s="1">
        <f>V6-1</f>
        <v/>
      </c>
    </row>
    <row r="6">
      <c r="A6" s="81">
        <f>DATE(YEAR(A7),MONTH(A7)-1,DAY(A7))</f>
        <v/>
      </c>
      <c r="B6" s="82">
        <f>VLOOKUP($B$5,'Sectors Trend'!$B$6:$AL$23,VLOOKUP(A6,$U:$V,2,),)</f>
        <v/>
      </c>
      <c r="C6" s="82">
        <f>VLOOKUP($C$5,'Sectors Trend'!$B$6:$AL$23,VLOOKUP(A6,$U:$V,2,),)</f>
        <v/>
      </c>
      <c r="D6" s="82">
        <f>VLOOKUP($D$5,'Sectors Trend'!$B$6:$AL$23,VLOOKUP(A6,$U:$V,2,),)</f>
        <v/>
      </c>
      <c r="E6" s="82">
        <f>VLOOKUP($E$5,'Sectors Trend'!$B$6:$AL$23,VLOOKUP(A6,$U:$V,2,),)</f>
        <v/>
      </c>
      <c r="F6" s="82">
        <f>VLOOKUP($F$5,'Sectors Trend'!$B$6:$AL$23,VLOOKUP(A6,$U:$V,2,),)</f>
        <v/>
      </c>
      <c r="G6" s="82">
        <f>VLOOKUP($G$5,'Sectors Trend'!$B$6:$AL$23,VLOOKUP(A6,$U:$V,2,),)</f>
        <v/>
      </c>
      <c r="H6" s="82">
        <f>VLOOKUP($H$5,'Sectors Trend'!$B$6:$AL$23,VLOOKUP(A6,$U:$V,2,),)</f>
        <v/>
      </c>
      <c r="I6" s="82">
        <f>VLOOKUP($I$5,'Sectors Trend'!$B$6:$AL$23,VLOOKUP(A6,$U:$V,2,),)</f>
        <v/>
      </c>
      <c r="J6" s="82">
        <f>VLOOKUP($J$5,'Sectors Trend'!$B$6:$AL$23,VLOOKUP(A6,$U:$V,2,),)</f>
        <v/>
      </c>
      <c r="K6" s="82">
        <f>VLOOKUP($K$5,'Sectors Trend'!$B$6:$AL$23,VLOOKUP(A6,$U:$V,2,),)</f>
        <v/>
      </c>
      <c r="L6" s="82">
        <f>VLOOKUP($L$5,'Sectors Trend'!$B$6:$AL$23,VLOOKUP(A6,$U:$V,2,),)</f>
        <v/>
      </c>
      <c r="M6" s="82">
        <f>VLOOKUP($M$5,'Sectors Trend'!$B$6:$AL$23,VLOOKUP(A6,$U:$V,2,),)</f>
        <v/>
      </c>
      <c r="N6" s="82">
        <f>VLOOKUP($N$5,'Sectors Trend'!$B$6:$AL$23,VLOOKUP(A6,$U:$V,2,),)</f>
        <v/>
      </c>
      <c r="O6" s="82">
        <f>VLOOKUP($O$5,'Sectors Trend'!$B$6:$AL$23,VLOOKUP(A6,$U:$V,2,),)</f>
        <v/>
      </c>
      <c r="P6" s="82">
        <f>VLOOKUP($P$5,'Sectors Trend'!$B$6:$AL$23,VLOOKUP(A6,$U:$V,2,),)</f>
        <v/>
      </c>
      <c r="Q6" s="82">
        <f>VLOOKUP($Q$5,'Sectors Trend'!$B$6:$AL$23,VLOOKUP(A6,$U:$V,2,),)</f>
        <v/>
      </c>
      <c r="R6" s="82">
        <f>VLOOKUP($R$5,'Sectors Trend'!$B$6:$AL$23,VLOOKUP(A6,$U:$V,2,),)</f>
        <v/>
      </c>
      <c r="S6" s="83">
        <f>VLOOKUP($S$5,'Sectors Trend'!$B$6:$AL$23,VLOOKUP(A6,$U:$V,2,),)</f>
        <v/>
      </c>
      <c r="U6" s="79">
        <f>DATE(YEAR(U7),MONTH(U7)-1,DAY(U7))</f>
        <v/>
      </c>
      <c r="V6" s="1">
        <f>V7-1</f>
        <v/>
      </c>
    </row>
    <row r="7">
      <c r="A7" s="84">
        <f>DATE(YEAR(A8),MONTH(A8)-1,DAY(A8))</f>
        <v/>
      </c>
      <c r="B7" s="5">
        <f>VLOOKUP($B$5,'Sectors Trend'!$B$6:$AL$23,VLOOKUP(A7,$U:$V,2,),)</f>
        <v/>
      </c>
      <c r="C7" s="5">
        <f>VLOOKUP($C$5,'Sectors Trend'!$B$6:$AL$23,VLOOKUP(A7,$U:$V,2,),)</f>
        <v/>
      </c>
      <c r="D7" s="5">
        <f>VLOOKUP($D$5,'Sectors Trend'!$B$6:$AL$23,VLOOKUP(A7,$U:$V,2,),)</f>
        <v/>
      </c>
      <c r="E7" s="5">
        <f>VLOOKUP($E$5,'Sectors Trend'!$B$6:$AL$23,VLOOKUP(A7,$U:$V,2,),)</f>
        <v/>
      </c>
      <c r="F7" s="5">
        <f>VLOOKUP($F$5,'Sectors Trend'!$B$6:$AL$23,VLOOKUP(A7,$U:$V,2,),)</f>
        <v/>
      </c>
      <c r="G7" s="5">
        <f>VLOOKUP($G$5,'Sectors Trend'!$B$6:$AL$23,VLOOKUP(A7,$U:$V,2,),)</f>
        <v/>
      </c>
      <c r="H7" s="5">
        <f>VLOOKUP($H$5,'Sectors Trend'!$B$6:$AL$23,VLOOKUP(A7,$U:$V,2,),)</f>
        <v/>
      </c>
      <c r="I7" s="5">
        <f>VLOOKUP($I$5,'Sectors Trend'!$B$6:$AL$23,VLOOKUP(A7,$U:$V,2,),)</f>
        <v/>
      </c>
      <c r="J7" s="5">
        <f>VLOOKUP($J$5,'Sectors Trend'!$B$6:$AL$23,VLOOKUP(A7,$U:$V,2,),)</f>
        <v/>
      </c>
      <c r="K7" s="5">
        <f>VLOOKUP($K$5,'Sectors Trend'!$B$6:$AL$23,VLOOKUP(A7,$U:$V,2,),)</f>
        <v/>
      </c>
      <c r="L7" s="5">
        <f>VLOOKUP($L$5,'Sectors Trend'!$B$6:$AL$23,VLOOKUP(A7,$U:$V,2,),)</f>
        <v/>
      </c>
      <c r="M7" s="5">
        <f>VLOOKUP($M$5,'Sectors Trend'!$B$6:$AL$23,VLOOKUP(A7,$U:$V,2,),)</f>
        <v/>
      </c>
      <c r="N7" s="5">
        <f>VLOOKUP($N$5,'Sectors Trend'!$B$6:$AL$23,VLOOKUP(A7,$U:$V,2,),)</f>
        <v/>
      </c>
      <c r="O7" s="5">
        <f>VLOOKUP($O$5,'Sectors Trend'!$B$6:$AL$23,VLOOKUP(A7,$U:$V,2,),)</f>
        <v/>
      </c>
      <c r="P7" s="5">
        <f>VLOOKUP($P$5,'Sectors Trend'!$B$6:$AL$23,VLOOKUP(A7,$U:$V,2,),)</f>
        <v/>
      </c>
      <c r="Q7" s="5">
        <f>VLOOKUP($Q$5,'Sectors Trend'!$B$6:$AL$23,VLOOKUP(A7,$U:$V,2,),)</f>
        <v/>
      </c>
      <c r="R7" s="5">
        <f>VLOOKUP($R$5,'Sectors Trend'!$B$6:$AL$23,VLOOKUP(A7,$U:$V,2,),)</f>
        <v/>
      </c>
      <c r="S7" s="85">
        <f>VLOOKUP($S$5,'Sectors Trend'!$B$6:$AL$23,VLOOKUP(A7,$U:$V,2,),)</f>
        <v/>
      </c>
      <c r="U7" s="79">
        <f>DATE(YEAR(U8),MONTH(U8)-1,DAY(U8))</f>
        <v/>
      </c>
      <c r="V7" s="1">
        <f>V8-1</f>
        <v/>
      </c>
    </row>
    <row r="8">
      <c r="A8" s="84">
        <f>DATE(YEAR(A9),MONTH(A9)-1,DAY(A9))</f>
        <v/>
      </c>
      <c r="B8" s="5">
        <f>VLOOKUP($B$5,'Sectors Trend'!$B$6:$AL$23,VLOOKUP(A8,$U:$V,2,),)</f>
        <v/>
      </c>
      <c r="C8" s="5">
        <f>VLOOKUP($C$5,'Sectors Trend'!$B$6:$AL$23,VLOOKUP(A8,$U:$V,2,),)</f>
        <v/>
      </c>
      <c r="D8" s="5">
        <f>VLOOKUP($D$5,'Sectors Trend'!$B$6:$AL$23,VLOOKUP(A8,$U:$V,2,),)</f>
        <v/>
      </c>
      <c r="E8" s="5">
        <f>VLOOKUP($E$5,'Sectors Trend'!$B$6:$AL$23,VLOOKUP(A8,$U:$V,2,),)</f>
        <v/>
      </c>
      <c r="F8" s="5">
        <f>VLOOKUP($F$5,'Sectors Trend'!$B$6:$AL$23,VLOOKUP(A8,$U:$V,2,),)</f>
        <v/>
      </c>
      <c r="G8" s="5">
        <f>VLOOKUP($G$5,'Sectors Trend'!$B$6:$AL$23,VLOOKUP(A8,$U:$V,2,),)</f>
        <v/>
      </c>
      <c r="H8" s="5">
        <f>VLOOKUP($H$5,'Sectors Trend'!$B$6:$AL$23,VLOOKUP(A8,$U:$V,2,),)</f>
        <v/>
      </c>
      <c r="I8" s="5">
        <f>VLOOKUP($I$5,'Sectors Trend'!$B$6:$AL$23,VLOOKUP(A8,$U:$V,2,),)</f>
        <v/>
      </c>
      <c r="J8" s="5">
        <f>VLOOKUP($J$5,'Sectors Trend'!$B$6:$AL$23,VLOOKUP(A8,$U:$V,2,),)</f>
        <v/>
      </c>
      <c r="K8" s="5">
        <f>VLOOKUP($K$5,'Sectors Trend'!$B$6:$AL$23,VLOOKUP(A8,$U:$V,2,),)</f>
        <v/>
      </c>
      <c r="L8" s="5">
        <f>VLOOKUP($L$5,'Sectors Trend'!$B$6:$AL$23,VLOOKUP(A8,$U:$V,2,),)</f>
        <v/>
      </c>
      <c r="M8" s="5">
        <f>VLOOKUP($M$5,'Sectors Trend'!$B$6:$AL$23,VLOOKUP(A8,$U:$V,2,),)</f>
        <v/>
      </c>
      <c r="N8" s="5">
        <f>VLOOKUP($N$5,'Sectors Trend'!$B$6:$AL$23,VLOOKUP(A8,$U:$V,2,),)</f>
        <v/>
      </c>
      <c r="O8" s="5">
        <f>VLOOKUP($O$5,'Sectors Trend'!$B$6:$AL$23,VLOOKUP(A8,$U:$V,2,),)</f>
        <v/>
      </c>
      <c r="P8" s="5">
        <f>VLOOKUP($P$5,'Sectors Trend'!$B$6:$AL$23,VLOOKUP(A8,$U:$V,2,),)</f>
        <v/>
      </c>
      <c r="Q8" s="5">
        <f>VLOOKUP($Q$5,'Sectors Trend'!$B$6:$AL$23,VLOOKUP(A8,$U:$V,2,),)</f>
        <v/>
      </c>
      <c r="R8" s="5">
        <f>VLOOKUP($R$5,'Sectors Trend'!$B$6:$AL$23,VLOOKUP(A8,$U:$V,2,),)</f>
        <v/>
      </c>
      <c r="S8" s="85">
        <f>VLOOKUP($S$5,'Sectors Trend'!$B$6:$AL$23,VLOOKUP(A8,$U:$V,2,),)</f>
        <v/>
      </c>
      <c r="U8" s="79">
        <f>DATE(YEAR(U9),MONTH(U9)-1,DAY(U9))</f>
        <v/>
      </c>
      <c r="V8" s="1">
        <f>V9-1</f>
        <v/>
      </c>
    </row>
    <row r="9">
      <c r="A9" s="84">
        <f>DATE(YEAR(A10),MONTH(A10)-1,DAY(A10))</f>
        <v/>
      </c>
      <c r="B9" s="5">
        <f>VLOOKUP($B$5,'Sectors Trend'!$B$6:$AL$23,VLOOKUP(A9,$U:$V,2,),)</f>
        <v/>
      </c>
      <c r="C9" s="5">
        <f>VLOOKUP($C$5,'Sectors Trend'!$B$6:$AL$23,VLOOKUP(A9,$U:$V,2,),)</f>
        <v/>
      </c>
      <c r="D9" s="5">
        <f>VLOOKUP($D$5,'Sectors Trend'!$B$6:$AL$23,VLOOKUP(A9,$U:$V,2,),)</f>
        <v/>
      </c>
      <c r="E9" s="5">
        <f>VLOOKUP($E$5,'Sectors Trend'!$B$6:$AL$23,VLOOKUP(A9,$U:$V,2,),)</f>
        <v/>
      </c>
      <c r="F9" s="5">
        <f>VLOOKUP($F$5,'Sectors Trend'!$B$6:$AL$23,VLOOKUP(A9,$U:$V,2,),)</f>
        <v/>
      </c>
      <c r="G9" s="5">
        <f>VLOOKUP($G$5,'Sectors Trend'!$B$6:$AL$23,VLOOKUP(A9,$U:$V,2,),)</f>
        <v/>
      </c>
      <c r="H9" s="5">
        <f>VLOOKUP($H$5,'Sectors Trend'!$B$6:$AL$23,VLOOKUP(A9,$U:$V,2,),)</f>
        <v/>
      </c>
      <c r="I9" s="5">
        <f>VLOOKUP($I$5,'Sectors Trend'!$B$6:$AL$23,VLOOKUP(A9,$U:$V,2,),)</f>
        <v/>
      </c>
      <c r="J9" s="5">
        <f>VLOOKUP($J$5,'Sectors Trend'!$B$6:$AL$23,VLOOKUP(A9,$U:$V,2,),)</f>
        <v/>
      </c>
      <c r="K9" s="5">
        <f>VLOOKUP($K$5,'Sectors Trend'!$B$6:$AL$23,VLOOKUP(A9,$U:$V,2,),)</f>
        <v/>
      </c>
      <c r="L9" s="5">
        <f>VLOOKUP($L$5,'Sectors Trend'!$B$6:$AL$23,VLOOKUP(A9,$U:$V,2,),)</f>
        <v/>
      </c>
      <c r="M9" s="5">
        <f>VLOOKUP($M$5,'Sectors Trend'!$B$6:$AL$23,VLOOKUP(A9,$U:$V,2,),)</f>
        <v/>
      </c>
      <c r="N9" s="5">
        <f>VLOOKUP($N$5,'Sectors Trend'!$B$6:$AL$23,VLOOKUP(A9,$U:$V,2,),)</f>
        <v/>
      </c>
      <c r="O9" s="5">
        <f>VLOOKUP($O$5,'Sectors Trend'!$B$6:$AL$23,VLOOKUP(A9,$U:$V,2,),)</f>
        <v/>
      </c>
      <c r="P9" s="5">
        <f>VLOOKUP($P$5,'Sectors Trend'!$B$6:$AL$23,VLOOKUP(A9,$U:$V,2,),)</f>
        <v/>
      </c>
      <c r="Q9" s="5">
        <f>VLOOKUP($Q$5,'Sectors Trend'!$B$6:$AL$23,VLOOKUP(A9,$U:$V,2,),)</f>
        <v/>
      </c>
      <c r="R9" s="5">
        <f>VLOOKUP($R$5,'Sectors Trend'!$B$6:$AL$23,VLOOKUP(A9,$U:$V,2,),)</f>
        <v/>
      </c>
      <c r="S9" s="85">
        <f>VLOOKUP($S$5,'Sectors Trend'!$B$6:$AL$23,VLOOKUP(A9,$U:$V,2,),)</f>
        <v/>
      </c>
      <c r="U9" s="79">
        <f>DATE(YEAR(U10),MONTH(U10)-1,DAY(U10))</f>
        <v/>
      </c>
      <c r="V9" s="1">
        <f>V10-1</f>
        <v/>
      </c>
    </row>
    <row r="10">
      <c r="A10" s="84">
        <f>DATE(YEAR(A11),MONTH(A11)-1,DAY(A11))</f>
        <v/>
      </c>
      <c r="B10" s="5">
        <f>VLOOKUP($B$5,'Sectors Trend'!$B$6:$AL$23,VLOOKUP(A10,$U:$V,2,),)</f>
        <v/>
      </c>
      <c r="C10" s="5">
        <f>VLOOKUP($C$5,'Sectors Trend'!$B$6:$AL$23,VLOOKUP(A10,$U:$V,2,),)</f>
        <v/>
      </c>
      <c r="D10" s="5">
        <f>VLOOKUP($D$5,'Sectors Trend'!$B$6:$AL$23,VLOOKUP(A10,$U:$V,2,),)</f>
        <v/>
      </c>
      <c r="E10" s="5">
        <f>VLOOKUP($E$5,'Sectors Trend'!$B$6:$AL$23,VLOOKUP(A10,$U:$V,2,),)</f>
        <v/>
      </c>
      <c r="F10" s="5">
        <f>VLOOKUP($F$5,'Sectors Trend'!$B$6:$AL$23,VLOOKUP(A10,$U:$V,2,),)</f>
        <v/>
      </c>
      <c r="G10" s="5">
        <f>VLOOKUP($G$5,'Sectors Trend'!$B$6:$AL$23,VLOOKUP(A10,$U:$V,2,),)</f>
        <v/>
      </c>
      <c r="H10" s="5">
        <f>VLOOKUP($H$5,'Sectors Trend'!$B$6:$AL$23,VLOOKUP(A10,$U:$V,2,),)</f>
        <v/>
      </c>
      <c r="I10" s="5">
        <f>VLOOKUP($I$5,'Sectors Trend'!$B$6:$AL$23,VLOOKUP(A10,$U:$V,2,),)</f>
        <v/>
      </c>
      <c r="J10" s="5">
        <f>VLOOKUP($J$5,'Sectors Trend'!$B$6:$AL$23,VLOOKUP(A10,$U:$V,2,),)</f>
        <v/>
      </c>
      <c r="K10" s="5">
        <f>VLOOKUP($K$5,'Sectors Trend'!$B$6:$AL$23,VLOOKUP(A10,$U:$V,2,),)</f>
        <v/>
      </c>
      <c r="L10" s="5">
        <f>VLOOKUP($L$5,'Sectors Trend'!$B$6:$AL$23,VLOOKUP(A10,$U:$V,2,),)</f>
        <v/>
      </c>
      <c r="M10" s="5">
        <f>VLOOKUP($M$5,'Sectors Trend'!$B$6:$AL$23,VLOOKUP(A10,$U:$V,2,),)</f>
        <v/>
      </c>
      <c r="N10" s="5">
        <f>VLOOKUP($N$5,'Sectors Trend'!$B$6:$AL$23,VLOOKUP(A10,$U:$V,2,),)</f>
        <v/>
      </c>
      <c r="O10" s="5">
        <f>VLOOKUP($O$5,'Sectors Trend'!$B$6:$AL$23,VLOOKUP(A10,$U:$V,2,),)</f>
        <v/>
      </c>
      <c r="P10" s="5">
        <f>VLOOKUP($P$5,'Sectors Trend'!$B$6:$AL$23,VLOOKUP(A10,$U:$V,2,),)</f>
        <v/>
      </c>
      <c r="Q10" s="5">
        <f>VLOOKUP($Q$5,'Sectors Trend'!$B$6:$AL$23,VLOOKUP(A10,$U:$V,2,),)</f>
        <v/>
      </c>
      <c r="R10" s="5">
        <f>VLOOKUP($R$5,'Sectors Trend'!$B$6:$AL$23,VLOOKUP(A10,$U:$V,2,),)</f>
        <v/>
      </c>
      <c r="S10" s="85">
        <f>VLOOKUP($S$5,'Sectors Trend'!$B$6:$AL$23,VLOOKUP(A10,$U:$V,2,),)</f>
        <v/>
      </c>
      <c r="U10" s="79">
        <f>DATE(YEAR(U11),MONTH(U11)-1,DAY(U11))</f>
        <v/>
      </c>
      <c r="V10" s="1">
        <f>V11-1</f>
        <v/>
      </c>
    </row>
    <row r="11" ht="16" customHeight="1" thickBot="1">
      <c r="A11" s="86">
        <f>L1</f>
        <v/>
      </c>
      <c r="B11" s="87">
        <f>VLOOKUP($B$5,'Sectors Trend'!$B$6:$AL$23,VLOOKUP(A11,$U:$V,2,),)</f>
        <v/>
      </c>
      <c r="C11" s="87">
        <f>VLOOKUP($C$5,'Sectors Trend'!$B$6:$AL$23,VLOOKUP(A11,$U:$V,2,),)</f>
        <v/>
      </c>
      <c r="D11" s="87">
        <f>VLOOKUP($D$5,'Sectors Trend'!$B$6:$AL$23,VLOOKUP(A11,$U:$V,2,),)</f>
        <v/>
      </c>
      <c r="E11" s="87">
        <f>VLOOKUP($E$5,'Sectors Trend'!$B$6:$AL$23,VLOOKUP(A11,$U:$V,2,),)</f>
        <v/>
      </c>
      <c r="F11" s="87">
        <f>VLOOKUP($F$5,'Sectors Trend'!$B$6:$AL$23,VLOOKUP(A11,$U:$V,2,),)</f>
        <v/>
      </c>
      <c r="G11" s="87">
        <f>VLOOKUP($G$5,'Sectors Trend'!$B$6:$AL$23,VLOOKUP(A11,$U:$V,2,),)</f>
        <v/>
      </c>
      <c r="H11" s="87">
        <f>VLOOKUP($H$5,'Sectors Trend'!$B$6:$AL$23,VLOOKUP(A11,$U:$V,2,),)</f>
        <v/>
      </c>
      <c r="I11" s="87">
        <f>VLOOKUP($I$5,'Sectors Trend'!$B$6:$AL$23,VLOOKUP(A11,$U:$V,2,),)</f>
        <v/>
      </c>
      <c r="J11" s="87">
        <f>VLOOKUP($J$5,'Sectors Trend'!$B$6:$AL$23,VLOOKUP(A11,$U:$V,2,),)</f>
        <v/>
      </c>
      <c r="K11" s="87">
        <f>VLOOKUP($K$5,'Sectors Trend'!$B$6:$AL$23,VLOOKUP(A11,$U:$V,2,),)</f>
        <v/>
      </c>
      <c r="L11" s="87">
        <f>VLOOKUP($L$5,'Sectors Trend'!$B$6:$AL$23,VLOOKUP(A11,$U:$V,2,),)</f>
        <v/>
      </c>
      <c r="M11" s="87">
        <f>VLOOKUP($M$5,'Sectors Trend'!$B$6:$AL$23,VLOOKUP(A11,$U:$V,2,),)</f>
        <v/>
      </c>
      <c r="N11" s="87">
        <f>VLOOKUP($N$5,'Sectors Trend'!$B$6:$AL$23,VLOOKUP(A11,$U:$V,2,),)</f>
        <v/>
      </c>
      <c r="O11" s="87">
        <f>VLOOKUP($O$5,'Sectors Trend'!$B$6:$AL$23,VLOOKUP(A11,$U:$V,2,),)</f>
        <v/>
      </c>
      <c r="P11" s="87">
        <f>VLOOKUP($P$5,'Sectors Trend'!$B$6:$AL$23,VLOOKUP(A11,$U:$V,2,),)</f>
        <v/>
      </c>
      <c r="Q11" s="87">
        <f>VLOOKUP($Q$5,'Sectors Trend'!$B$6:$AL$23,VLOOKUP(A11,$U:$V,2,),)</f>
        <v/>
      </c>
      <c r="R11" s="87">
        <f>VLOOKUP($R$5,'Sectors Trend'!$B$6:$AL$23,VLOOKUP(A11,$U:$V,2,),)</f>
        <v/>
      </c>
      <c r="S11" s="88">
        <f>VLOOKUP($S$5,'Sectors Trend'!$B$6:$AL$23,VLOOKUP(A11,$U:$V,2,),)</f>
        <v/>
      </c>
      <c r="U11" s="79">
        <f>L1</f>
        <v/>
      </c>
      <c r="V11" s="1">
        <f>L2</f>
        <v/>
      </c>
    </row>
    <row r="12">
      <c r="R12" s="79" t="n"/>
    </row>
    <row r="13">
      <c r="R13" s="79" t="n"/>
    </row>
    <row r="14">
      <c r="R14" s="79" t="n"/>
    </row>
    <row r="15">
      <c r="R15" s="79" t="n"/>
    </row>
    <row r="16">
      <c r="R16" s="79"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codeName="Sheet4">
    <tabColor theme="4" tint="-0.249977111117893"/>
    <outlinePr summaryBelow="1" summaryRight="1"/>
    <pageSetUpPr/>
  </sheetPr>
  <dimension ref="B1:AO68"/>
  <sheetViews>
    <sheetView zoomScale="190" zoomScaleNormal="190" workbookViewId="0">
      <pane xSplit="2" ySplit="5" topLeftCell="L15" activePane="bottomRight" state="frozen"/>
      <selection pane="topRight" activeCell="B1" sqref="B1"/>
      <selection pane="bottomLeft" activeCell="A6" sqref="A6"/>
      <selection pane="bottomRight" activeCell="B26" sqref="B26:AH45"/>
    </sheetView>
  </sheetViews>
  <sheetFormatPr baseColWidth="10" defaultColWidth="8.83203125" defaultRowHeight="15"/>
  <cols>
    <col width="9.1640625" customWidth="1" style="116" min="1" max="1"/>
    <col width="30.33203125" customWidth="1" style="116" min="2" max="2"/>
    <col width="10.6640625" customWidth="1" style="19" min="3" max="34"/>
    <col width="10.1640625" customWidth="1" style="116" min="35" max="38"/>
    <col width="9.1640625" customWidth="1" style="116" min="39" max="40"/>
    <col width="10.6640625" bestFit="1" customWidth="1" style="116" min="41" max="41"/>
    <col width="9.1640625" customWidth="1" style="116" min="42" max="241"/>
    <col width="28.6640625" customWidth="1" style="116" min="242" max="242"/>
    <col width="9" bestFit="1" customWidth="1" style="116" min="243" max="243"/>
    <col width="5.33203125" customWidth="1" style="116" min="244" max="244"/>
    <col width="9" bestFit="1" customWidth="1" style="116" min="245" max="245"/>
    <col width="5.33203125" customWidth="1" style="116" min="246" max="246"/>
    <col width="9" bestFit="1" customWidth="1" style="116" min="247" max="247"/>
    <col width="5" customWidth="1" style="116" min="248" max="248"/>
    <col width="9" bestFit="1" customWidth="1" style="116" min="249" max="249"/>
    <col width="5.1640625" customWidth="1" style="116" min="250" max="250"/>
    <col width="9.1640625" customWidth="1" style="116" min="251" max="251"/>
    <col width="6" customWidth="1" style="116" min="252" max="252"/>
    <col width="9.1640625" customWidth="1" style="116" min="253" max="253"/>
    <col width="6" customWidth="1" style="116" min="254" max="254"/>
    <col width="10.1640625" customWidth="1" style="116" min="255" max="256"/>
    <col width="10" customWidth="1" style="116" min="257" max="257"/>
    <col width="10.33203125" customWidth="1" style="116" min="258" max="258"/>
    <col width="9.1640625" customWidth="1" style="116" min="259" max="269"/>
    <col width="11.33203125" customWidth="1" style="116" min="270" max="270"/>
    <col hidden="1" width="13" customWidth="1" style="116" min="271" max="291"/>
    <col width="9.1640625" customWidth="1" style="116" min="292" max="497"/>
    <col width="28.6640625" customWidth="1" style="116" min="498" max="498"/>
    <col width="9" bestFit="1" customWidth="1" style="116" min="499" max="499"/>
    <col width="5.33203125" customWidth="1" style="116" min="500" max="500"/>
    <col width="9" bestFit="1" customWidth="1" style="116" min="501" max="501"/>
    <col width="5.33203125" customWidth="1" style="116" min="502" max="502"/>
    <col width="9" bestFit="1" customWidth="1" style="116" min="503" max="503"/>
    <col width="5" customWidth="1" style="116" min="504" max="504"/>
    <col width="9" bestFit="1" customWidth="1" style="116" min="505" max="505"/>
    <col width="5.1640625" customWidth="1" style="116" min="506" max="506"/>
    <col width="9.1640625" customWidth="1" style="116" min="507" max="507"/>
    <col width="6" customWidth="1" style="116" min="508" max="508"/>
    <col width="9.1640625" customWidth="1" style="116" min="509" max="509"/>
    <col width="6" customWidth="1" style="116" min="510" max="510"/>
    <col width="10.1640625" customWidth="1" style="116" min="511" max="512"/>
    <col width="10" customWidth="1" style="116" min="513" max="513"/>
    <col width="10.33203125" customWidth="1" style="116" min="514" max="514"/>
    <col width="9.1640625" customWidth="1" style="116" min="515" max="525"/>
    <col width="11.33203125" customWidth="1" style="116" min="526" max="526"/>
    <col hidden="1" width="13" customWidth="1" style="116" min="527" max="547"/>
    <col width="9.1640625" customWidth="1" style="116" min="548" max="753"/>
    <col width="28.6640625" customWidth="1" style="116" min="754" max="754"/>
    <col width="9" bestFit="1" customWidth="1" style="116" min="755" max="755"/>
    <col width="5.33203125" customWidth="1" style="116" min="756" max="756"/>
    <col width="9" bestFit="1" customWidth="1" style="116" min="757" max="757"/>
    <col width="5.33203125" customWidth="1" style="116" min="758" max="758"/>
    <col width="9" bestFit="1" customWidth="1" style="116" min="759" max="759"/>
    <col width="5" customWidth="1" style="116" min="760" max="760"/>
    <col width="9" bestFit="1" customWidth="1" style="116" min="761" max="761"/>
    <col width="5.1640625" customWidth="1" style="116" min="762" max="762"/>
    <col width="9.1640625" customWidth="1" style="116" min="763" max="763"/>
    <col width="6" customWidth="1" style="116" min="764" max="764"/>
    <col width="9.1640625" customWidth="1" style="116" min="765" max="765"/>
    <col width="6" customWidth="1" style="116" min="766" max="766"/>
    <col width="10.1640625" customWidth="1" style="116" min="767" max="768"/>
    <col width="10" customWidth="1" style="116" min="769" max="769"/>
    <col width="10.33203125" customWidth="1" style="116" min="770" max="770"/>
    <col width="9.1640625" customWidth="1" style="116" min="771" max="781"/>
    <col width="11.33203125" customWidth="1" style="116" min="782" max="782"/>
    <col hidden="1" width="13" customWidth="1" style="116" min="783" max="803"/>
    <col width="9.1640625" customWidth="1" style="116" min="804" max="1009"/>
    <col width="28.6640625" customWidth="1" style="116" min="1010" max="1010"/>
    <col width="9" bestFit="1" customWidth="1" style="116" min="1011" max="1011"/>
    <col width="5.33203125" customWidth="1" style="116" min="1012" max="1012"/>
    <col width="9" bestFit="1" customWidth="1" style="116" min="1013" max="1013"/>
    <col width="5.33203125" customWidth="1" style="116" min="1014" max="1014"/>
    <col width="9" bestFit="1" customWidth="1" style="116" min="1015" max="1015"/>
    <col width="5" customWidth="1" style="116" min="1016" max="1016"/>
    <col width="9" bestFit="1" customWidth="1" style="116" min="1017" max="1017"/>
    <col width="5.1640625" customWidth="1" style="116" min="1018" max="1018"/>
    <col width="9.1640625" customWidth="1" style="116" min="1019" max="1019"/>
    <col width="6" customWidth="1" style="116" min="1020" max="1020"/>
    <col width="9.1640625" customWidth="1" style="116" min="1021" max="1021"/>
    <col width="6" customWidth="1" style="116" min="1022" max="1022"/>
    <col width="10.1640625" customWidth="1" style="116" min="1023" max="1024"/>
    <col width="10" customWidth="1" style="116" min="1025" max="1025"/>
    <col width="10.33203125" customWidth="1" style="116" min="1026" max="1026"/>
    <col width="9.1640625" customWidth="1" style="116" min="1027" max="1037"/>
    <col width="11.33203125" customWidth="1" style="116" min="1038" max="1038"/>
    <col hidden="1" width="13" customWidth="1" style="116" min="1039" max="1059"/>
    <col width="9.1640625" customWidth="1" style="116" min="1060" max="1265"/>
    <col width="28.6640625" customWidth="1" style="116" min="1266" max="1266"/>
    <col width="9" bestFit="1" customWidth="1" style="116" min="1267" max="1267"/>
    <col width="5.33203125" customWidth="1" style="116" min="1268" max="1268"/>
    <col width="9" bestFit="1" customWidth="1" style="116" min="1269" max="1269"/>
    <col width="5.33203125" customWidth="1" style="116" min="1270" max="1270"/>
    <col width="9" bestFit="1" customWidth="1" style="116" min="1271" max="1271"/>
    <col width="5" customWidth="1" style="116" min="1272" max="1272"/>
    <col width="9" bestFit="1" customWidth="1" style="116" min="1273" max="1273"/>
    <col width="5.1640625" customWidth="1" style="116" min="1274" max="1274"/>
    <col width="9.1640625" customWidth="1" style="116" min="1275" max="1275"/>
    <col width="6" customWidth="1" style="116" min="1276" max="1276"/>
    <col width="9.1640625" customWidth="1" style="116" min="1277" max="1277"/>
    <col width="6" customWidth="1" style="116" min="1278" max="1278"/>
    <col width="10.1640625" customWidth="1" style="116" min="1279" max="1280"/>
    <col width="10" customWidth="1" style="116" min="1281" max="1281"/>
    <col width="10.33203125" customWidth="1" style="116" min="1282" max="1282"/>
    <col width="9.1640625" customWidth="1" style="116" min="1283" max="1293"/>
    <col width="11.33203125" customWidth="1" style="116" min="1294" max="1294"/>
    <col hidden="1" width="13" customWidth="1" style="116" min="1295" max="1315"/>
    <col width="9.1640625" customWidth="1" style="116" min="1316" max="1521"/>
    <col width="28.6640625" customWidth="1" style="116" min="1522" max="1522"/>
    <col width="9" bestFit="1" customWidth="1" style="116" min="1523" max="1523"/>
    <col width="5.33203125" customWidth="1" style="116" min="1524" max="1524"/>
    <col width="9" bestFit="1" customWidth="1" style="116" min="1525" max="1525"/>
    <col width="5.33203125" customWidth="1" style="116" min="1526" max="1526"/>
    <col width="9" bestFit="1" customWidth="1" style="116" min="1527" max="1527"/>
    <col width="5" customWidth="1" style="116" min="1528" max="1528"/>
    <col width="9" bestFit="1" customWidth="1" style="116" min="1529" max="1529"/>
    <col width="5.1640625" customWidth="1" style="116" min="1530" max="1530"/>
    <col width="9.1640625" customWidth="1" style="116" min="1531" max="1531"/>
    <col width="6" customWidth="1" style="116" min="1532" max="1532"/>
    <col width="9.1640625" customWidth="1" style="116" min="1533" max="1533"/>
    <col width="6" customWidth="1" style="116" min="1534" max="1534"/>
    <col width="10.1640625" customWidth="1" style="116" min="1535" max="1536"/>
    <col width="10" customWidth="1" style="116" min="1537" max="1537"/>
    <col width="10.33203125" customWidth="1" style="116" min="1538" max="1538"/>
    <col width="9.1640625" customWidth="1" style="116" min="1539" max="1549"/>
    <col width="11.33203125" customWidth="1" style="116" min="1550" max="1550"/>
    <col hidden="1" width="13" customWidth="1" style="116" min="1551" max="1571"/>
    <col width="9.1640625" customWidth="1" style="116" min="1572" max="1777"/>
    <col width="28.6640625" customWidth="1" style="116" min="1778" max="1778"/>
    <col width="9" bestFit="1" customWidth="1" style="116" min="1779" max="1779"/>
    <col width="5.33203125" customWidth="1" style="116" min="1780" max="1780"/>
    <col width="9" bestFit="1" customWidth="1" style="116" min="1781" max="1781"/>
    <col width="5.33203125" customWidth="1" style="116" min="1782" max="1782"/>
    <col width="9" bestFit="1" customWidth="1" style="116" min="1783" max="1783"/>
    <col width="5" customWidth="1" style="116" min="1784" max="1784"/>
    <col width="9" bestFit="1" customWidth="1" style="116" min="1785" max="1785"/>
    <col width="5.1640625" customWidth="1" style="116" min="1786" max="1786"/>
    <col width="9.1640625" customWidth="1" style="116" min="1787" max="1787"/>
    <col width="6" customWidth="1" style="116" min="1788" max="1788"/>
    <col width="9.1640625" customWidth="1" style="116" min="1789" max="1789"/>
    <col width="6" customWidth="1" style="116" min="1790" max="1790"/>
    <col width="10.1640625" customWidth="1" style="116" min="1791" max="1792"/>
    <col width="10" customWidth="1" style="116" min="1793" max="1793"/>
    <col width="10.33203125" customWidth="1" style="116" min="1794" max="1794"/>
    <col width="9.1640625" customWidth="1" style="116" min="1795" max="1805"/>
    <col width="11.33203125" customWidth="1" style="116" min="1806" max="1806"/>
    <col hidden="1" width="13" customWidth="1" style="116" min="1807" max="1827"/>
    <col width="9.1640625" customWidth="1" style="116" min="1828" max="2033"/>
    <col width="28.6640625" customWidth="1" style="116" min="2034" max="2034"/>
    <col width="9" bestFit="1" customWidth="1" style="116" min="2035" max="2035"/>
    <col width="5.33203125" customWidth="1" style="116" min="2036" max="2036"/>
    <col width="9" bestFit="1" customWidth="1" style="116" min="2037" max="2037"/>
    <col width="5.33203125" customWidth="1" style="116" min="2038" max="2038"/>
    <col width="9" bestFit="1" customWidth="1" style="116" min="2039" max="2039"/>
    <col width="5" customWidth="1" style="116" min="2040" max="2040"/>
    <col width="9" bestFit="1" customWidth="1" style="116" min="2041" max="2041"/>
    <col width="5.1640625" customWidth="1" style="116" min="2042" max="2042"/>
    <col width="9.1640625" customWidth="1" style="116" min="2043" max="2043"/>
    <col width="6" customWidth="1" style="116" min="2044" max="2044"/>
    <col width="9.1640625" customWidth="1" style="116" min="2045" max="2045"/>
    <col width="6" customWidth="1" style="116" min="2046" max="2046"/>
    <col width="10.1640625" customWidth="1" style="116" min="2047" max="2048"/>
    <col width="10" customWidth="1" style="116" min="2049" max="2049"/>
    <col width="10.33203125" customWidth="1" style="116" min="2050" max="2050"/>
    <col width="9.1640625" customWidth="1" style="116" min="2051" max="2061"/>
    <col width="11.33203125" customWidth="1" style="116" min="2062" max="2062"/>
    <col hidden="1" width="13" customWidth="1" style="116" min="2063" max="2083"/>
    <col width="9.1640625" customWidth="1" style="116" min="2084" max="2289"/>
    <col width="28.6640625" customWidth="1" style="116" min="2290" max="2290"/>
    <col width="9" bestFit="1" customWidth="1" style="116" min="2291" max="2291"/>
    <col width="5.33203125" customWidth="1" style="116" min="2292" max="2292"/>
    <col width="9" bestFit="1" customWidth="1" style="116" min="2293" max="2293"/>
    <col width="5.33203125" customWidth="1" style="116" min="2294" max="2294"/>
    <col width="9" bestFit="1" customWidth="1" style="116" min="2295" max="2295"/>
    <col width="5" customWidth="1" style="116" min="2296" max="2296"/>
    <col width="9" bestFit="1" customWidth="1" style="116" min="2297" max="2297"/>
    <col width="5.1640625" customWidth="1" style="116" min="2298" max="2298"/>
    <col width="9.1640625" customWidth="1" style="116" min="2299" max="2299"/>
    <col width="6" customWidth="1" style="116" min="2300" max="2300"/>
    <col width="9.1640625" customWidth="1" style="116" min="2301" max="2301"/>
    <col width="6" customWidth="1" style="116" min="2302" max="2302"/>
    <col width="10.1640625" customWidth="1" style="116" min="2303" max="2304"/>
    <col width="10" customWidth="1" style="116" min="2305" max="2305"/>
    <col width="10.33203125" customWidth="1" style="116" min="2306" max="2306"/>
    <col width="9.1640625" customWidth="1" style="116" min="2307" max="2317"/>
    <col width="11.33203125" customWidth="1" style="116" min="2318" max="2318"/>
    <col hidden="1" width="13" customWidth="1" style="116" min="2319" max="2339"/>
    <col width="9.1640625" customWidth="1" style="116" min="2340" max="2545"/>
    <col width="28.6640625" customWidth="1" style="116" min="2546" max="2546"/>
    <col width="9" bestFit="1" customWidth="1" style="116" min="2547" max="2547"/>
    <col width="5.33203125" customWidth="1" style="116" min="2548" max="2548"/>
    <col width="9" bestFit="1" customWidth="1" style="116" min="2549" max="2549"/>
    <col width="5.33203125" customWidth="1" style="116" min="2550" max="2550"/>
    <col width="9" bestFit="1" customWidth="1" style="116" min="2551" max="2551"/>
    <col width="5" customWidth="1" style="116" min="2552" max="2552"/>
    <col width="9" bestFit="1" customWidth="1" style="116" min="2553" max="2553"/>
    <col width="5.1640625" customWidth="1" style="116" min="2554" max="2554"/>
    <col width="9.1640625" customWidth="1" style="116" min="2555" max="2555"/>
    <col width="6" customWidth="1" style="116" min="2556" max="2556"/>
    <col width="9.1640625" customWidth="1" style="116" min="2557" max="2557"/>
    <col width="6" customWidth="1" style="116" min="2558" max="2558"/>
    <col width="10.1640625" customWidth="1" style="116" min="2559" max="2560"/>
    <col width="10" customWidth="1" style="116" min="2561" max="2561"/>
    <col width="10.33203125" customWidth="1" style="116" min="2562" max="2562"/>
    <col width="9.1640625" customWidth="1" style="116" min="2563" max="2573"/>
    <col width="11.33203125" customWidth="1" style="116" min="2574" max="2574"/>
    <col hidden="1" width="13" customWidth="1" style="116" min="2575" max="2595"/>
    <col width="9.1640625" customWidth="1" style="116" min="2596" max="2801"/>
    <col width="28.6640625" customWidth="1" style="116" min="2802" max="2802"/>
    <col width="9" bestFit="1" customWidth="1" style="116" min="2803" max="2803"/>
    <col width="5.33203125" customWidth="1" style="116" min="2804" max="2804"/>
    <col width="9" bestFit="1" customWidth="1" style="116" min="2805" max="2805"/>
    <col width="5.33203125" customWidth="1" style="116" min="2806" max="2806"/>
    <col width="9" bestFit="1" customWidth="1" style="116" min="2807" max="2807"/>
    <col width="5" customWidth="1" style="116" min="2808" max="2808"/>
    <col width="9" bestFit="1" customWidth="1" style="116" min="2809" max="2809"/>
    <col width="5.1640625" customWidth="1" style="116" min="2810" max="2810"/>
    <col width="9.1640625" customWidth="1" style="116" min="2811" max="2811"/>
    <col width="6" customWidth="1" style="116" min="2812" max="2812"/>
    <col width="9.1640625" customWidth="1" style="116" min="2813" max="2813"/>
    <col width="6" customWidth="1" style="116" min="2814" max="2814"/>
    <col width="10.1640625" customWidth="1" style="116" min="2815" max="2816"/>
    <col width="10" customWidth="1" style="116" min="2817" max="2817"/>
    <col width="10.33203125" customWidth="1" style="116" min="2818" max="2818"/>
    <col width="9.1640625" customWidth="1" style="116" min="2819" max="2829"/>
    <col width="11.33203125" customWidth="1" style="116" min="2830" max="2830"/>
    <col hidden="1" width="13" customWidth="1" style="116" min="2831" max="2851"/>
    <col width="9.1640625" customWidth="1" style="116" min="2852" max="3057"/>
    <col width="28.6640625" customWidth="1" style="116" min="3058" max="3058"/>
    <col width="9" bestFit="1" customWidth="1" style="116" min="3059" max="3059"/>
    <col width="5.33203125" customWidth="1" style="116" min="3060" max="3060"/>
    <col width="9" bestFit="1" customWidth="1" style="116" min="3061" max="3061"/>
    <col width="5.33203125" customWidth="1" style="116" min="3062" max="3062"/>
    <col width="9" bestFit="1" customWidth="1" style="116" min="3063" max="3063"/>
    <col width="5" customWidth="1" style="116" min="3064" max="3064"/>
    <col width="9" bestFit="1" customWidth="1" style="116" min="3065" max="3065"/>
    <col width="5.1640625" customWidth="1" style="116" min="3066" max="3066"/>
    <col width="9.1640625" customWidth="1" style="116" min="3067" max="3067"/>
    <col width="6" customWidth="1" style="116" min="3068" max="3068"/>
    <col width="9.1640625" customWidth="1" style="116" min="3069" max="3069"/>
    <col width="6" customWidth="1" style="116" min="3070" max="3070"/>
    <col width="10.1640625" customWidth="1" style="116" min="3071" max="3072"/>
    <col width="10" customWidth="1" style="116" min="3073" max="3073"/>
    <col width="10.33203125" customWidth="1" style="116" min="3074" max="3074"/>
    <col width="9.1640625" customWidth="1" style="116" min="3075" max="3085"/>
    <col width="11.33203125" customWidth="1" style="116" min="3086" max="3086"/>
    <col hidden="1" width="13" customWidth="1" style="116" min="3087" max="3107"/>
    <col width="9.1640625" customWidth="1" style="116" min="3108" max="3313"/>
    <col width="28.6640625" customWidth="1" style="116" min="3314" max="3314"/>
    <col width="9" bestFit="1" customWidth="1" style="116" min="3315" max="3315"/>
    <col width="5.33203125" customWidth="1" style="116" min="3316" max="3316"/>
    <col width="9" bestFit="1" customWidth="1" style="116" min="3317" max="3317"/>
    <col width="5.33203125" customWidth="1" style="116" min="3318" max="3318"/>
    <col width="9" bestFit="1" customWidth="1" style="116" min="3319" max="3319"/>
    <col width="5" customWidth="1" style="116" min="3320" max="3320"/>
    <col width="9" bestFit="1" customWidth="1" style="116" min="3321" max="3321"/>
    <col width="5.1640625" customWidth="1" style="116" min="3322" max="3322"/>
    <col width="9.1640625" customWidth="1" style="116" min="3323" max="3323"/>
    <col width="6" customWidth="1" style="116" min="3324" max="3324"/>
    <col width="9.1640625" customWidth="1" style="116" min="3325" max="3325"/>
    <col width="6" customWidth="1" style="116" min="3326" max="3326"/>
    <col width="10.1640625" customWidth="1" style="116" min="3327" max="3328"/>
    <col width="10" customWidth="1" style="116" min="3329" max="3329"/>
    <col width="10.33203125" customWidth="1" style="116" min="3330" max="3330"/>
    <col width="9.1640625" customWidth="1" style="116" min="3331" max="3341"/>
    <col width="11.33203125" customWidth="1" style="116" min="3342" max="3342"/>
    <col hidden="1" width="13" customWidth="1" style="116" min="3343" max="3363"/>
    <col width="9.1640625" customWidth="1" style="116" min="3364" max="3569"/>
    <col width="28.6640625" customWidth="1" style="116" min="3570" max="3570"/>
    <col width="9" bestFit="1" customWidth="1" style="116" min="3571" max="3571"/>
    <col width="5.33203125" customWidth="1" style="116" min="3572" max="3572"/>
    <col width="9" bestFit="1" customWidth="1" style="116" min="3573" max="3573"/>
    <col width="5.33203125" customWidth="1" style="116" min="3574" max="3574"/>
    <col width="9" bestFit="1" customWidth="1" style="116" min="3575" max="3575"/>
    <col width="5" customWidth="1" style="116" min="3576" max="3576"/>
    <col width="9" bestFit="1" customWidth="1" style="116" min="3577" max="3577"/>
    <col width="5.1640625" customWidth="1" style="116" min="3578" max="3578"/>
    <col width="9.1640625" customWidth="1" style="116" min="3579" max="3579"/>
    <col width="6" customWidth="1" style="116" min="3580" max="3580"/>
    <col width="9.1640625" customWidth="1" style="116" min="3581" max="3581"/>
    <col width="6" customWidth="1" style="116" min="3582" max="3582"/>
    <col width="10.1640625" customWidth="1" style="116" min="3583" max="3584"/>
    <col width="10" customWidth="1" style="116" min="3585" max="3585"/>
    <col width="10.33203125" customWidth="1" style="116" min="3586" max="3586"/>
    <col width="9.1640625" customWidth="1" style="116" min="3587" max="3597"/>
    <col width="11.33203125" customWidth="1" style="116" min="3598" max="3598"/>
    <col hidden="1" width="13" customWidth="1" style="116" min="3599" max="3619"/>
    <col width="9.1640625" customWidth="1" style="116" min="3620" max="3825"/>
    <col width="28.6640625" customWidth="1" style="116" min="3826" max="3826"/>
    <col width="9" bestFit="1" customWidth="1" style="116" min="3827" max="3827"/>
    <col width="5.33203125" customWidth="1" style="116" min="3828" max="3828"/>
    <col width="9" bestFit="1" customWidth="1" style="116" min="3829" max="3829"/>
    <col width="5.33203125" customWidth="1" style="116" min="3830" max="3830"/>
    <col width="9" bestFit="1" customWidth="1" style="116" min="3831" max="3831"/>
    <col width="5" customWidth="1" style="116" min="3832" max="3832"/>
    <col width="9" bestFit="1" customWidth="1" style="116" min="3833" max="3833"/>
    <col width="5.1640625" customWidth="1" style="116" min="3834" max="3834"/>
    <col width="9.1640625" customWidth="1" style="116" min="3835" max="3835"/>
    <col width="6" customWidth="1" style="116" min="3836" max="3836"/>
    <col width="9.1640625" customWidth="1" style="116" min="3837" max="3837"/>
    <col width="6" customWidth="1" style="116" min="3838" max="3838"/>
    <col width="10.1640625" customWidth="1" style="116" min="3839" max="3840"/>
    <col width="10" customWidth="1" style="116" min="3841" max="3841"/>
    <col width="10.33203125" customWidth="1" style="116" min="3842" max="3842"/>
    <col width="9.1640625" customWidth="1" style="116" min="3843" max="3853"/>
    <col width="11.33203125" customWidth="1" style="116" min="3854" max="3854"/>
    <col hidden="1" width="13" customWidth="1" style="116" min="3855" max="3875"/>
    <col width="9.1640625" customWidth="1" style="116" min="3876" max="4081"/>
    <col width="28.6640625" customWidth="1" style="116" min="4082" max="4082"/>
    <col width="9" bestFit="1" customWidth="1" style="116" min="4083" max="4083"/>
    <col width="5.33203125" customWidth="1" style="116" min="4084" max="4084"/>
    <col width="9" bestFit="1" customWidth="1" style="116" min="4085" max="4085"/>
    <col width="5.33203125" customWidth="1" style="116" min="4086" max="4086"/>
    <col width="9" bestFit="1" customWidth="1" style="116" min="4087" max="4087"/>
    <col width="5" customWidth="1" style="116" min="4088" max="4088"/>
    <col width="9" bestFit="1" customWidth="1" style="116" min="4089" max="4089"/>
    <col width="5.1640625" customWidth="1" style="116" min="4090" max="4090"/>
    <col width="9.1640625" customWidth="1" style="116" min="4091" max="4091"/>
    <col width="6" customWidth="1" style="116" min="4092" max="4092"/>
    <col width="9.1640625" customWidth="1" style="116" min="4093" max="4093"/>
    <col width="6" customWidth="1" style="116" min="4094" max="4094"/>
    <col width="10.1640625" customWidth="1" style="116" min="4095" max="4096"/>
    <col width="10" customWidth="1" style="116" min="4097" max="4097"/>
    <col width="10.33203125" customWidth="1" style="116" min="4098" max="4098"/>
    <col width="9.1640625" customWidth="1" style="116" min="4099" max="4109"/>
    <col width="11.33203125" customWidth="1" style="116" min="4110" max="4110"/>
    <col hidden="1" width="13" customWidth="1" style="116" min="4111" max="4131"/>
    <col width="9.1640625" customWidth="1" style="116" min="4132" max="4337"/>
    <col width="28.6640625" customWidth="1" style="116" min="4338" max="4338"/>
    <col width="9" bestFit="1" customWidth="1" style="116" min="4339" max="4339"/>
    <col width="5.33203125" customWidth="1" style="116" min="4340" max="4340"/>
    <col width="9" bestFit="1" customWidth="1" style="116" min="4341" max="4341"/>
    <col width="5.33203125" customWidth="1" style="116" min="4342" max="4342"/>
    <col width="9" bestFit="1" customWidth="1" style="116" min="4343" max="4343"/>
    <col width="5" customWidth="1" style="116" min="4344" max="4344"/>
    <col width="9" bestFit="1" customWidth="1" style="116" min="4345" max="4345"/>
    <col width="5.1640625" customWidth="1" style="116" min="4346" max="4346"/>
    <col width="9.1640625" customWidth="1" style="116" min="4347" max="4347"/>
    <col width="6" customWidth="1" style="116" min="4348" max="4348"/>
    <col width="9.1640625" customWidth="1" style="116" min="4349" max="4349"/>
    <col width="6" customWidth="1" style="116" min="4350" max="4350"/>
    <col width="10.1640625" customWidth="1" style="116" min="4351" max="4352"/>
    <col width="10" customWidth="1" style="116" min="4353" max="4353"/>
    <col width="10.33203125" customWidth="1" style="116" min="4354" max="4354"/>
    <col width="9.1640625" customWidth="1" style="116" min="4355" max="4365"/>
    <col width="11.33203125" customWidth="1" style="116" min="4366" max="4366"/>
    <col hidden="1" width="13" customWidth="1" style="116" min="4367" max="4387"/>
    <col width="9.1640625" customWidth="1" style="116" min="4388" max="4593"/>
    <col width="28.6640625" customWidth="1" style="116" min="4594" max="4594"/>
    <col width="9" bestFit="1" customWidth="1" style="116" min="4595" max="4595"/>
    <col width="5.33203125" customWidth="1" style="116" min="4596" max="4596"/>
    <col width="9" bestFit="1" customWidth="1" style="116" min="4597" max="4597"/>
    <col width="5.33203125" customWidth="1" style="116" min="4598" max="4598"/>
    <col width="9" bestFit="1" customWidth="1" style="116" min="4599" max="4599"/>
    <col width="5" customWidth="1" style="116" min="4600" max="4600"/>
    <col width="9" bestFit="1" customWidth="1" style="116" min="4601" max="4601"/>
    <col width="5.1640625" customWidth="1" style="116" min="4602" max="4602"/>
    <col width="9.1640625" customWidth="1" style="116" min="4603" max="4603"/>
    <col width="6" customWidth="1" style="116" min="4604" max="4604"/>
    <col width="9.1640625" customWidth="1" style="116" min="4605" max="4605"/>
    <col width="6" customWidth="1" style="116" min="4606" max="4606"/>
    <col width="10.1640625" customWidth="1" style="116" min="4607" max="4608"/>
    <col width="10" customWidth="1" style="116" min="4609" max="4609"/>
    <col width="10.33203125" customWidth="1" style="116" min="4610" max="4610"/>
    <col width="9.1640625" customWidth="1" style="116" min="4611" max="4621"/>
    <col width="11.33203125" customWidth="1" style="116" min="4622" max="4622"/>
    <col hidden="1" width="13" customWidth="1" style="116" min="4623" max="4643"/>
    <col width="9.1640625" customWidth="1" style="116" min="4644" max="4849"/>
    <col width="28.6640625" customWidth="1" style="116" min="4850" max="4850"/>
    <col width="9" bestFit="1" customWidth="1" style="116" min="4851" max="4851"/>
    <col width="5.33203125" customWidth="1" style="116" min="4852" max="4852"/>
    <col width="9" bestFit="1" customWidth="1" style="116" min="4853" max="4853"/>
    <col width="5.33203125" customWidth="1" style="116" min="4854" max="4854"/>
    <col width="9" bestFit="1" customWidth="1" style="116" min="4855" max="4855"/>
    <col width="5" customWidth="1" style="116" min="4856" max="4856"/>
    <col width="9" bestFit="1" customWidth="1" style="116" min="4857" max="4857"/>
    <col width="5.1640625" customWidth="1" style="116" min="4858" max="4858"/>
    <col width="9.1640625" customWidth="1" style="116" min="4859" max="4859"/>
    <col width="6" customWidth="1" style="116" min="4860" max="4860"/>
    <col width="9.1640625" customWidth="1" style="116" min="4861" max="4861"/>
    <col width="6" customWidth="1" style="116" min="4862" max="4862"/>
    <col width="10.1640625" customWidth="1" style="116" min="4863" max="4864"/>
    <col width="10" customWidth="1" style="116" min="4865" max="4865"/>
    <col width="10.33203125" customWidth="1" style="116" min="4866" max="4866"/>
    <col width="9.1640625" customWidth="1" style="116" min="4867" max="4877"/>
    <col width="11.33203125" customWidth="1" style="116" min="4878" max="4878"/>
    <col hidden="1" width="13" customWidth="1" style="116" min="4879" max="4899"/>
    <col width="9.1640625" customWidth="1" style="116" min="4900" max="5105"/>
    <col width="28.6640625" customWidth="1" style="116" min="5106" max="5106"/>
    <col width="9" bestFit="1" customWidth="1" style="116" min="5107" max="5107"/>
    <col width="5.33203125" customWidth="1" style="116" min="5108" max="5108"/>
    <col width="9" bestFit="1" customWidth="1" style="116" min="5109" max="5109"/>
    <col width="5.33203125" customWidth="1" style="116" min="5110" max="5110"/>
    <col width="9" bestFit="1" customWidth="1" style="116" min="5111" max="5111"/>
    <col width="5" customWidth="1" style="116" min="5112" max="5112"/>
    <col width="9" bestFit="1" customWidth="1" style="116" min="5113" max="5113"/>
    <col width="5.1640625" customWidth="1" style="116" min="5114" max="5114"/>
    <col width="9.1640625" customWidth="1" style="116" min="5115" max="5115"/>
    <col width="6" customWidth="1" style="116" min="5116" max="5116"/>
    <col width="9.1640625" customWidth="1" style="116" min="5117" max="5117"/>
    <col width="6" customWidth="1" style="116" min="5118" max="5118"/>
    <col width="10.1640625" customWidth="1" style="116" min="5119" max="5120"/>
    <col width="10" customWidth="1" style="116" min="5121" max="5121"/>
    <col width="10.33203125" customWidth="1" style="116" min="5122" max="5122"/>
    <col width="9.1640625" customWidth="1" style="116" min="5123" max="5133"/>
    <col width="11.33203125" customWidth="1" style="116" min="5134" max="5134"/>
    <col hidden="1" width="13" customWidth="1" style="116" min="5135" max="5155"/>
    <col width="9.1640625" customWidth="1" style="116" min="5156" max="5361"/>
    <col width="28.6640625" customWidth="1" style="116" min="5362" max="5362"/>
    <col width="9" bestFit="1" customWidth="1" style="116" min="5363" max="5363"/>
    <col width="5.33203125" customWidth="1" style="116" min="5364" max="5364"/>
    <col width="9" bestFit="1" customWidth="1" style="116" min="5365" max="5365"/>
    <col width="5.33203125" customWidth="1" style="116" min="5366" max="5366"/>
    <col width="9" bestFit="1" customWidth="1" style="116" min="5367" max="5367"/>
    <col width="5" customWidth="1" style="116" min="5368" max="5368"/>
    <col width="9" bestFit="1" customWidth="1" style="116" min="5369" max="5369"/>
    <col width="5.1640625" customWidth="1" style="116" min="5370" max="5370"/>
    <col width="9.1640625" customWidth="1" style="116" min="5371" max="5371"/>
    <col width="6" customWidth="1" style="116" min="5372" max="5372"/>
    <col width="9.1640625" customWidth="1" style="116" min="5373" max="5373"/>
    <col width="6" customWidth="1" style="116" min="5374" max="5374"/>
    <col width="10.1640625" customWidth="1" style="116" min="5375" max="5376"/>
    <col width="10" customWidth="1" style="116" min="5377" max="5377"/>
    <col width="10.33203125" customWidth="1" style="116" min="5378" max="5378"/>
    <col width="9.1640625" customWidth="1" style="116" min="5379" max="5389"/>
    <col width="11.33203125" customWidth="1" style="116" min="5390" max="5390"/>
    <col hidden="1" width="13" customWidth="1" style="116" min="5391" max="5411"/>
    <col width="9.1640625" customWidth="1" style="116" min="5412" max="5617"/>
    <col width="28.6640625" customWidth="1" style="116" min="5618" max="5618"/>
    <col width="9" bestFit="1" customWidth="1" style="116" min="5619" max="5619"/>
    <col width="5.33203125" customWidth="1" style="116" min="5620" max="5620"/>
    <col width="9" bestFit="1" customWidth="1" style="116" min="5621" max="5621"/>
    <col width="5.33203125" customWidth="1" style="116" min="5622" max="5622"/>
    <col width="9" bestFit="1" customWidth="1" style="116" min="5623" max="5623"/>
    <col width="5" customWidth="1" style="116" min="5624" max="5624"/>
    <col width="9" bestFit="1" customWidth="1" style="116" min="5625" max="5625"/>
    <col width="5.1640625" customWidth="1" style="116" min="5626" max="5626"/>
    <col width="9.1640625" customWidth="1" style="116" min="5627" max="5627"/>
    <col width="6" customWidth="1" style="116" min="5628" max="5628"/>
    <col width="9.1640625" customWidth="1" style="116" min="5629" max="5629"/>
    <col width="6" customWidth="1" style="116" min="5630" max="5630"/>
    <col width="10.1640625" customWidth="1" style="116" min="5631" max="5632"/>
    <col width="10" customWidth="1" style="116" min="5633" max="5633"/>
    <col width="10.33203125" customWidth="1" style="116" min="5634" max="5634"/>
    <col width="9.1640625" customWidth="1" style="116" min="5635" max="5645"/>
    <col width="11.33203125" customWidth="1" style="116" min="5646" max="5646"/>
    <col hidden="1" width="13" customWidth="1" style="116" min="5647" max="5667"/>
    <col width="9.1640625" customWidth="1" style="116" min="5668" max="5873"/>
    <col width="28.6640625" customWidth="1" style="116" min="5874" max="5874"/>
    <col width="9" bestFit="1" customWidth="1" style="116" min="5875" max="5875"/>
    <col width="5.33203125" customWidth="1" style="116" min="5876" max="5876"/>
    <col width="9" bestFit="1" customWidth="1" style="116" min="5877" max="5877"/>
    <col width="5.33203125" customWidth="1" style="116" min="5878" max="5878"/>
    <col width="9" bestFit="1" customWidth="1" style="116" min="5879" max="5879"/>
    <col width="5" customWidth="1" style="116" min="5880" max="5880"/>
    <col width="9" bestFit="1" customWidth="1" style="116" min="5881" max="5881"/>
    <col width="5.1640625" customWidth="1" style="116" min="5882" max="5882"/>
    <col width="9.1640625" customWidth="1" style="116" min="5883" max="5883"/>
    <col width="6" customWidth="1" style="116" min="5884" max="5884"/>
    <col width="9.1640625" customWidth="1" style="116" min="5885" max="5885"/>
    <col width="6" customWidth="1" style="116" min="5886" max="5886"/>
    <col width="10.1640625" customWidth="1" style="116" min="5887" max="5888"/>
    <col width="10" customWidth="1" style="116" min="5889" max="5889"/>
    <col width="10.33203125" customWidth="1" style="116" min="5890" max="5890"/>
    <col width="9.1640625" customWidth="1" style="116" min="5891" max="5901"/>
    <col width="11.33203125" customWidth="1" style="116" min="5902" max="5902"/>
    <col hidden="1" width="13" customWidth="1" style="116" min="5903" max="5923"/>
    <col width="9.1640625" customWidth="1" style="116" min="5924" max="6129"/>
    <col width="28.6640625" customWidth="1" style="116" min="6130" max="6130"/>
    <col width="9" bestFit="1" customWidth="1" style="116" min="6131" max="6131"/>
    <col width="5.33203125" customWidth="1" style="116" min="6132" max="6132"/>
    <col width="9" bestFit="1" customWidth="1" style="116" min="6133" max="6133"/>
    <col width="5.33203125" customWidth="1" style="116" min="6134" max="6134"/>
    <col width="9" bestFit="1" customWidth="1" style="116" min="6135" max="6135"/>
    <col width="5" customWidth="1" style="116" min="6136" max="6136"/>
    <col width="9" bestFit="1" customWidth="1" style="116" min="6137" max="6137"/>
    <col width="5.1640625" customWidth="1" style="116" min="6138" max="6138"/>
    <col width="9.1640625" customWidth="1" style="116" min="6139" max="6139"/>
    <col width="6" customWidth="1" style="116" min="6140" max="6140"/>
    <col width="9.1640625" customWidth="1" style="116" min="6141" max="6141"/>
    <col width="6" customWidth="1" style="116" min="6142" max="6142"/>
    <col width="10.1640625" customWidth="1" style="116" min="6143" max="6144"/>
    <col width="10" customWidth="1" style="116" min="6145" max="6145"/>
    <col width="10.33203125" customWidth="1" style="116" min="6146" max="6146"/>
    <col width="9.1640625" customWidth="1" style="116" min="6147" max="6157"/>
    <col width="11.33203125" customWidth="1" style="116" min="6158" max="6158"/>
    <col hidden="1" width="13" customWidth="1" style="116" min="6159" max="6179"/>
    <col width="9.1640625" customWidth="1" style="116" min="6180" max="6385"/>
    <col width="28.6640625" customWidth="1" style="116" min="6386" max="6386"/>
    <col width="9" bestFit="1" customWidth="1" style="116" min="6387" max="6387"/>
    <col width="5.33203125" customWidth="1" style="116" min="6388" max="6388"/>
    <col width="9" bestFit="1" customWidth="1" style="116" min="6389" max="6389"/>
    <col width="5.33203125" customWidth="1" style="116" min="6390" max="6390"/>
    <col width="9" bestFit="1" customWidth="1" style="116" min="6391" max="6391"/>
    <col width="5" customWidth="1" style="116" min="6392" max="6392"/>
    <col width="9" bestFit="1" customWidth="1" style="116" min="6393" max="6393"/>
    <col width="5.1640625" customWidth="1" style="116" min="6394" max="6394"/>
    <col width="9.1640625" customWidth="1" style="116" min="6395" max="6395"/>
    <col width="6" customWidth="1" style="116" min="6396" max="6396"/>
    <col width="9.1640625" customWidth="1" style="116" min="6397" max="6397"/>
    <col width="6" customWidth="1" style="116" min="6398" max="6398"/>
    <col width="10.1640625" customWidth="1" style="116" min="6399" max="6400"/>
    <col width="10" customWidth="1" style="116" min="6401" max="6401"/>
    <col width="10.33203125" customWidth="1" style="116" min="6402" max="6402"/>
    <col width="9.1640625" customWidth="1" style="116" min="6403" max="6413"/>
    <col width="11.33203125" customWidth="1" style="116" min="6414" max="6414"/>
    <col hidden="1" width="13" customWidth="1" style="116" min="6415" max="6435"/>
    <col width="9.1640625" customWidth="1" style="116" min="6436" max="6641"/>
    <col width="28.6640625" customWidth="1" style="116" min="6642" max="6642"/>
    <col width="9" bestFit="1" customWidth="1" style="116" min="6643" max="6643"/>
    <col width="5.33203125" customWidth="1" style="116" min="6644" max="6644"/>
    <col width="9" bestFit="1" customWidth="1" style="116" min="6645" max="6645"/>
    <col width="5.33203125" customWidth="1" style="116" min="6646" max="6646"/>
    <col width="9" bestFit="1" customWidth="1" style="116" min="6647" max="6647"/>
    <col width="5" customWidth="1" style="116" min="6648" max="6648"/>
    <col width="9" bestFit="1" customWidth="1" style="116" min="6649" max="6649"/>
    <col width="5.1640625" customWidth="1" style="116" min="6650" max="6650"/>
    <col width="9.1640625" customWidth="1" style="116" min="6651" max="6651"/>
    <col width="6" customWidth="1" style="116" min="6652" max="6652"/>
    <col width="9.1640625" customWidth="1" style="116" min="6653" max="6653"/>
    <col width="6" customWidth="1" style="116" min="6654" max="6654"/>
    <col width="10.1640625" customWidth="1" style="116" min="6655" max="6656"/>
    <col width="10" customWidth="1" style="116" min="6657" max="6657"/>
    <col width="10.33203125" customWidth="1" style="116" min="6658" max="6658"/>
    <col width="9.1640625" customWidth="1" style="116" min="6659" max="6669"/>
    <col width="11.33203125" customWidth="1" style="116" min="6670" max="6670"/>
    <col hidden="1" width="13" customWidth="1" style="116" min="6671" max="6691"/>
    <col width="9.1640625" customWidth="1" style="116" min="6692" max="6897"/>
    <col width="28.6640625" customWidth="1" style="116" min="6898" max="6898"/>
    <col width="9" bestFit="1" customWidth="1" style="116" min="6899" max="6899"/>
    <col width="5.33203125" customWidth="1" style="116" min="6900" max="6900"/>
    <col width="9" bestFit="1" customWidth="1" style="116" min="6901" max="6901"/>
    <col width="5.33203125" customWidth="1" style="116" min="6902" max="6902"/>
    <col width="9" bestFit="1" customWidth="1" style="116" min="6903" max="6903"/>
    <col width="5" customWidth="1" style="116" min="6904" max="6904"/>
    <col width="9" bestFit="1" customWidth="1" style="116" min="6905" max="6905"/>
    <col width="5.1640625" customWidth="1" style="116" min="6906" max="6906"/>
    <col width="9.1640625" customWidth="1" style="116" min="6907" max="6907"/>
    <col width="6" customWidth="1" style="116" min="6908" max="6908"/>
    <col width="9.1640625" customWidth="1" style="116" min="6909" max="6909"/>
    <col width="6" customWidth="1" style="116" min="6910" max="6910"/>
    <col width="10.1640625" customWidth="1" style="116" min="6911" max="6912"/>
    <col width="10" customWidth="1" style="116" min="6913" max="6913"/>
    <col width="10.33203125" customWidth="1" style="116" min="6914" max="6914"/>
    <col width="9.1640625" customWidth="1" style="116" min="6915" max="6925"/>
    <col width="11.33203125" customWidth="1" style="116" min="6926" max="6926"/>
    <col hidden="1" width="13" customWidth="1" style="116" min="6927" max="6947"/>
    <col width="9.1640625" customWidth="1" style="116" min="6948" max="7153"/>
    <col width="28.6640625" customWidth="1" style="116" min="7154" max="7154"/>
    <col width="9" bestFit="1" customWidth="1" style="116" min="7155" max="7155"/>
    <col width="5.33203125" customWidth="1" style="116" min="7156" max="7156"/>
    <col width="9" bestFit="1" customWidth="1" style="116" min="7157" max="7157"/>
    <col width="5.33203125" customWidth="1" style="116" min="7158" max="7158"/>
    <col width="9" bestFit="1" customWidth="1" style="116" min="7159" max="7159"/>
    <col width="5" customWidth="1" style="116" min="7160" max="7160"/>
    <col width="9" bestFit="1" customWidth="1" style="116" min="7161" max="7161"/>
    <col width="5.1640625" customWidth="1" style="116" min="7162" max="7162"/>
    <col width="9.1640625" customWidth="1" style="116" min="7163" max="7163"/>
    <col width="6" customWidth="1" style="116" min="7164" max="7164"/>
    <col width="9.1640625" customWidth="1" style="116" min="7165" max="7165"/>
    <col width="6" customWidth="1" style="116" min="7166" max="7166"/>
    <col width="10.1640625" customWidth="1" style="116" min="7167" max="7168"/>
    <col width="10" customWidth="1" style="116" min="7169" max="7169"/>
    <col width="10.33203125" customWidth="1" style="116" min="7170" max="7170"/>
    <col width="9.1640625" customWidth="1" style="116" min="7171" max="7181"/>
    <col width="11.33203125" customWidth="1" style="116" min="7182" max="7182"/>
    <col hidden="1" width="13" customWidth="1" style="116" min="7183" max="7203"/>
    <col width="9.1640625" customWidth="1" style="116" min="7204" max="7409"/>
    <col width="28.6640625" customWidth="1" style="116" min="7410" max="7410"/>
    <col width="9" bestFit="1" customWidth="1" style="116" min="7411" max="7411"/>
    <col width="5.33203125" customWidth="1" style="116" min="7412" max="7412"/>
    <col width="9" bestFit="1" customWidth="1" style="116" min="7413" max="7413"/>
    <col width="5.33203125" customWidth="1" style="116" min="7414" max="7414"/>
    <col width="9" bestFit="1" customWidth="1" style="116" min="7415" max="7415"/>
    <col width="5" customWidth="1" style="116" min="7416" max="7416"/>
    <col width="9" bestFit="1" customWidth="1" style="116" min="7417" max="7417"/>
    <col width="5.1640625" customWidth="1" style="116" min="7418" max="7418"/>
    <col width="9.1640625" customWidth="1" style="116" min="7419" max="7419"/>
    <col width="6" customWidth="1" style="116" min="7420" max="7420"/>
    <col width="9.1640625" customWidth="1" style="116" min="7421" max="7421"/>
    <col width="6" customWidth="1" style="116" min="7422" max="7422"/>
    <col width="10.1640625" customWidth="1" style="116" min="7423" max="7424"/>
    <col width="10" customWidth="1" style="116" min="7425" max="7425"/>
    <col width="10.33203125" customWidth="1" style="116" min="7426" max="7426"/>
    <col width="9.1640625" customWidth="1" style="116" min="7427" max="7437"/>
    <col width="11.33203125" customWidth="1" style="116" min="7438" max="7438"/>
    <col hidden="1" width="13" customWidth="1" style="116" min="7439" max="7459"/>
    <col width="9.1640625" customWidth="1" style="116" min="7460" max="7665"/>
    <col width="28.6640625" customWidth="1" style="116" min="7666" max="7666"/>
    <col width="9" bestFit="1" customWidth="1" style="116" min="7667" max="7667"/>
    <col width="5.33203125" customWidth="1" style="116" min="7668" max="7668"/>
    <col width="9" bestFit="1" customWidth="1" style="116" min="7669" max="7669"/>
    <col width="5.33203125" customWidth="1" style="116" min="7670" max="7670"/>
    <col width="9" bestFit="1" customWidth="1" style="116" min="7671" max="7671"/>
    <col width="5" customWidth="1" style="116" min="7672" max="7672"/>
    <col width="9" bestFit="1" customWidth="1" style="116" min="7673" max="7673"/>
    <col width="5.1640625" customWidth="1" style="116" min="7674" max="7674"/>
    <col width="9.1640625" customWidth="1" style="116" min="7675" max="7675"/>
    <col width="6" customWidth="1" style="116" min="7676" max="7676"/>
    <col width="9.1640625" customWidth="1" style="116" min="7677" max="7677"/>
    <col width="6" customWidth="1" style="116" min="7678" max="7678"/>
    <col width="10.1640625" customWidth="1" style="116" min="7679" max="7680"/>
    <col width="10" customWidth="1" style="116" min="7681" max="7681"/>
    <col width="10.33203125" customWidth="1" style="116" min="7682" max="7682"/>
    <col width="9.1640625" customWidth="1" style="116" min="7683" max="7693"/>
    <col width="11.33203125" customWidth="1" style="116" min="7694" max="7694"/>
    <col hidden="1" width="13" customWidth="1" style="116" min="7695" max="7715"/>
    <col width="9.1640625" customWidth="1" style="116" min="7716" max="7921"/>
    <col width="28.6640625" customWidth="1" style="116" min="7922" max="7922"/>
    <col width="9" bestFit="1" customWidth="1" style="116" min="7923" max="7923"/>
    <col width="5.33203125" customWidth="1" style="116" min="7924" max="7924"/>
    <col width="9" bestFit="1" customWidth="1" style="116" min="7925" max="7925"/>
    <col width="5.33203125" customWidth="1" style="116" min="7926" max="7926"/>
    <col width="9" bestFit="1" customWidth="1" style="116" min="7927" max="7927"/>
    <col width="5" customWidth="1" style="116" min="7928" max="7928"/>
    <col width="9" bestFit="1" customWidth="1" style="116" min="7929" max="7929"/>
    <col width="5.1640625" customWidth="1" style="116" min="7930" max="7930"/>
    <col width="9.1640625" customWidth="1" style="116" min="7931" max="7931"/>
    <col width="6" customWidth="1" style="116" min="7932" max="7932"/>
    <col width="9.1640625" customWidth="1" style="116" min="7933" max="7933"/>
    <col width="6" customWidth="1" style="116" min="7934" max="7934"/>
    <col width="10.1640625" customWidth="1" style="116" min="7935" max="7936"/>
    <col width="10" customWidth="1" style="116" min="7937" max="7937"/>
    <col width="10.33203125" customWidth="1" style="116" min="7938" max="7938"/>
    <col width="9.1640625" customWidth="1" style="116" min="7939" max="7949"/>
    <col width="11.33203125" customWidth="1" style="116" min="7950" max="7950"/>
    <col hidden="1" width="13" customWidth="1" style="116" min="7951" max="7971"/>
    <col width="9.1640625" customWidth="1" style="116" min="7972" max="8177"/>
    <col width="28.6640625" customWidth="1" style="116" min="8178" max="8178"/>
    <col width="9" bestFit="1" customWidth="1" style="116" min="8179" max="8179"/>
    <col width="5.33203125" customWidth="1" style="116" min="8180" max="8180"/>
    <col width="9" bestFit="1" customWidth="1" style="116" min="8181" max="8181"/>
    <col width="5.33203125" customWidth="1" style="116" min="8182" max="8182"/>
    <col width="9" bestFit="1" customWidth="1" style="116" min="8183" max="8183"/>
    <col width="5" customWidth="1" style="116" min="8184" max="8184"/>
    <col width="9" bestFit="1" customWidth="1" style="116" min="8185" max="8185"/>
    <col width="5.1640625" customWidth="1" style="116" min="8186" max="8186"/>
    <col width="9.1640625" customWidth="1" style="116" min="8187" max="8187"/>
    <col width="6" customWidth="1" style="116" min="8188" max="8188"/>
    <col width="9.1640625" customWidth="1" style="116" min="8189" max="8189"/>
    <col width="6" customWidth="1" style="116" min="8190" max="8190"/>
    <col width="10.1640625" customWidth="1" style="116" min="8191" max="8192"/>
    <col width="10" customWidth="1" style="116" min="8193" max="8193"/>
    <col width="10.33203125" customWidth="1" style="116" min="8194" max="8194"/>
    <col width="9.1640625" customWidth="1" style="116" min="8195" max="8205"/>
    <col width="11.33203125" customWidth="1" style="116" min="8206" max="8206"/>
    <col hidden="1" width="13" customWidth="1" style="116" min="8207" max="8227"/>
    <col width="9.1640625" customWidth="1" style="116" min="8228" max="8433"/>
    <col width="28.6640625" customWidth="1" style="116" min="8434" max="8434"/>
    <col width="9" bestFit="1" customWidth="1" style="116" min="8435" max="8435"/>
    <col width="5.33203125" customWidth="1" style="116" min="8436" max="8436"/>
    <col width="9" bestFit="1" customWidth="1" style="116" min="8437" max="8437"/>
    <col width="5.33203125" customWidth="1" style="116" min="8438" max="8438"/>
    <col width="9" bestFit="1" customWidth="1" style="116" min="8439" max="8439"/>
    <col width="5" customWidth="1" style="116" min="8440" max="8440"/>
    <col width="9" bestFit="1" customWidth="1" style="116" min="8441" max="8441"/>
    <col width="5.1640625" customWidth="1" style="116" min="8442" max="8442"/>
    <col width="9.1640625" customWidth="1" style="116" min="8443" max="8443"/>
    <col width="6" customWidth="1" style="116" min="8444" max="8444"/>
    <col width="9.1640625" customWidth="1" style="116" min="8445" max="8445"/>
    <col width="6" customWidth="1" style="116" min="8446" max="8446"/>
    <col width="10.1640625" customWidth="1" style="116" min="8447" max="8448"/>
    <col width="10" customWidth="1" style="116" min="8449" max="8449"/>
    <col width="10.33203125" customWidth="1" style="116" min="8450" max="8450"/>
    <col width="9.1640625" customWidth="1" style="116" min="8451" max="8461"/>
    <col width="11.33203125" customWidth="1" style="116" min="8462" max="8462"/>
    <col hidden="1" width="13" customWidth="1" style="116" min="8463" max="8483"/>
    <col width="9.1640625" customWidth="1" style="116" min="8484" max="8689"/>
    <col width="28.6640625" customWidth="1" style="116" min="8690" max="8690"/>
    <col width="9" bestFit="1" customWidth="1" style="116" min="8691" max="8691"/>
    <col width="5.33203125" customWidth="1" style="116" min="8692" max="8692"/>
    <col width="9" bestFit="1" customWidth="1" style="116" min="8693" max="8693"/>
    <col width="5.33203125" customWidth="1" style="116" min="8694" max="8694"/>
    <col width="9" bestFit="1" customWidth="1" style="116" min="8695" max="8695"/>
    <col width="5" customWidth="1" style="116" min="8696" max="8696"/>
    <col width="9" bestFit="1" customWidth="1" style="116" min="8697" max="8697"/>
    <col width="5.1640625" customWidth="1" style="116" min="8698" max="8698"/>
    <col width="9.1640625" customWidth="1" style="116" min="8699" max="8699"/>
    <col width="6" customWidth="1" style="116" min="8700" max="8700"/>
    <col width="9.1640625" customWidth="1" style="116" min="8701" max="8701"/>
    <col width="6" customWidth="1" style="116" min="8702" max="8702"/>
    <col width="10.1640625" customWidth="1" style="116" min="8703" max="8704"/>
    <col width="10" customWidth="1" style="116" min="8705" max="8705"/>
    <col width="10.33203125" customWidth="1" style="116" min="8706" max="8706"/>
    <col width="9.1640625" customWidth="1" style="116" min="8707" max="8717"/>
    <col width="11.33203125" customWidth="1" style="116" min="8718" max="8718"/>
    <col hidden="1" width="13" customWidth="1" style="116" min="8719" max="8739"/>
    <col width="9.1640625" customWidth="1" style="116" min="8740" max="8945"/>
    <col width="28.6640625" customWidth="1" style="116" min="8946" max="8946"/>
    <col width="9" bestFit="1" customWidth="1" style="116" min="8947" max="8947"/>
    <col width="5.33203125" customWidth="1" style="116" min="8948" max="8948"/>
    <col width="9" bestFit="1" customWidth="1" style="116" min="8949" max="8949"/>
    <col width="5.33203125" customWidth="1" style="116" min="8950" max="8950"/>
    <col width="9" bestFit="1" customWidth="1" style="116" min="8951" max="8951"/>
    <col width="5" customWidth="1" style="116" min="8952" max="8952"/>
    <col width="9" bestFit="1" customWidth="1" style="116" min="8953" max="8953"/>
    <col width="5.1640625" customWidth="1" style="116" min="8954" max="8954"/>
    <col width="9.1640625" customWidth="1" style="116" min="8955" max="8955"/>
    <col width="6" customWidth="1" style="116" min="8956" max="8956"/>
    <col width="9.1640625" customWidth="1" style="116" min="8957" max="8957"/>
    <col width="6" customWidth="1" style="116" min="8958" max="8958"/>
    <col width="10.1640625" customWidth="1" style="116" min="8959" max="8960"/>
    <col width="10" customWidth="1" style="116" min="8961" max="8961"/>
    <col width="10.33203125" customWidth="1" style="116" min="8962" max="8962"/>
    <col width="9.1640625" customWidth="1" style="116" min="8963" max="8973"/>
    <col width="11.33203125" customWidth="1" style="116" min="8974" max="8974"/>
    <col hidden="1" width="13" customWidth="1" style="116" min="8975" max="8995"/>
    <col width="9.1640625" customWidth="1" style="116" min="8996" max="9201"/>
    <col width="28.6640625" customWidth="1" style="116" min="9202" max="9202"/>
    <col width="9" bestFit="1" customWidth="1" style="116" min="9203" max="9203"/>
    <col width="5.33203125" customWidth="1" style="116" min="9204" max="9204"/>
    <col width="9" bestFit="1" customWidth="1" style="116" min="9205" max="9205"/>
    <col width="5.33203125" customWidth="1" style="116" min="9206" max="9206"/>
    <col width="9" bestFit="1" customWidth="1" style="116" min="9207" max="9207"/>
    <col width="5" customWidth="1" style="116" min="9208" max="9208"/>
    <col width="9" bestFit="1" customWidth="1" style="116" min="9209" max="9209"/>
    <col width="5.1640625" customWidth="1" style="116" min="9210" max="9210"/>
    <col width="9.1640625" customWidth="1" style="116" min="9211" max="9211"/>
    <col width="6" customWidth="1" style="116" min="9212" max="9212"/>
    <col width="9.1640625" customWidth="1" style="116" min="9213" max="9213"/>
    <col width="6" customWidth="1" style="116" min="9214" max="9214"/>
    <col width="10.1640625" customWidth="1" style="116" min="9215" max="9216"/>
    <col width="10" customWidth="1" style="116" min="9217" max="9217"/>
    <col width="10.33203125" customWidth="1" style="116" min="9218" max="9218"/>
    <col width="9.1640625" customWidth="1" style="116" min="9219" max="9229"/>
    <col width="11.33203125" customWidth="1" style="116" min="9230" max="9230"/>
    <col hidden="1" width="13" customWidth="1" style="116" min="9231" max="9251"/>
    <col width="9.1640625" customWidth="1" style="116" min="9252" max="9457"/>
    <col width="28.6640625" customWidth="1" style="116" min="9458" max="9458"/>
    <col width="9" bestFit="1" customWidth="1" style="116" min="9459" max="9459"/>
    <col width="5.33203125" customWidth="1" style="116" min="9460" max="9460"/>
    <col width="9" bestFit="1" customWidth="1" style="116" min="9461" max="9461"/>
    <col width="5.33203125" customWidth="1" style="116" min="9462" max="9462"/>
    <col width="9" bestFit="1" customWidth="1" style="116" min="9463" max="9463"/>
    <col width="5" customWidth="1" style="116" min="9464" max="9464"/>
    <col width="9" bestFit="1" customWidth="1" style="116" min="9465" max="9465"/>
    <col width="5.1640625" customWidth="1" style="116" min="9466" max="9466"/>
    <col width="9.1640625" customWidth="1" style="116" min="9467" max="9467"/>
    <col width="6" customWidth="1" style="116" min="9468" max="9468"/>
    <col width="9.1640625" customWidth="1" style="116" min="9469" max="9469"/>
    <col width="6" customWidth="1" style="116" min="9470" max="9470"/>
    <col width="10.1640625" customWidth="1" style="116" min="9471" max="9472"/>
    <col width="10" customWidth="1" style="116" min="9473" max="9473"/>
    <col width="10.33203125" customWidth="1" style="116" min="9474" max="9474"/>
    <col width="9.1640625" customWidth="1" style="116" min="9475" max="9485"/>
    <col width="11.33203125" customWidth="1" style="116" min="9486" max="9486"/>
    <col hidden="1" width="13" customWidth="1" style="116" min="9487" max="9507"/>
    <col width="9.1640625" customWidth="1" style="116" min="9508" max="9713"/>
    <col width="28.6640625" customWidth="1" style="116" min="9714" max="9714"/>
    <col width="9" bestFit="1" customWidth="1" style="116" min="9715" max="9715"/>
    <col width="5.33203125" customWidth="1" style="116" min="9716" max="9716"/>
    <col width="9" bestFit="1" customWidth="1" style="116" min="9717" max="9717"/>
    <col width="5.33203125" customWidth="1" style="116" min="9718" max="9718"/>
    <col width="9" bestFit="1" customWidth="1" style="116" min="9719" max="9719"/>
    <col width="5" customWidth="1" style="116" min="9720" max="9720"/>
    <col width="9" bestFit="1" customWidth="1" style="116" min="9721" max="9721"/>
    <col width="5.1640625" customWidth="1" style="116" min="9722" max="9722"/>
    <col width="9.1640625" customWidth="1" style="116" min="9723" max="9723"/>
    <col width="6" customWidth="1" style="116" min="9724" max="9724"/>
    <col width="9.1640625" customWidth="1" style="116" min="9725" max="9725"/>
    <col width="6" customWidth="1" style="116" min="9726" max="9726"/>
    <col width="10.1640625" customWidth="1" style="116" min="9727" max="9728"/>
    <col width="10" customWidth="1" style="116" min="9729" max="9729"/>
    <col width="10.33203125" customWidth="1" style="116" min="9730" max="9730"/>
    <col width="9.1640625" customWidth="1" style="116" min="9731" max="9741"/>
    <col width="11.33203125" customWidth="1" style="116" min="9742" max="9742"/>
    <col hidden="1" width="13" customWidth="1" style="116" min="9743" max="9763"/>
    <col width="9.1640625" customWidth="1" style="116" min="9764" max="9969"/>
    <col width="28.6640625" customWidth="1" style="116" min="9970" max="9970"/>
    <col width="9" bestFit="1" customWidth="1" style="116" min="9971" max="9971"/>
    <col width="5.33203125" customWidth="1" style="116" min="9972" max="9972"/>
    <col width="9" bestFit="1" customWidth="1" style="116" min="9973" max="9973"/>
    <col width="5.33203125" customWidth="1" style="116" min="9974" max="9974"/>
    <col width="9" bestFit="1" customWidth="1" style="116" min="9975" max="9975"/>
    <col width="5" customWidth="1" style="116" min="9976" max="9976"/>
    <col width="9" bestFit="1" customWidth="1" style="116" min="9977" max="9977"/>
    <col width="5.1640625" customWidth="1" style="116" min="9978" max="9978"/>
    <col width="9.1640625" customWidth="1" style="116" min="9979" max="9979"/>
    <col width="6" customWidth="1" style="116" min="9980" max="9980"/>
    <col width="9.1640625" customWidth="1" style="116" min="9981" max="9981"/>
    <col width="6" customWidth="1" style="116" min="9982" max="9982"/>
    <col width="10.1640625" customWidth="1" style="116" min="9983" max="9984"/>
    <col width="10" customWidth="1" style="116" min="9985" max="9985"/>
    <col width="10.33203125" customWidth="1" style="116" min="9986" max="9986"/>
    <col width="9.1640625" customWidth="1" style="116" min="9987" max="9997"/>
    <col width="11.33203125" customWidth="1" style="116" min="9998" max="9998"/>
    <col hidden="1" width="13" customWidth="1" style="116" min="9999" max="10019"/>
    <col width="9.1640625" customWidth="1" style="116" min="10020" max="10225"/>
    <col width="28.6640625" customWidth="1" style="116" min="10226" max="10226"/>
    <col width="9" bestFit="1" customWidth="1" style="116" min="10227" max="10227"/>
    <col width="5.33203125" customWidth="1" style="116" min="10228" max="10228"/>
    <col width="9" bestFit="1" customWidth="1" style="116" min="10229" max="10229"/>
    <col width="5.33203125" customWidth="1" style="116" min="10230" max="10230"/>
    <col width="9" bestFit="1" customWidth="1" style="116" min="10231" max="10231"/>
    <col width="5" customWidth="1" style="116" min="10232" max="10232"/>
    <col width="9" bestFit="1" customWidth="1" style="116" min="10233" max="10233"/>
    <col width="5.1640625" customWidth="1" style="116" min="10234" max="10234"/>
    <col width="9.1640625" customWidth="1" style="116" min="10235" max="10235"/>
    <col width="6" customWidth="1" style="116" min="10236" max="10236"/>
    <col width="9.1640625" customWidth="1" style="116" min="10237" max="10237"/>
    <col width="6" customWidth="1" style="116" min="10238" max="10238"/>
    <col width="10.1640625" customWidth="1" style="116" min="10239" max="10240"/>
    <col width="10" customWidth="1" style="116" min="10241" max="10241"/>
    <col width="10.33203125" customWidth="1" style="116" min="10242" max="10242"/>
    <col width="9.1640625" customWidth="1" style="116" min="10243" max="10253"/>
    <col width="11.33203125" customWidth="1" style="116" min="10254" max="10254"/>
    <col hidden="1" width="13" customWidth="1" style="116" min="10255" max="10275"/>
    <col width="9.1640625" customWidth="1" style="116" min="10276" max="10481"/>
    <col width="28.6640625" customWidth="1" style="116" min="10482" max="10482"/>
    <col width="9" bestFit="1" customWidth="1" style="116" min="10483" max="10483"/>
    <col width="5.33203125" customWidth="1" style="116" min="10484" max="10484"/>
    <col width="9" bestFit="1" customWidth="1" style="116" min="10485" max="10485"/>
    <col width="5.33203125" customWidth="1" style="116" min="10486" max="10486"/>
    <col width="9" bestFit="1" customWidth="1" style="116" min="10487" max="10487"/>
    <col width="5" customWidth="1" style="116" min="10488" max="10488"/>
    <col width="9" bestFit="1" customWidth="1" style="116" min="10489" max="10489"/>
    <col width="5.1640625" customWidth="1" style="116" min="10490" max="10490"/>
    <col width="9.1640625" customWidth="1" style="116" min="10491" max="10491"/>
    <col width="6" customWidth="1" style="116" min="10492" max="10492"/>
    <col width="9.1640625" customWidth="1" style="116" min="10493" max="10493"/>
    <col width="6" customWidth="1" style="116" min="10494" max="10494"/>
    <col width="10.1640625" customWidth="1" style="116" min="10495" max="10496"/>
    <col width="10" customWidth="1" style="116" min="10497" max="10497"/>
    <col width="10.33203125" customWidth="1" style="116" min="10498" max="10498"/>
    <col width="9.1640625" customWidth="1" style="116" min="10499" max="10509"/>
    <col width="11.33203125" customWidth="1" style="116" min="10510" max="10510"/>
    <col hidden="1" width="13" customWidth="1" style="116" min="10511" max="10531"/>
    <col width="9.1640625" customWidth="1" style="116" min="10532" max="10737"/>
    <col width="28.6640625" customWidth="1" style="116" min="10738" max="10738"/>
    <col width="9" bestFit="1" customWidth="1" style="116" min="10739" max="10739"/>
    <col width="5.33203125" customWidth="1" style="116" min="10740" max="10740"/>
    <col width="9" bestFit="1" customWidth="1" style="116" min="10741" max="10741"/>
    <col width="5.33203125" customWidth="1" style="116" min="10742" max="10742"/>
    <col width="9" bestFit="1" customWidth="1" style="116" min="10743" max="10743"/>
    <col width="5" customWidth="1" style="116" min="10744" max="10744"/>
    <col width="9" bestFit="1" customWidth="1" style="116" min="10745" max="10745"/>
    <col width="5.1640625" customWidth="1" style="116" min="10746" max="10746"/>
    <col width="9.1640625" customWidth="1" style="116" min="10747" max="10747"/>
    <col width="6" customWidth="1" style="116" min="10748" max="10748"/>
    <col width="9.1640625" customWidth="1" style="116" min="10749" max="10749"/>
    <col width="6" customWidth="1" style="116" min="10750" max="10750"/>
    <col width="10.1640625" customWidth="1" style="116" min="10751" max="10752"/>
    <col width="10" customWidth="1" style="116" min="10753" max="10753"/>
    <col width="10.33203125" customWidth="1" style="116" min="10754" max="10754"/>
    <col width="9.1640625" customWidth="1" style="116" min="10755" max="10765"/>
    <col width="11.33203125" customWidth="1" style="116" min="10766" max="10766"/>
    <col hidden="1" width="13" customWidth="1" style="116" min="10767" max="10787"/>
    <col width="9.1640625" customWidth="1" style="116" min="10788" max="10993"/>
    <col width="28.6640625" customWidth="1" style="116" min="10994" max="10994"/>
    <col width="9" bestFit="1" customWidth="1" style="116" min="10995" max="10995"/>
    <col width="5.33203125" customWidth="1" style="116" min="10996" max="10996"/>
    <col width="9" bestFit="1" customWidth="1" style="116" min="10997" max="10997"/>
    <col width="5.33203125" customWidth="1" style="116" min="10998" max="10998"/>
    <col width="9" bestFit="1" customWidth="1" style="116" min="10999" max="10999"/>
    <col width="5" customWidth="1" style="116" min="11000" max="11000"/>
    <col width="9" bestFit="1" customWidth="1" style="116" min="11001" max="11001"/>
    <col width="5.1640625" customWidth="1" style="116" min="11002" max="11002"/>
    <col width="9.1640625" customWidth="1" style="116" min="11003" max="11003"/>
    <col width="6" customWidth="1" style="116" min="11004" max="11004"/>
    <col width="9.1640625" customWidth="1" style="116" min="11005" max="11005"/>
    <col width="6" customWidth="1" style="116" min="11006" max="11006"/>
    <col width="10.1640625" customWidth="1" style="116" min="11007" max="11008"/>
    <col width="10" customWidth="1" style="116" min="11009" max="11009"/>
    <col width="10.33203125" customWidth="1" style="116" min="11010" max="11010"/>
    <col width="9.1640625" customWidth="1" style="116" min="11011" max="11021"/>
    <col width="11.33203125" customWidth="1" style="116" min="11022" max="11022"/>
    <col hidden="1" width="13" customWidth="1" style="116" min="11023" max="11043"/>
    <col width="9.1640625" customWidth="1" style="116" min="11044" max="11249"/>
    <col width="28.6640625" customWidth="1" style="116" min="11250" max="11250"/>
    <col width="9" bestFit="1" customWidth="1" style="116" min="11251" max="11251"/>
    <col width="5.33203125" customWidth="1" style="116" min="11252" max="11252"/>
    <col width="9" bestFit="1" customWidth="1" style="116" min="11253" max="11253"/>
    <col width="5.33203125" customWidth="1" style="116" min="11254" max="11254"/>
    <col width="9" bestFit="1" customWidth="1" style="116" min="11255" max="11255"/>
    <col width="5" customWidth="1" style="116" min="11256" max="11256"/>
    <col width="9" bestFit="1" customWidth="1" style="116" min="11257" max="11257"/>
    <col width="5.1640625" customWidth="1" style="116" min="11258" max="11258"/>
    <col width="9.1640625" customWidth="1" style="116" min="11259" max="11259"/>
    <col width="6" customWidth="1" style="116" min="11260" max="11260"/>
    <col width="9.1640625" customWidth="1" style="116" min="11261" max="11261"/>
    <col width="6" customWidth="1" style="116" min="11262" max="11262"/>
    <col width="10.1640625" customWidth="1" style="116" min="11263" max="11264"/>
    <col width="10" customWidth="1" style="116" min="11265" max="11265"/>
    <col width="10.33203125" customWidth="1" style="116" min="11266" max="11266"/>
    <col width="9.1640625" customWidth="1" style="116" min="11267" max="11277"/>
    <col width="11.33203125" customWidth="1" style="116" min="11278" max="11278"/>
    <col hidden="1" width="13" customWidth="1" style="116" min="11279" max="11299"/>
    <col width="9.1640625" customWidth="1" style="116" min="11300" max="11505"/>
    <col width="28.6640625" customWidth="1" style="116" min="11506" max="11506"/>
    <col width="9" bestFit="1" customWidth="1" style="116" min="11507" max="11507"/>
    <col width="5.33203125" customWidth="1" style="116" min="11508" max="11508"/>
    <col width="9" bestFit="1" customWidth="1" style="116" min="11509" max="11509"/>
    <col width="5.33203125" customWidth="1" style="116" min="11510" max="11510"/>
    <col width="9" bestFit="1" customWidth="1" style="116" min="11511" max="11511"/>
    <col width="5" customWidth="1" style="116" min="11512" max="11512"/>
    <col width="9" bestFit="1" customWidth="1" style="116" min="11513" max="11513"/>
    <col width="5.1640625" customWidth="1" style="116" min="11514" max="11514"/>
    <col width="9.1640625" customWidth="1" style="116" min="11515" max="11515"/>
    <col width="6" customWidth="1" style="116" min="11516" max="11516"/>
    <col width="9.1640625" customWidth="1" style="116" min="11517" max="11517"/>
    <col width="6" customWidth="1" style="116" min="11518" max="11518"/>
    <col width="10.1640625" customWidth="1" style="116" min="11519" max="11520"/>
    <col width="10" customWidth="1" style="116" min="11521" max="11521"/>
    <col width="10.33203125" customWidth="1" style="116" min="11522" max="11522"/>
    <col width="9.1640625" customWidth="1" style="116" min="11523" max="11533"/>
    <col width="11.33203125" customWidth="1" style="116" min="11534" max="11534"/>
    <col hidden="1" width="13" customWidth="1" style="116" min="11535" max="11555"/>
    <col width="9.1640625" customWidth="1" style="116" min="11556" max="11761"/>
    <col width="28.6640625" customWidth="1" style="116" min="11762" max="11762"/>
    <col width="9" bestFit="1" customWidth="1" style="116" min="11763" max="11763"/>
    <col width="5.33203125" customWidth="1" style="116" min="11764" max="11764"/>
    <col width="9" bestFit="1" customWidth="1" style="116" min="11765" max="11765"/>
    <col width="5.33203125" customWidth="1" style="116" min="11766" max="11766"/>
    <col width="9" bestFit="1" customWidth="1" style="116" min="11767" max="11767"/>
    <col width="5" customWidth="1" style="116" min="11768" max="11768"/>
    <col width="9" bestFit="1" customWidth="1" style="116" min="11769" max="11769"/>
    <col width="5.1640625" customWidth="1" style="116" min="11770" max="11770"/>
    <col width="9.1640625" customWidth="1" style="116" min="11771" max="11771"/>
    <col width="6" customWidth="1" style="116" min="11772" max="11772"/>
    <col width="9.1640625" customWidth="1" style="116" min="11773" max="11773"/>
    <col width="6" customWidth="1" style="116" min="11774" max="11774"/>
    <col width="10.1640625" customWidth="1" style="116" min="11775" max="11776"/>
    <col width="10" customWidth="1" style="116" min="11777" max="11777"/>
    <col width="10.33203125" customWidth="1" style="116" min="11778" max="11778"/>
    <col width="9.1640625" customWidth="1" style="116" min="11779" max="11789"/>
    <col width="11.33203125" customWidth="1" style="116" min="11790" max="11790"/>
    <col hidden="1" width="13" customWidth="1" style="116" min="11791" max="11811"/>
    <col width="9.1640625" customWidth="1" style="116" min="11812" max="12017"/>
    <col width="28.6640625" customWidth="1" style="116" min="12018" max="12018"/>
    <col width="9" bestFit="1" customWidth="1" style="116" min="12019" max="12019"/>
    <col width="5.33203125" customWidth="1" style="116" min="12020" max="12020"/>
    <col width="9" bestFit="1" customWidth="1" style="116" min="12021" max="12021"/>
    <col width="5.33203125" customWidth="1" style="116" min="12022" max="12022"/>
    <col width="9" bestFit="1" customWidth="1" style="116" min="12023" max="12023"/>
    <col width="5" customWidth="1" style="116" min="12024" max="12024"/>
    <col width="9" bestFit="1" customWidth="1" style="116" min="12025" max="12025"/>
    <col width="5.1640625" customWidth="1" style="116" min="12026" max="12026"/>
    <col width="9.1640625" customWidth="1" style="116" min="12027" max="12027"/>
    <col width="6" customWidth="1" style="116" min="12028" max="12028"/>
    <col width="9.1640625" customWidth="1" style="116" min="12029" max="12029"/>
    <col width="6" customWidth="1" style="116" min="12030" max="12030"/>
    <col width="10.1640625" customWidth="1" style="116" min="12031" max="12032"/>
    <col width="10" customWidth="1" style="116" min="12033" max="12033"/>
    <col width="10.33203125" customWidth="1" style="116" min="12034" max="12034"/>
    <col width="9.1640625" customWidth="1" style="116" min="12035" max="12045"/>
    <col width="11.33203125" customWidth="1" style="116" min="12046" max="12046"/>
    <col hidden="1" width="13" customWidth="1" style="116" min="12047" max="12067"/>
    <col width="9.1640625" customWidth="1" style="116" min="12068" max="12273"/>
    <col width="28.6640625" customWidth="1" style="116" min="12274" max="12274"/>
    <col width="9" bestFit="1" customWidth="1" style="116" min="12275" max="12275"/>
    <col width="5.33203125" customWidth="1" style="116" min="12276" max="12276"/>
    <col width="9" bestFit="1" customWidth="1" style="116" min="12277" max="12277"/>
    <col width="5.33203125" customWidth="1" style="116" min="12278" max="12278"/>
    <col width="9" bestFit="1" customWidth="1" style="116" min="12279" max="12279"/>
    <col width="5" customWidth="1" style="116" min="12280" max="12280"/>
    <col width="9" bestFit="1" customWidth="1" style="116" min="12281" max="12281"/>
    <col width="5.1640625" customWidth="1" style="116" min="12282" max="12282"/>
    <col width="9.1640625" customWidth="1" style="116" min="12283" max="12283"/>
    <col width="6" customWidth="1" style="116" min="12284" max="12284"/>
    <col width="9.1640625" customWidth="1" style="116" min="12285" max="12285"/>
    <col width="6" customWidth="1" style="116" min="12286" max="12286"/>
    <col width="10.1640625" customWidth="1" style="116" min="12287" max="12288"/>
    <col width="10" customWidth="1" style="116" min="12289" max="12289"/>
    <col width="10.33203125" customWidth="1" style="116" min="12290" max="12290"/>
    <col width="9.1640625" customWidth="1" style="116" min="12291" max="12301"/>
    <col width="11.33203125" customWidth="1" style="116" min="12302" max="12302"/>
    <col hidden="1" width="13" customWidth="1" style="116" min="12303" max="12323"/>
    <col width="9.1640625" customWidth="1" style="116" min="12324" max="12529"/>
    <col width="28.6640625" customWidth="1" style="116" min="12530" max="12530"/>
    <col width="9" bestFit="1" customWidth="1" style="116" min="12531" max="12531"/>
    <col width="5.33203125" customWidth="1" style="116" min="12532" max="12532"/>
    <col width="9" bestFit="1" customWidth="1" style="116" min="12533" max="12533"/>
    <col width="5.33203125" customWidth="1" style="116" min="12534" max="12534"/>
    <col width="9" bestFit="1" customWidth="1" style="116" min="12535" max="12535"/>
    <col width="5" customWidth="1" style="116" min="12536" max="12536"/>
    <col width="9" bestFit="1" customWidth="1" style="116" min="12537" max="12537"/>
    <col width="5.1640625" customWidth="1" style="116" min="12538" max="12538"/>
    <col width="9.1640625" customWidth="1" style="116" min="12539" max="12539"/>
    <col width="6" customWidth="1" style="116" min="12540" max="12540"/>
    <col width="9.1640625" customWidth="1" style="116" min="12541" max="12541"/>
    <col width="6" customWidth="1" style="116" min="12542" max="12542"/>
    <col width="10.1640625" customWidth="1" style="116" min="12543" max="12544"/>
    <col width="10" customWidth="1" style="116" min="12545" max="12545"/>
    <col width="10.33203125" customWidth="1" style="116" min="12546" max="12546"/>
    <col width="9.1640625" customWidth="1" style="116" min="12547" max="12557"/>
    <col width="11.33203125" customWidth="1" style="116" min="12558" max="12558"/>
    <col hidden="1" width="13" customWidth="1" style="116" min="12559" max="12579"/>
    <col width="9.1640625" customWidth="1" style="116" min="12580" max="12785"/>
    <col width="28.6640625" customWidth="1" style="116" min="12786" max="12786"/>
    <col width="9" bestFit="1" customWidth="1" style="116" min="12787" max="12787"/>
    <col width="5.33203125" customWidth="1" style="116" min="12788" max="12788"/>
    <col width="9" bestFit="1" customWidth="1" style="116" min="12789" max="12789"/>
    <col width="5.33203125" customWidth="1" style="116" min="12790" max="12790"/>
    <col width="9" bestFit="1" customWidth="1" style="116" min="12791" max="12791"/>
    <col width="5" customWidth="1" style="116" min="12792" max="12792"/>
    <col width="9" bestFit="1" customWidth="1" style="116" min="12793" max="12793"/>
    <col width="5.1640625" customWidth="1" style="116" min="12794" max="12794"/>
    <col width="9.1640625" customWidth="1" style="116" min="12795" max="12795"/>
    <col width="6" customWidth="1" style="116" min="12796" max="12796"/>
    <col width="9.1640625" customWidth="1" style="116" min="12797" max="12797"/>
    <col width="6" customWidth="1" style="116" min="12798" max="12798"/>
    <col width="10.1640625" customWidth="1" style="116" min="12799" max="12800"/>
    <col width="10" customWidth="1" style="116" min="12801" max="12801"/>
    <col width="10.33203125" customWidth="1" style="116" min="12802" max="12802"/>
    <col width="9.1640625" customWidth="1" style="116" min="12803" max="12813"/>
    <col width="11.33203125" customWidth="1" style="116" min="12814" max="12814"/>
    <col hidden="1" width="13" customWidth="1" style="116" min="12815" max="12835"/>
    <col width="9.1640625" customWidth="1" style="116" min="12836" max="13041"/>
    <col width="28.6640625" customWidth="1" style="116" min="13042" max="13042"/>
    <col width="9" bestFit="1" customWidth="1" style="116" min="13043" max="13043"/>
    <col width="5.33203125" customWidth="1" style="116" min="13044" max="13044"/>
    <col width="9" bestFit="1" customWidth="1" style="116" min="13045" max="13045"/>
    <col width="5.33203125" customWidth="1" style="116" min="13046" max="13046"/>
    <col width="9" bestFit="1" customWidth="1" style="116" min="13047" max="13047"/>
    <col width="5" customWidth="1" style="116" min="13048" max="13048"/>
    <col width="9" bestFit="1" customWidth="1" style="116" min="13049" max="13049"/>
    <col width="5.1640625" customWidth="1" style="116" min="13050" max="13050"/>
    <col width="9.1640625" customWidth="1" style="116" min="13051" max="13051"/>
    <col width="6" customWidth="1" style="116" min="13052" max="13052"/>
    <col width="9.1640625" customWidth="1" style="116" min="13053" max="13053"/>
    <col width="6" customWidth="1" style="116" min="13054" max="13054"/>
    <col width="10.1640625" customWidth="1" style="116" min="13055" max="13056"/>
    <col width="10" customWidth="1" style="116" min="13057" max="13057"/>
    <col width="10.33203125" customWidth="1" style="116" min="13058" max="13058"/>
    <col width="9.1640625" customWidth="1" style="116" min="13059" max="13069"/>
    <col width="11.33203125" customWidth="1" style="116" min="13070" max="13070"/>
    <col hidden="1" width="13" customWidth="1" style="116" min="13071" max="13091"/>
    <col width="9.1640625" customWidth="1" style="116" min="13092" max="13297"/>
    <col width="28.6640625" customWidth="1" style="116" min="13298" max="13298"/>
    <col width="9" bestFit="1" customWidth="1" style="116" min="13299" max="13299"/>
    <col width="5.33203125" customWidth="1" style="116" min="13300" max="13300"/>
    <col width="9" bestFit="1" customWidth="1" style="116" min="13301" max="13301"/>
    <col width="5.33203125" customWidth="1" style="116" min="13302" max="13302"/>
    <col width="9" bestFit="1" customWidth="1" style="116" min="13303" max="13303"/>
    <col width="5" customWidth="1" style="116" min="13304" max="13304"/>
    <col width="9" bestFit="1" customWidth="1" style="116" min="13305" max="13305"/>
    <col width="5.1640625" customWidth="1" style="116" min="13306" max="13306"/>
    <col width="9.1640625" customWidth="1" style="116" min="13307" max="13307"/>
    <col width="6" customWidth="1" style="116" min="13308" max="13308"/>
    <col width="9.1640625" customWidth="1" style="116" min="13309" max="13309"/>
    <col width="6" customWidth="1" style="116" min="13310" max="13310"/>
    <col width="10.1640625" customWidth="1" style="116" min="13311" max="13312"/>
    <col width="10" customWidth="1" style="116" min="13313" max="13313"/>
    <col width="10.33203125" customWidth="1" style="116" min="13314" max="13314"/>
    <col width="9.1640625" customWidth="1" style="116" min="13315" max="13325"/>
    <col width="11.33203125" customWidth="1" style="116" min="13326" max="13326"/>
    <col hidden="1" width="13" customWidth="1" style="116" min="13327" max="13347"/>
    <col width="9.1640625" customWidth="1" style="116" min="13348" max="13553"/>
    <col width="28.6640625" customWidth="1" style="116" min="13554" max="13554"/>
    <col width="9" bestFit="1" customWidth="1" style="116" min="13555" max="13555"/>
    <col width="5.33203125" customWidth="1" style="116" min="13556" max="13556"/>
    <col width="9" bestFit="1" customWidth="1" style="116" min="13557" max="13557"/>
    <col width="5.33203125" customWidth="1" style="116" min="13558" max="13558"/>
    <col width="9" bestFit="1" customWidth="1" style="116" min="13559" max="13559"/>
    <col width="5" customWidth="1" style="116" min="13560" max="13560"/>
    <col width="9" bestFit="1" customWidth="1" style="116" min="13561" max="13561"/>
    <col width="5.1640625" customWidth="1" style="116" min="13562" max="13562"/>
    <col width="9.1640625" customWidth="1" style="116" min="13563" max="13563"/>
    <col width="6" customWidth="1" style="116" min="13564" max="13564"/>
    <col width="9.1640625" customWidth="1" style="116" min="13565" max="13565"/>
    <col width="6" customWidth="1" style="116" min="13566" max="13566"/>
    <col width="10.1640625" customWidth="1" style="116" min="13567" max="13568"/>
    <col width="10" customWidth="1" style="116" min="13569" max="13569"/>
    <col width="10.33203125" customWidth="1" style="116" min="13570" max="13570"/>
    <col width="9.1640625" customWidth="1" style="116" min="13571" max="13581"/>
    <col width="11.33203125" customWidth="1" style="116" min="13582" max="13582"/>
    <col hidden="1" width="13" customWidth="1" style="116" min="13583" max="13603"/>
    <col width="9.1640625" customWidth="1" style="116" min="13604" max="13809"/>
    <col width="28.6640625" customWidth="1" style="116" min="13810" max="13810"/>
    <col width="9" bestFit="1" customWidth="1" style="116" min="13811" max="13811"/>
    <col width="5.33203125" customWidth="1" style="116" min="13812" max="13812"/>
    <col width="9" bestFit="1" customWidth="1" style="116" min="13813" max="13813"/>
    <col width="5.33203125" customWidth="1" style="116" min="13814" max="13814"/>
    <col width="9" bestFit="1" customWidth="1" style="116" min="13815" max="13815"/>
    <col width="5" customWidth="1" style="116" min="13816" max="13816"/>
    <col width="9" bestFit="1" customWidth="1" style="116" min="13817" max="13817"/>
    <col width="5.1640625" customWidth="1" style="116" min="13818" max="13818"/>
    <col width="9.1640625" customWidth="1" style="116" min="13819" max="13819"/>
    <col width="6" customWidth="1" style="116" min="13820" max="13820"/>
    <col width="9.1640625" customWidth="1" style="116" min="13821" max="13821"/>
    <col width="6" customWidth="1" style="116" min="13822" max="13822"/>
    <col width="10.1640625" customWidth="1" style="116" min="13823" max="13824"/>
    <col width="10" customWidth="1" style="116" min="13825" max="13825"/>
    <col width="10.33203125" customWidth="1" style="116" min="13826" max="13826"/>
    <col width="9.1640625" customWidth="1" style="116" min="13827" max="13837"/>
    <col width="11.33203125" customWidth="1" style="116" min="13838" max="13838"/>
    <col hidden="1" width="13" customWidth="1" style="116" min="13839" max="13859"/>
    <col width="9.1640625" customWidth="1" style="116" min="13860" max="14065"/>
    <col width="28.6640625" customWidth="1" style="116" min="14066" max="14066"/>
    <col width="9" bestFit="1" customWidth="1" style="116" min="14067" max="14067"/>
    <col width="5.33203125" customWidth="1" style="116" min="14068" max="14068"/>
    <col width="9" bestFit="1" customWidth="1" style="116" min="14069" max="14069"/>
    <col width="5.33203125" customWidth="1" style="116" min="14070" max="14070"/>
    <col width="9" bestFit="1" customWidth="1" style="116" min="14071" max="14071"/>
    <col width="5" customWidth="1" style="116" min="14072" max="14072"/>
    <col width="9" bestFit="1" customWidth="1" style="116" min="14073" max="14073"/>
    <col width="5.1640625" customWidth="1" style="116" min="14074" max="14074"/>
    <col width="9.1640625" customWidth="1" style="116" min="14075" max="14075"/>
    <col width="6" customWidth="1" style="116" min="14076" max="14076"/>
    <col width="9.1640625" customWidth="1" style="116" min="14077" max="14077"/>
    <col width="6" customWidth="1" style="116" min="14078" max="14078"/>
    <col width="10.1640625" customWidth="1" style="116" min="14079" max="14080"/>
    <col width="10" customWidth="1" style="116" min="14081" max="14081"/>
    <col width="10.33203125" customWidth="1" style="116" min="14082" max="14082"/>
    <col width="9.1640625" customWidth="1" style="116" min="14083" max="14093"/>
    <col width="11.33203125" customWidth="1" style="116" min="14094" max="14094"/>
    <col hidden="1" width="13" customWidth="1" style="116" min="14095" max="14115"/>
    <col width="9.1640625" customWidth="1" style="116" min="14116" max="14321"/>
    <col width="28.6640625" customWidth="1" style="116" min="14322" max="14322"/>
    <col width="9" bestFit="1" customWidth="1" style="116" min="14323" max="14323"/>
    <col width="5.33203125" customWidth="1" style="116" min="14324" max="14324"/>
    <col width="9" bestFit="1" customWidth="1" style="116" min="14325" max="14325"/>
    <col width="5.33203125" customWidth="1" style="116" min="14326" max="14326"/>
    <col width="9" bestFit="1" customWidth="1" style="116" min="14327" max="14327"/>
    <col width="5" customWidth="1" style="116" min="14328" max="14328"/>
    <col width="9" bestFit="1" customWidth="1" style="116" min="14329" max="14329"/>
    <col width="5.1640625" customWidth="1" style="116" min="14330" max="14330"/>
    <col width="9.1640625" customWidth="1" style="116" min="14331" max="14331"/>
    <col width="6" customWidth="1" style="116" min="14332" max="14332"/>
    <col width="9.1640625" customWidth="1" style="116" min="14333" max="14333"/>
    <col width="6" customWidth="1" style="116" min="14334" max="14334"/>
    <col width="10.1640625" customWidth="1" style="116" min="14335" max="14336"/>
    <col width="10" customWidth="1" style="116" min="14337" max="14337"/>
    <col width="10.33203125" customWidth="1" style="116" min="14338" max="14338"/>
    <col width="9.1640625" customWidth="1" style="116" min="14339" max="14349"/>
    <col width="11.33203125" customWidth="1" style="116" min="14350" max="14350"/>
    <col hidden="1" width="13" customWidth="1" style="116" min="14351" max="14371"/>
    <col width="9.1640625" customWidth="1" style="116" min="14372" max="14577"/>
    <col width="28.6640625" customWidth="1" style="116" min="14578" max="14578"/>
    <col width="9" bestFit="1" customWidth="1" style="116" min="14579" max="14579"/>
    <col width="5.33203125" customWidth="1" style="116" min="14580" max="14580"/>
    <col width="9" bestFit="1" customWidth="1" style="116" min="14581" max="14581"/>
    <col width="5.33203125" customWidth="1" style="116" min="14582" max="14582"/>
    <col width="9" bestFit="1" customWidth="1" style="116" min="14583" max="14583"/>
    <col width="5" customWidth="1" style="116" min="14584" max="14584"/>
    <col width="9" bestFit="1" customWidth="1" style="116" min="14585" max="14585"/>
    <col width="5.1640625" customWidth="1" style="116" min="14586" max="14586"/>
    <col width="9.1640625" customWidth="1" style="116" min="14587" max="14587"/>
    <col width="6" customWidth="1" style="116" min="14588" max="14588"/>
    <col width="9.1640625" customWidth="1" style="116" min="14589" max="14589"/>
    <col width="6" customWidth="1" style="116" min="14590" max="14590"/>
    <col width="10.1640625" customWidth="1" style="116" min="14591" max="14592"/>
    <col width="10" customWidth="1" style="116" min="14593" max="14593"/>
    <col width="10.33203125" customWidth="1" style="116" min="14594" max="14594"/>
    <col width="9.1640625" customWidth="1" style="116" min="14595" max="14605"/>
    <col width="11.33203125" customWidth="1" style="116" min="14606" max="14606"/>
    <col hidden="1" width="13" customWidth="1" style="116" min="14607" max="14627"/>
    <col width="9.1640625" customWidth="1" style="116" min="14628" max="14833"/>
    <col width="28.6640625" customWidth="1" style="116" min="14834" max="14834"/>
    <col width="9" bestFit="1" customWidth="1" style="116" min="14835" max="14835"/>
    <col width="5.33203125" customWidth="1" style="116" min="14836" max="14836"/>
    <col width="9" bestFit="1" customWidth="1" style="116" min="14837" max="14837"/>
    <col width="5.33203125" customWidth="1" style="116" min="14838" max="14838"/>
    <col width="9" bestFit="1" customWidth="1" style="116" min="14839" max="14839"/>
    <col width="5" customWidth="1" style="116" min="14840" max="14840"/>
    <col width="9" bestFit="1" customWidth="1" style="116" min="14841" max="14841"/>
    <col width="5.1640625" customWidth="1" style="116" min="14842" max="14842"/>
    <col width="9.1640625" customWidth="1" style="116" min="14843" max="14843"/>
    <col width="6" customWidth="1" style="116" min="14844" max="14844"/>
    <col width="9.1640625" customWidth="1" style="116" min="14845" max="14845"/>
    <col width="6" customWidth="1" style="116" min="14846" max="14846"/>
    <col width="10.1640625" customWidth="1" style="116" min="14847" max="14848"/>
    <col width="10" customWidth="1" style="116" min="14849" max="14849"/>
    <col width="10.33203125" customWidth="1" style="116" min="14850" max="14850"/>
    <col width="9.1640625" customWidth="1" style="116" min="14851" max="14861"/>
    <col width="11.33203125" customWidth="1" style="116" min="14862" max="14862"/>
    <col hidden="1" width="13" customWidth="1" style="116" min="14863" max="14883"/>
    <col width="9.1640625" customWidth="1" style="116" min="14884" max="15089"/>
    <col width="28.6640625" customWidth="1" style="116" min="15090" max="15090"/>
    <col width="9" bestFit="1" customWidth="1" style="116" min="15091" max="15091"/>
    <col width="5.33203125" customWidth="1" style="116" min="15092" max="15092"/>
    <col width="9" bestFit="1" customWidth="1" style="116" min="15093" max="15093"/>
    <col width="5.33203125" customWidth="1" style="116" min="15094" max="15094"/>
    <col width="9" bestFit="1" customWidth="1" style="116" min="15095" max="15095"/>
    <col width="5" customWidth="1" style="116" min="15096" max="15096"/>
    <col width="9" bestFit="1" customWidth="1" style="116" min="15097" max="15097"/>
    <col width="5.1640625" customWidth="1" style="116" min="15098" max="15098"/>
    <col width="9.1640625" customWidth="1" style="116" min="15099" max="15099"/>
    <col width="6" customWidth="1" style="116" min="15100" max="15100"/>
    <col width="9.1640625" customWidth="1" style="116" min="15101" max="15101"/>
    <col width="6" customWidth="1" style="116" min="15102" max="15102"/>
    <col width="10.1640625" customWidth="1" style="116" min="15103" max="15104"/>
    <col width="10" customWidth="1" style="116" min="15105" max="15105"/>
    <col width="10.33203125" customWidth="1" style="116" min="15106" max="15106"/>
    <col width="9.1640625" customWidth="1" style="116" min="15107" max="15117"/>
    <col width="11.33203125" customWidth="1" style="116" min="15118" max="15118"/>
    <col hidden="1" width="13" customWidth="1" style="116" min="15119" max="15139"/>
    <col width="9.1640625" customWidth="1" style="116" min="15140" max="15345"/>
    <col width="28.6640625" customWidth="1" style="116" min="15346" max="15346"/>
    <col width="9" bestFit="1" customWidth="1" style="116" min="15347" max="15347"/>
    <col width="5.33203125" customWidth="1" style="116" min="15348" max="15348"/>
    <col width="9" bestFit="1" customWidth="1" style="116" min="15349" max="15349"/>
    <col width="5.33203125" customWidth="1" style="116" min="15350" max="15350"/>
    <col width="9" bestFit="1" customWidth="1" style="116" min="15351" max="15351"/>
    <col width="5" customWidth="1" style="116" min="15352" max="15352"/>
    <col width="9" bestFit="1" customWidth="1" style="116" min="15353" max="15353"/>
    <col width="5.1640625" customWidth="1" style="116" min="15354" max="15354"/>
    <col width="9.1640625" customWidth="1" style="116" min="15355" max="15355"/>
    <col width="6" customWidth="1" style="116" min="15356" max="15356"/>
    <col width="9.1640625" customWidth="1" style="116" min="15357" max="15357"/>
    <col width="6" customWidth="1" style="116" min="15358" max="15358"/>
    <col width="10.1640625" customWidth="1" style="116" min="15359" max="15360"/>
    <col width="10" customWidth="1" style="116" min="15361" max="15361"/>
    <col width="10.33203125" customWidth="1" style="116" min="15362" max="15362"/>
    <col width="9.1640625" customWidth="1" style="116" min="15363" max="15373"/>
    <col width="11.33203125" customWidth="1" style="116" min="15374" max="15374"/>
    <col hidden="1" width="13" customWidth="1" style="116" min="15375" max="15395"/>
    <col width="9.1640625" customWidth="1" style="116" min="15396" max="15601"/>
    <col width="28.6640625" customWidth="1" style="116" min="15602" max="15602"/>
    <col width="9" bestFit="1" customWidth="1" style="116" min="15603" max="15603"/>
    <col width="5.33203125" customWidth="1" style="116" min="15604" max="15604"/>
    <col width="9" bestFit="1" customWidth="1" style="116" min="15605" max="15605"/>
    <col width="5.33203125" customWidth="1" style="116" min="15606" max="15606"/>
    <col width="9" bestFit="1" customWidth="1" style="116" min="15607" max="15607"/>
    <col width="5" customWidth="1" style="116" min="15608" max="15608"/>
    <col width="9" bestFit="1" customWidth="1" style="116" min="15609" max="15609"/>
    <col width="5.1640625" customWidth="1" style="116" min="15610" max="15610"/>
    <col width="9.1640625" customWidth="1" style="116" min="15611" max="15611"/>
    <col width="6" customWidth="1" style="116" min="15612" max="15612"/>
    <col width="9.1640625" customWidth="1" style="116" min="15613" max="15613"/>
    <col width="6" customWidth="1" style="116" min="15614" max="15614"/>
    <col width="10.1640625" customWidth="1" style="116" min="15615" max="15616"/>
    <col width="10" customWidth="1" style="116" min="15617" max="15617"/>
    <col width="10.33203125" customWidth="1" style="116" min="15618" max="15618"/>
    <col width="9.1640625" customWidth="1" style="116" min="15619" max="15629"/>
    <col width="11.33203125" customWidth="1" style="116" min="15630" max="15630"/>
    <col hidden="1" width="13" customWidth="1" style="116" min="15631" max="15651"/>
    <col width="9.1640625" customWidth="1" style="116" min="15652" max="15857"/>
    <col width="28.6640625" customWidth="1" style="116" min="15858" max="15858"/>
    <col width="9" bestFit="1" customWidth="1" style="116" min="15859" max="15859"/>
    <col width="5.33203125" customWidth="1" style="116" min="15860" max="15860"/>
    <col width="9" bestFit="1" customWidth="1" style="116" min="15861" max="15861"/>
    <col width="5.33203125" customWidth="1" style="116" min="15862" max="15862"/>
    <col width="9" bestFit="1" customWidth="1" style="116" min="15863" max="15863"/>
    <col width="5" customWidth="1" style="116" min="15864" max="15864"/>
    <col width="9" bestFit="1" customWidth="1" style="116" min="15865" max="15865"/>
    <col width="5.1640625" customWidth="1" style="116" min="15866" max="15866"/>
    <col width="9.1640625" customWidth="1" style="116" min="15867" max="15867"/>
    <col width="6" customWidth="1" style="116" min="15868" max="15868"/>
    <col width="9.1640625" customWidth="1" style="116" min="15869" max="15869"/>
    <col width="6" customWidth="1" style="116" min="15870" max="15870"/>
    <col width="10.1640625" customWidth="1" style="116" min="15871" max="15872"/>
    <col width="10" customWidth="1" style="116" min="15873" max="15873"/>
    <col width="10.33203125" customWidth="1" style="116" min="15874" max="15874"/>
    <col width="9.1640625" customWidth="1" style="116" min="15875" max="15885"/>
    <col width="11.33203125" customWidth="1" style="116" min="15886" max="15886"/>
    <col hidden="1" width="13" customWidth="1" style="116" min="15887" max="15907"/>
    <col width="9.1640625" customWidth="1" style="116" min="15908" max="16113"/>
    <col width="28.6640625" customWidth="1" style="116" min="16114" max="16114"/>
    <col width="9" bestFit="1" customWidth="1" style="116" min="16115" max="16115"/>
    <col width="5.33203125" customWidth="1" style="116" min="16116" max="16116"/>
    <col width="9" bestFit="1" customWidth="1" style="116" min="16117" max="16117"/>
    <col width="5.33203125" customWidth="1" style="116" min="16118" max="16118"/>
    <col width="9" bestFit="1" customWidth="1" style="116" min="16119" max="16119"/>
    <col width="5" customWidth="1" style="116" min="16120" max="16120"/>
    <col width="9" bestFit="1" customWidth="1" style="116" min="16121" max="16121"/>
    <col width="5.1640625" customWidth="1" style="116" min="16122" max="16122"/>
    <col width="9.1640625" customWidth="1" style="116" min="16123" max="16123"/>
    <col width="6" customWidth="1" style="116" min="16124" max="16124"/>
    <col width="9.1640625" customWidth="1" style="116" min="16125" max="16125"/>
    <col width="6" customWidth="1" style="116" min="16126" max="16126"/>
    <col width="10.1640625" customWidth="1" style="116" min="16127" max="16128"/>
    <col width="10" customWidth="1" style="116" min="16129" max="16129"/>
    <col width="10.33203125" customWidth="1" style="116" min="16130" max="16130"/>
    <col width="9.1640625" customWidth="1" style="116" min="16131" max="16141"/>
    <col width="11.33203125" customWidth="1" style="116" min="16142" max="16142"/>
    <col hidden="1" width="13" customWidth="1" style="116" min="16143" max="16163"/>
    <col width="9.1640625" customWidth="1" style="116" min="16164" max="16384"/>
  </cols>
  <sheetData>
    <row r="1">
      <c r="AI1" s="33" t="inlineStr">
        <is>
          <t>Add column</t>
        </is>
      </c>
      <c r="AJ1" s="137" t="inlineStr">
        <is>
          <t>To modify</t>
        </is>
      </c>
    </row>
    <row r="2">
      <c r="B2" s="12" t="n"/>
    </row>
    <row r="3" ht="16" customHeight="1"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K3" s="138" t="inlineStr">
        <is>
          <t>Average</t>
        </is>
      </c>
      <c r="AL3" s="119" t="n"/>
    </row>
    <row r="4">
      <c r="B4" s="135"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11" t="n"/>
      <c r="AJ4" s="139" t="inlineStr">
        <is>
          <t>mom</t>
        </is>
      </c>
      <c r="AK4" s="139" t="inlineStr">
        <is>
          <t>3 months</t>
        </is>
      </c>
      <c r="AL4" s="139" t="inlineStr">
        <is>
          <t>6 months</t>
        </is>
      </c>
    </row>
    <row r="5" ht="16" customHeight="1" thickBot="1">
      <c r="B5" s="136"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11" t="n"/>
      <c r="AJ5" s="140" t="n"/>
      <c r="AK5" s="140" t="n"/>
      <c r="AL5" s="140" t="n"/>
    </row>
    <row r="6">
      <c r="B6" s="14" t="inlineStr">
        <is>
          <t>Machinery</t>
        </is>
      </c>
      <c r="C6" s="20" t="n">
        <v>3</v>
      </c>
      <c r="D6" s="20" t="n">
        <v>1</v>
      </c>
      <c r="E6" s="20" t="n">
        <v>6</v>
      </c>
      <c r="F6" s="20" t="n">
        <v>1</v>
      </c>
      <c r="G6" s="20" t="n">
        <v>1</v>
      </c>
      <c r="H6" s="20" t="n">
        <v>-1</v>
      </c>
      <c r="I6" s="20" t="n">
        <v>3</v>
      </c>
      <c r="J6" s="20" t="n">
        <v>-3</v>
      </c>
      <c r="K6" s="20" t="n">
        <v>-7</v>
      </c>
      <c r="L6" s="20" t="n">
        <v>-3</v>
      </c>
      <c r="M6" s="20" t="n">
        <v>-1</v>
      </c>
      <c r="N6" s="20" t="n">
        <v>-1</v>
      </c>
      <c r="O6" s="20" t="n">
        <v>2</v>
      </c>
      <c r="P6" s="20" t="n">
        <v>-1</v>
      </c>
      <c r="Q6" s="20" t="n">
        <v>-9</v>
      </c>
      <c r="R6" s="20" t="n">
        <v>-6</v>
      </c>
      <c r="S6" s="20" t="n">
        <v>-1</v>
      </c>
      <c r="T6" s="20" t="n">
        <v>-2</v>
      </c>
      <c r="U6" s="20" t="n">
        <v>7</v>
      </c>
      <c r="V6" s="20" t="n">
        <v>4</v>
      </c>
      <c r="W6" s="20" t="n">
        <v>10</v>
      </c>
      <c r="X6" s="20" t="n">
        <v>7</v>
      </c>
      <c r="Y6" s="20" t="n">
        <v>12</v>
      </c>
      <c r="Z6" s="20" t="n">
        <v>15</v>
      </c>
      <c r="AA6" s="20" t="n">
        <v>11</v>
      </c>
      <c r="AB6" s="20" t="n">
        <v>15</v>
      </c>
      <c r="AC6" s="20" t="n">
        <v>15</v>
      </c>
      <c r="AD6" s="20" t="n">
        <v>7</v>
      </c>
      <c r="AE6" s="20" t="n">
        <v>16</v>
      </c>
      <c r="AF6" s="20" t="n">
        <v>11</v>
      </c>
      <c r="AG6" s="20" t="n">
        <v>13</v>
      </c>
      <c r="AH6" s="20" t="n">
        <v>15</v>
      </c>
      <c r="AI6" s="13" t="n"/>
      <c r="AJ6" s="20">
        <f>AH6-AG6</f>
        <v/>
      </c>
      <c r="AK6" s="23">
        <f>AVERAGE(AF6:AH6)</f>
        <v/>
      </c>
      <c r="AL6" s="23">
        <f>AVERAGE(AC6:AH6)</f>
        <v/>
      </c>
    </row>
    <row r="7">
      <c r="B7" s="14" t="inlineStr">
        <is>
          <t>Computer &amp; Electronic Products</t>
        </is>
      </c>
      <c r="C7" s="20" t="n">
        <v>14</v>
      </c>
      <c r="D7" s="20" t="n">
        <v>12</v>
      </c>
      <c r="E7" s="20" t="n">
        <v>3</v>
      </c>
      <c r="F7" s="20" t="n">
        <v>5</v>
      </c>
      <c r="G7" s="20" t="n">
        <v>5</v>
      </c>
      <c r="H7" s="20" t="n">
        <v>4</v>
      </c>
      <c r="I7" s="20" t="n">
        <v>0</v>
      </c>
      <c r="J7" s="20" t="n">
        <v>-1</v>
      </c>
      <c r="K7" s="20" t="n">
        <v>1</v>
      </c>
      <c r="L7" s="20" t="n">
        <v>1</v>
      </c>
      <c r="M7" s="20" t="n">
        <v>1</v>
      </c>
      <c r="N7" s="20" t="n">
        <v>5</v>
      </c>
      <c r="O7" s="20" t="n">
        <v>6</v>
      </c>
      <c r="P7" s="20" t="n">
        <v>4</v>
      </c>
      <c r="Q7" s="20" t="n">
        <v>-3</v>
      </c>
      <c r="R7" s="20" t="n">
        <v>-2</v>
      </c>
      <c r="S7" s="20" t="n">
        <v>7</v>
      </c>
      <c r="T7" s="20" t="n">
        <v>5</v>
      </c>
      <c r="U7" s="20" t="n">
        <v>10</v>
      </c>
      <c r="V7" s="20" t="n">
        <v>2</v>
      </c>
      <c r="W7" s="20" t="n">
        <v>4</v>
      </c>
      <c r="X7" s="20" t="n">
        <v>6</v>
      </c>
      <c r="Y7" s="20" t="n">
        <v>11</v>
      </c>
      <c r="Z7" s="20" t="n">
        <v>1</v>
      </c>
      <c r="AA7" s="20" t="n">
        <v>6</v>
      </c>
      <c r="AB7" s="20" t="n">
        <v>14</v>
      </c>
      <c r="AC7" s="20" t="n">
        <v>8</v>
      </c>
      <c r="AD7" s="20" t="n">
        <v>11</v>
      </c>
      <c r="AE7" s="20" t="n">
        <v>14</v>
      </c>
      <c r="AF7" s="20" t="n">
        <v>13</v>
      </c>
      <c r="AG7" s="20" t="n">
        <v>14</v>
      </c>
      <c r="AH7" s="20" t="n">
        <v>13</v>
      </c>
      <c r="AI7" s="13" t="n"/>
      <c r="AJ7" s="20">
        <f>AH7-AG7</f>
        <v/>
      </c>
      <c r="AK7" s="23">
        <f>AVERAGE(AF7:AH7)</f>
        <v/>
      </c>
      <c r="AL7" s="23">
        <f>AVERAGE(AC7:AH7)</f>
        <v/>
      </c>
    </row>
    <row r="8">
      <c r="B8" s="14" t="inlineStr">
        <is>
          <t>Paper Products</t>
        </is>
      </c>
      <c r="C8" s="20" t="n">
        <v>11</v>
      </c>
      <c r="D8" s="20" t="n">
        <v>-1</v>
      </c>
      <c r="E8" s="20" t="n">
        <v>2</v>
      </c>
      <c r="F8" s="20" t="n">
        <v>-2</v>
      </c>
      <c r="G8" s="20" t="n">
        <v>4</v>
      </c>
      <c r="H8" s="20" t="n">
        <v>-4</v>
      </c>
      <c r="I8" s="20" t="n">
        <v>-2</v>
      </c>
      <c r="J8" s="20" t="n">
        <v>-10</v>
      </c>
      <c r="K8" s="20" t="n">
        <v>-1</v>
      </c>
      <c r="L8" s="20" t="n">
        <v>3</v>
      </c>
      <c r="M8" s="20" t="n">
        <v>-9</v>
      </c>
      <c r="N8" s="20" t="n">
        <v>0</v>
      </c>
      <c r="O8" s="20" t="n">
        <v>10</v>
      </c>
      <c r="P8" s="20" t="n">
        <v>6</v>
      </c>
      <c r="Q8" s="20" t="n">
        <v>2</v>
      </c>
      <c r="R8" s="20" t="n">
        <v>2</v>
      </c>
      <c r="S8" s="20" t="n">
        <v>2</v>
      </c>
      <c r="T8" s="20" t="n">
        <v>0</v>
      </c>
      <c r="U8" s="20" t="n">
        <v>2</v>
      </c>
      <c r="V8" s="20" t="n">
        <v>14</v>
      </c>
      <c r="W8" s="20" t="n">
        <v>8</v>
      </c>
      <c r="X8" s="20" t="n">
        <v>5</v>
      </c>
      <c r="Y8" s="20" t="n">
        <v>8</v>
      </c>
      <c r="Z8" s="20" t="n">
        <v>8</v>
      </c>
      <c r="AA8" s="20" t="n">
        <v>13</v>
      </c>
      <c r="AB8" s="20" t="n">
        <v>7</v>
      </c>
      <c r="AC8" s="20" t="n">
        <v>4</v>
      </c>
      <c r="AD8" s="20" t="n">
        <v>2</v>
      </c>
      <c r="AE8" s="20" t="n">
        <v>4</v>
      </c>
      <c r="AF8" s="20" t="n">
        <v>9</v>
      </c>
      <c r="AG8" s="20" t="n">
        <v>2</v>
      </c>
      <c r="AH8" s="20" t="n">
        <v>9</v>
      </c>
      <c r="AI8" s="13" t="n"/>
      <c r="AJ8" s="20">
        <f>AH8-AG8</f>
        <v/>
      </c>
      <c r="AK8" s="23">
        <f>AVERAGE(AF8:AH8)</f>
        <v/>
      </c>
      <c r="AL8" s="23">
        <f>AVERAGE(AC8:AH8)</f>
        <v/>
      </c>
    </row>
    <row r="9">
      <c r="B9" s="14" t="inlineStr">
        <is>
          <t>Apparel, Leather &amp; Allied Products</t>
        </is>
      </c>
      <c r="C9" s="20" t="n">
        <v>0</v>
      </c>
      <c r="D9" s="20" t="n">
        <v>-2</v>
      </c>
      <c r="E9" s="20" t="n">
        <v>-5</v>
      </c>
      <c r="F9" s="20" t="n">
        <v>-6</v>
      </c>
      <c r="G9" s="20" t="n">
        <v>-5</v>
      </c>
      <c r="H9" s="20" t="n">
        <v>-9</v>
      </c>
      <c r="I9" s="20" t="n">
        <v>-7</v>
      </c>
      <c r="J9" s="20" t="n">
        <v>-15</v>
      </c>
      <c r="K9" s="20" t="n">
        <v>-11</v>
      </c>
      <c r="L9" s="20" t="n">
        <v>5</v>
      </c>
      <c r="M9" s="20" t="n">
        <v>-15</v>
      </c>
      <c r="N9" s="20" t="n">
        <v>-7</v>
      </c>
      <c r="O9" s="20" t="n">
        <v>0</v>
      </c>
      <c r="P9" s="20" t="n">
        <v>8</v>
      </c>
      <c r="Q9" s="20" t="n">
        <v>0</v>
      </c>
      <c r="R9" s="20" t="n">
        <v>4</v>
      </c>
      <c r="S9" s="20" t="n">
        <v>9</v>
      </c>
      <c r="T9" s="20" t="n">
        <v>6</v>
      </c>
      <c r="U9" s="20" t="n">
        <v>6</v>
      </c>
      <c r="V9" s="20" t="n">
        <v>-4</v>
      </c>
      <c r="W9" s="20" t="n">
        <v>15</v>
      </c>
      <c r="X9" s="20" t="n">
        <v>16</v>
      </c>
      <c r="Y9" s="20" t="n">
        <v>16</v>
      </c>
      <c r="Z9" s="20" t="n">
        <v>9</v>
      </c>
      <c r="AA9" s="20" t="n">
        <v>5</v>
      </c>
      <c r="AB9" s="20" t="n">
        <v>13</v>
      </c>
      <c r="AC9" s="20" t="n">
        <v>6</v>
      </c>
      <c r="AD9" s="20" t="n">
        <v>0</v>
      </c>
      <c r="AE9" s="20" t="n">
        <v>0</v>
      </c>
      <c r="AF9" s="20" t="n">
        <v>15</v>
      </c>
      <c r="AG9" s="20" t="n">
        <v>0</v>
      </c>
      <c r="AH9" s="20" t="n">
        <v>11</v>
      </c>
      <c r="AI9" s="13" t="n"/>
      <c r="AJ9" s="20">
        <f>AH9-AG9</f>
        <v/>
      </c>
      <c r="AK9" s="23">
        <f>AVERAGE(AF9:AH9)</f>
        <v/>
      </c>
      <c r="AL9" s="23">
        <f>AVERAGE(AC9:AH9)</f>
        <v/>
      </c>
    </row>
    <row r="10">
      <c r="B10" s="14" t="inlineStr">
        <is>
          <t>Printing &amp; Related Support Activities</t>
        </is>
      </c>
      <c r="C10" s="20" t="n">
        <v>16</v>
      </c>
      <c r="D10" s="20" t="n">
        <v>16</v>
      </c>
      <c r="E10" s="20" t="n">
        <v>10</v>
      </c>
      <c r="F10" s="20" t="n">
        <v>11</v>
      </c>
      <c r="G10" s="20" t="n">
        <v>11</v>
      </c>
      <c r="H10" s="20" t="n">
        <v>8</v>
      </c>
      <c r="I10" s="20" t="n">
        <v>0</v>
      </c>
      <c r="J10" s="20" t="n">
        <v>-14</v>
      </c>
      <c r="K10" s="20" t="n">
        <v>4</v>
      </c>
      <c r="L10" s="20" t="n">
        <v>-12</v>
      </c>
      <c r="M10" s="20" t="n">
        <v>-13</v>
      </c>
      <c r="N10" s="20" t="n">
        <v>-8</v>
      </c>
      <c r="O10" s="20" t="n">
        <v>11</v>
      </c>
      <c r="P10" s="20" t="n">
        <v>10</v>
      </c>
      <c r="Q10" s="20" t="n">
        <v>-15</v>
      </c>
      <c r="R10" s="20" t="n">
        <v>-11</v>
      </c>
      <c r="S10" s="20" t="n">
        <v>10</v>
      </c>
      <c r="T10" s="20" t="n">
        <v>10</v>
      </c>
      <c r="U10" s="20" t="n">
        <v>-3</v>
      </c>
      <c r="V10" s="20" t="n">
        <v>-3</v>
      </c>
      <c r="W10" s="20" t="n">
        <v>-1</v>
      </c>
      <c r="X10" s="20" t="n">
        <v>-2</v>
      </c>
      <c r="Y10" s="20" t="n">
        <v>-2</v>
      </c>
      <c r="Z10" s="20" t="n">
        <v>-2</v>
      </c>
      <c r="AA10" s="20" t="n">
        <v>-2</v>
      </c>
      <c r="AB10" s="20" t="n">
        <v>2</v>
      </c>
      <c r="AC10" s="20" t="n">
        <v>2</v>
      </c>
      <c r="AD10" s="20" t="n">
        <v>-1</v>
      </c>
      <c r="AE10" s="20" t="n">
        <v>3</v>
      </c>
      <c r="AF10" s="20" t="n">
        <v>16</v>
      </c>
      <c r="AG10" s="20" t="n">
        <v>3</v>
      </c>
      <c r="AH10" s="20" t="n">
        <v>8</v>
      </c>
      <c r="AI10" s="13" t="n"/>
      <c r="AJ10" s="20">
        <f>AH10-AG10</f>
        <v/>
      </c>
      <c r="AK10" s="23">
        <f>AVERAGE(AF10:AH10)</f>
        <v/>
      </c>
      <c r="AL10" s="23">
        <f>AVERAGE(AC10:AH10)</f>
        <v/>
      </c>
    </row>
    <row r="11">
      <c r="B11" s="14" t="inlineStr">
        <is>
          <t>Primary Metals</t>
        </is>
      </c>
      <c r="C11" s="20" t="n">
        <v>9</v>
      </c>
      <c r="D11" s="20" t="n">
        <v>2</v>
      </c>
      <c r="E11" s="20" t="n">
        <v>-4</v>
      </c>
      <c r="F11" s="20" t="n">
        <v>-5</v>
      </c>
      <c r="G11" s="20" t="n">
        <v>-4</v>
      </c>
      <c r="H11" s="20" t="n">
        <v>-7</v>
      </c>
      <c r="I11" s="20" t="n">
        <v>-4</v>
      </c>
      <c r="J11" s="20" t="n">
        <v>-6</v>
      </c>
      <c r="K11" s="20" t="n">
        <v>-12</v>
      </c>
      <c r="L11" s="20" t="n">
        <v>-7</v>
      </c>
      <c r="M11" s="20" t="n">
        <v>-4</v>
      </c>
      <c r="N11" s="20" t="n">
        <v>-2</v>
      </c>
      <c r="O11" s="20" t="n">
        <v>8</v>
      </c>
      <c r="P11" s="20" t="n">
        <v>3</v>
      </c>
      <c r="Q11" s="20" t="n">
        <v>-2</v>
      </c>
      <c r="R11" s="20" t="n">
        <v>-10</v>
      </c>
      <c r="S11" s="20" t="n">
        <v>-3</v>
      </c>
      <c r="T11" s="20" t="n">
        <v>4</v>
      </c>
      <c r="U11" s="20" t="n">
        <v>9</v>
      </c>
      <c r="V11" s="20" t="n">
        <v>-1</v>
      </c>
      <c r="W11" s="20" t="n">
        <v>5</v>
      </c>
      <c r="X11" s="20" t="n">
        <v>0</v>
      </c>
      <c r="Y11" s="20" t="n">
        <v>5</v>
      </c>
      <c r="Z11" s="20" t="n">
        <v>14</v>
      </c>
      <c r="AA11" s="20" t="n">
        <v>14</v>
      </c>
      <c r="AB11" s="20" t="n">
        <v>9</v>
      </c>
      <c r="AC11" s="20" t="n">
        <v>13</v>
      </c>
      <c r="AD11" s="20" t="n">
        <v>12</v>
      </c>
      <c r="AE11" s="20" t="n">
        <v>6</v>
      </c>
      <c r="AF11" s="20" t="n">
        <v>6</v>
      </c>
      <c r="AG11" s="20" t="n">
        <v>12</v>
      </c>
      <c r="AH11" s="20" t="n">
        <v>3</v>
      </c>
      <c r="AI11" s="13" t="n"/>
      <c r="AJ11" s="20">
        <f>AH11-AG11</f>
        <v/>
      </c>
      <c r="AK11" s="23">
        <f>AVERAGE(AF11:AH11)</f>
        <v/>
      </c>
      <c r="AL11" s="23">
        <f>AVERAGE(AC11:AH11)</f>
        <v/>
      </c>
    </row>
    <row r="12">
      <c r="B12" s="14" t="inlineStr">
        <is>
          <t>Nonmetallic Mineral Products</t>
        </is>
      </c>
      <c r="C12" s="20" t="n">
        <v>-1</v>
      </c>
      <c r="D12" s="20" t="n">
        <v>6</v>
      </c>
      <c r="E12" s="20" t="n">
        <v>8</v>
      </c>
      <c r="F12" s="20" t="n">
        <v>2</v>
      </c>
      <c r="G12" s="20" t="n">
        <v>9</v>
      </c>
      <c r="H12" s="20" t="n">
        <v>-6</v>
      </c>
      <c r="I12" s="20" t="n">
        <v>4</v>
      </c>
      <c r="J12" s="20" t="n">
        <v>-4</v>
      </c>
      <c r="K12" s="20" t="n">
        <v>0</v>
      </c>
      <c r="L12" s="20" t="n">
        <v>-4</v>
      </c>
      <c r="M12" s="20" t="n">
        <v>-10</v>
      </c>
      <c r="N12" s="20" t="n">
        <v>3</v>
      </c>
      <c r="O12" s="20" t="n">
        <v>-1</v>
      </c>
      <c r="P12" s="20" t="n">
        <v>0</v>
      </c>
      <c r="Q12" s="20" t="n">
        <v>-10</v>
      </c>
      <c r="R12" s="20" t="n">
        <v>6</v>
      </c>
      <c r="S12" s="20" t="n">
        <v>3</v>
      </c>
      <c r="T12" s="20" t="n">
        <v>0</v>
      </c>
      <c r="U12" s="20" t="n">
        <v>5</v>
      </c>
      <c r="V12" s="20" t="n">
        <v>9</v>
      </c>
      <c r="W12" s="20" t="n">
        <v>13</v>
      </c>
      <c r="X12" s="20" t="n">
        <v>15</v>
      </c>
      <c r="Y12" s="20" t="n">
        <v>-1</v>
      </c>
      <c r="Z12" s="20" t="n">
        <v>5</v>
      </c>
      <c r="AA12" s="20" t="n">
        <v>1</v>
      </c>
      <c r="AB12" s="20" t="n">
        <v>4</v>
      </c>
      <c r="AC12" s="20" t="n">
        <v>7</v>
      </c>
      <c r="AD12" s="20" t="n">
        <v>15</v>
      </c>
      <c r="AE12" s="20" t="n">
        <v>8</v>
      </c>
      <c r="AF12" s="20" t="n">
        <v>12</v>
      </c>
      <c r="AG12" s="20" t="n">
        <v>-1</v>
      </c>
      <c r="AH12" s="20" t="n">
        <v>2</v>
      </c>
      <c r="AI12" s="13" t="n"/>
      <c r="AJ12" s="20">
        <f>AH12-AG12</f>
        <v/>
      </c>
      <c r="AK12" s="23">
        <f>AVERAGE(AF12:AH12)</f>
        <v/>
      </c>
      <c r="AL12" s="23">
        <f>AVERAGE(AC12:AH12)</f>
        <v/>
      </c>
    </row>
    <row r="13">
      <c r="B13" s="14" t="inlineStr">
        <is>
          <t>Petroleum &amp; Coal Products</t>
        </is>
      </c>
      <c r="C13" s="20" t="n">
        <v>5</v>
      </c>
      <c r="D13" s="20" t="n">
        <v>13</v>
      </c>
      <c r="E13" s="20" t="n">
        <v>-2</v>
      </c>
      <c r="F13" s="20" t="n">
        <v>-4</v>
      </c>
      <c r="G13" s="20" t="n">
        <v>7</v>
      </c>
      <c r="H13" s="20" t="n">
        <v>2</v>
      </c>
      <c r="I13" s="20" t="n">
        <v>5</v>
      </c>
      <c r="J13" s="20" t="n">
        <v>-7</v>
      </c>
      <c r="K13" s="20" t="n">
        <v>-5</v>
      </c>
      <c r="L13" s="20" t="n">
        <v>-5</v>
      </c>
      <c r="M13" s="20" t="n">
        <v>-7</v>
      </c>
      <c r="N13" s="20" t="n">
        <v>-5</v>
      </c>
      <c r="O13" s="20" t="n">
        <v>-3</v>
      </c>
      <c r="P13" s="20" t="n">
        <v>-6</v>
      </c>
      <c r="Q13" s="20" t="n">
        <v>-6</v>
      </c>
      <c r="R13" s="20" t="n">
        <v>-8</v>
      </c>
      <c r="S13" s="20" t="n">
        <v>0</v>
      </c>
      <c r="T13" s="20" t="n">
        <v>3</v>
      </c>
      <c r="U13" s="20" t="n">
        <v>-2</v>
      </c>
      <c r="V13" s="20" t="n">
        <v>-2</v>
      </c>
      <c r="W13" s="20" t="n">
        <v>0</v>
      </c>
      <c r="X13" s="20" t="n">
        <v>-1</v>
      </c>
      <c r="Y13" s="20" t="n">
        <v>6</v>
      </c>
      <c r="Z13" s="20" t="n">
        <v>-1</v>
      </c>
      <c r="AA13" s="20" t="n">
        <v>-1</v>
      </c>
      <c r="AB13" s="20" t="n">
        <v>1</v>
      </c>
      <c r="AC13" s="20" t="n">
        <v>3</v>
      </c>
      <c r="AD13" s="20" t="n">
        <v>1</v>
      </c>
      <c r="AE13" s="20" t="n">
        <v>1</v>
      </c>
      <c r="AF13" s="20" t="n">
        <v>1</v>
      </c>
      <c r="AG13" s="20" t="n">
        <v>1</v>
      </c>
      <c r="AH13" s="20" t="n">
        <v>16</v>
      </c>
      <c r="AI13" s="13" t="n"/>
      <c r="AJ13" s="20">
        <f>AH13-AG13</f>
        <v/>
      </c>
      <c r="AK13" s="23">
        <f>AVERAGE(AF13:AH13)</f>
        <v/>
      </c>
      <c r="AL13" s="23">
        <f>AVERAGE(AC13:AH13)</f>
        <v/>
      </c>
    </row>
    <row r="14">
      <c r="B14" s="14" t="inlineStr">
        <is>
          <t>Plastics &amp; Rubber Products</t>
        </is>
      </c>
      <c r="C14" s="20" t="n">
        <v>1</v>
      </c>
      <c r="D14" s="20" t="n">
        <v>8</v>
      </c>
      <c r="E14" s="20" t="n">
        <v>7</v>
      </c>
      <c r="F14" s="20" t="n">
        <v>9</v>
      </c>
      <c r="G14" s="20" t="n">
        <v>0</v>
      </c>
      <c r="H14" s="20" t="n">
        <v>5</v>
      </c>
      <c r="I14" s="20" t="n">
        <v>-3</v>
      </c>
      <c r="J14" s="20" t="n">
        <v>-8</v>
      </c>
      <c r="K14" s="20" t="n">
        <v>-8</v>
      </c>
      <c r="L14" s="20" t="n">
        <v>-6</v>
      </c>
      <c r="M14" s="20" t="n">
        <v>-2</v>
      </c>
      <c r="N14" s="20" t="n">
        <v>0</v>
      </c>
      <c r="O14" s="20" t="n">
        <v>12</v>
      </c>
      <c r="P14" s="20" t="n">
        <v>1</v>
      </c>
      <c r="Q14" s="20" t="n">
        <v>-8</v>
      </c>
      <c r="R14" s="20" t="n">
        <v>0</v>
      </c>
      <c r="S14" s="20" t="n">
        <v>6</v>
      </c>
      <c r="T14" s="20" t="n">
        <v>8</v>
      </c>
      <c r="U14" s="20" t="n">
        <v>14</v>
      </c>
      <c r="V14" s="20" t="n">
        <v>5</v>
      </c>
      <c r="W14" s="20" t="n">
        <v>11</v>
      </c>
      <c r="X14" s="20" t="n">
        <v>10</v>
      </c>
      <c r="Y14" s="20" t="n">
        <v>9</v>
      </c>
      <c r="Z14" s="20" t="n">
        <v>11</v>
      </c>
      <c r="AA14" s="20" t="n">
        <v>7</v>
      </c>
      <c r="AB14" s="20" t="n">
        <v>8</v>
      </c>
      <c r="AC14" s="20" t="n">
        <v>10</v>
      </c>
      <c r="AD14" s="20" t="n">
        <v>14</v>
      </c>
      <c r="AE14" s="20" t="n">
        <v>13</v>
      </c>
      <c r="AF14" s="20" t="n">
        <v>5</v>
      </c>
      <c r="AG14" s="20" t="n">
        <v>9</v>
      </c>
      <c r="AH14" s="20" t="n">
        <v>1</v>
      </c>
      <c r="AI14" s="13" t="n"/>
      <c r="AJ14" s="20">
        <f>AH14-AG14</f>
        <v/>
      </c>
      <c r="AK14" s="23">
        <f>AVERAGE(AF14:AH14)</f>
        <v/>
      </c>
      <c r="AL14" s="23">
        <f>AVERAGE(AC14:AH14)</f>
        <v/>
      </c>
    </row>
    <row r="15">
      <c r="B15" s="14" t="inlineStr">
        <is>
          <t>Miscellaneous Manufacturing</t>
        </is>
      </c>
      <c r="C15" s="20" t="n">
        <v>6</v>
      </c>
      <c r="D15" s="20" t="n">
        <v>4</v>
      </c>
      <c r="E15" s="20" t="n">
        <v>11</v>
      </c>
      <c r="F15" s="20" t="n">
        <v>7</v>
      </c>
      <c r="G15" s="20" t="n">
        <v>3</v>
      </c>
      <c r="H15" s="20" t="n">
        <v>-3</v>
      </c>
      <c r="I15" s="20" t="n">
        <v>2</v>
      </c>
      <c r="J15" s="20" t="n">
        <v>3</v>
      </c>
      <c r="K15" s="20" t="n">
        <v>-2</v>
      </c>
      <c r="L15" s="20" t="n">
        <v>2</v>
      </c>
      <c r="M15" s="20" t="n">
        <v>2</v>
      </c>
      <c r="N15" s="20" t="n">
        <v>4</v>
      </c>
      <c r="O15" s="20" t="n">
        <v>5</v>
      </c>
      <c r="P15" s="20" t="n">
        <v>2</v>
      </c>
      <c r="Q15" s="20" t="n">
        <v>-4</v>
      </c>
      <c r="R15" s="20" t="n">
        <v>-5</v>
      </c>
      <c r="S15" s="20" t="n">
        <v>4</v>
      </c>
      <c r="T15" s="20" t="n">
        <v>2</v>
      </c>
      <c r="U15" s="20" t="n">
        <v>4</v>
      </c>
      <c r="V15" s="20" t="n">
        <v>6</v>
      </c>
      <c r="W15" s="20" t="n">
        <v>1</v>
      </c>
      <c r="X15" s="20" t="n">
        <v>4</v>
      </c>
      <c r="Y15" s="20" t="n">
        <v>1</v>
      </c>
      <c r="Z15" s="20" t="n">
        <v>3</v>
      </c>
      <c r="AA15" s="20" t="n">
        <v>3</v>
      </c>
      <c r="AB15" s="20" t="n">
        <v>3</v>
      </c>
      <c r="AC15" s="20" t="n">
        <v>12</v>
      </c>
      <c r="AD15" s="20" t="n">
        <v>5</v>
      </c>
      <c r="AE15" s="20" t="n">
        <v>9</v>
      </c>
      <c r="AF15" s="20" t="n">
        <v>14</v>
      </c>
      <c r="AG15" s="20" t="n">
        <v>7</v>
      </c>
      <c r="AH15" s="20" t="n">
        <v>7</v>
      </c>
      <c r="AI15" s="13" t="n"/>
      <c r="AJ15" s="20">
        <f>AH15-AG15</f>
        <v/>
      </c>
      <c r="AK15" s="23">
        <f>AVERAGE(AF15:AH15)</f>
        <v/>
      </c>
      <c r="AL15" s="23">
        <f>AVERAGE(AC15:AH15)</f>
        <v/>
      </c>
    </row>
    <row r="16">
      <c r="B16" s="14" t="inlineStr">
        <is>
          <t>Food, Beverage &amp; Tobacco Products</t>
        </is>
      </c>
      <c r="C16" s="20" t="n">
        <v>7</v>
      </c>
      <c r="D16" s="20" t="n">
        <v>14</v>
      </c>
      <c r="E16" s="20" t="n">
        <v>4</v>
      </c>
      <c r="F16" s="20" t="n">
        <v>3</v>
      </c>
      <c r="G16" s="20" t="n">
        <v>8</v>
      </c>
      <c r="H16" s="20" t="n">
        <v>6</v>
      </c>
      <c r="I16" s="20" t="n">
        <v>7</v>
      </c>
      <c r="J16" s="20" t="n">
        <v>2</v>
      </c>
      <c r="K16" s="20" t="n">
        <v>3</v>
      </c>
      <c r="L16" s="20" t="n">
        <v>4</v>
      </c>
      <c r="M16" s="20" t="n">
        <v>3</v>
      </c>
      <c r="N16" s="20" t="n">
        <v>6</v>
      </c>
      <c r="O16" s="20" t="n">
        <v>7</v>
      </c>
      <c r="P16" s="20" t="n">
        <v>9</v>
      </c>
      <c r="Q16" s="20" t="n">
        <v>1</v>
      </c>
      <c r="R16" s="20" t="n">
        <v>3</v>
      </c>
      <c r="S16" s="20" t="n">
        <v>8</v>
      </c>
      <c r="T16" s="20" t="n">
        <v>9</v>
      </c>
      <c r="U16" s="20" t="n">
        <v>13</v>
      </c>
      <c r="V16" s="20" t="n">
        <v>12</v>
      </c>
      <c r="W16" s="20" t="n">
        <v>12</v>
      </c>
      <c r="X16" s="20" t="n">
        <v>1</v>
      </c>
      <c r="Y16" s="20" t="n">
        <v>2</v>
      </c>
      <c r="Z16" s="20" t="n">
        <v>6</v>
      </c>
      <c r="AA16" s="20" t="n">
        <v>4</v>
      </c>
      <c r="AB16" s="20" t="n">
        <v>10</v>
      </c>
      <c r="AC16" s="20" t="n">
        <v>9</v>
      </c>
      <c r="AD16" s="20" t="n">
        <v>8</v>
      </c>
      <c r="AE16" s="20" t="n">
        <v>5</v>
      </c>
      <c r="AF16" s="20" t="n">
        <v>7</v>
      </c>
      <c r="AG16" s="20" t="n">
        <v>6</v>
      </c>
      <c r="AH16" s="20" t="n">
        <v>6</v>
      </c>
      <c r="AI16" s="13" t="n"/>
      <c r="AJ16" s="20">
        <f>AH16-AG16</f>
        <v/>
      </c>
      <c r="AK16" s="23">
        <f>AVERAGE(AF16:AH16)</f>
        <v/>
      </c>
      <c r="AL16" s="23">
        <f>AVERAGE(AC16:AH16)</f>
        <v/>
      </c>
    </row>
    <row r="17">
      <c r="B17" s="14" t="inlineStr">
        <is>
          <t>Furniture &amp; Related Products</t>
        </is>
      </c>
      <c r="C17" s="20" t="n">
        <v>2</v>
      </c>
      <c r="D17" s="20" t="n">
        <v>10</v>
      </c>
      <c r="E17" s="20" t="n">
        <v>5</v>
      </c>
      <c r="F17" s="20" t="n">
        <v>10</v>
      </c>
      <c r="G17" s="20" t="n">
        <v>12</v>
      </c>
      <c r="H17" s="20" t="n">
        <v>7</v>
      </c>
      <c r="I17" s="20" t="n">
        <v>8</v>
      </c>
      <c r="J17" s="20" t="n">
        <v>-2</v>
      </c>
      <c r="K17" s="20" t="n">
        <v>5</v>
      </c>
      <c r="L17" s="20" t="n">
        <v>-11</v>
      </c>
      <c r="M17" s="20" t="n">
        <v>-12</v>
      </c>
      <c r="N17" s="20" t="n">
        <v>8</v>
      </c>
      <c r="O17" s="20" t="n">
        <v>13</v>
      </c>
      <c r="P17" s="20" t="n">
        <v>-3</v>
      </c>
      <c r="Q17" s="20" t="n">
        <v>-14</v>
      </c>
      <c r="R17" s="20" t="n">
        <v>5</v>
      </c>
      <c r="S17" s="20" t="n">
        <v>11</v>
      </c>
      <c r="T17" s="20" t="n">
        <v>12</v>
      </c>
      <c r="U17" s="20" t="n">
        <v>-1</v>
      </c>
      <c r="V17" s="20" t="n">
        <v>11</v>
      </c>
      <c r="W17" s="20" t="n">
        <v>9</v>
      </c>
      <c r="X17" s="20" t="n">
        <v>2</v>
      </c>
      <c r="Y17" s="20" t="n">
        <v>15</v>
      </c>
      <c r="Z17" s="20" t="n">
        <v>4</v>
      </c>
      <c r="AA17" s="20" t="n">
        <v>2</v>
      </c>
      <c r="AB17" s="20" t="n">
        <v>12</v>
      </c>
      <c r="AC17" s="20" t="n">
        <v>16</v>
      </c>
      <c r="AD17" s="20" t="n">
        <v>16</v>
      </c>
      <c r="AE17" s="20" t="n">
        <v>17</v>
      </c>
      <c r="AF17" s="20" t="n">
        <v>17</v>
      </c>
      <c r="AG17" s="20" t="n">
        <v>15</v>
      </c>
      <c r="AH17" s="20" t="n">
        <v>17</v>
      </c>
      <c r="AI17" s="13" t="n"/>
      <c r="AJ17" s="20">
        <f>AH17-AG17</f>
        <v/>
      </c>
      <c r="AK17" s="23">
        <f>AVERAGE(AF17:AH17)</f>
        <v/>
      </c>
      <c r="AL17" s="23">
        <f>AVERAGE(AC17:AH17)</f>
        <v/>
      </c>
    </row>
    <row r="18">
      <c r="B18" s="14" t="inlineStr">
        <is>
          <t>Transportation Equipment</t>
        </is>
      </c>
      <c r="C18" s="20" t="n">
        <v>4</v>
      </c>
      <c r="D18" s="20" t="n">
        <v>5</v>
      </c>
      <c r="E18" s="20" t="n">
        <v>-1</v>
      </c>
      <c r="F18" s="20" t="n">
        <v>0</v>
      </c>
      <c r="G18" s="20" t="n">
        <v>-2</v>
      </c>
      <c r="H18" s="20" t="n">
        <v>-5</v>
      </c>
      <c r="I18" s="20" t="n">
        <v>-5</v>
      </c>
      <c r="J18" s="20" t="n">
        <v>-5</v>
      </c>
      <c r="K18" s="20" t="n">
        <v>-9</v>
      </c>
      <c r="L18" s="20" t="n">
        <v>-8</v>
      </c>
      <c r="M18" s="20" t="n">
        <v>-11</v>
      </c>
      <c r="N18" s="20" t="n">
        <v>-3</v>
      </c>
      <c r="O18" s="20" t="n">
        <v>-2</v>
      </c>
      <c r="P18" s="20" t="n">
        <v>-4</v>
      </c>
      <c r="Q18" s="20" t="n">
        <v>-13</v>
      </c>
      <c r="R18" s="20" t="n">
        <v>-9</v>
      </c>
      <c r="S18" s="20" t="n">
        <v>-4</v>
      </c>
      <c r="T18" s="20" t="n">
        <v>-3</v>
      </c>
      <c r="U18" s="20" t="n">
        <v>1</v>
      </c>
      <c r="V18" s="20" t="n">
        <v>1</v>
      </c>
      <c r="W18" s="20" t="n">
        <v>3</v>
      </c>
      <c r="X18" s="20" t="n">
        <v>3</v>
      </c>
      <c r="Y18" s="20" t="n">
        <v>10</v>
      </c>
      <c r="Z18" s="20" t="n">
        <v>10</v>
      </c>
      <c r="AA18" s="20" t="n">
        <v>9</v>
      </c>
      <c r="AB18" s="20" t="n">
        <v>6</v>
      </c>
      <c r="AC18" s="20" t="n">
        <v>5</v>
      </c>
      <c r="AD18" s="20" t="n">
        <v>4</v>
      </c>
      <c r="AE18" s="20" t="n">
        <v>10</v>
      </c>
      <c r="AF18" s="20" t="n">
        <v>4</v>
      </c>
      <c r="AG18" s="20" t="n">
        <v>5</v>
      </c>
      <c r="AH18" s="20" t="n">
        <v>4</v>
      </c>
      <c r="AI18" s="13" t="n"/>
      <c r="AJ18" s="20">
        <f>AH18-AG18</f>
        <v/>
      </c>
      <c r="AK18" s="23">
        <f>AVERAGE(AF18:AH18)</f>
        <v/>
      </c>
      <c r="AL18" s="23">
        <f>AVERAGE(AC18:AH18)</f>
        <v/>
      </c>
      <c r="AO18" s="4" t="n"/>
    </row>
    <row r="19">
      <c r="B19" s="14" t="inlineStr">
        <is>
          <t>Chemical Products</t>
        </is>
      </c>
      <c r="C19" s="20" t="n">
        <v>8</v>
      </c>
      <c r="D19" s="20" t="n">
        <v>9</v>
      </c>
      <c r="E19" s="20" t="n">
        <v>9</v>
      </c>
      <c r="F19" s="20" t="n">
        <v>4</v>
      </c>
      <c r="G19" s="20" t="n">
        <v>6</v>
      </c>
      <c r="H19" s="20" t="n">
        <v>1</v>
      </c>
      <c r="I19" s="20" t="n">
        <v>1</v>
      </c>
      <c r="J19" s="20" t="n">
        <v>1</v>
      </c>
      <c r="K19" s="20" t="n">
        <v>-6</v>
      </c>
      <c r="L19" s="20" t="n">
        <v>-2</v>
      </c>
      <c r="M19" s="20" t="n">
        <v>-3</v>
      </c>
      <c r="N19" s="20" t="n">
        <v>2</v>
      </c>
      <c r="O19" s="20" t="n">
        <v>1</v>
      </c>
      <c r="P19" s="20" t="n">
        <v>5</v>
      </c>
      <c r="Q19" s="20" t="n">
        <v>-1</v>
      </c>
      <c r="R19" s="20" t="n">
        <v>-3</v>
      </c>
      <c r="S19" s="20" t="n">
        <v>5</v>
      </c>
      <c r="T19" s="20" t="n">
        <v>7</v>
      </c>
      <c r="U19" s="20" t="n">
        <v>11</v>
      </c>
      <c r="V19" s="20" t="n">
        <v>7</v>
      </c>
      <c r="W19" s="20" t="n">
        <v>6</v>
      </c>
      <c r="X19" s="20" t="n">
        <v>8</v>
      </c>
      <c r="Y19" s="20" t="n">
        <v>7</v>
      </c>
      <c r="Z19" s="20" t="n">
        <v>13</v>
      </c>
      <c r="AA19" s="20" t="n">
        <v>12</v>
      </c>
      <c r="AB19" s="20" t="n">
        <v>5</v>
      </c>
      <c r="AC19" s="20" t="n">
        <v>11</v>
      </c>
      <c r="AD19" s="20" t="n">
        <v>6</v>
      </c>
      <c r="AE19" s="20" t="n">
        <v>12</v>
      </c>
      <c r="AF19" s="20" t="n">
        <v>8</v>
      </c>
      <c r="AG19" s="20" t="n">
        <v>8</v>
      </c>
      <c r="AH19" s="20" t="n">
        <v>12</v>
      </c>
      <c r="AI19" s="13" t="n"/>
      <c r="AJ19" s="20">
        <f>AH19-AG19</f>
        <v/>
      </c>
      <c r="AK19" s="23">
        <f>AVERAGE(AF19:AH19)</f>
        <v/>
      </c>
      <c r="AL19" s="23">
        <f>AVERAGE(AC19:AH19)</f>
        <v/>
      </c>
    </row>
    <row r="20">
      <c r="B20" s="14" t="inlineStr">
        <is>
          <t>Fabricated Metal Products</t>
        </is>
      </c>
      <c r="C20" s="20" t="n">
        <v>12</v>
      </c>
      <c r="D20" s="20" t="n">
        <v>3</v>
      </c>
      <c r="E20" s="20" t="n">
        <v>1</v>
      </c>
      <c r="F20" s="20" t="n">
        <v>-1</v>
      </c>
      <c r="G20" s="20" t="n">
        <v>-1</v>
      </c>
      <c r="H20" s="20" t="n">
        <v>-8</v>
      </c>
      <c r="I20" s="20" t="n">
        <v>-6</v>
      </c>
      <c r="J20" s="20" t="n">
        <v>-9</v>
      </c>
      <c r="K20" s="20" t="n">
        <v>-3</v>
      </c>
      <c r="L20" s="20" t="n">
        <v>-9</v>
      </c>
      <c r="M20" s="20" t="n">
        <v>-8</v>
      </c>
      <c r="N20" s="20" t="n">
        <v>1</v>
      </c>
      <c r="O20" s="20" t="n">
        <v>3</v>
      </c>
      <c r="P20" s="20" t="n">
        <v>-2</v>
      </c>
      <c r="Q20" s="20" t="n">
        <v>-11</v>
      </c>
      <c r="R20" s="20" t="n">
        <v>-7</v>
      </c>
      <c r="S20" s="20" t="n">
        <v>-2</v>
      </c>
      <c r="T20" s="20" t="n">
        <v>-1</v>
      </c>
      <c r="U20" s="20" t="n">
        <v>8</v>
      </c>
      <c r="V20" s="20" t="n">
        <v>8</v>
      </c>
      <c r="W20" s="20" t="n">
        <v>14</v>
      </c>
      <c r="X20" s="20" t="n">
        <v>11</v>
      </c>
      <c r="Y20" s="20" t="n">
        <v>13</v>
      </c>
      <c r="Z20" s="20" t="n">
        <v>12</v>
      </c>
      <c r="AA20" s="20" t="n">
        <v>10</v>
      </c>
      <c r="AB20" s="20" t="n">
        <v>11</v>
      </c>
      <c r="AC20" s="20" t="n">
        <v>14</v>
      </c>
      <c r="AD20" s="20" t="n">
        <v>9</v>
      </c>
      <c r="AE20" s="20" t="n">
        <v>11</v>
      </c>
      <c r="AF20" s="20" t="n">
        <v>10</v>
      </c>
      <c r="AG20" s="20" t="n">
        <v>10</v>
      </c>
      <c r="AH20" s="20" t="n">
        <v>5</v>
      </c>
      <c r="AI20" s="13" t="n"/>
      <c r="AJ20" s="20">
        <f>AH20-AG20</f>
        <v/>
      </c>
      <c r="AK20" s="23">
        <f>AVERAGE(AF20:AH20)</f>
        <v/>
      </c>
      <c r="AL20" s="23">
        <f>AVERAGE(AC20:AH20)</f>
        <v/>
      </c>
    </row>
    <row r="21">
      <c r="B21" s="14" t="inlineStr">
        <is>
          <t>Electrical Equipment, Appliances &amp; Components</t>
        </is>
      </c>
      <c r="C21" s="20" t="n">
        <v>13</v>
      </c>
      <c r="D21" s="20" t="n">
        <v>11</v>
      </c>
      <c r="E21" s="20" t="n">
        <v>12</v>
      </c>
      <c r="F21" s="20" t="n">
        <v>6</v>
      </c>
      <c r="G21" s="20" t="n">
        <v>2</v>
      </c>
      <c r="H21" s="20" t="n">
        <v>-2</v>
      </c>
      <c r="I21" s="20" t="n">
        <v>-1</v>
      </c>
      <c r="J21" s="20" t="n">
        <v>-12</v>
      </c>
      <c r="K21" s="20" t="n">
        <v>-4</v>
      </c>
      <c r="L21" s="20" t="n">
        <v>-1</v>
      </c>
      <c r="M21" s="20" t="n">
        <v>-6</v>
      </c>
      <c r="N21" s="20" t="n">
        <v>-6</v>
      </c>
      <c r="O21" s="20" t="n">
        <v>4</v>
      </c>
      <c r="P21" s="20" t="n">
        <v>0</v>
      </c>
      <c r="Q21" s="20" t="n">
        <v>-7</v>
      </c>
      <c r="R21" s="20" t="n">
        <v>-4</v>
      </c>
      <c r="S21" s="20" t="n">
        <v>1</v>
      </c>
      <c r="T21" s="20" t="n">
        <v>1</v>
      </c>
      <c r="U21" s="20" t="n">
        <v>3</v>
      </c>
      <c r="V21" s="20" t="n">
        <v>10</v>
      </c>
      <c r="W21" s="20" t="n">
        <v>2</v>
      </c>
      <c r="X21" s="20" t="n">
        <v>12</v>
      </c>
      <c r="Y21" s="20" t="n">
        <v>3</v>
      </c>
      <c r="Z21" s="20" t="n">
        <v>16</v>
      </c>
      <c r="AA21" s="20" t="n">
        <v>15</v>
      </c>
      <c r="AB21" s="20" t="n">
        <v>16</v>
      </c>
      <c r="AC21" s="20" t="n">
        <v>0</v>
      </c>
      <c r="AD21" s="20" t="n">
        <v>10</v>
      </c>
      <c r="AE21" s="20" t="n">
        <v>15</v>
      </c>
      <c r="AF21" s="20" t="n">
        <v>3</v>
      </c>
      <c r="AG21" s="20" t="n">
        <v>11</v>
      </c>
      <c r="AH21" s="20" t="n">
        <v>14</v>
      </c>
      <c r="AI21" s="13" t="n"/>
      <c r="AJ21" s="20">
        <f>AH21-AG21</f>
        <v/>
      </c>
      <c r="AK21" s="23">
        <f>AVERAGE(AF21:AH21)</f>
        <v/>
      </c>
      <c r="AL21" s="23">
        <f>AVERAGE(AC21:AH21)</f>
        <v/>
      </c>
    </row>
    <row r="22">
      <c r="B22" s="14" t="inlineStr">
        <is>
          <t>Textile Mills</t>
        </is>
      </c>
      <c r="C22" s="20" t="n">
        <v>15</v>
      </c>
      <c r="D22" s="20" t="n">
        <v>15</v>
      </c>
      <c r="E22" s="20" t="n">
        <v>13</v>
      </c>
      <c r="F22" s="20" t="n">
        <v>8</v>
      </c>
      <c r="G22" s="20" t="n">
        <v>10</v>
      </c>
      <c r="H22" s="20" t="n">
        <v>3</v>
      </c>
      <c r="I22" s="20" t="n">
        <v>9</v>
      </c>
      <c r="J22" s="20" t="n">
        <v>-11</v>
      </c>
      <c r="K22" s="20" t="n">
        <v>-10</v>
      </c>
      <c r="L22" s="20" t="n">
        <v>-10</v>
      </c>
      <c r="M22" s="20" t="n">
        <v>-5</v>
      </c>
      <c r="N22" s="20" t="n">
        <v>-4</v>
      </c>
      <c r="O22" s="20" t="n">
        <v>9</v>
      </c>
      <c r="P22" s="20" t="n">
        <v>-5</v>
      </c>
      <c r="Q22" s="20" t="n">
        <v>-12</v>
      </c>
      <c r="R22" s="20" t="n">
        <v>0</v>
      </c>
      <c r="S22" s="20" t="n">
        <v>13</v>
      </c>
      <c r="T22" s="20" t="n">
        <v>11</v>
      </c>
      <c r="U22" s="20" t="n">
        <v>12</v>
      </c>
      <c r="V22" s="20" t="n">
        <v>3</v>
      </c>
      <c r="W22" s="20" t="n">
        <v>-2</v>
      </c>
      <c r="X22" s="20" t="n">
        <v>14</v>
      </c>
      <c r="Y22" s="20" t="n">
        <v>4</v>
      </c>
      <c r="Z22" s="20" t="n">
        <v>2</v>
      </c>
      <c r="AA22" s="20" t="n">
        <v>16</v>
      </c>
      <c r="AB22" s="20" t="n">
        <v>17</v>
      </c>
      <c r="AC22" s="20" t="n">
        <v>17</v>
      </c>
      <c r="AD22" s="20" t="n">
        <v>13</v>
      </c>
      <c r="AE22" s="20" t="n">
        <v>7</v>
      </c>
      <c r="AF22" s="20" t="n">
        <v>-1</v>
      </c>
      <c r="AG22" s="20" t="n">
        <v>-2</v>
      </c>
      <c r="AH22" s="20" t="n">
        <v>10</v>
      </c>
      <c r="AI22" s="13" t="n"/>
      <c r="AJ22" s="20">
        <f>AH22-AG22</f>
        <v/>
      </c>
      <c r="AK22" s="23">
        <f>AVERAGE(AF22:AH22)</f>
        <v/>
      </c>
      <c r="AL22" s="23">
        <f>AVERAGE(AC22:AH22)</f>
        <v/>
      </c>
    </row>
    <row r="23">
      <c r="B23" s="15" t="inlineStr">
        <is>
          <t>Wood Products</t>
        </is>
      </c>
      <c r="C23" s="20" t="n">
        <v>10</v>
      </c>
      <c r="D23" s="20" t="n">
        <v>7</v>
      </c>
      <c r="E23" s="20" t="n">
        <v>-3</v>
      </c>
      <c r="F23" s="20" t="n">
        <v>-3</v>
      </c>
      <c r="G23" s="20" t="n">
        <v>-3</v>
      </c>
      <c r="H23" s="20" t="n">
        <v>0</v>
      </c>
      <c r="I23" s="20" t="n">
        <v>6</v>
      </c>
      <c r="J23" s="20" t="n">
        <v>-13</v>
      </c>
      <c r="K23" s="20" t="n">
        <v>2</v>
      </c>
      <c r="L23" s="20" t="n">
        <v>-13</v>
      </c>
      <c r="M23" s="20" t="n">
        <v>-14</v>
      </c>
      <c r="N23" s="20" t="n">
        <v>7</v>
      </c>
      <c r="O23" s="20" t="n">
        <v>14</v>
      </c>
      <c r="P23" s="20" t="n">
        <v>7</v>
      </c>
      <c r="Q23" s="20" t="n">
        <v>-5</v>
      </c>
      <c r="R23" s="20" t="n">
        <v>1</v>
      </c>
      <c r="S23" s="20" t="n">
        <v>12</v>
      </c>
      <c r="T23" s="20" t="n">
        <v>13</v>
      </c>
      <c r="U23" s="20" t="n">
        <v>15</v>
      </c>
      <c r="V23" s="20" t="n">
        <v>13</v>
      </c>
      <c r="W23" s="20" t="n">
        <v>7</v>
      </c>
      <c r="X23" s="20" t="n">
        <v>13</v>
      </c>
      <c r="Y23" s="20" t="n">
        <v>14</v>
      </c>
      <c r="Z23" s="20" t="n">
        <v>7</v>
      </c>
      <c r="AA23" s="20" t="n">
        <v>8</v>
      </c>
      <c r="AB23" s="20" t="n">
        <v>0</v>
      </c>
      <c r="AC23" s="20" t="n">
        <v>1</v>
      </c>
      <c r="AD23" s="20" t="n">
        <v>3</v>
      </c>
      <c r="AE23" s="20" t="n">
        <v>2</v>
      </c>
      <c r="AF23" s="20" t="n">
        <v>2</v>
      </c>
      <c r="AG23" s="20" t="n">
        <v>4</v>
      </c>
      <c r="AH23" s="20" t="n">
        <v>-1</v>
      </c>
      <c r="AI23" s="13" t="n"/>
      <c r="AJ23" s="20">
        <f>AH23-AG23</f>
        <v/>
      </c>
      <c r="AK23" s="23">
        <f>AVERAGE(AF23:AH23)</f>
        <v/>
      </c>
      <c r="AL23" s="23">
        <f>AVERAGE(AC23:AH23)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13" t="n"/>
      <c r="AJ24" s="13" t="n"/>
      <c r="AK24" s="13" t="n"/>
      <c r="AL24" s="13" t="n"/>
    </row>
    <row r="25" ht="16" customHeight="1"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row>
    <row r="26">
      <c r="B26" s="135"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11" t="n"/>
      <c r="AJ26" s="139" t="inlineStr">
        <is>
          <t>mom</t>
        </is>
      </c>
      <c r="AK26" s="139" t="inlineStr">
        <is>
          <t>3 months</t>
        </is>
      </c>
      <c r="AL26" s="139" t="inlineStr">
        <is>
          <t>6 months</t>
        </is>
      </c>
    </row>
    <row r="27" ht="16" customHeight="1" thickBot="1">
      <c r="B27" s="136"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11" t="n"/>
      <c r="AJ27" s="140" t="n"/>
      <c r="AK27" s="140" t="n"/>
      <c r="AL27" s="140" t="n"/>
    </row>
    <row r="28">
      <c r="B28" s="16" t="inlineStr">
        <is>
          <t>Machinery</t>
        </is>
      </c>
      <c r="C28" s="20" t="n">
        <v>1</v>
      </c>
      <c r="D28" s="20" t="n">
        <v>2</v>
      </c>
      <c r="E28" s="20" t="n">
        <v>3</v>
      </c>
      <c r="F28" s="20" t="n">
        <v>4</v>
      </c>
      <c r="G28" s="20" t="n">
        <v>-2</v>
      </c>
      <c r="H28" s="20" t="n">
        <v>0</v>
      </c>
      <c r="I28" s="20" t="n">
        <v>2</v>
      </c>
      <c r="J28" s="20" t="n">
        <v>0</v>
      </c>
      <c r="K28" s="20" t="n">
        <v>-3</v>
      </c>
      <c r="L28" s="20" t="n">
        <v>-5</v>
      </c>
      <c r="M28" s="20" t="n">
        <v>-1</v>
      </c>
      <c r="N28" s="20" t="n">
        <v>1</v>
      </c>
      <c r="O28" s="20" t="n">
        <v>3</v>
      </c>
      <c r="P28" s="20" t="n">
        <v>-1</v>
      </c>
      <c r="Q28" s="20" t="n">
        <v>-8</v>
      </c>
      <c r="R28" s="20" t="n">
        <v>-4</v>
      </c>
      <c r="S28" s="20" t="n">
        <v>2</v>
      </c>
      <c r="T28" s="20" t="n">
        <v>1</v>
      </c>
      <c r="U28" s="20" t="n">
        <v>9</v>
      </c>
      <c r="V28" s="20" t="n">
        <v>3</v>
      </c>
      <c r="W28" s="20" t="n">
        <v>6</v>
      </c>
      <c r="X28" s="20" t="n">
        <v>6</v>
      </c>
      <c r="Y28" s="20" t="n">
        <v>9</v>
      </c>
      <c r="Z28" s="20" t="n">
        <v>11</v>
      </c>
      <c r="AA28" s="20" t="n">
        <v>6</v>
      </c>
      <c r="AB28" s="20" t="n">
        <v>9</v>
      </c>
      <c r="AC28" s="20" t="n">
        <v>11</v>
      </c>
      <c r="AD28" s="20" t="n">
        <v>9</v>
      </c>
      <c r="AE28" s="20" t="n">
        <v>9</v>
      </c>
      <c r="AF28" s="20" t="n">
        <v>12</v>
      </c>
      <c r="AG28" s="20" t="n">
        <v>11</v>
      </c>
      <c r="AH28" s="20" t="n">
        <v>8</v>
      </c>
      <c r="AJ28" s="20">
        <f>AH28-AG28</f>
        <v/>
      </c>
      <c r="AK28" s="23">
        <f>AVERAGE(AF28:AH28)</f>
        <v/>
      </c>
      <c r="AL28" s="23">
        <f>AVERAGE(AC28:AH28)</f>
        <v/>
      </c>
    </row>
    <row r="29">
      <c r="B29" s="14" t="inlineStr">
        <is>
          <t>Apparel, Leather &amp; Allied Products</t>
        </is>
      </c>
      <c r="C29" s="20" t="n">
        <v>0</v>
      </c>
      <c r="D29" s="20" t="n">
        <v>-2</v>
      </c>
      <c r="E29" s="20" t="n">
        <v>0</v>
      </c>
      <c r="F29" s="20" t="n">
        <v>-4</v>
      </c>
      <c r="G29" s="20" t="n">
        <v>-6</v>
      </c>
      <c r="H29" s="20" t="n">
        <v>-10</v>
      </c>
      <c r="I29" s="20" t="n">
        <v>-11</v>
      </c>
      <c r="J29" s="20" t="n">
        <v>-11</v>
      </c>
      <c r="K29" s="20" t="n">
        <v>-9</v>
      </c>
      <c r="L29" s="20" t="n">
        <v>5</v>
      </c>
      <c r="M29" s="20" t="n">
        <v>0</v>
      </c>
      <c r="N29" s="20" t="n">
        <v>-3</v>
      </c>
      <c r="O29" s="20" t="n">
        <v>12</v>
      </c>
      <c r="P29" s="20" t="n">
        <v>7</v>
      </c>
      <c r="Q29" s="20" t="n">
        <v>0</v>
      </c>
      <c r="R29" s="20" t="n">
        <v>0</v>
      </c>
      <c r="S29" s="20" t="n">
        <v>0</v>
      </c>
      <c r="T29" s="20" t="n">
        <v>0</v>
      </c>
      <c r="U29" s="20" t="n">
        <v>0</v>
      </c>
      <c r="V29" s="20" t="n">
        <v>-3</v>
      </c>
      <c r="W29" s="20" t="n">
        <v>16</v>
      </c>
      <c r="X29" s="20" t="n">
        <v>15</v>
      </c>
      <c r="Y29" s="20" t="n">
        <v>13</v>
      </c>
      <c r="Z29" s="20" t="n">
        <v>0</v>
      </c>
      <c r="AA29" s="20" t="n">
        <v>0</v>
      </c>
      <c r="AB29" s="20" t="n">
        <v>15</v>
      </c>
      <c r="AC29" s="20" t="n">
        <v>0</v>
      </c>
      <c r="AD29" s="20" t="n">
        <v>0</v>
      </c>
      <c r="AE29" s="20" t="n">
        <v>0</v>
      </c>
      <c r="AF29" s="20" t="n">
        <v>0</v>
      </c>
      <c r="AG29" s="20" t="n">
        <v>0</v>
      </c>
      <c r="AH29" s="20" t="n">
        <v>0</v>
      </c>
      <c r="AJ29" s="20">
        <f>AH29-AG29</f>
        <v/>
      </c>
      <c r="AK29" s="23">
        <f>AVERAGE(AF29:AH29)</f>
        <v/>
      </c>
      <c r="AL29" s="23">
        <f>AVERAGE(AC29:AH29)</f>
        <v/>
      </c>
    </row>
    <row r="30">
      <c r="B30" s="14" t="inlineStr">
        <is>
          <t>Primary Metals</t>
        </is>
      </c>
      <c r="C30" s="20" t="n">
        <v>9</v>
      </c>
      <c r="D30" s="20" t="n">
        <v>9</v>
      </c>
      <c r="E30" s="20" t="n">
        <v>-3</v>
      </c>
      <c r="F30" s="20" t="n">
        <v>-2</v>
      </c>
      <c r="G30" s="20" t="n">
        <v>-5</v>
      </c>
      <c r="H30" s="20" t="n">
        <v>-9</v>
      </c>
      <c r="I30" s="20" t="n">
        <v>-3</v>
      </c>
      <c r="J30" s="20" t="n">
        <v>0</v>
      </c>
      <c r="K30" s="20" t="n">
        <v>-10</v>
      </c>
      <c r="L30" s="20" t="n">
        <v>0</v>
      </c>
      <c r="M30" s="20" t="n">
        <v>-4</v>
      </c>
      <c r="N30" s="20" t="n">
        <v>8</v>
      </c>
      <c r="O30" s="20" t="n">
        <v>13</v>
      </c>
      <c r="P30" s="20" t="n">
        <v>-7</v>
      </c>
      <c r="Q30" s="20" t="n">
        <v>-2</v>
      </c>
      <c r="R30" s="20" t="n">
        <v>-10</v>
      </c>
      <c r="S30" s="20" t="n">
        <v>0</v>
      </c>
      <c r="T30" s="20" t="n">
        <v>11</v>
      </c>
      <c r="U30" s="20" t="n">
        <v>15</v>
      </c>
      <c r="V30" s="20" t="n">
        <v>0</v>
      </c>
      <c r="W30" s="20" t="n">
        <v>13</v>
      </c>
      <c r="X30" s="20" t="n">
        <v>2</v>
      </c>
      <c r="Y30" s="20" t="n">
        <v>4</v>
      </c>
      <c r="Z30" s="20" t="n">
        <v>13</v>
      </c>
      <c r="AA30" s="20" t="n">
        <v>11</v>
      </c>
      <c r="AB30" s="20" t="n">
        <v>5</v>
      </c>
      <c r="AC30" s="20" t="n">
        <v>13</v>
      </c>
      <c r="AD30" s="20" t="n">
        <v>12</v>
      </c>
      <c r="AE30" s="20" t="n">
        <v>2</v>
      </c>
      <c r="AF30" s="20" t="n">
        <v>1</v>
      </c>
      <c r="AG30" s="20" t="n">
        <v>8</v>
      </c>
      <c r="AH30" s="20" t="n">
        <v>13</v>
      </c>
      <c r="AJ30" s="20">
        <f>AH30-AG30</f>
        <v/>
      </c>
      <c r="AK30" s="23">
        <f>AVERAGE(AF30:AH30)</f>
        <v/>
      </c>
      <c r="AL30" s="23">
        <f>AVERAGE(AC30:AH30)</f>
        <v/>
      </c>
    </row>
    <row r="31">
      <c r="B31" s="14" t="inlineStr">
        <is>
          <t>Computer &amp; Electronic Products</t>
        </is>
      </c>
      <c r="C31" s="20" t="n">
        <v>12</v>
      </c>
      <c r="D31" s="20" t="n">
        <v>7</v>
      </c>
      <c r="E31" s="20" t="n">
        <v>5</v>
      </c>
      <c r="F31" s="20" t="n">
        <v>9</v>
      </c>
      <c r="G31" s="20" t="n">
        <v>1</v>
      </c>
      <c r="H31" s="20" t="n">
        <v>1</v>
      </c>
      <c r="I31" s="20" t="n">
        <v>-1</v>
      </c>
      <c r="J31" s="20" t="n">
        <v>-3</v>
      </c>
      <c r="K31" s="20" t="n">
        <v>2</v>
      </c>
      <c r="L31" s="20" t="n">
        <v>-1</v>
      </c>
      <c r="M31" s="20" t="n">
        <v>-3</v>
      </c>
      <c r="N31" s="20" t="n">
        <v>6</v>
      </c>
      <c r="O31" s="20" t="n">
        <v>7</v>
      </c>
      <c r="P31" s="20" t="n">
        <v>1</v>
      </c>
      <c r="Q31" s="20" t="n">
        <v>-4</v>
      </c>
      <c r="R31" s="20" t="n">
        <v>-6</v>
      </c>
      <c r="S31" s="20" t="n">
        <v>1</v>
      </c>
      <c r="T31" s="20" t="n">
        <v>2</v>
      </c>
      <c r="U31" s="20" t="n">
        <v>12</v>
      </c>
      <c r="V31" s="20" t="n">
        <v>0</v>
      </c>
      <c r="W31" s="20" t="n">
        <v>9</v>
      </c>
      <c r="X31" s="20" t="n">
        <v>5</v>
      </c>
      <c r="Y31" s="20" t="n">
        <v>8</v>
      </c>
      <c r="Z31" s="20" t="n">
        <v>1</v>
      </c>
      <c r="AA31" s="20" t="n">
        <v>3</v>
      </c>
      <c r="AB31" s="20" t="n">
        <v>7</v>
      </c>
      <c r="AC31" s="20" t="n">
        <v>2</v>
      </c>
      <c r="AD31" s="20" t="n">
        <v>11</v>
      </c>
      <c r="AE31" s="20" t="n">
        <v>7</v>
      </c>
      <c r="AF31" s="20" t="n">
        <v>14</v>
      </c>
      <c r="AG31" s="20" t="n">
        <v>13</v>
      </c>
      <c r="AH31" s="20" t="n">
        <v>9</v>
      </c>
      <c r="AJ31" s="20">
        <f>AH31-AG31</f>
        <v/>
      </c>
      <c r="AK31" s="23">
        <f>AVERAGE(AF31:AH31)</f>
        <v/>
      </c>
      <c r="AL31" s="23">
        <f>AVERAGE(AC31:AH31)</f>
        <v/>
      </c>
    </row>
    <row r="32">
      <c r="B32" s="14" t="inlineStr">
        <is>
          <t>Plastics &amp; Rubber Products</t>
        </is>
      </c>
      <c r="C32" s="20" t="n">
        <v>7</v>
      </c>
      <c r="D32" s="20" t="n">
        <v>6</v>
      </c>
      <c r="E32" s="20" t="n">
        <v>2</v>
      </c>
      <c r="F32" s="20" t="n">
        <v>10</v>
      </c>
      <c r="G32" s="20" t="n">
        <v>4</v>
      </c>
      <c r="H32" s="20" t="n">
        <v>-1</v>
      </c>
      <c r="I32" s="20" t="n">
        <v>-4</v>
      </c>
      <c r="J32" s="20" t="n">
        <v>-1</v>
      </c>
      <c r="K32" s="20" t="n">
        <v>-6</v>
      </c>
      <c r="L32" s="20" t="n">
        <v>-3</v>
      </c>
      <c r="M32" s="20" t="n">
        <v>0</v>
      </c>
      <c r="N32" s="20" t="n">
        <v>4</v>
      </c>
      <c r="O32" s="20" t="n">
        <v>10</v>
      </c>
      <c r="P32" s="20" t="n">
        <v>4</v>
      </c>
      <c r="Q32" s="20" t="n">
        <v>-6</v>
      </c>
      <c r="R32" s="20" t="n">
        <v>-5</v>
      </c>
      <c r="S32" s="20" t="n">
        <v>10</v>
      </c>
      <c r="T32" s="20" t="n">
        <v>10</v>
      </c>
      <c r="U32" s="20" t="n">
        <v>14</v>
      </c>
      <c r="V32" s="20" t="n">
        <v>10</v>
      </c>
      <c r="W32" s="20" t="n">
        <v>14</v>
      </c>
      <c r="X32" s="20" t="n">
        <v>14</v>
      </c>
      <c r="Y32" s="20" t="n">
        <v>5</v>
      </c>
      <c r="Z32" s="20" t="n">
        <v>10</v>
      </c>
      <c r="AA32" s="20" t="n">
        <v>1</v>
      </c>
      <c r="AB32" s="20" t="n">
        <v>2</v>
      </c>
      <c r="AC32" s="20" t="n">
        <v>3</v>
      </c>
      <c r="AD32" s="20" t="n">
        <v>10</v>
      </c>
      <c r="AE32" s="20" t="n">
        <v>4</v>
      </c>
      <c r="AF32" s="20" t="n">
        <v>2</v>
      </c>
      <c r="AG32" s="20" t="n">
        <v>7</v>
      </c>
      <c r="AH32" s="20" t="n">
        <v>0</v>
      </c>
      <c r="AJ32" s="20">
        <f>AH32-AG32</f>
        <v/>
      </c>
      <c r="AK32" s="23">
        <f>AVERAGE(AF32:AH32)</f>
        <v/>
      </c>
      <c r="AL32" s="23">
        <f>AVERAGE(AC32:AH32)</f>
        <v/>
      </c>
    </row>
    <row r="33">
      <c r="B33" s="14" t="inlineStr">
        <is>
          <t>Miscellaneous Manufacturing</t>
        </is>
      </c>
      <c r="C33" s="20" t="n">
        <v>5</v>
      </c>
      <c r="D33" s="20" t="n">
        <v>1</v>
      </c>
      <c r="E33" s="20" t="n">
        <v>11</v>
      </c>
      <c r="F33" s="20" t="n">
        <v>6</v>
      </c>
      <c r="G33" s="20" t="n">
        <v>3</v>
      </c>
      <c r="H33" s="20" t="n">
        <v>-3</v>
      </c>
      <c r="I33" s="20" t="n">
        <v>-2</v>
      </c>
      <c r="J33" s="20" t="n">
        <v>3</v>
      </c>
      <c r="K33" s="20" t="n">
        <v>-2</v>
      </c>
      <c r="L33" s="20" t="n">
        <v>1</v>
      </c>
      <c r="M33" s="20" t="n">
        <v>1</v>
      </c>
      <c r="N33" s="20" t="n">
        <v>7</v>
      </c>
      <c r="O33" s="20" t="n">
        <v>6</v>
      </c>
      <c r="P33" s="20" t="n">
        <v>-3</v>
      </c>
      <c r="Q33" s="20" t="n">
        <v>-5</v>
      </c>
      <c r="R33" s="20" t="n">
        <v>-8</v>
      </c>
      <c r="S33" s="20" t="n">
        <v>3</v>
      </c>
      <c r="T33" s="20" t="n">
        <v>4</v>
      </c>
      <c r="U33" s="20" t="n">
        <v>3</v>
      </c>
      <c r="V33" s="20" t="n">
        <v>-1</v>
      </c>
      <c r="W33" s="20" t="n">
        <v>1</v>
      </c>
      <c r="X33" s="20" t="n">
        <v>4</v>
      </c>
      <c r="Y33" s="20" t="n">
        <v>-1</v>
      </c>
      <c r="Z33" s="20" t="n">
        <v>3</v>
      </c>
      <c r="AA33" s="20" t="n">
        <v>-1</v>
      </c>
      <c r="AB33" s="20" t="n">
        <v>1</v>
      </c>
      <c r="AC33" s="20" t="n">
        <v>7</v>
      </c>
      <c r="AD33" s="20" t="n">
        <v>1</v>
      </c>
      <c r="AE33" s="20" t="n">
        <v>12</v>
      </c>
      <c r="AF33" s="20" t="n">
        <v>11</v>
      </c>
      <c r="AG33" s="20" t="n">
        <v>4</v>
      </c>
      <c r="AH33" s="20" t="n">
        <v>6</v>
      </c>
      <c r="AJ33" s="20">
        <f>AH33-AG33</f>
        <v/>
      </c>
      <c r="AK33" s="23">
        <f>AVERAGE(AF33:AH33)</f>
        <v/>
      </c>
      <c r="AL33" s="23">
        <f>AVERAGE(AC33:AH33)</f>
        <v/>
      </c>
    </row>
    <row r="34">
      <c r="B34" s="14" t="inlineStr">
        <is>
          <t>Printing &amp; Related Support Activities</t>
        </is>
      </c>
      <c r="C34" s="20" t="n">
        <v>11</v>
      </c>
      <c r="D34" s="20" t="n">
        <v>13</v>
      </c>
      <c r="E34" s="20" t="n">
        <v>10</v>
      </c>
      <c r="F34" s="20" t="n">
        <v>11</v>
      </c>
      <c r="G34" s="20" t="n">
        <v>7</v>
      </c>
      <c r="H34" s="20" t="n">
        <v>5</v>
      </c>
      <c r="I34" s="20" t="n">
        <v>0</v>
      </c>
      <c r="J34" s="20" t="n">
        <v>0</v>
      </c>
      <c r="K34" s="20" t="n">
        <v>0</v>
      </c>
      <c r="L34" s="20" t="n">
        <v>-10</v>
      </c>
      <c r="M34" s="20" t="n">
        <v>-9</v>
      </c>
      <c r="N34" s="20" t="n">
        <v>-5</v>
      </c>
      <c r="O34" s="20" t="n">
        <v>14</v>
      </c>
      <c r="P34" s="20" t="n">
        <v>8</v>
      </c>
      <c r="Q34" s="20" t="n">
        <v>-14</v>
      </c>
      <c r="R34" s="20" t="n">
        <v>-12</v>
      </c>
      <c r="S34" s="20" t="n">
        <v>8</v>
      </c>
      <c r="T34" s="20" t="n">
        <v>0</v>
      </c>
      <c r="U34" s="20" t="n">
        <v>-1</v>
      </c>
      <c r="V34" s="20" t="n">
        <v>7</v>
      </c>
      <c r="W34" s="20" t="n">
        <v>0</v>
      </c>
      <c r="X34" s="20" t="n">
        <v>-2</v>
      </c>
      <c r="Y34" s="20" t="n">
        <v>0</v>
      </c>
      <c r="Z34" s="20" t="n">
        <v>-2</v>
      </c>
      <c r="AA34" s="20" t="n">
        <v>4</v>
      </c>
      <c r="AB34" s="20" t="n">
        <v>0</v>
      </c>
      <c r="AC34" s="20" t="n">
        <v>-1</v>
      </c>
      <c r="AD34" s="20" t="n">
        <v>-1</v>
      </c>
      <c r="AE34" s="20" t="n">
        <v>14</v>
      </c>
      <c r="AF34" s="20" t="n">
        <v>13</v>
      </c>
      <c r="AG34" s="20" t="n">
        <v>12</v>
      </c>
      <c r="AH34" s="20" t="n">
        <v>-2</v>
      </c>
      <c r="AJ34" s="20">
        <f>AH34-AG34</f>
        <v/>
      </c>
      <c r="AK34" s="23">
        <f>AVERAGE(AF34:AH34)</f>
        <v/>
      </c>
      <c r="AL34" s="23">
        <f>AVERAGE(AC34:AH34)</f>
        <v/>
      </c>
    </row>
    <row r="35">
      <c r="B35" s="14" t="inlineStr">
        <is>
          <t>Paper Products</t>
        </is>
      </c>
      <c r="C35" s="20" t="n">
        <v>4</v>
      </c>
      <c r="D35" s="20" t="n">
        <v>-1</v>
      </c>
      <c r="E35" s="20" t="n">
        <v>7</v>
      </c>
      <c r="F35" s="20" t="n">
        <v>-1</v>
      </c>
      <c r="G35" s="20" t="n">
        <v>2</v>
      </c>
      <c r="H35" s="20" t="n">
        <v>-2</v>
      </c>
      <c r="I35" s="20" t="n">
        <v>-10</v>
      </c>
      <c r="J35" s="20" t="n">
        <v>-4</v>
      </c>
      <c r="K35" s="20" t="n">
        <v>0</v>
      </c>
      <c r="L35" s="20" t="n">
        <v>3</v>
      </c>
      <c r="M35" s="20" t="n">
        <v>-5</v>
      </c>
      <c r="N35" s="20" t="n">
        <v>0</v>
      </c>
      <c r="O35" s="20" t="n">
        <v>15</v>
      </c>
      <c r="P35" s="20" t="n">
        <v>3</v>
      </c>
      <c r="Q35" s="20" t="n">
        <v>1</v>
      </c>
      <c r="R35" s="20" t="n">
        <v>1</v>
      </c>
      <c r="S35" s="20" t="n">
        <v>0</v>
      </c>
      <c r="T35" s="20" t="n">
        <v>-1</v>
      </c>
      <c r="U35" s="20" t="n">
        <v>8</v>
      </c>
      <c r="V35" s="20" t="n">
        <v>8</v>
      </c>
      <c r="W35" s="20" t="n">
        <v>8</v>
      </c>
      <c r="X35" s="20" t="n">
        <v>9</v>
      </c>
      <c r="Y35" s="20" t="n">
        <v>0</v>
      </c>
      <c r="Z35" s="20" t="n">
        <v>7</v>
      </c>
      <c r="AA35" s="20" t="n">
        <v>13</v>
      </c>
      <c r="AB35" s="20" t="n">
        <v>12</v>
      </c>
      <c r="AC35" s="20" t="n">
        <v>12</v>
      </c>
      <c r="AD35" s="20" t="n">
        <v>13</v>
      </c>
      <c r="AE35" s="20" t="n">
        <v>5</v>
      </c>
      <c r="AF35" s="20" t="n">
        <v>10</v>
      </c>
      <c r="AG35" s="20" t="n">
        <v>10</v>
      </c>
      <c r="AH35" s="20" t="n">
        <v>5</v>
      </c>
      <c r="AJ35" s="20">
        <f>AH35-AG35</f>
        <v/>
      </c>
      <c r="AK35" s="23">
        <f>AVERAGE(AF35:AH35)</f>
        <v/>
      </c>
      <c r="AL35" s="23">
        <f>AVERAGE(AC35:AH35)</f>
        <v/>
      </c>
    </row>
    <row r="36">
      <c r="B36" s="14" t="inlineStr">
        <is>
          <t>Fabricated Metal Products</t>
        </is>
      </c>
      <c r="C36" s="20" t="n">
        <v>10</v>
      </c>
      <c r="D36" s="20" t="n">
        <v>4</v>
      </c>
      <c r="E36" s="20" t="n">
        <v>4</v>
      </c>
      <c r="F36" s="20" t="n">
        <v>1</v>
      </c>
      <c r="G36" s="20" t="n">
        <v>-1</v>
      </c>
      <c r="H36" s="20" t="n">
        <v>-7</v>
      </c>
      <c r="I36" s="20" t="n">
        <v>-6</v>
      </c>
      <c r="J36" s="20" t="n">
        <v>-2</v>
      </c>
      <c r="K36" s="20" t="n">
        <v>1</v>
      </c>
      <c r="L36" s="20" t="n">
        <v>-7</v>
      </c>
      <c r="M36" s="20" t="n">
        <v>-7</v>
      </c>
      <c r="N36" s="20" t="n">
        <v>2</v>
      </c>
      <c r="O36" s="20" t="n">
        <v>4</v>
      </c>
      <c r="P36" s="20" t="n">
        <v>-2</v>
      </c>
      <c r="Q36" s="20" t="n">
        <v>-9</v>
      </c>
      <c r="R36" s="20" t="n">
        <v>-9</v>
      </c>
      <c r="S36" s="20" t="n">
        <v>-2</v>
      </c>
      <c r="T36" s="20" t="n">
        <v>6</v>
      </c>
      <c r="U36" s="20" t="n">
        <v>5</v>
      </c>
      <c r="V36" s="20" t="n">
        <v>5</v>
      </c>
      <c r="W36" s="20" t="n">
        <v>12</v>
      </c>
      <c r="X36" s="20" t="n">
        <v>10</v>
      </c>
      <c r="Y36" s="20" t="n">
        <v>7</v>
      </c>
      <c r="Z36" s="20" t="n">
        <v>6</v>
      </c>
      <c r="AA36" s="20" t="n">
        <v>5</v>
      </c>
      <c r="AB36" s="20" t="n">
        <v>8</v>
      </c>
      <c r="AC36" s="20" t="n">
        <v>14</v>
      </c>
      <c r="AD36" s="20" t="n">
        <v>6</v>
      </c>
      <c r="AE36" s="20" t="n">
        <v>6</v>
      </c>
      <c r="AF36" s="20" t="n">
        <v>5</v>
      </c>
      <c r="AG36" s="20" t="n">
        <v>2</v>
      </c>
      <c r="AH36" s="20" t="n">
        <v>1</v>
      </c>
      <c r="AJ36" s="20">
        <f>AH36-AG36</f>
        <v/>
      </c>
      <c r="AK36" s="23">
        <f>AVERAGE(AF36:AH36)</f>
        <v/>
      </c>
      <c r="AL36" s="23">
        <f>AVERAGE(AC36:AH36)</f>
        <v/>
      </c>
    </row>
    <row r="37">
      <c r="B37" s="14" t="inlineStr">
        <is>
          <t>Food, Beverage &amp; Tobacco Products</t>
        </is>
      </c>
      <c r="C37" s="20" t="n">
        <v>3</v>
      </c>
      <c r="D37" s="20" t="n">
        <v>12</v>
      </c>
      <c r="E37" s="20" t="n">
        <v>1</v>
      </c>
      <c r="F37" s="20" t="n">
        <v>0</v>
      </c>
      <c r="G37" s="20" t="n">
        <v>5</v>
      </c>
      <c r="H37" s="20" t="n">
        <v>4</v>
      </c>
      <c r="I37" s="20" t="n">
        <v>0</v>
      </c>
      <c r="J37" s="20" t="n">
        <v>2</v>
      </c>
      <c r="K37" s="20" t="n">
        <v>3</v>
      </c>
      <c r="L37" s="20" t="n">
        <v>2</v>
      </c>
      <c r="M37" s="20" t="n">
        <v>2</v>
      </c>
      <c r="N37" s="20" t="n">
        <v>5</v>
      </c>
      <c r="O37" s="20" t="n">
        <v>2</v>
      </c>
      <c r="P37" s="20" t="n">
        <v>6</v>
      </c>
      <c r="Q37" s="20" t="n">
        <v>2</v>
      </c>
      <c r="R37" s="20" t="n">
        <v>2</v>
      </c>
      <c r="S37" s="20" t="n">
        <v>7</v>
      </c>
      <c r="T37" s="20" t="n">
        <v>7</v>
      </c>
      <c r="U37" s="20" t="n">
        <v>7</v>
      </c>
      <c r="V37" s="20" t="n">
        <v>6</v>
      </c>
      <c r="W37" s="20" t="n">
        <v>7</v>
      </c>
      <c r="X37" s="20" t="n">
        <v>3</v>
      </c>
      <c r="Y37" s="20" t="n">
        <v>1</v>
      </c>
      <c r="Z37" s="20" t="n">
        <v>4</v>
      </c>
      <c r="AA37" s="20" t="n">
        <v>2</v>
      </c>
      <c r="AB37" s="20" t="n">
        <v>6</v>
      </c>
      <c r="AC37" s="20" t="n">
        <v>6</v>
      </c>
      <c r="AD37" s="20" t="n">
        <v>5</v>
      </c>
      <c r="AE37" s="20" t="n">
        <v>1</v>
      </c>
      <c r="AF37" s="20" t="n">
        <v>7</v>
      </c>
      <c r="AG37" s="20" t="n">
        <v>9</v>
      </c>
      <c r="AH37" s="20" t="n">
        <v>12</v>
      </c>
      <c r="AJ37" s="20">
        <f>AH37-AG37</f>
        <v/>
      </c>
      <c r="AK37" s="23">
        <f>AVERAGE(AF37:AH37)</f>
        <v/>
      </c>
      <c r="AL37" s="23">
        <f>AVERAGE(AC37:AH37)</f>
        <v/>
      </c>
    </row>
    <row r="38">
      <c r="B38" s="14" t="inlineStr">
        <is>
          <t>Chemical Products</t>
        </is>
      </c>
      <c r="C38" s="20" t="n">
        <v>6</v>
      </c>
      <c r="D38" s="20" t="n">
        <v>8</v>
      </c>
      <c r="E38" s="20" t="n">
        <v>6</v>
      </c>
      <c r="F38" s="20" t="n">
        <v>3</v>
      </c>
      <c r="G38" s="20" t="n">
        <v>6</v>
      </c>
      <c r="H38" s="20" t="n">
        <v>2</v>
      </c>
      <c r="I38" s="20" t="n">
        <v>1</v>
      </c>
      <c r="J38" s="20" t="n">
        <v>0</v>
      </c>
      <c r="K38" s="20" t="n">
        <v>-1</v>
      </c>
      <c r="L38" s="20" t="n">
        <v>-2</v>
      </c>
      <c r="M38" s="20" t="n">
        <v>-2</v>
      </c>
      <c r="N38" s="20" t="n">
        <v>3</v>
      </c>
      <c r="O38" s="20" t="n">
        <v>1</v>
      </c>
      <c r="P38" s="20" t="n">
        <v>2</v>
      </c>
      <c r="Q38" s="20" t="n">
        <v>-1</v>
      </c>
      <c r="R38" s="20" t="n">
        <v>-3</v>
      </c>
      <c r="S38" s="20" t="n">
        <v>6</v>
      </c>
      <c r="T38" s="20" t="n">
        <v>9</v>
      </c>
      <c r="U38" s="20" t="n">
        <v>11</v>
      </c>
      <c r="V38" s="20" t="n">
        <v>2</v>
      </c>
      <c r="W38" s="20" t="n">
        <v>5</v>
      </c>
      <c r="X38" s="20" t="n">
        <v>7</v>
      </c>
      <c r="Y38" s="20" t="n">
        <v>3</v>
      </c>
      <c r="Z38" s="20" t="n">
        <v>5</v>
      </c>
      <c r="AA38" s="20" t="n">
        <v>7</v>
      </c>
      <c r="AB38" s="20" t="n">
        <v>3</v>
      </c>
      <c r="AC38" s="20" t="n">
        <v>9</v>
      </c>
      <c r="AD38" s="20" t="n">
        <v>8</v>
      </c>
      <c r="AE38" s="20" t="n">
        <v>8</v>
      </c>
      <c r="AF38" s="20" t="n">
        <v>8</v>
      </c>
      <c r="AG38" s="20" t="n">
        <v>5</v>
      </c>
      <c r="AH38" s="20" t="n">
        <v>7</v>
      </c>
      <c r="AJ38" s="20">
        <f>AH38-AG38</f>
        <v/>
      </c>
      <c r="AK38" s="23">
        <f>AVERAGE(AF38:AH38)</f>
        <v/>
      </c>
      <c r="AL38" s="23">
        <f>AVERAGE(AC38:AH38)</f>
        <v/>
      </c>
    </row>
    <row r="39">
      <c r="B39" s="14" t="inlineStr">
        <is>
          <t>Nonmetallic Mineral Products</t>
        </is>
      </c>
      <c r="C39" s="20" t="n">
        <v>-1</v>
      </c>
      <c r="D39" s="20" t="n">
        <v>0</v>
      </c>
      <c r="E39" s="20" t="n">
        <v>14</v>
      </c>
      <c r="F39" s="20" t="n">
        <v>5</v>
      </c>
      <c r="G39" s="20" t="n">
        <v>9</v>
      </c>
      <c r="H39" s="20" t="n">
        <v>-4</v>
      </c>
      <c r="I39" s="20" t="n">
        <v>3</v>
      </c>
      <c r="J39" s="20" t="n">
        <v>-7</v>
      </c>
      <c r="K39" s="20" t="n">
        <v>-5</v>
      </c>
      <c r="L39" s="20" t="n">
        <v>-4</v>
      </c>
      <c r="M39" s="20" t="n">
        <v>-10</v>
      </c>
      <c r="N39" s="20" t="n">
        <v>0</v>
      </c>
      <c r="O39" s="20" t="n">
        <v>5</v>
      </c>
      <c r="P39" s="20" t="n">
        <v>-5</v>
      </c>
      <c r="Q39" s="20" t="n">
        <v>-13</v>
      </c>
      <c r="R39" s="20" t="n">
        <v>3</v>
      </c>
      <c r="S39" s="20" t="n">
        <v>0</v>
      </c>
      <c r="T39" s="20" t="n">
        <v>0</v>
      </c>
      <c r="U39" s="20" t="n">
        <v>10</v>
      </c>
      <c r="V39" s="20" t="n">
        <v>4</v>
      </c>
      <c r="W39" s="20" t="n">
        <v>2</v>
      </c>
      <c r="X39" s="20" t="n">
        <v>8</v>
      </c>
      <c r="Y39" s="20" t="n">
        <v>-3</v>
      </c>
      <c r="Z39" s="20" t="n">
        <v>0</v>
      </c>
      <c r="AA39" s="20" t="n">
        <v>0</v>
      </c>
      <c r="AB39" s="20" t="n">
        <v>11</v>
      </c>
      <c r="AC39" s="20" t="n">
        <v>10</v>
      </c>
      <c r="AD39" s="20" t="n">
        <v>16</v>
      </c>
      <c r="AE39" s="20" t="n">
        <v>11</v>
      </c>
      <c r="AF39" s="20" t="n">
        <v>3</v>
      </c>
      <c r="AG39" s="20" t="n">
        <v>-1</v>
      </c>
      <c r="AH39" s="20" t="n">
        <v>4</v>
      </c>
      <c r="AJ39" s="20">
        <f>AH39-AG39</f>
        <v/>
      </c>
      <c r="AK39" s="23">
        <f>AVERAGE(AF39:AH39)</f>
        <v/>
      </c>
      <c r="AL39" s="23">
        <f>AVERAGE(AC39:AH39)</f>
        <v/>
      </c>
    </row>
    <row r="40">
      <c r="B40" s="14" t="inlineStr">
        <is>
          <t>Electrical Equipment, Appliances &amp; Components</t>
        </is>
      </c>
      <c r="C40" s="20" t="n">
        <v>2</v>
      </c>
      <c r="D40" s="20" t="n">
        <v>3</v>
      </c>
      <c r="E40" s="20" t="n">
        <v>12</v>
      </c>
      <c r="F40" s="20" t="n">
        <v>7</v>
      </c>
      <c r="G40" s="20" t="n">
        <v>0</v>
      </c>
      <c r="H40" s="20" t="n">
        <v>-6</v>
      </c>
      <c r="I40" s="20" t="n">
        <v>0</v>
      </c>
      <c r="J40" s="20" t="n">
        <v>-8</v>
      </c>
      <c r="K40" s="20" t="n">
        <v>0</v>
      </c>
      <c r="L40" s="20" t="n">
        <v>4</v>
      </c>
      <c r="M40" s="20" t="n">
        <v>-6</v>
      </c>
      <c r="N40" s="20" t="n">
        <v>-2</v>
      </c>
      <c r="O40" s="20" t="n">
        <v>11</v>
      </c>
      <c r="P40" s="20" t="n">
        <v>5</v>
      </c>
      <c r="Q40" s="20" t="n">
        <v>-7</v>
      </c>
      <c r="R40" s="20" t="n">
        <v>-1</v>
      </c>
      <c r="S40" s="20" t="n">
        <v>4</v>
      </c>
      <c r="T40" s="20" t="n">
        <v>8</v>
      </c>
      <c r="U40" s="20" t="n">
        <v>1</v>
      </c>
      <c r="V40" s="20" t="n">
        <v>11</v>
      </c>
      <c r="W40" s="20" t="n">
        <v>11</v>
      </c>
      <c r="X40" s="20" t="n">
        <v>11</v>
      </c>
      <c r="Y40" s="20" t="n">
        <v>2</v>
      </c>
      <c r="Z40" s="20" t="n">
        <v>12</v>
      </c>
      <c r="AA40" s="20" t="n">
        <v>9</v>
      </c>
      <c r="AB40" s="20" t="n">
        <v>14</v>
      </c>
      <c r="AC40" s="20" t="n">
        <v>0</v>
      </c>
      <c r="AD40" s="20" t="n">
        <v>14</v>
      </c>
      <c r="AE40" s="20" t="n">
        <v>10</v>
      </c>
      <c r="AF40" s="20" t="n">
        <v>9</v>
      </c>
      <c r="AG40" s="20" t="n">
        <v>1</v>
      </c>
      <c r="AH40" s="20" t="n">
        <v>2</v>
      </c>
      <c r="AJ40" s="20">
        <f>AH40-AG40</f>
        <v/>
      </c>
      <c r="AK40" s="23">
        <f>AVERAGE(AF40:AH40)</f>
        <v/>
      </c>
      <c r="AL40" s="23">
        <f>AVERAGE(AC40:AH40)</f>
        <v/>
      </c>
    </row>
    <row r="41">
      <c r="B41" s="14" t="inlineStr">
        <is>
          <t>Transportation Equipment</t>
        </is>
      </c>
      <c r="C41" s="20" t="n">
        <v>0</v>
      </c>
      <c r="D41" s="20" t="n">
        <v>5</v>
      </c>
      <c r="E41" s="20" t="n">
        <v>-1</v>
      </c>
      <c r="F41" s="20" t="n">
        <v>2</v>
      </c>
      <c r="G41" s="20" t="n">
        <v>-3</v>
      </c>
      <c r="H41" s="20" t="n">
        <v>-5</v>
      </c>
      <c r="I41" s="20" t="n">
        <v>-8</v>
      </c>
      <c r="J41" s="20" t="n">
        <v>-5</v>
      </c>
      <c r="K41" s="20" t="n">
        <v>-7</v>
      </c>
      <c r="L41" s="20" t="n">
        <v>-8</v>
      </c>
      <c r="M41" s="20" t="n">
        <v>-8</v>
      </c>
      <c r="N41" s="20" t="n">
        <v>-1</v>
      </c>
      <c r="O41" s="20" t="n">
        <v>-1</v>
      </c>
      <c r="P41" s="20" t="n">
        <v>-8</v>
      </c>
      <c r="Q41" s="20" t="n">
        <v>-12</v>
      </c>
      <c r="R41" s="20" t="n">
        <v>-11</v>
      </c>
      <c r="S41" s="20" t="n">
        <v>-1</v>
      </c>
      <c r="T41" s="20" t="n">
        <v>3</v>
      </c>
      <c r="U41" s="20" t="n">
        <v>2</v>
      </c>
      <c r="V41" s="20" t="n">
        <v>1</v>
      </c>
      <c r="W41" s="20" t="n">
        <v>3</v>
      </c>
      <c r="X41" s="20" t="n">
        <v>1</v>
      </c>
      <c r="Y41" s="20" t="n">
        <v>6</v>
      </c>
      <c r="Z41" s="20" t="n">
        <v>9</v>
      </c>
      <c r="AA41" s="20" t="n">
        <v>8</v>
      </c>
      <c r="AB41" s="20" t="n">
        <v>4</v>
      </c>
      <c r="AC41" s="20" t="n">
        <v>5</v>
      </c>
      <c r="AD41" s="20" t="n">
        <v>2</v>
      </c>
      <c r="AE41" s="20" t="n">
        <v>13</v>
      </c>
      <c r="AF41" s="20" t="n">
        <v>6</v>
      </c>
      <c r="AG41" s="20" t="n">
        <v>3</v>
      </c>
      <c r="AH41" s="20" t="n">
        <v>3</v>
      </c>
      <c r="AJ41" s="20">
        <f>AH41-AG41</f>
        <v/>
      </c>
      <c r="AK41" s="23">
        <f>AVERAGE(AF41:AH41)</f>
        <v/>
      </c>
      <c r="AL41" s="23">
        <f>AVERAGE(AC41:AH41)</f>
        <v/>
      </c>
    </row>
    <row r="42">
      <c r="B42" s="14" t="inlineStr">
        <is>
          <t>Petroleum &amp; Coal Products</t>
        </is>
      </c>
      <c r="C42" s="20" t="n">
        <v>0</v>
      </c>
      <c r="D42" s="20" t="n">
        <v>11</v>
      </c>
      <c r="E42" s="20" t="n">
        <v>-2</v>
      </c>
      <c r="F42" s="20" t="n">
        <v>-3</v>
      </c>
      <c r="G42" s="20" t="n">
        <v>0</v>
      </c>
      <c r="H42" s="20" t="n">
        <v>-8</v>
      </c>
      <c r="I42" s="20" t="n">
        <v>-5</v>
      </c>
      <c r="J42" s="20" t="n">
        <v>-6</v>
      </c>
      <c r="K42" s="20" t="n">
        <v>-4</v>
      </c>
      <c r="L42" s="20" t="n">
        <v>-6</v>
      </c>
      <c r="M42" s="20" t="n">
        <v>0</v>
      </c>
      <c r="N42" s="20" t="n">
        <v>0</v>
      </c>
      <c r="O42" s="20" t="n">
        <v>-2</v>
      </c>
      <c r="P42" s="20" t="n">
        <v>-9</v>
      </c>
      <c r="Q42" s="20" t="n">
        <v>-11</v>
      </c>
      <c r="R42" s="20" t="n">
        <v>-7</v>
      </c>
      <c r="S42" s="20" t="n">
        <v>0</v>
      </c>
      <c r="T42" s="20" t="n">
        <v>5</v>
      </c>
      <c r="U42" s="20" t="n">
        <v>6</v>
      </c>
      <c r="V42" s="20" t="n">
        <v>0</v>
      </c>
      <c r="W42" s="20" t="n">
        <v>4</v>
      </c>
      <c r="X42" s="20" t="n">
        <v>-1</v>
      </c>
      <c r="Y42" s="20" t="n">
        <v>10</v>
      </c>
      <c r="Z42" s="20" t="n">
        <v>0</v>
      </c>
      <c r="AA42" s="20" t="n">
        <v>0</v>
      </c>
      <c r="AB42" s="20" t="n">
        <v>0</v>
      </c>
      <c r="AC42" s="20" t="n">
        <v>1</v>
      </c>
      <c r="AD42" s="20" t="n">
        <v>3</v>
      </c>
      <c r="AE42" s="20" t="n">
        <v>3</v>
      </c>
      <c r="AF42" s="20" t="n">
        <v>4</v>
      </c>
      <c r="AG42" s="20" t="n">
        <v>6</v>
      </c>
      <c r="AH42" s="20" t="n">
        <v>10</v>
      </c>
      <c r="AJ42" s="20">
        <f>AH42-AG42</f>
        <v/>
      </c>
      <c r="AK42" s="23">
        <f>AVERAGE(AF42:AH42)</f>
        <v/>
      </c>
      <c r="AL42" s="23">
        <f>AVERAGE(AC42:AH42)</f>
        <v/>
      </c>
    </row>
    <row r="43">
      <c r="B43" s="14" t="inlineStr">
        <is>
          <t>Furniture &amp; Related Products</t>
        </is>
      </c>
      <c r="C43" s="20" t="n">
        <v>8</v>
      </c>
      <c r="D43" s="20" t="n">
        <v>0</v>
      </c>
      <c r="E43" s="20" t="n">
        <v>8</v>
      </c>
      <c r="F43" s="20" t="n">
        <v>12</v>
      </c>
      <c r="G43" s="20" t="n">
        <v>10</v>
      </c>
      <c r="H43" s="20" t="n">
        <v>0</v>
      </c>
      <c r="I43" s="20" t="n">
        <v>0</v>
      </c>
      <c r="J43" s="20" t="n">
        <v>0</v>
      </c>
      <c r="K43" s="20" t="n">
        <v>4</v>
      </c>
      <c r="L43" s="20" t="n">
        <v>-9</v>
      </c>
      <c r="M43" s="20" t="n">
        <v>-11</v>
      </c>
      <c r="N43" s="20" t="n">
        <v>9</v>
      </c>
      <c r="O43" s="20" t="n">
        <v>8</v>
      </c>
      <c r="P43" s="20" t="n">
        <v>-4</v>
      </c>
      <c r="Q43" s="20" t="n">
        <v>-10</v>
      </c>
      <c r="R43" s="20" t="n">
        <v>0</v>
      </c>
      <c r="S43" s="20" t="n">
        <v>5</v>
      </c>
      <c r="T43" s="20" t="n">
        <v>12</v>
      </c>
      <c r="U43" s="20" t="n">
        <v>4</v>
      </c>
      <c r="V43" s="20" t="n">
        <v>9</v>
      </c>
      <c r="W43" s="20" t="n">
        <v>10</v>
      </c>
      <c r="X43" s="20" t="n">
        <v>0</v>
      </c>
      <c r="Y43" s="20" t="n">
        <v>11</v>
      </c>
      <c r="Z43" s="20" t="n">
        <v>2</v>
      </c>
      <c r="AA43" s="20" t="n">
        <v>0</v>
      </c>
      <c r="AB43" s="20" t="n">
        <v>10</v>
      </c>
      <c r="AC43" s="20" t="n">
        <v>8</v>
      </c>
      <c r="AD43" s="20" t="n">
        <v>15</v>
      </c>
      <c r="AE43" s="20" t="n">
        <v>15</v>
      </c>
      <c r="AF43" s="20" t="n">
        <v>15</v>
      </c>
      <c r="AG43" s="20" t="n">
        <v>14</v>
      </c>
      <c r="AH43" s="20" t="n">
        <v>11</v>
      </c>
      <c r="AJ43" s="20">
        <f>AH43-AG43</f>
        <v/>
      </c>
      <c r="AK43" s="23">
        <f>AVERAGE(AF43:AH43)</f>
        <v/>
      </c>
      <c r="AL43" s="23">
        <f>AVERAGE(AC43:AH43)</f>
        <v/>
      </c>
    </row>
    <row r="44">
      <c r="B44" s="14" t="inlineStr">
        <is>
          <t>Textile Mills</t>
        </is>
      </c>
      <c r="C44" s="20" t="n">
        <v>0</v>
      </c>
      <c r="D44" s="20" t="n">
        <v>10</v>
      </c>
      <c r="E44" s="20" t="n">
        <v>9</v>
      </c>
      <c r="F44" s="20" t="n">
        <v>8</v>
      </c>
      <c r="G44" s="20" t="n">
        <v>8</v>
      </c>
      <c r="H44" s="20" t="n">
        <v>3</v>
      </c>
      <c r="I44" s="20" t="n">
        <v>-7</v>
      </c>
      <c r="J44" s="20" t="n">
        <v>-10</v>
      </c>
      <c r="K44" s="20" t="n">
        <v>-8</v>
      </c>
      <c r="L44" s="20" t="n">
        <v>-11</v>
      </c>
      <c r="M44" s="20" t="n">
        <v>3</v>
      </c>
      <c r="N44" s="20" t="n">
        <v>-4</v>
      </c>
      <c r="O44" s="20" t="n">
        <v>9</v>
      </c>
      <c r="P44" s="20" t="n">
        <v>-6</v>
      </c>
      <c r="Q44" s="20" t="n">
        <v>-15</v>
      </c>
      <c r="R44" s="20" t="n">
        <v>4</v>
      </c>
      <c r="S44" s="20" t="n">
        <v>11</v>
      </c>
      <c r="T44" s="20" t="n">
        <v>-2</v>
      </c>
      <c r="U44" s="20" t="n">
        <v>0</v>
      </c>
      <c r="V44" s="20" t="n">
        <v>-2</v>
      </c>
      <c r="W44" s="20" t="n">
        <v>-1</v>
      </c>
      <c r="X44" s="20" t="n">
        <v>13</v>
      </c>
      <c r="Y44" s="20" t="n">
        <v>-2</v>
      </c>
      <c r="Z44" s="20" t="n">
        <v>-1</v>
      </c>
      <c r="AA44" s="20" t="n">
        <v>10</v>
      </c>
      <c r="AB44" s="20" t="n">
        <v>13</v>
      </c>
      <c r="AC44" s="20" t="n">
        <v>15</v>
      </c>
      <c r="AD44" s="20" t="n">
        <v>7</v>
      </c>
      <c r="AE44" s="20" t="n">
        <v>0</v>
      </c>
      <c r="AF44" s="20" t="n">
        <v>-1</v>
      </c>
      <c r="AG44" s="20" t="n">
        <v>0</v>
      </c>
      <c r="AH44" s="20" t="n">
        <v>0</v>
      </c>
      <c r="AJ44" s="20">
        <f>AH44-AG44</f>
        <v/>
      </c>
      <c r="AK44" s="23">
        <f>AVERAGE(AF44:AH44)</f>
        <v/>
      </c>
      <c r="AL44" s="23">
        <f>AVERAGE(AC44:AH44)</f>
        <v/>
      </c>
    </row>
    <row r="45">
      <c r="B45" s="15" t="inlineStr">
        <is>
          <t>Wood Products</t>
        </is>
      </c>
      <c r="C45" s="20" t="n">
        <v>13</v>
      </c>
      <c r="D45" s="20" t="n">
        <v>14</v>
      </c>
      <c r="E45" s="20" t="n">
        <v>13</v>
      </c>
      <c r="F45" s="20" t="n">
        <v>0</v>
      </c>
      <c r="G45" s="20" t="n">
        <v>-4</v>
      </c>
      <c r="H45" s="20" t="n">
        <v>6</v>
      </c>
      <c r="I45" s="20" t="n">
        <v>-9</v>
      </c>
      <c r="J45" s="20" t="n">
        <v>-9</v>
      </c>
      <c r="K45" s="20" t="n">
        <v>5</v>
      </c>
      <c r="L45" s="20" t="n">
        <v>-12</v>
      </c>
      <c r="M45" s="20" t="n">
        <v>-12</v>
      </c>
      <c r="N45" s="20" t="n">
        <v>10</v>
      </c>
      <c r="O45" s="20" t="n">
        <v>16</v>
      </c>
      <c r="P45" s="20" t="n">
        <v>9</v>
      </c>
      <c r="Q45" s="20" t="n">
        <v>-3</v>
      </c>
      <c r="R45" s="20" t="n">
        <v>-2</v>
      </c>
      <c r="S45" s="20" t="n">
        <v>9</v>
      </c>
      <c r="T45" s="20" t="n">
        <v>13</v>
      </c>
      <c r="U45" s="20" t="n">
        <v>13</v>
      </c>
      <c r="V45" s="20" t="n">
        <v>12</v>
      </c>
      <c r="W45" s="20" t="n">
        <v>15</v>
      </c>
      <c r="X45" s="20" t="n">
        <v>12</v>
      </c>
      <c r="Y45" s="20" t="n">
        <v>12</v>
      </c>
      <c r="Z45" s="20" t="n">
        <v>8</v>
      </c>
      <c r="AA45" s="20" t="n">
        <v>12</v>
      </c>
      <c r="AB45" s="20" t="n">
        <v>-1</v>
      </c>
      <c r="AC45" s="20" t="n">
        <v>4</v>
      </c>
      <c r="AD45" s="20" t="n">
        <v>4</v>
      </c>
      <c r="AE45" s="20" t="n">
        <v>-1</v>
      </c>
      <c r="AF45" s="20" t="n">
        <v>0</v>
      </c>
      <c r="AG45" s="20" t="n">
        <v>0</v>
      </c>
      <c r="AH45" s="20" t="n">
        <v>-1</v>
      </c>
      <c r="AJ45" s="20">
        <f>AH45-AG45</f>
        <v/>
      </c>
      <c r="AK45" s="23">
        <f>AVERAGE(AF45:AH45)</f>
        <v/>
      </c>
      <c r="AL45" s="23">
        <f>AVERAGE(AC45:AH45)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row>
    <row r="47" ht="16" customHeight="1"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row>
    <row r="48">
      <c r="B48" s="135"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11" t="n"/>
      <c r="AJ48" s="139" t="inlineStr">
        <is>
          <t>mom</t>
        </is>
      </c>
      <c r="AK48" s="139" t="inlineStr">
        <is>
          <t>3 months</t>
        </is>
      </c>
      <c r="AL48" s="139" t="inlineStr">
        <is>
          <t>6 months</t>
        </is>
      </c>
    </row>
    <row r="49" ht="16" customHeight="1" thickBot="1">
      <c r="B49" s="136"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11" t="n"/>
      <c r="AJ49" s="140" t="n"/>
      <c r="AK49" s="140" t="n"/>
      <c r="AL49" s="140" t="n"/>
    </row>
    <row r="50">
      <c r="B50" s="17" t="inlineStr">
        <is>
          <t>Apparel, Leather &amp; Allied Products</t>
        </is>
      </c>
      <c r="C50" s="20" t="n">
        <v>0</v>
      </c>
      <c r="D50" s="20" t="n">
        <v>-4</v>
      </c>
      <c r="E50" s="20" t="n">
        <v>-3</v>
      </c>
      <c r="F50" s="20" t="n">
        <v>-4</v>
      </c>
      <c r="G50" s="20" t="n">
        <v>-5</v>
      </c>
      <c r="H50" s="20" t="n">
        <v>-10</v>
      </c>
      <c r="I50" s="20" t="n">
        <v>-9</v>
      </c>
      <c r="J50" s="20" t="n">
        <v>-11</v>
      </c>
      <c r="K50" s="20" t="n">
        <v>-9</v>
      </c>
      <c r="L50" s="20" t="n">
        <v>7</v>
      </c>
      <c r="M50" s="20" t="n">
        <v>-14</v>
      </c>
      <c r="N50" s="20" t="n">
        <v>-7</v>
      </c>
      <c r="O50" s="20" t="n">
        <v>-3</v>
      </c>
      <c r="P50" s="20" t="n">
        <v>5</v>
      </c>
      <c r="Q50" s="20" t="n">
        <v>0</v>
      </c>
      <c r="R50" s="20" t="n">
        <v>0</v>
      </c>
      <c r="S50" s="20" t="n">
        <v>0</v>
      </c>
      <c r="T50" s="20" t="n">
        <v>0</v>
      </c>
      <c r="U50" s="20" t="n">
        <v>0</v>
      </c>
      <c r="V50" s="20" t="n">
        <v>-3</v>
      </c>
      <c r="W50" s="20" t="n">
        <v>0</v>
      </c>
      <c r="X50" s="20" t="n">
        <v>14</v>
      </c>
      <c r="Y50" s="20" t="n">
        <v>13</v>
      </c>
      <c r="Z50" s="20" t="n">
        <v>0</v>
      </c>
      <c r="AA50" s="20" t="n">
        <v>0</v>
      </c>
      <c r="AB50" s="20" t="n">
        <v>0</v>
      </c>
      <c r="AC50" s="20" t="n">
        <v>0</v>
      </c>
      <c r="AD50" s="20" t="n">
        <v>0</v>
      </c>
      <c r="AE50" s="20" t="n">
        <v>0</v>
      </c>
      <c r="AF50" s="20" t="n">
        <v>0</v>
      </c>
      <c r="AG50" s="20" t="n">
        <v>0</v>
      </c>
      <c r="AH50" s="20" t="n">
        <v>-2</v>
      </c>
      <c r="AJ50" s="20">
        <f>AH50-AG50</f>
        <v/>
      </c>
      <c r="AK50" s="23">
        <f>AVERAGE(AF50:AH50)</f>
        <v/>
      </c>
      <c r="AL50" s="23">
        <f>AVERAGE(AC50:AH50)</f>
        <v/>
      </c>
    </row>
    <row r="51">
      <c r="B51" s="17" t="inlineStr">
        <is>
          <t>Machinery</t>
        </is>
      </c>
      <c r="C51" s="20" t="n">
        <v>1</v>
      </c>
      <c r="D51" s="20" t="n">
        <v>-2</v>
      </c>
      <c r="E51" s="20" t="n">
        <v>6</v>
      </c>
      <c r="F51" s="20" t="n">
        <v>0</v>
      </c>
      <c r="G51" s="20" t="n">
        <v>1</v>
      </c>
      <c r="H51" s="20" t="n">
        <v>-2</v>
      </c>
      <c r="I51" s="20" t="n">
        <v>-1</v>
      </c>
      <c r="J51" s="20" t="n">
        <v>-4</v>
      </c>
      <c r="K51" s="20" t="n">
        <v>-5</v>
      </c>
      <c r="L51" s="20" t="n">
        <v>-1</v>
      </c>
      <c r="M51" s="20" t="n">
        <v>1</v>
      </c>
      <c r="N51" s="20" t="n">
        <v>-1</v>
      </c>
      <c r="O51" s="20" t="n">
        <v>3</v>
      </c>
      <c r="P51" s="20" t="n">
        <v>-1</v>
      </c>
      <c r="Q51" s="20" t="n">
        <v>-8</v>
      </c>
      <c r="R51" s="20" t="n">
        <v>-7</v>
      </c>
      <c r="S51" s="20" t="n">
        <v>3</v>
      </c>
      <c r="T51" s="20" t="n">
        <v>3</v>
      </c>
      <c r="U51" s="20" t="n">
        <v>8</v>
      </c>
      <c r="V51" s="20" t="n">
        <v>10</v>
      </c>
      <c r="W51" s="20" t="n">
        <v>6</v>
      </c>
      <c r="X51" s="20" t="n">
        <v>5</v>
      </c>
      <c r="Y51" s="20" t="n">
        <v>4</v>
      </c>
      <c r="Z51" s="20" t="n">
        <v>12</v>
      </c>
      <c r="AA51" s="20" t="n">
        <v>10</v>
      </c>
      <c r="AB51" s="20" t="n">
        <v>11</v>
      </c>
      <c r="AC51" s="20" t="n">
        <v>12</v>
      </c>
      <c r="AD51" s="20" t="n">
        <v>9</v>
      </c>
      <c r="AE51" s="20" t="n">
        <v>11</v>
      </c>
      <c r="AF51" s="20" t="n">
        <v>2</v>
      </c>
      <c r="AG51" s="20" t="n">
        <v>6</v>
      </c>
      <c r="AH51" s="20" t="n">
        <v>10</v>
      </c>
      <c r="AJ51" s="20">
        <f>AH51-AG51</f>
        <v/>
      </c>
      <c r="AK51" s="23">
        <f>AVERAGE(AF51:AH51)</f>
        <v/>
      </c>
      <c r="AL51" s="23">
        <f>AVERAGE(AC51:AH51)</f>
        <v/>
      </c>
    </row>
    <row r="52">
      <c r="B52" s="17" t="inlineStr">
        <is>
          <t>Paper Products</t>
        </is>
      </c>
      <c r="C52" s="20" t="n">
        <v>4</v>
      </c>
      <c r="D52" s="20" t="n">
        <v>-3</v>
      </c>
      <c r="E52" s="20" t="n">
        <v>5</v>
      </c>
      <c r="F52" s="20" t="n">
        <v>-1</v>
      </c>
      <c r="G52" s="20" t="n">
        <v>3</v>
      </c>
      <c r="H52" s="20" t="n">
        <v>-9</v>
      </c>
      <c r="I52" s="20" t="n">
        <v>-8</v>
      </c>
      <c r="J52" s="20" t="n">
        <v>-5</v>
      </c>
      <c r="K52" s="20" t="n">
        <v>4</v>
      </c>
      <c r="L52" s="20" t="n">
        <v>6</v>
      </c>
      <c r="M52" s="20" t="n">
        <v>-8</v>
      </c>
      <c r="N52" s="20" t="n">
        <v>0</v>
      </c>
      <c r="O52" s="20" t="n">
        <v>11</v>
      </c>
      <c r="P52" s="20" t="n">
        <v>0</v>
      </c>
      <c r="Q52" s="20" t="n">
        <v>2</v>
      </c>
      <c r="R52" s="20" t="n">
        <v>1</v>
      </c>
      <c r="S52" s="20" t="n">
        <v>4</v>
      </c>
      <c r="T52" s="20" t="n">
        <v>4</v>
      </c>
      <c r="U52" s="20" t="n">
        <v>1</v>
      </c>
      <c r="V52" s="20" t="n">
        <v>11</v>
      </c>
      <c r="W52" s="20" t="n">
        <v>5</v>
      </c>
      <c r="X52" s="20" t="n">
        <v>11</v>
      </c>
      <c r="Y52" s="20" t="n">
        <v>0</v>
      </c>
      <c r="Z52" s="20" t="n">
        <v>2</v>
      </c>
      <c r="AA52" s="20" t="n">
        <v>14</v>
      </c>
      <c r="AB52" s="20" t="n">
        <v>0</v>
      </c>
      <c r="AC52" s="20" t="n">
        <v>-1</v>
      </c>
      <c r="AD52" s="20" t="n">
        <v>-1</v>
      </c>
      <c r="AE52" s="20" t="n">
        <v>0</v>
      </c>
      <c r="AF52" s="20" t="n">
        <v>6</v>
      </c>
      <c r="AG52" s="20" t="n">
        <v>-2</v>
      </c>
      <c r="AH52" s="20" t="n">
        <v>0</v>
      </c>
      <c r="AJ52" s="20">
        <f>AH52-AG52</f>
        <v/>
      </c>
      <c r="AK52" s="23">
        <f>AVERAGE(AF52:AH52)</f>
        <v/>
      </c>
      <c r="AL52" s="23">
        <f>AVERAGE(AC52:AH52)</f>
        <v/>
      </c>
    </row>
    <row r="53">
      <c r="B53" s="17" t="inlineStr">
        <is>
          <t>Computer &amp; Electronic Products</t>
        </is>
      </c>
      <c r="C53" s="20" t="n">
        <v>8</v>
      </c>
      <c r="D53" s="20" t="n">
        <v>5</v>
      </c>
      <c r="E53" s="20" t="n">
        <v>2</v>
      </c>
      <c r="F53" s="20" t="n">
        <v>4</v>
      </c>
      <c r="G53" s="20" t="n">
        <v>4</v>
      </c>
      <c r="H53" s="20" t="n">
        <v>1</v>
      </c>
      <c r="I53" s="20" t="n">
        <v>0</v>
      </c>
      <c r="J53" s="20" t="n">
        <v>2</v>
      </c>
      <c r="K53" s="20" t="n">
        <v>0</v>
      </c>
      <c r="L53" s="20" t="n">
        <v>-2</v>
      </c>
      <c r="M53" s="20" t="n">
        <v>-1</v>
      </c>
      <c r="N53" s="20" t="n">
        <v>3</v>
      </c>
      <c r="O53" s="20" t="n">
        <v>0</v>
      </c>
      <c r="P53" s="20" t="n">
        <v>-2</v>
      </c>
      <c r="Q53" s="20" t="n">
        <v>-3</v>
      </c>
      <c r="R53" s="20" t="n">
        <v>-2</v>
      </c>
      <c r="S53" s="20" t="n">
        <v>5</v>
      </c>
      <c r="T53" s="20" t="n">
        <v>7</v>
      </c>
      <c r="U53" s="20" t="n">
        <v>2</v>
      </c>
      <c r="V53" s="20" t="n">
        <v>3</v>
      </c>
      <c r="W53" s="20" t="n">
        <v>1</v>
      </c>
      <c r="X53" s="20" t="n">
        <v>3</v>
      </c>
      <c r="Y53" s="20" t="n">
        <v>7</v>
      </c>
      <c r="Z53" s="20" t="n">
        <v>1</v>
      </c>
      <c r="AA53" s="20" t="n">
        <v>2</v>
      </c>
      <c r="AB53" s="20" t="n">
        <v>10</v>
      </c>
      <c r="AC53" s="20" t="n">
        <v>3</v>
      </c>
      <c r="AD53" s="20" t="n">
        <v>6</v>
      </c>
      <c r="AE53" s="20" t="n">
        <v>7</v>
      </c>
      <c r="AF53" s="20" t="n">
        <v>9</v>
      </c>
      <c r="AG53" s="20" t="n">
        <v>10</v>
      </c>
      <c r="AH53" s="20" t="n">
        <v>3</v>
      </c>
      <c r="AJ53" s="20">
        <f>AH53-AG53</f>
        <v/>
      </c>
      <c r="AK53" s="23">
        <f>AVERAGE(AF53:AH53)</f>
        <v/>
      </c>
      <c r="AL53" s="23">
        <f>AVERAGE(AC53:AH53)</f>
        <v/>
      </c>
    </row>
    <row r="54">
      <c r="B54" s="17" t="inlineStr">
        <is>
          <t>Petroleum &amp; Coal Products</t>
        </is>
      </c>
      <c r="C54" s="20" t="n">
        <v>7</v>
      </c>
      <c r="D54" s="20" t="n">
        <v>2</v>
      </c>
      <c r="E54" s="20" t="n">
        <v>0</v>
      </c>
      <c r="F54" s="20" t="n">
        <v>-3</v>
      </c>
      <c r="G54" s="20" t="n">
        <v>9</v>
      </c>
      <c r="H54" s="20" t="n">
        <v>-5</v>
      </c>
      <c r="I54" s="20" t="n">
        <v>-7</v>
      </c>
      <c r="J54" s="20" t="n">
        <v>-8</v>
      </c>
      <c r="K54" s="20" t="n">
        <v>-8</v>
      </c>
      <c r="L54" s="20" t="n">
        <v>4</v>
      </c>
      <c r="M54" s="20" t="n">
        <v>-6</v>
      </c>
      <c r="N54" s="20" t="n">
        <v>4</v>
      </c>
      <c r="O54" s="20" t="n">
        <v>0</v>
      </c>
      <c r="P54" s="20" t="n">
        <v>0</v>
      </c>
      <c r="Q54" s="20" t="n">
        <v>-5</v>
      </c>
      <c r="R54" s="20" t="n">
        <v>-8</v>
      </c>
      <c r="S54" s="20" t="n">
        <v>9</v>
      </c>
      <c r="T54" s="20" t="n">
        <v>0</v>
      </c>
      <c r="U54" s="20" t="n">
        <v>5</v>
      </c>
      <c r="V54" s="20" t="n">
        <v>-1</v>
      </c>
      <c r="W54" s="20" t="n">
        <v>0</v>
      </c>
      <c r="X54" s="20" t="n">
        <v>-1</v>
      </c>
      <c r="Y54" s="20" t="n">
        <v>5</v>
      </c>
      <c r="Z54" s="20" t="n">
        <v>0</v>
      </c>
      <c r="AA54" s="20" t="n">
        <v>0</v>
      </c>
      <c r="AB54" s="20" t="n">
        <v>12</v>
      </c>
      <c r="AC54" s="20" t="n">
        <v>11</v>
      </c>
      <c r="AD54" s="20" t="n">
        <v>0</v>
      </c>
      <c r="AE54" s="20" t="n">
        <v>14</v>
      </c>
      <c r="AF54" s="20" t="n">
        <v>10</v>
      </c>
      <c r="AG54" s="20" t="n">
        <v>7</v>
      </c>
      <c r="AH54" s="20" t="n">
        <v>12</v>
      </c>
      <c r="AJ54" s="20">
        <f>AH54-AG54</f>
        <v/>
      </c>
      <c r="AK54" s="23">
        <f>AVERAGE(AF54:AH54)</f>
        <v/>
      </c>
      <c r="AL54" s="23">
        <f>AVERAGE(AC54:AH54)</f>
        <v/>
      </c>
    </row>
    <row r="55">
      <c r="B55" s="17" t="inlineStr">
        <is>
          <t>Primary Metals</t>
        </is>
      </c>
      <c r="C55" s="20" t="n">
        <v>5</v>
      </c>
      <c r="D55" s="20" t="n">
        <v>0</v>
      </c>
      <c r="E55" s="20" t="n">
        <v>-2</v>
      </c>
      <c r="F55" s="20" t="n">
        <v>-2</v>
      </c>
      <c r="G55" s="20" t="n">
        <v>-3</v>
      </c>
      <c r="H55" s="20" t="n">
        <v>3</v>
      </c>
      <c r="I55" s="20" t="n">
        <v>-5</v>
      </c>
      <c r="J55" s="20" t="n">
        <v>-6</v>
      </c>
      <c r="K55" s="20" t="n">
        <v>-10</v>
      </c>
      <c r="L55" s="20" t="n">
        <v>-8</v>
      </c>
      <c r="M55" s="20" t="n">
        <v>-2</v>
      </c>
      <c r="N55" s="20" t="n">
        <v>0</v>
      </c>
      <c r="O55" s="20" t="n">
        <v>7</v>
      </c>
      <c r="P55" s="20" t="n">
        <v>4</v>
      </c>
      <c r="Q55" s="20" t="n">
        <v>-1</v>
      </c>
      <c r="R55" s="20" t="n">
        <v>-9</v>
      </c>
      <c r="S55" s="20" t="n">
        <v>-3</v>
      </c>
      <c r="T55" s="20" t="n">
        <v>16</v>
      </c>
      <c r="U55" s="20" t="n">
        <v>14</v>
      </c>
      <c r="V55" s="20" t="n">
        <v>5</v>
      </c>
      <c r="W55" s="20" t="n">
        <v>8</v>
      </c>
      <c r="X55" s="20" t="n">
        <v>8</v>
      </c>
      <c r="Y55" s="20" t="n">
        <v>8</v>
      </c>
      <c r="Z55" s="20" t="n">
        <v>11</v>
      </c>
      <c r="AA55" s="20" t="n">
        <v>12</v>
      </c>
      <c r="AB55" s="20" t="n">
        <v>9</v>
      </c>
      <c r="AC55" s="20" t="n">
        <v>13</v>
      </c>
      <c r="AD55" s="20" t="n">
        <v>10</v>
      </c>
      <c r="AE55" s="20" t="n">
        <v>9</v>
      </c>
      <c r="AF55" s="20" t="n">
        <v>12</v>
      </c>
      <c r="AG55" s="20" t="n">
        <v>4</v>
      </c>
      <c r="AH55" s="20" t="n">
        <v>4</v>
      </c>
      <c r="AJ55" s="20">
        <f>AH55-AG55</f>
        <v/>
      </c>
      <c r="AK55" s="23">
        <f>AVERAGE(AF55:AH55)</f>
        <v/>
      </c>
      <c r="AL55" s="23">
        <f>AVERAGE(AC55:AH55)</f>
        <v/>
      </c>
    </row>
    <row r="56">
      <c r="B56" s="17" t="inlineStr">
        <is>
          <t>Printing &amp; Related Support Activities</t>
        </is>
      </c>
      <c r="C56" s="20" t="n">
        <v>12</v>
      </c>
      <c r="D56" s="20" t="n">
        <v>8</v>
      </c>
      <c r="E56" s="20" t="n">
        <v>11</v>
      </c>
      <c r="F56" s="20" t="n">
        <v>10</v>
      </c>
      <c r="G56" s="20" t="n">
        <v>10</v>
      </c>
      <c r="H56" s="20" t="n">
        <v>7</v>
      </c>
      <c r="I56" s="20" t="n">
        <v>0</v>
      </c>
      <c r="J56" s="20" t="n">
        <v>0</v>
      </c>
      <c r="K56" s="20" t="n">
        <v>6</v>
      </c>
      <c r="L56" s="20" t="n">
        <v>-9</v>
      </c>
      <c r="M56" s="20" t="n">
        <v>-11</v>
      </c>
      <c r="N56" s="20" t="n">
        <v>-6</v>
      </c>
      <c r="O56" s="20" t="n">
        <v>10</v>
      </c>
      <c r="P56" s="20" t="n">
        <v>6</v>
      </c>
      <c r="Q56" s="20" t="n">
        <v>-13</v>
      </c>
      <c r="R56" s="20" t="n">
        <v>-11</v>
      </c>
      <c r="S56" s="20" t="n">
        <v>10</v>
      </c>
      <c r="T56" s="20" t="n">
        <v>12</v>
      </c>
      <c r="U56" s="20" t="n">
        <v>-1</v>
      </c>
      <c r="V56" s="20" t="n">
        <v>0</v>
      </c>
      <c r="W56" s="20" t="n">
        <v>0</v>
      </c>
      <c r="X56" s="20" t="n">
        <v>0</v>
      </c>
      <c r="Y56" s="20" t="n">
        <v>0</v>
      </c>
      <c r="Z56" s="20" t="n">
        <v>-2</v>
      </c>
      <c r="AA56" s="20" t="n">
        <v>-2</v>
      </c>
      <c r="AB56" s="20" t="n">
        <v>0</v>
      </c>
      <c r="AC56" s="20" t="n">
        <v>-2</v>
      </c>
      <c r="AD56" s="20" t="n">
        <v>-2</v>
      </c>
      <c r="AE56" s="20" t="n">
        <v>-1</v>
      </c>
      <c r="AF56" s="20" t="n">
        <v>16</v>
      </c>
      <c r="AG56" s="20" t="n">
        <v>11</v>
      </c>
      <c r="AH56" s="20" t="n">
        <v>14</v>
      </c>
      <c r="AJ56" s="20">
        <f>AH56-AG56</f>
        <v/>
      </c>
      <c r="AK56" s="23">
        <f>AVERAGE(AF56:AH56)</f>
        <v/>
      </c>
      <c r="AL56" s="23">
        <f>AVERAGE(AC56:AH56)</f>
        <v/>
      </c>
    </row>
    <row r="57">
      <c r="B57" s="17" t="inlineStr">
        <is>
          <t>Furniture &amp; Related Products</t>
        </is>
      </c>
      <c r="C57" s="20" t="n">
        <v>-2</v>
      </c>
      <c r="D57" s="20" t="n">
        <v>0</v>
      </c>
      <c r="E57" s="20" t="n">
        <v>8</v>
      </c>
      <c r="F57" s="20" t="n">
        <v>11</v>
      </c>
      <c r="G57" s="20" t="n">
        <v>12</v>
      </c>
      <c r="H57" s="20" t="n">
        <v>6</v>
      </c>
      <c r="I57" s="20" t="n">
        <v>0</v>
      </c>
      <c r="J57" s="20" t="n">
        <v>0</v>
      </c>
      <c r="K57" s="20" t="n">
        <v>5</v>
      </c>
      <c r="L57" s="20" t="n">
        <v>-6</v>
      </c>
      <c r="M57" s="20" t="n">
        <v>-4</v>
      </c>
      <c r="N57" s="20" t="n">
        <v>7</v>
      </c>
      <c r="O57" s="20" t="n">
        <v>9</v>
      </c>
      <c r="P57" s="20" t="n">
        <v>0</v>
      </c>
      <c r="Q57" s="20" t="n">
        <v>-12</v>
      </c>
      <c r="R57" s="20" t="n">
        <v>4</v>
      </c>
      <c r="S57" s="20" t="n">
        <v>12</v>
      </c>
      <c r="T57" s="20" t="n">
        <v>13</v>
      </c>
      <c r="U57" s="20" t="n">
        <v>0</v>
      </c>
      <c r="V57" s="20" t="n">
        <v>12</v>
      </c>
      <c r="W57" s="20" t="n">
        <v>0</v>
      </c>
      <c r="X57" s="20" t="n">
        <v>0</v>
      </c>
      <c r="Y57" s="20" t="n">
        <v>10</v>
      </c>
      <c r="Z57" s="20" t="n">
        <v>0</v>
      </c>
      <c r="AA57" s="20" t="n">
        <v>3</v>
      </c>
      <c r="AB57" s="20" t="n">
        <v>6</v>
      </c>
      <c r="AC57" s="20" t="n">
        <v>8</v>
      </c>
      <c r="AD57" s="20" t="n">
        <v>12</v>
      </c>
      <c r="AE57" s="20" t="n">
        <v>6</v>
      </c>
      <c r="AF57" s="20" t="n">
        <v>13</v>
      </c>
      <c r="AG57" s="20" t="n">
        <v>13</v>
      </c>
      <c r="AH57" s="20" t="n">
        <v>13</v>
      </c>
      <c r="AJ57" s="20">
        <f>AH57-AG57</f>
        <v/>
      </c>
      <c r="AK57" s="23">
        <f>AVERAGE(AF57:AH57)</f>
        <v/>
      </c>
      <c r="AL57" s="23">
        <f>AVERAGE(AC57:AH57)</f>
        <v/>
      </c>
    </row>
    <row r="58">
      <c r="B58" s="17" t="inlineStr">
        <is>
          <t>Transportation Equipment</t>
        </is>
      </c>
      <c r="C58" s="20" t="n">
        <v>3</v>
      </c>
      <c r="D58" s="20" t="n">
        <v>0</v>
      </c>
      <c r="E58" s="20" t="n">
        <v>-1</v>
      </c>
      <c r="F58" s="20" t="n">
        <v>1</v>
      </c>
      <c r="G58" s="20" t="n">
        <v>-4</v>
      </c>
      <c r="H58" s="20" t="n">
        <v>-6</v>
      </c>
      <c r="I58" s="20" t="n">
        <v>-6</v>
      </c>
      <c r="J58" s="20" t="n">
        <v>0</v>
      </c>
      <c r="K58" s="20" t="n">
        <v>-3</v>
      </c>
      <c r="L58" s="20" t="n">
        <v>-3</v>
      </c>
      <c r="M58" s="20" t="n">
        <v>-10</v>
      </c>
      <c r="N58" s="20" t="n">
        <v>-4</v>
      </c>
      <c r="O58" s="20" t="n">
        <v>-1</v>
      </c>
      <c r="P58" s="20" t="n">
        <v>-5</v>
      </c>
      <c r="Q58" s="20" t="n">
        <v>-11</v>
      </c>
      <c r="R58" s="20" t="n">
        <v>-6</v>
      </c>
      <c r="S58" s="20" t="n">
        <v>-2</v>
      </c>
      <c r="T58" s="20" t="n">
        <v>2</v>
      </c>
      <c r="U58" s="20" t="n">
        <v>10</v>
      </c>
      <c r="V58" s="20" t="n">
        <v>6</v>
      </c>
      <c r="W58" s="20" t="n">
        <v>4</v>
      </c>
      <c r="X58" s="20" t="n">
        <v>2</v>
      </c>
      <c r="Y58" s="20" t="n">
        <v>3</v>
      </c>
      <c r="Z58" s="20" t="n">
        <v>7</v>
      </c>
      <c r="AA58" s="20" t="n">
        <v>6</v>
      </c>
      <c r="AB58" s="20" t="n">
        <v>5</v>
      </c>
      <c r="AC58" s="20" t="n">
        <v>0</v>
      </c>
      <c r="AD58" s="20" t="n">
        <v>2</v>
      </c>
      <c r="AE58" s="20" t="n">
        <v>3</v>
      </c>
      <c r="AF58" s="20" t="n">
        <v>7</v>
      </c>
      <c r="AG58" s="20" t="n">
        <v>1</v>
      </c>
      <c r="AH58" s="20" t="n">
        <v>8</v>
      </c>
      <c r="AJ58" s="20">
        <f>AH58-AG58</f>
        <v/>
      </c>
      <c r="AK58" s="23">
        <f>AVERAGE(AF58:AH58)</f>
        <v/>
      </c>
      <c r="AL58" s="23">
        <f>AVERAGE(AC58:AH58)</f>
        <v/>
      </c>
    </row>
    <row r="59">
      <c r="B59" s="17" t="inlineStr">
        <is>
          <t>Chemical Products</t>
        </is>
      </c>
      <c r="C59" s="20" t="n">
        <v>11</v>
      </c>
      <c r="D59" s="20" t="n">
        <v>3</v>
      </c>
      <c r="E59" s="20" t="n">
        <v>7</v>
      </c>
      <c r="F59" s="20" t="n">
        <v>7</v>
      </c>
      <c r="G59" s="20" t="n">
        <v>6</v>
      </c>
      <c r="H59" s="20" t="n">
        <v>2</v>
      </c>
      <c r="I59" s="20" t="n">
        <v>1</v>
      </c>
      <c r="J59" s="20" t="n">
        <v>3</v>
      </c>
      <c r="K59" s="20" t="n">
        <v>-2</v>
      </c>
      <c r="L59" s="20" t="n">
        <v>1</v>
      </c>
      <c r="M59" s="20" t="n">
        <v>-5</v>
      </c>
      <c r="N59" s="20" t="n">
        <v>1</v>
      </c>
      <c r="O59" s="20" t="n">
        <v>0</v>
      </c>
      <c r="P59" s="20" t="n">
        <v>2</v>
      </c>
      <c r="Q59" s="20" t="n">
        <v>-2</v>
      </c>
      <c r="R59" s="20" t="n">
        <v>-4</v>
      </c>
      <c r="S59" s="20" t="n">
        <v>6</v>
      </c>
      <c r="T59" s="20" t="n">
        <v>10</v>
      </c>
      <c r="U59" s="20" t="n">
        <v>13</v>
      </c>
      <c r="V59" s="20" t="n">
        <v>9</v>
      </c>
      <c r="W59" s="20" t="n">
        <v>3</v>
      </c>
      <c r="X59" s="20" t="n">
        <v>4</v>
      </c>
      <c r="Y59" s="20" t="n">
        <v>1</v>
      </c>
      <c r="Z59" s="20" t="n">
        <v>8</v>
      </c>
      <c r="AA59" s="20" t="n">
        <v>9</v>
      </c>
      <c r="AB59" s="20" t="n">
        <v>4</v>
      </c>
      <c r="AC59" s="20" t="n">
        <v>5</v>
      </c>
      <c r="AD59" s="20" t="n">
        <v>5</v>
      </c>
      <c r="AE59" s="20" t="n">
        <v>10</v>
      </c>
      <c r="AF59" s="20" t="n">
        <v>15</v>
      </c>
      <c r="AG59" s="20" t="n">
        <v>8</v>
      </c>
      <c r="AH59" s="20" t="n">
        <v>7</v>
      </c>
      <c r="AJ59" s="20">
        <f>AH59-AG59</f>
        <v/>
      </c>
      <c r="AK59" s="23">
        <f>AVERAGE(AF59:AH59)</f>
        <v/>
      </c>
      <c r="AL59" s="23">
        <f>AVERAGE(AC59:AH59)</f>
        <v/>
      </c>
    </row>
    <row r="60">
      <c r="B60" s="17" t="inlineStr">
        <is>
          <t>Food, Beverage &amp; Tobacco Products</t>
        </is>
      </c>
      <c r="C60" s="20" t="n">
        <v>2</v>
      </c>
      <c r="D60" s="20" t="n">
        <v>9</v>
      </c>
      <c r="E60" s="20" t="n">
        <v>4</v>
      </c>
      <c r="F60" s="20" t="n">
        <v>3</v>
      </c>
      <c r="G60" s="20" t="n">
        <v>7</v>
      </c>
      <c r="H60" s="20" t="n">
        <v>5</v>
      </c>
      <c r="I60" s="20" t="n">
        <v>3</v>
      </c>
      <c r="J60" s="20" t="n">
        <v>0</v>
      </c>
      <c r="K60" s="20" t="n">
        <v>3</v>
      </c>
      <c r="L60" s="20" t="n">
        <v>5</v>
      </c>
      <c r="M60" s="20" t="n">
        <v>2</v>
      </c>
      <c r="N60" s="20" t="n">
        <v>5</v>
      </c>
      <c r="O60" s="20" t="n">
        <v>1</v>
      </c>
      <c r="P60" s="20" t="n">
        <v>3</v>
      </c>
      <c r="Q60" s="20" t="n">
        <v>1</v>
      </c>
      <c r="R60" s="20" t="n">
        <v>2</v>
      </c>
      <c r="S60" s="20" t="n">
        <v>7</v>
      </c>
      <c r="T60" s="20" t="n">
        <v>8</v>
      </c>
      <c r="U60" s="20" t="n">
        <v>7</v>
      </c>
      <c r="V60" s="20" t="n">
        <v>4</v>
      </c>
      <c r="W60" s="20" t="n">
        <v>7</v>
      </c>
      <c r="X60" s="20" t="n">
        <v>1</v>
      </c>
      <c r="Y60" s="20" t="n">
        <v>0</v>
      </c>
      <c r="Z60" s="20" t="n">
        <v>5</v>
      </c>
      <c r="AA60" s="20" t="n">
        <v>4</v>
      </c>
      <c r="AB60" s="20" t="n">
        <v>8</v>
      </c>
      <c r="AC60" s="20" t="n">
        <v>6</v>
      </c>
      <c r="AD60" s="20" t="n">
        <v>4</v>
      </c>
      <c r="AE60" s="20" t="n">
        <v>1</v>
      </c>
      <c r="AF60" s="20" t="n">
        <v>4</v>
      </c>
      <c r="AG60" s="20" t="n">
        <v>3</v>
      </c>
      <c r="AH60" s="20" t="n">
        <v>5</v>
      </c>
      <c r="AJ60" s="20">
        <f>AH60-AG60</f>
        <v/>
      </c>
      <c r="AK60" s="23">
        <f>AVERAGE(AF60:AH60)</f>
        <v/>
      </c>
      <c r="AL60" s="23">
        <f>AVERAGE(AC60:AH60)</f>
        <v/>
      </c>
    </row>
    <row r="61">
      <c r="B61" s="17" t="inlineStr">
        <is>
          <t>Miscellaneous Manufacturing</t>
        </is>
      </c>
      <c r="C61" s="20" t="n">
        <v>10</v>
      </c>
      <c r="D61" s="20" t="n">
        <v>-1</v>
      </c>
      <c r="E61" s="20" t="n">
        <v>3</v>
      </c>
      <c r="F61" s="20" t="n">
        <v>9</v>
      </c>
      <c r="G61" s="20" t="n">
        <v>2</v>
      </c>
      <c r="H61" s="20" t="n">
        <v>-3</v>
      </c>
      <c r="I61" s="20" t="n">
        <v>0</v>
      </c>
      <c r="J61" s="20" t="n">
        <v>1</v>
      </c>
      <c r="K61" s="20" t="n">
        <v>-1</v>
      </c>
      <c r="L61" s="20" t="n">
        <v>2</v>
      </c>
      <c r="M61" s="20" t="n">
        <v>3</v>
      </c>
      <c r="N61" s="20" t="n">
        <v>-3</v>
      </c>
      <c r="O61" s="20" t="n">
        <v>5</v>
      </c>
      <c r="P61" s="20" t="n">
        <v>0</v>
      </c>
      <c r="Q61" s="20" t="n">
        <v>-6</v>
      </c>
      <c r="R61" s="20" t="n">
        <v>-10</v>
      </c>
      <c r="S61" s="20" t="n">
        <v>1</v>
      </c>
      <c r="T61" s="20" t="n">
        <v>1</v>
      </c>
      <c r="U61" s="20" t="n">
        <v>3</v>
      </c>
      <c r="V61" s="20" t="n">
        <v>1</v>
      </c>
      <c r="W61" s="20" t="n">
        <v>0</v>
      </c>
      <c r="X61" s="20" t="n">
        <v>0</v>
      </c>
      <c r="Y61" s="20" t="n">
        <v>-1</v>
      </c>
      <c r="Z61" s="20" t="n">
        <v>4</v>
      </c>
      <c r="AA61" s="20" t="n">
        <v>1</v>
      </c>
      <c r="AB61" s="20" t="n">
        <v>2</v>
      </c>
      <c r="AC61" s="20" t="n">
        <v>10</v>
      </c>
      <c r="AD61" s="20" t="n">
        <v>3</v>
      </c>
      <c r="AE61" s="20" t="n">
        <v>2</v>
      </c>
      <c r="AF61" s="20" t="n">
        <v>11</v>
      </c>
      <c r="AG61" s="20" t="n">
        <v>2</v>
      </c>
      <c r="AH61" s="20" t="n">
        <v>1</v>
      </c>
      <c r="AJ61" s="20">
        <f>AH61-AG61</f>
        <v/>
      </c>
      <c r="AK61" s="23">
        <f>AVERAGE(AF61:AH61)</f>
        <v/>
      </c>
      <c r="AL61" s="23">
        <f>AVERAGE(AC61:AH61)</f>
        <v/>
      </c>
    </row>
    <row r="62">
      <c r="B62" s="17" t="inlineStr">
        <is>
          <t>Electrical Equipment, Appliances &amp; Components</t>
        </is>
      </c>
      <c r="C62" s="20" t="n">
        <v>9</v>
      </c>
      <c r="D62" s="20" t="n">
        <v>4</v>
      </c>
      <c r="E62" s="20" t="n">
        <v>13</v>
      </c>
      <c r="F62" s="20" t="n">
        <v>6</v>
      </c>
      <c r="G62" s="20" t="n">
        <v>5</v>
      </c>
      <c r="H62" s="20" t="n">
        <v>-8</v>
      </c>
      <c r="I62" s="20" t="n">
        <v>-4</v>
      </c>
      <c r="J62" s="20" t="n">
        <v>-2</v>
      </c>
      <c r="K62" s="20" t="n">
        <v>2</v>
      </c>
      <c r="L62" s="20" t="n">
        <v>3</v>
      </c>
      <c r="M62" s="20" t="n">
        <v>-3</v>
      </c>
      <c r="N62" s="20" t="n">
        <v>-5</v>
      </c>
      <c r="O62" s="20" t="n">
        <v>2</v>
      </c>
      <c r="P62" s="20" t="n">
        <v>1</v>
      </c>
      <c r="Q62" s="20" t="n">
        <v>-4</v>
      </c>
      <c r="R62" s="20" t="n">
        <v>-1</v>
      </c>
      <c r="S62" s="20" t="n">
        <v>2</v>
      </c>
      <c r="T62" s="20" t="n">
        <v>9</v>
      </c>
      <c r="U62" s="20" t="n">
        <v>4</v>
      </c>
      <c r="V62" s="20" t="n">
        <v>13</v>
      </c>
      <c r="W62" s="20" t="n">
        <v>2</v>
      </c>
      <c r="X62" s="20" t="n">
        <v>10</v>
      </c>
      <c r="Y62" s="20" t="n">
        <v>2</v>
      </c>
      <c r="Z62" s="20" t="n">
        <v>9</v>
      </c>
      <c r="AA62" s="20" t="n">
        <v>11</v>
      </c>
      <c r="AB62" s="20" t="n">
        <v>13</v>
      </c>
      <c r="AC62" s="20" t="n">
        <v>14</v>
      </c>
      <c r="AD62" s="20" t="n">
        <v>1</v>
      </c>
      <c r="AE62" s="20" t="n">
        <v>13</v>
      </c>
      <c r="AF62" s="20" t="n">
        <v>5</v>
      </c>
      <c r="AG62" s="20" t="n">
        <v>9</v>
      </c>
      <c r="AH62" s="20" t="n">
        <v>2</v>
      </c>
      <c r="AJ62" s="20">
        <f>AH62-AG62</f>
        <v/>
      </c>
      <c r="AK62" s="23">
        <f>AVERAGE(AF62:AH62)</f>
        <v/>
      </c>
      <c r="AL62" s="23">
        <f>AVERAGE(AC62:AH62)</f>
        <v/>
      </c>
    </row>
    <row r="63">
      <c r="B63" s="17" t="inlineStr">
        <is>
          <t>Plastics &amp; Rubber Products</t>
        </is>
      </c>
      <c r="C63" s="20" t="n">
        <v>-1</v>
      </c>
      <c r="D63" s="20" t="n">
        <v>0</v>
      </c>
      <c r="E63" s="20" t="n">
        <v>1</v>
      </c>
      <c r="F63" s="20" t="n">
        <v>8</v>
      </c>
      <c r="G63" s="20" t="n">
        <v>-1</v>
      </c>
      <c r="H63" s="20" t="n">
        <v>-1</v>
      </c>
      <c r="I63" s="20" t="n">
        <v>-3</v>
      </c>
      <c r="J63" s="20" t="n">
        <v>-3</v>
      </c>
      <c r="K63" s="20" t="n">
        <v>-4</v>
      </c>
      <c r="L63" s="20" t="n">
        <v>-5</v>
      </c>
      <c r="M63" s="20" t="n">
        <v>0</v>
      </c>
      <c r="N63" s="20" t="n">
        <v>-2</v>
      </c>
      <c r="O63" s="20" t="n">
        <v>8</v>
      </c>
      <c r="P63" s="20" t="n">
        <v>0</v>
      </c>
      <c r="Q63" s="20" t="n">
        <v>-10</v>
      </c>
      <c r="R63" s="20" t="n">
        <v>-3</v>
      </c>
      <c r="S63" s="20" t="n">
        <v>8</v>
      </c>
      <c r="T63" s="20" t="n">
        <v>11</v>
      </c>
      <c r="U63" s="20" t="n">
        <v>12</v>
      </c>
      <c r="V63" s="20" t="n">
        <v>2</v>
      </c>
      <c r="W63" s="20" t="n">
        <v>9</v>
      </c>
      <c r="X63" s="20" t="n">
        <v>7</v>
      </c>
      <c r="Y63" s="20" t="n">
        <v>6</v>
      </c>
      <c r="Z63" s="20" t="n">
        <v>3</v>
      </c>
      <c r="AA63" s="20" t="n">
        <v>5</v>
      </c>
      <c r="AB63" s="20" t="n">
        <v>1</v>
      </c>
      <c r="AC63" s="20" t="n">
        <v>7</v>
      </c>
      <c r="AD63" s="20" t="n">
        <v>11</v>
      </c>
      <c r="AE63" s="20" t="n">
        <v>4</v>
      </c>
      <c r="AF63" s="20" t="n">
        <v>1</v>
      </c>
      <c r="AG63" s="20" t="n">
        <v>-1</v>
      </c>
      <c r="AH63" s="20" t="n">
        <v>-1</v>
      </c>
      <c r="AJ63" s="20">
        <f>AH63-AG63</f>
        <v/>
      </c>
      <c r="AK63" s="23">
        <f>AVERAGE(AF63:AH63)</f>
        <v/>
      </c>
      <c r="AL63" s="23">
        <f>AVERAGE(AC63:AH63)</f>
        <v/>
      </c>
    </row>
    <row r="64">
      <c r="B64" s="14" t="inlineStr">
        <is>
          <t>Fabricated Metal Products</t>
        </is>
      </c>
      <c r="C64" s="20" t="n">
        <v>6</v>
      </c>
      <c r="D64" s="20" t="n">
        <v>1</v>
      </c>
      <c r="E64" s="20" t="n">
        <v>9</v>
      </c>
      <c r="F64" s="20" t="n">
        <v>2</v>
      </c>
      <c r="G64" s="20" t="n">
        <v>-2</v>
      </c>
      <c r="H64" s="20" t="n">
        <v>-4</v>
      </c>
      <c r="I64" s="20" t="n">
        <v>-2</v>
      </c>
      <c r="J64" s="20" t="n">
        <v>-1</v>
      </c>
      <c r="K64" s="20" t="n">
        <v>1</v>
      </c>
      <c r="L64" s="20" t="n">
        <v>-4</v>
      </c>
      <c r="M64" s="20" t="n">
        <v>-7</v>
      </c>
      <c r="N64" s="20" t="n">
        <v>2</v>
      </c>
      <c r="O64" s="20" t="n">
        <v>4</v>
      </c>
      <c r="P64" s="20" t="n">
        <v>-3</v>
      </c>
      <c r="Q64" s="20" t="n">
        <v>-9</v>
      </c>
      <c r="R64" s="20" t="n">
        <v>-5</v>
      </c>
      <c r="S64" s="20" t="n">
        <v>-1</v>
      </c>
      <c r="T64" s="20" t="n">
        <v>5</v>
      </c>
      <c r="U64" s="20" t="n">
        <v>6</v>
      </c>
      <c r="V64" s="20" t="n">
        <v>8</v>
      </c>
      <c r="W64" s="20" t="n">
        <v>10</v>
      </c>
      <c r="X64" s="20" t="n">
        <v>9</v>
      </c>
      <c r="Y64" s="20" t="n">
        <v>9</v>
      </c>
      <c r="Z64" s="20" t="n">
        <v>6</v>
      </c>
      <c r="AA64" s="20" t="n">
        <v>8</v>
      </c>
      <c r="AB64" s="20" t="n">
        <v>7</v>
      </c>
      <c r="AC64" s="20" t="n">
        <v>9</v>
      </c>
      <c r="AD64" s="20" t="n">
        <v>7</v>
      </c>
      <c r="AE64" s="20" t="n">
        <v>5</v>
      </c>
      <c r="AF64" s="20" t="n">
        <v>3</v>
      </c>
      <c r="AG64" s="20" t="n">
        <v>5</v>
      </c>
      <c r="AH64" s="20" t="n">
        <v>6</v>
      </c>
      <c r="AJ64" s="20">
        <f>AH64-AG64</f>
        <v/>
      </c>
      <c r="AK64" s="23">
        <f>AVERAGE(AF64:AH64)</f>
        <v/>
      </c>
      <c r="AL64" s="23">
        <f>AVERAGE(AC64:AH64)</f>
        <v/>
      </c>
    </row>
    <row r="65">
      <c r="B65" s="17" t="inlineStr">
        <is>
          <t>Wood Products</t>
        </is>
      </c>
      <c r="C65" s="20" t="n">
        <v>0</v>
      </c>
      <c r="D65" s="20" t="n">
        <v>0</v>
      </c>
      <c r="E65" s="20" t="n">
        <v>0</v>
      </c>
      <c r="F65" s="20" t="n">
        <v>0</v>
      </c>
      <c r="G65" s="20" t="n">
        <v>13</v>
      </c>
      <c r="H65" s="20" t="n">
        <v>8</v>
      </c>
      <c r="I65" s="20" t="n">
        <v>0</v>
      </c>
      <c r="J65" s="20" t="n">
        <v>-10</v>
      </c>
      <c r="K65" s="20" t="n">
        <v>-6</v>
      </c>
      <c r="L65" s="20" t="n">
        <v>-7</v>
      </c>
      <c r="M65" s="20" t="n">
        <v>-13</v>
      </c>
      <c r="N65" s="20" t="n">
        <v>6</v>
      </c>
      <c r="O65" s="20" t="n">
        <v>12</v>
      </c>
      <c r="P65" s="20" t="n">
        <v>7</v>
      </c>
      <c r="Q65" s="20" t="n">
        <v>0</v>
      </c>
      <c r="R65" s="20" t="n">
        <v>3</v>
      </c>
      <c r="S65" s="20" t="n">
        <v>11</v>
      </c>
      <c r="T65" s="20" t="n">
        <v>15</v>
      </c>
      <c r="U65" s="20" t="n">
        <v>15</v>
      </c>
      <c r="V65" s="20" t="n">
        <v>14</v>
      </c>
      <c r="W65" s="20" t="n">
        <v>0</v>
      </c>
      <c r="X65" s="20" t="n">
        <v>12</v>
      </c>
      <c r="Y65" s="20" t="n">
        <v>11</v>
      </c>
      <c r="Z65" s="20" t="n">
        <v>10</v>
      </c>
      <c r="AA65" s="20" t="n">
        <v>7</v>
      </c>
      <c r="AB65" s="20" t="n">
        <v>0</v>
      </c>
      <c r="AC65" s="20" t="n">
        <v>4</v>
      </c>
      <c r="AD65" s="20" t="n">
        <v>8</v>
      </c>
      <c r="AE65" s="20" t="n">
        <v>8</v>
      </c>
      <c r="AF65" s="20" t="n">
        <v>14</v>
      </c>
      <c r="AG65" s="20" t="n">
        <v>12</v>
      </c>
      <c r="AH65" s="20" t="n">
        <v>0</v>
      </c>
      <c r="AJ65" s="20">
        <f>AH65-AG65</f>
        <v/>
      </c>
      <c r="AK65" s="23">
        <f>AVERAGE(AF65:AH65)</f>
        <v/>
      </c>
      <c r="AL65" s="23">
        <f>AVERAGE(AC65:AH65)</f>
        <v/>
      </c>
    </row>
    <row r="66">
      <c r="B66" s="17" t="inlineStr">
        <is>
          <t>Textile Mills</t>
        </is>
      </c>
      <c r="C66" s="20" t="n">
        <v>-4</v>
      </c>
      <c r="D66" s="20" t="n">
        <v>6</v>
      </c>
      <c r="E66" s="20" t="n">
        <v>10</v>
      </c>
      <c r="F66" s="20" t="n">
        <v>0</v>
      </c>
      <c r="G66" s="20" t="n">
        <v>11</v>
      </c>
      <c r="H66" s="20" t="n">
        <v>4</v>
      </c>
      <c r="I66" s="20" t="n">
        <v>4</v>
      </c>
      <c r="J66" s="20" t="n">
        <v>-9</v>
      </c>
      <c r="K66" s="20" t="n">
        <v>-11</v>
      </c>
      <c r="L66" s="20" t="n">
        <v>-10</v>
      </c>
      <c r="M66" s="20" t="n">
        <v>-9</v>
      </c>
      <c r="N66" s="20" t="n">
        <v>0</v>
      </c>
      <c r="O66" s="20" t="n">
        <v>6</v>
      </c>
      <c r="P66" s="20" t="n">
        <v>-4</v>
      </c>
      <c r="Q66" s="20" t="n">
        <v>-14</v>
      </c>
      <c r="R66" s="20" t="n">
        <v>0</v>
      </c>
      <c r="S66" s="20" t="n">
        <v>13</v>
      </c>
      <c r="T66" s="20" t="n">
        <v>14</v>
      </c>
      <c r="U66" s="20" t="n">
        <v>9</v>
      </c>
      <c r="V66" s="20" t="n">
        <v>-2</v>
      </c>
      <c r="W66" s="20" t="n">
        <v>-1</v>
      </c>
      <c r="X66" s="20" t="n">
        <v>13</v>
      </c>
      <c r="Y66" s="20" t="n">
        <v>0</v>
      </c>
      <c r="Z66" s="20" t="n">
        <v>-1</v>
      </c>
      <c r="AA66" s="20" t="n">
        <v>13</v>
      </c>
      <c r="AB66" s="20" t="n">
        <v>14</v>
      </c>
      <c r="AC66" s="20" t="n">
        <v>2</v>
      </c>
      <c r="AD66" s="20" t="n">
        <v>0</v>
      </c>
      <c r="AE66" s="20" t="n">
        <v>0</v>
      </c>
      <c r="AF66" s="20" t="n">
        <v>-1</v>
      </c>
      <c r="AG66" s="20" t="n">
        <v>-4</v>
      </c>
      <c r="AH66" s="20" t="n">
        <v>11</v>
      </c>
      <c r="AJ66" s="20">
        <f>AH66-AG66</f>
        <v/>
      </c>
      <c r="AK66" s="23">
        <f>AVERAGE(AF66:AH66)</f>
        <v/>
      </c>
      <c r="AL66" s="23">
        <f>AVERAGE(AC66:AH66)</f>
        <v/>
      </c>
    </row>
    <row r="67">
      <c r="B67" s="18" t="inlineStr">
        <is>
          <t>Nonmetallic Mineral Products</t>
        </is>
      </c>
      <c r="C67" s="20" t="n">
        <v>-3</v>
      </c>
      <c r="D67" s="20" t="n">
        <v>7</v>
      </c>
      <c r="E67" s="20" t="n">
        <v>12</v>
      </c>
      <c r="F67" s="20" t="n">
        <v>5</v>
      </c>
      <c r="G67" s="20" t="n">
        <v>8</v>
      </c>
      <c r="H67" s="20" t="n">
        <v>-7</v>
      </c>
      <c r="I67" s="20" t="n">
        <v>2</v>
      </c>
      <c r="J67" s="20" t="n">
        <v>-7</v>
      </c>
      <c r="K67" s="20" t="n">
        <v>-7</v>
      </c>
      <c r="L67" s="20" t="n">
        <v>-11</v>
      </c>
      <c r="M67" s="20" t="n">
        <v>-12</v>
      </c>
      <c r="N67" s="20" t="n">
        <v>0</v>
      </c>
      <c r="O67" s="20" t="n">
        <v>-2</v>
      </c>
      <c r="P67" s="20" t="n">
        <v>0</v>
      </c>
      <c r="Q67" s="20" t="n">
        <v>-7</v>
      </c>
      <c r="R67" s="20" t="n">
        <v>0</v>
      </c>
      <c r="S67" s="20" t="n">
        <v>0</v>
      </c>
      <c r="T67" s="20" t="n">
        <v>6</v>
      </c>
      <c r="U67" s="20" t="n">
        <v>11</v>
      </c>
      <c r="V67" s="20" t="n">
        <v>7</v>
      </c>
      <c r="W67" s="20" t="n">
        <v>11</v>
      </c>
      <c r="X67" s="20" t="n">
        <v>6</v>
      </c>
      <c r="Y67" s="20" t="n">
        <v>-2</v>
      </c>
      <c r="Z67" s="20" t="n">
        <v>0</v>
      </c>
      <c r="AA67" s="20" t="n">
        <v>-1</v>
      </c>
      <c r="AB67" s="20" t="n">
        <v>3</v>
      </c>
      <c r="AC67" s="20" t="n">
        <v>1</v>
      </c>
      <c r="AD67" s="20" t="n">
        <v>13</v>
      </c>
      <c r="AE67" s="20" t="n">
        <v>12</v>
      </c>
      <c r="AF67" s="20" t="n">
        <v>8</v>
      </c>
      <c r="AG67" s="20" t="n">
        <v>-3</v>
      </c>
      <c r="AH67" s="20" t="n">
        <v>9</v>
      </c>
      <c r="AJ67" s="20">
        <f>AH67-AG67</f>
        <v/>
      </c>
      <c r="AK67" s="23">
        <f>AVERAGE(AF67:AH67)</f>
        <v/>
      </c>
      <c r="AL67" s="23">
        <f>AVERAGE(AC67:AH67)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row>
  </sheetData>
  <mergeCells count="14">
    <mergeCell ref="B4:B5"/>
    <mergeCell ref="B48:B49"/>
    <mergeCell ref="B26:B27"/>
    <mergeCell ref="AJ1:AL1"/>
    <mergeCell ref="AK3:AL3"/>
    <mergeCell ref="AK4:AK5"/>
    <mergeCell ref="AK26:AK27"/>
    <mergeCell ref="AK48:AK49"/>
    <mergeCell ref="AL4:AL5"/>
    <mergeCell ref="AL26:AL27"/>
    <mergeCell ref="AL48:AL49"/>
    <mergeCell ref="AJ4:AJ5"/>
    <mergeCell ref="AJ48:AJ49"/>
    <mergeCell ref="AJ26:AJ27"/>
  </mergeCells>
  <conditionalFormatting sqref="D6:D23">
    <cfRule type="cellIs" priority="1502" operator="equal" dxfId="0">
      <formula>0</formula>
    </cfRule>
    <cfRule type="cellIs" priority="1503" operator="lessThan" dxfId="1">
      <formula>0</formula>
    </cfRule>
    <cfRule type="cellIs" priority="1504" operator="greaterThan" dxfId="0">
      <formula>0</formula>
    </cfRule>
    <cfRule type="colorScale" priority="1893">
      <colorScale>
        <cfvo type="min"/>
        <cfvo type="percentile" val="50"/>
        <cfvo type="max"/>
        <color rgb="FFF8696B"/>
        <color rgb="FFFFEB84"/>
        <color rgb="FF63BE7B"/>
      </colorScale>
    </cfRule>
    <cfRule type="colorScale" priority="1896">
      <colorScale>
        <cfvo type="min"/>
        <cfvo type="percentile" val="50"/>
        <cfvo type="max"/>
        <color rgb="FFF8696B"/>
        <color rgb="FFFFEB84"/>
        <color rgb="FF63BE7B"/>
      </colorScale>
    </cfRule>
  </conditionalFormatting>
  <conditionalFormatting sqref="E6:E23">
    <cfRule type="cellIs" priority="1481" operator="equal" dxfId="0">
      <formula>0</formula>
    </cfRule>
    <cfRule type="cellIs" priority="1482" operator="lessThan" dxfId="1">
      <formula>0</formula>
    </cfRule>
    <cfRule type="cellIs" priority="1483" operator="greaterThan" dxfId="0">
      <formula>0</formula>
    </cfRule>
    <cfRule type="colorScale" priority="1484">
      <colorScale>
        <cfvo type="min"/>
        <cfvo type="percentile" val="50"/>
        <cfvo type="max"/>
        <color rgb="FFF8696B"/>
        <color rgb="FFFFEB84"/>
        <color rgb="FF63BE7B"/>
      </colorScale>
    </cfRule>
    <cfRule type="colorScale" priority="1485">
      <colorScale>
        <cfvo type="min"/>
        <cfvo type="percentile" val="50"/>
        <cfvo type="max"/>
        <color rgb="FFF8696B"/>
        <color rgb="FFFFEB84"/>
        <color rgb="FF63BE7B"/>
      </colorScale>
    </cfRule>
  </conditionalFormatting>
  <conditionalFormatting sqref="F6:F23">
    <cfRule type="cellIs" priority="1476" operator="equal" dxfId="0">
      <formula>0</formula>
    </cfRule>
    <cfRule type="cellIs" priority="1477" operator="lessThan" dxfId="1">
      <formula>0</formula>
    </cfRule>
    <cfRule type="cellIs" priority="1478" operator="greaterThan" dxfId="0">
      <formula>0</formula>
    </cfRule>
    <cfRule type="colorScale" priority="1479">
      <colorScale>
        <cfvo type="min"/>
        <cfvo type="percentile" val="50"/>
        <cfvo type="max"/>
        <color rgb="FFF8696B"/>
        <color rgb="FFFFEB84"/>
        <color rgb="FF63BE7B"/>
      </colorScale>
    </cfRule>
    <cfRule type="colorScale" priority="1480">
      <colorScale>
        <cfvo type="min"/>
        <cfvo type="percentile" val="50"/>
        <cfvo type="max"/>
        <color rgb="FFF8696B"/>
        <color rgb="FFFFEB84"/>
        <color rgb="FF63BE7B"/>
      </colorScale>
    </cfRule>
  </conditionalFormatting>
  <conditionalFormatting sqref="G6:G23">
    <cfRule type="cellIs" priority="1471" operator="equal" dxfId="0">
      <formula>0</formula>
    </cfRule>
    <cfRule type="cellIs" priority="1472" operator="lessThan" dxfId="1">
      <formula>0</formula>
    </cfRule>
    <cfRule type="cellIs" priority="1473" operator="greaterThan" dxfId="0">
      <formula>0</formula>
    </cfRule>
    <cfRule type="colorScale" priority="1474">
      <colorScale>
        <cfvo type="min"/>
        <cfvo type="percentile" val="50"/>
        <cfvo type="max"/>
        <color rgb="FFF8696B"/>
        <color rgb="FFFFEB84"/>
        <color rgb="FF63BE7B"/>
      </colorScale>
    </cfRule>
    <cfRule type="colorScale" priority="1475">
      <colorScale>
        <cfvo type="min"/>
        <cfvo type="percentile" val="50"/>
        <cfvo type="max"/>
        <color rgb="FFF8696B"/>
        <color rgb="FFFFEB84"/>
        <color rgb="FF63BE7B"/>
      </colorScale>
    </cfRule>
  </conditionalFormatting>
  <conditionalFormatting sqref="H6:H23">
    <cfRule type="cellIs" priority="1466" operator="equal" dxfId="0">
      <formula>0</formula>
    </cfRule>
    <cfRule type="cellIs" priority="1467" operator="lessThan" dxfId="1">
      <formula>0</formula>
    </cfRule>
    <cfRule type="cellIs" priority="1468" operator="greaterThan" dxfId="0">
      <formula>0</formula>
    </cfRule>
    <cfRule type="colorScale" priority="1469">
      <colorScale>
        <cfvo type="min"/>
        <cfvo type="percentile" val="50"/>
        <cfvo type="max"/>
        <color rgb="FFF8696B"/>
        <color rgb="FFFFEB84"/>
        <color rgb="FF63BE7B"/>
      </colorScale>
    </cfRule>
    <cfRule type="colorScale" priority="1470">
      <colorScale>
        <cfvo type="min"/>
        <cfvo type="percentile" val="50"/>
        <cfvo type="max"/>
        <color rgb="FFF8696B"/>
        <color rgb="FFFFEB84"/>
        <color rgb="FF63BE7B"/>
      </colorScale>
    </cfRule>
  </conditionalFormatting>
  <conditionalFormatting sqref="I6:I23">
    <cfRule type="cellIs" priority="1461" operator="equal" dxfId="0">
      <formula>0</formula>
    </cfRule>
    <cfRule type="cellIs" priority="1462" operator="lessThan" dxfId="1">
      <formula>0</formula>
    </cfRule>
    <cfRule type="cellIs" priority="1463" operator="greaterThan" dxfId="0">
      <formula>0</formula>
    </cfRule>
    <cfRule type="colorScale" priority="1464">
      <colorScale>
        <cfvo type="min"/>
        <cfvo type="percentile" val="50"/>
        <cfvo type="max"/>
        <color rgb="FFF8696B"/>
        <color rgb="FFFFEB84"/>
        <color rgb="FF63BE7B"/>
      </colorScale>
    </cfRule>
    <cfRule type="colorScale" priority="1465">
      <colorScale>
        <cfvo type="min"/>
        <cfvo type="percentile" val="50"/>
        <cfvo type="max"/>
        <color rgb="FFF8696B"/>
        <color rgb="FFFFEB84"/>
        <color rgb="FF63BE7B"/>
      </colorScale>
    </cfRule>
  </conditionalFormatting>
  <conditionalFormatting sqref="AJ6:AJ23">
    <cfRule type="colorScale" priority="997">
      <colorScale>
        <cfvo type="min"/>
        <cfvo type="percentile" val="50"/>
        <cfvo type="max"/>
        <color rgb="FFF8696B"/>
        <color rgb="FFFFEB84"/>
        <color rgb="FF63BE7B"/>
      </colorScale>
    </cfRule>
    <cfRule type="cellIs" priority="1456" operator="equal" dxfId="0">
      <formula>0</formula>
    </cfRule>
    <cfRule type="cellIs" priority="1457" operator="lessThan" dxfId="1">
      <formula>0</formula>
    </cfRule>
    <cfRule type="cellIs" priority="1458" operator="greaterThan" dxfId="0">
      <formula>0</formula>
    </cfRule>
    <cfRule type="colorScale" priority="1459">
      <colorScale>
        <cfvo type="min"/>
        <cfvo type="percentile" val="50"/>
        <cfvo type="max"/>
        <color rgb="FFF8696B"/>
        <color rgb="FFFFEB84"/>
        <color rgb="FF63BE7B"/>
      </colorScale>
    </cfRule>
    <cfRule type="colorScale" priority="1460">
      <colorScale>
        <cfvo type="min"/>
        <cfvo type="percentile" val="50"/>
        <cfvo type="max"/>
        <color rgb="FFF8696B"/>
        <color rgb="FFFFEB84"/>
        <color rgb="FF63BE7B"/>
      </colorScale>
    </cfRule>
  </conditionalFormatting>
  <conditionalFormatting sqref="AK6:AK23">
    <cfRule type="colorScale" priority="996">
      <colorScale>
        <cfvo type="min"/>
        <cfvo type="percentile" val="50"/>
        <cfvo type="max"/>
        <color rgb="FFF8696B"/>
        <color rgb="FFFFEB84"/>
        <color rgb="FF63BE7B"/>
      </colorScale>
    </cfRule>
    <cfRule type="cellIs" priority="1451" operator="equal" dxfId="0">
      <formula>0</formula>
    </cfRule>
    <cfRule type="cellIs" priority="1452" operator="lessThan" dxfId="1">
      <formula>0</formula>
    </cfRule>
    <cfRule type="cellIs" priority="1453" operator="greaterThan" dxfId="0">
      <formula>0</formula>
    </cfRule>
    <cfRule type="colorScale" priority="1454">
      <colorScale>
        <cfvo type="min"/>
        <cfvo type="percentile" val="50"/>
        <cfvo type="max"/>
        <color rgb="FFF8696B"/>
        <color rgb="FFFFEB84"/>
        <color rgb="FF63BE7B"/>
      </colorScale>
    </cfRule>
    <cfRule type="colorScale" priority="1455">
      <colorScale>
        <cfvo type="min"/>
        <cfvo type="percentile" val="50"/>
        <cfvo type="max"/>
        <color rgb="FFF8696B"/>
        <color rgb="FFFFEB84"/>
        <color rgb="FF63BE7B"/>
      </colorScale>
    </cfRule>
  </conditionalFormatting>
  <conditionalFormatting sqref="AL6:AL23">
    <cfRule type="colorScale" priority="995">
      <colorScale>
        <cfvo type="min"/>
        <cfvo type="percentile" val="50"/>
        <cfvo type="max"/>
        <color rgb="FFF8696B"/>
        <color rgb="FFFFEB84"/>
        <color rgb="FF63BE7B"/>
      </colorScale>
    </cfRule>
    <cfRule type="cellIs" priority="1446" operator="equal" dxfId="0">
      <formula>0</formula>
    </cfRule>
    <cfRule type="cellIs" priority="1447" operator="lessThan" dxfId="1">
      <formula>0</formula>
    </cfRule>
    <cfRule type="cellIs" priority="1448" operator="greaterThan" dxfId="0">
      <formula>0</formula>
    </cfRule>
    <cfRule type="colorScale" priority="1449">
      <colorScale>
        <cfvo type="min"/>
        <cfvo type="percentile" val="50"/>
        <cfvo type="max"/>
        <color rgb="FFF8696B"/>
        <color rgb="FFFFEB84"/>
        <color rgb="FF63BE7B"/>
      </colorScale>
    </cfRule>
    <cfRule type="colorScale" priority="1450">
      <colorScale>
        <cfvo type="min"/>
        <cfvo type="percentile" val="50"/>
        <cfvo type="max"/>
        <color rgb="FFF8696B"/>
        <color rgb="FFFFEB84"/>
        <color rgb="FF63BE7B"/>
      </colorScale>
    </cfRule>
  </conditionalFormatting>
  <conditionalFormatting sqref="D28:D45">
    <cfRule type="cellIs" priority="1441" operator="equal" dxfId="0">
      <formula>0</formula>
    </cfRule>
    <cfRule type="cellIs" priority="1442" operator="lessThan" dxfId="1">
      <formula>0</formula>
    </cfRule>
    <cfRule type="cellIs" priority="1443" operator="greaterThan" dxfId="0">
      <formula>0</formula>
    </cfRule>
    <cfRule type="colorScale" priority="1444">
      <colorScale>
        <cfvo type="min"/>
        <cfvo type="percentile" val="50"/>
        <cfvo type="max"/>
        <color rgb="FFF8696B"/>
        <color rgb="FFFFEB84"/>
        <color rgb="FF63BE7B"/>
      </colorScale>
    </cfRule>
    <cfRule type="colorScale" priority="1445">
      <colorScale>
        <cfvo type="min"/>
        <cfvo type="percentile" val="50"/>
        <cfvo type="max"/>
        <color rgb="FFF8696B"/>
        <color rgb="FFFFEB84"/>
        <color rgb="FF63BE7B"/>
      </colorScale>
    </cfRule>
  </conditionalFormatting>
  <conditionalFormatting sqref="E28:E45">
    <cfRule type="cellIs" priority="1436" operator="equal" dxfId="0">
      <formula>0</formula>
    </cfRule>
    <cfRule type="cellIs" priority="1437" operator="lessThan" dxfId="1">
      <formula>0</formula>
    </cfRule>
    <cfRule type="cellIs" priority="1438" operator="greaterThan" dxfId="0">
      <formula>0</formula>
    </cfRule>
    <cfRule type="colorScale" priority="1439">
      <colorScale>
        <cfvo type="min"/>
        <cfvo type="percentile" val="50"/>
        <cfvo type="max"/>
        <color rgb="FFF8696B"/>
        <color rgb="FFFFEB84"/>
        <color rgb="FF63BE7B"/>
      </colorScale>
    </cfRule>
    <cfRule type="colorScale" priority="1440">
      <colorScale>
        <cfvo type="min"/>
        <cfvo type="percentile" val="50"/>
        <cfvo type="max"/>
        <color rgb="FFF8696B"/>
        <color rgb="FFFFEB84"/>
        <color rgb="FF63BE7B"/>
      </colorScale>
    </cfRule>
  </conditionalFormatting>
  <conditionalFormatting sqref="F28:F45">
    <cfRule type="cellIs" priority="1431" operator="equal" dxfId="0">
      <formula>0</formula>
    </cfRule>
    <cfRule type="cellIs" priority="1432" operator="lessThan" dxfId="1">
      <formula>0</formula>
    </cfRule>
    <cfRule type="cellIs" priority="1433" operator="greaterThan" dxfId="0">
      <formula>0</formula>
    </cfRule>
    <cfRule type="colorScale" priority="1434">
      <colorScale>
        <cfvo type="min"/>
        <cfvo type="percentile" val="50"/>
        <cfvo type="max"/>
        <color rgb="FFF8696B"/>
        <color rgb="FFFFEB84"/>
        <color rgb="FF63BE7B"/>
      </colorScale>
    </cfRule>
    <cfRule type="colorScale" priority="1435">
      <colorScale>
        <cfvo type="min"/>
        <cfvo type="percentile" val="50"/>
        <cfvo type="max"/>
        <color rgb="FFF8696B"/>
        <color rgb="FFFFEB84"/>
        <color rgb="FF63BE7B"/>
      </colorScale>
    </cfRule>
  </conditionalFormatting>
  <conditionalFormatting sqref="G28:G45">
    <cfRule type="cellIs" priority="1426" operator="equal" dxfId="0">
      <formula>0</formula>
    </cfRule>
    <cfRule type="cellIs" priority="1427" operator="lessThan" dxfId="1">
      <formula>0</formula>
    </cfRule>
    <cfRule type="cellIs" priority="1428" operator="greaterThan" dxfId="0">
      <formula>0</formula>
    </cfRule>
    <cfRule type="colorScale" priority="1429">
      <colorScale>
        <cfvo type="min"/>
        <cfvo type="percentile" val="50"/>
        <cfvo type="max"/>
        <color rgb="FFF8696B"/>
        <color rgb="FFFFEB84"/>
        <color rgb="FF63BE7B"/>
      </colorScale>
    </cfRule>
    <cfRule type="colorScale" priority="1430">
      <colorScale>
        <cfvo type="min"/>
        <cfvo type="percentile" val="50"/>
        <cfvo type="max"/>
        <color rgb="FFF8696B"/>
        <color rgb="FFFFEB84"/>
        <color rgb="FF63BE7B"/>
      </colorScale>
    </cfRule>
  </conditionalFormatting>
  <conditionalFormatting sqref="H28:H45">
    <cfRule type="cellIs" priority="1421" operator="equal" dxfId="0">
      <formula>0</formula>
    </cfRule>
    <cfRule type="cellIs" priority="1422" operator="lessThan" dxfId="1">
      <formula>0</formula>
    </cfRule>
    <cfRule type="cellIs" priority="1423" operator="greaterThan" dxfId="0">
      <formula>0</formula>
    </cfRule>
    <cfRule type="colorScale" priority="1424">
      <colorScale>
        <cfvo type="min"/>
        <cfvo type="percentile" val="50"/>
        <cfvo type="max"/>
        <color rgb="FFF8696B"/>
        <color rgb="FFFFEB84"/>
        <color rgb="FF63BE7B"/>
      </colorScale>
    </cfRule>
    <cfRule type="colorScale" priority="1425">
      <colorScale>
        <cfvo type="min"/>
        <cfvo type="percentile" val="50"/>
        <cfvo type="max"/>
        <color rgb="FFF8696B"/>
        <color rgb="FFFFEB84"/>
        <color rgb="FF63BE7B"/>
      </colorScale>
    </cfRule>
  </conditionalFormatting>
  <conditionalFormatting sqref="I28:I45">
    <cfRule type="cellIs" priority="1416" operator="equal" dxfId="0">
      <formula>0</formula>
    </cfRule>
    <cfRule type="cellIs" priority="1417" operator="lessThan" dxfId="1">
      <formula>0</formula>
    </cfRule>
    <cfRule type="cellIs" priority="1418" operator="greaterThan" dxfId="0">
      <formula>0</formula>
    </cfRule>
    <cfRule type="colorScale" priority="1419">
      <colorScale>
        <cfvo type="min"/>
        <cfvo type="percentile" val="50"/>
        <cfvo type="max"/>
        <color rgb="FFF8696B"/>
        <color rgb="FFFFEB84"/>
        <color rgb="FF63BE7B"/>
      </colorScale>
    </cfRule>
    <cfRule type="colorScale" priority="1420">
      <colorScale>
        <cfvo type="min"/>
        <cfvo type="percentile" val="50"/>
        <cfvo type="max"/>
        <color rgb="FFF8696B"/>
        <color rgb="FFFFEB84"/>
        <color rgb="FF63BE7B"/>
      </colorScale>
    </cfRule>
  </conditionalFormatting>
  <conditionalFormatting sqref="D50:D67">
    <cfRule type="cellIs" priority="1396" operator="equal" dxfId="0">
      <formula>0</formula>
    </cfRule>
    <cfRule type="cellIs" priority="1397" operator="lessThan" dxfId="1">
      <formula>0</formula>
    </cfRule>
    <cfRule type="cellIs" priority="1398" operator="greaterThan" dxfId="0">
      <formula>0</formula>
    </cfRule>
    <cfRule type="colorScale" priority="1399">
      <colorScale>
        <cfvo type="min"/>
        <cfvo type="percentile" val="50"/>
        <cfvo type="max"/>
        <color rgb="FFF8696B"/>
        <color rgb="FFFFEB84"/>
        <color rgb="FF63BE7B"/>
      </colorScale>
    </cfRule>
    <cfRule type="colorScale" priority="1400">
      <colorScale>
        <cfvo type="min"/>
        <cfvo type="percentile" val="50"/>
        <cfvo type="max"/>
        <color rgb="FFF8696B"/>
        <color rgb="FFFFEB84"/>
        <color rgb="FF63BE7B"/>
      </colorScale>
    </cfRule>
  </conditionalFormatting>
  <conditionalFormatting sqref="E50:E67">
    <cfRule type="cellIs" priority="1391" operator="equal" dxfId="0">
      <formula>0</formula>
    </cfRule>
    <cfRule type="cellIs" priority="1392" operator="lessThan" dxfId="1">
      <formula>0</formula>
    </cfRule>
    <cfRule type="cellIs" priority="1393" operator="greaterThan" dxfId="0">
      <formula>0</formula>
    </cfRule>
    <cfRule type="colorScale" priority="1394">
      <colorScale>
        <cfvo type="min"/>
        <cfvo type="percentile" val="50"/>
        <cfvo type="max"/>
        <color rgb="FFF8696B"/>
        <color rgb="FFFFEB84"/>
        <color rgb="FF63BE7B"/>
      </colorScale>
    </cfRule>
    <cfRule type="colorScale" priority="1395">
      <colorScale>
        <cfvo type="min"/>
        <cfvo type="percentile" val="50"/>
        <cfvo type="max"/>
        <color rgb="FFF8696B"/>
        <color rgb="FFFFEB84"/>
        <color rgb="FF63BE7B"/>
      </colorScale>
    </cfRule>
  </conditionalFormatting>
  <conditionalFormatting sqref="F50:F67">
    <cfRule type="cellIs" priority="1386" operator="equal" dxfId="0">
      <formula>0</formula>
    </cfRule>
    <cfRule type="cellIs" priority="1387" operator="lessThan" dxfId="1">
      <formula>0</formula>
    </cfRule>
    <cfRule type="cellIs" priority="1388" operator="greaterThan" dxfId="0">
      <formula>0</formula>
    </cfRule>
    <cfRule type="colorScale" priority="1389">
      <colorScale>
        <cfvo type="min"/>
        <cfvo type="percentile" val="50"/>
        <cfvo type="max"/>
        <color rgb="FFF8696B"/>
        <color rgb="FFFFEB84"/>
        <color rgb="FF63BE7B"/>
      </colorScale>
    </cfRule>
    <cfRule type="colorScale" priority="1390">
      <colorScale>
        <cfvo type="min"/>
        <cfvo type="percentile" val="50"/>
        <cfvo type="max"/>
        <color rgb="FFF8696B"/>
        <color rgb="FFFFEB84"/>
        <color rgb="FF63BE7B"/>
      </colorScale>
    </cfRule>
  </conditionalFormatting>
  <conditionalFormatting sqref="G50:G67">
    <cfRule type="cellIs" priority="1381" operator="equal" dxfId="0">
      <formula>0</formula>
    </cfRule>
    <cfRule type="cellIs" priority="1382" operator="lessThan" dxfId="1">
      <formula>0</formula>
    </cfRule>
    <cfRule type="cellIs" priority="1383" operator="greaterThan" dxfId="0">
      <formula>0</formula>
    </cfRule>
    <cfRule type="colorScale" priority="1384">
      <colorScale>
        <cfvo type="min"/>
        <cfvo type="percentile" val="50"/>
        <cfvo type="max"/>
        <color rgb="FFF8696B"/>
        <color rgb="FFFFEB84"/>
        <color rgb="FF63BE7B"/>
      </colorScale>
    </cfRule>
    <cfRule type="colorScale" priority="1385">
      <colorScale>
        <cfvo type="min"/>
        <cfvo type="percentile" val="50"/>
        <cfvo type="max"/>
        <color rgb="FFF8696B"/>
        <color rgb="FFFFEB84"/>
        <color rgb="FF63BE7B"/>
      </colorScale>
    </cfRule>
  </conditionalFormatting>
  <conditionalFormatting sqref="H50:H67">
    <cfRule type="cellIs" priority="1376" operator="equal" dxfId="0">
      <formula>0</formula>
    </cfRule>
    <cfRule type="cellIs" priority="1377" operator="lessThan" dxfId="1">
      <formula>0</formula>
    </cfRule>
    <cfRule type="cellIs" priority="1378" operator="greaterThan" dxfId="0">
      <formula>0</formula>
    </cfRule>
    <cfRule type="colorScale" priority="1379">
      <colorScale>
        <cfvo type="min"/>
        <cfvo type="percentile" val="50"/>
        <cfvo type="max"/>
        <color rgb="FFF8696B"/>
        <color rgb="FFFFEB84"/>
        <color rgb="FF63BE7B"/>
      </colorScale>
    </cfRule>
    <cfRule type="colorScale" priority="1380">
      <colorScale>
        <cfvo type="min"/>
        <cfvo type="percentile" val="50"/>
        <cfvo type="max"/>
        <color rgb="FFF8696B"/>
        <color rgb="FFFFEB84"/>
        <color rgb="FF63BE7B"/>
      </colorScale>
    </cfRule>
  </conditionalFormatting>
  <conditionalFormatting sqref="I50:I67">
    <cfRule type="cellIs" priority="1371" operator="equal" dxfId="0">
      <formula>0</formula>
    </cfRule>
    <cfRule type="cellIs" priority="1372" operator="lessThan" dxfId="1">
      <formula>0</formula>
    </cfRule>
    <cfRule type="cellIs" priority="1373" operator="greaterThan" dxfId="0">
      <formula>0</formula>
    </cfRule>
    <cfRule type="colorScale" priority="1374">
      <colorScale>
        <cfvo type="min"/>
        <cfvo type="percentile" val="50"/>
        <cfvo type="max"/>
        <color rgb="FFF8696B"/>
        <color rgb="FFFFEB84"/>
        <color rgb="FF63BE7B"/>
      </colorScale>
    </cfRule>
    <cfRule type="colorScale" priority="1375">
      <colorScale>
        <cfvo type="min"/>
        <cfvo type="percentile" val="50"/>
        <cfvo type="max"/>
        <color rgb="FFF8696B"/>
        <color rgb="FFFFEB84"/>
        <color rgb="FF63BE7B"/>
      </colorScale>
    </cfRule>
  </conditionalFormatting>
  <conditionalFormatting sqref="C50:C67">
    <cfRule type="cellIs" priority="1308" operator="equal" dxfId="0">
      <formula>0</formula>
    </cfRule>
    <cfRule type="cellIs" priority="1309" operator="lessThan" dxfId="1">
      <formula>0</formula>
    </cfRule>
    <cfRule type="cellIs" priority="1310" operator="greaterThan" dxfId="0">
      <formula>0</formula>
    </cfRule>
    <cfRule type="colorScale" priority="1311">
      <colorScale>
        <cfvo type="min"/>
        <cfvo type="percentile" val="50"/>
        <cfvo type="max"/>
        <color rgb="FFF8696B"/>
        <color rgb="FFFFEB84"/>
        <color rgb="FF63BE7B"/>
      </colorScale>
    </cfRule>
    <cfRule type="colorScale" priority="1312">
      <colorScale>
        <cfvo type="min"/>
        <cfvo type="percentile" val="50"/>
        <cfvo type="max"/>
        <color rgb="FFF8696B"/>
        <color rgb="FFFFEB84"/>
        <color rgb="FF63BE7B"/>
      </colorScale>
    </cfRule>
  </conditionalFormatting>
  <conditionalFormatting sqref="C28:C45">
    <cfRule type="cellIs" priority="1303" operator="equal" dxfId="0">
      <formula>0</formula>
    </cfRule>
    <cfRule type="cellIs" priority="1304" operator="lessThan" dxfId="1">
      <formula>0</formula>
    </cfRule>
    <cfRule type="cellIs" priority="1305" operator="greaterThan" dxfId="0">
      <formula>0</formula>
    </cfRule>
    <cfRule type="colorScale" priority="1306">
      <colorScale>
        <cfvo type="min"/>
        <cfvo type="percentile" val="50"/>
        <cfvo type="max"/>
        <color rgb="FFF8696B"/>
        <color rgb="FFFFEB84"/>
        <color rgb="FF63BE7B"/>
      </colorScale>
    </cfRule>
    <cfRule type="colorScale" priority="1307">
      <colorScale>
        <cfvo type="min"/>
        <cfvo type="percentile" val="50"/>
        <cfvo type="max"/>
        <color rgb="FFF8696B"/>
        <color rgb="FFFFEB84"/>
        <color rgb="FF63BE7B"/>
      </colorScale>
    </cfRule>
  </conditionalFormatting>
  <conditionalFormatting sqref="C6:C23">
    <cfRule type="cellIs" priority="1298" operator="equal" dxfId="0">
      <formula>0</formula>
    </cfRule>
    <cfRule type="cellIs" priority="1299" operator="lessThan" dxfId="1">
      <formula>0</formula>
    </cfRule>
    <cfRule type="cellIs" priority="1300" operator="greaterThan" dxfId="0">
      <formula>0</formula>
    </cfRule>
    <cfRule type="colorScale" priority="1301">
      <colorScale>
        <cfvo type="min"/>
        <cfvo type="percentile" val="50"/>
        <cfvo type="max"/>
        <color rgb="FFF8696B"/>
        <color rgb="FFFFEB84"/>
        <color rgb="FF63BE7B"/>
      </colorScale>
    </cfRule>
    <cfRule type="colorScale" priority="1302">
      <colorScale>
        <cfvo type="min"/>
        <cfvo type="percentile" val="50"/>
        <cfvo type="max"/>
        <color rgb="FFF8696B"/>
        <color rgb="FFFFEB84"/>
        <color rgb="FF63BE7B"/>
      </colorScale>
    </cfRule>
  </conditionalFormatting>
  <conditionalFormatting sqref="J6:J23">
    <cfRule type="cellIs" priority="1293" operator="equal" dxfId="0">
      <formula>0</formula>
    </cfRule>
    <cfRule type="cellIs" priority="1294" operator="lessThan" dxfId="1">
      <formula>0</formula>
    </cfRule>
    <cfRule type="cellIs" priority="1295" operator="greaterThan" dxfId="0">
      <formula>0</formula>
    </cfRule>
    <cfRule type="colorScale" priority="1296">
      <colorScale>
        <cfvo type="min"/>
        <cfvo type="percentile" val="50"/>
        <cfvo type="max"/>
        <color rgb="FFF8696B"/>
        <color rgb="FFFFEB84"/>
        <color rgb="FF63BE7B"/>
      </colorScale>
    </cfRule>
    <cfRule type="colorScale" priority="1297">
      <colorScale>
        <cfvo type="min"/>
        <cfvo type="percentile" val="50"/>
        <cfvo type="max"/>
        <color rgb="FFF8696B"/>
        <color rgb="FFFFEB84"/>
        <color rgb="FF63BE7B"/>
      </colorScale>
    </cfRule>
  </conditionalFormatting>
  <conditionalFormatting sqref="J28:J45">
    <cfRule type="cellIs" priority="1288" operator="equal" dxfId="0">
      <formula>0</formula>
    </cfRule>
    <cfRule type="cellIs" priority="1289" operator="lessThan" dxfId="1">
      <formula>0</formula>
    </cfRule>
    <cfRule type="cellIs" priority="1290" operator="greaterThan" dxfId="0">
      <formula>0</formula>
    </cfRule>
    <cfRule type="colorScale" priority="1291">
      <colorScale>
        <cfvo type="min"/>
        <cfvo type="percentile" val="50"/>
        <cfvo type="max"/>
        <color rgb="FFF8696B"/>
        <color rgb="FFFFEB84"/>
        <color rgb="FF63BE7B"/>
      </colorScale>
    </cfRule>
    <cfRule type="colorScale" priority="1292">
      <colorScale>
        <cfvo type="min"/>
        <cfvo type="percentile" val="50"/>
        <cfvo type="max"/>
        <color rgb="FFF8696B"/>
        <color rgb="FFFFEB84"/>
        <color rgb="FF63BE7B"/>
      </colorScale>
    </cfRule>
  </conditionalFormatting>
  <conditionalFormatting sqref="J50:J67">
    <cfRule type="cellIs" priority="1283" operator="equal" dxfId="0">
      <formula>0</formula>
    </cfRule>
    <cfRule type="cellIs" priority="1284" operator="lessThan" dxfId="1">
      <formula>0</formula>
    </cfRule>
    <cfRule type="cellIs" priority="1285" operator="greaterThan" dxfId="0">
      <formula>0</formula>
    </cfRule>
    <cfRule type="colorScale" priority="1286">
      <colorScale>
        <cfvo type="min"/>
        <cfvo type="percentile" val="50"/>
        <cfvo type="max"/>
        <color rgb="FFF8696B"/>
        <color rgb="FFFFEB84"/>
        <color rgb="FF63BE7B"/>
      </colorScale>
    </cfRule>
    <cfRule type="colorScale" priority="1287">
      <colorScale>
        <cfvo type="min"/>
        <cfvo type="percentile" val="50"/>
        <cfvo type="max"/>
        <color rgb="FFF8696B"/>
        <color rgb="FFFFEB84"/>
        <color rgb="FF63BE7B"/>
      </colorScale>
    </cfRule>
  </conditionalFormatting>
  <conditionalFormatting sqref="K6:K23">
    <cfRule type="cellIs" priority="1233" operator="equal" dxfId="0">
      <formula>0</formula>
    </cfRule>
    <cfRule type="cellIs" priority="1234" operator="lessThan" dxfId="1">
      <formula>0</formula>
    </cfRule>
    <cfRule type="cellIs" priority="1235" operator="greaterThan" dxfId="0">
      <formula>0</formula>
    </cfRule>
    <cfRule type="colorScale" priority="1236">
      <colorScale>
        <cfvo type="min"/>
        <cfvo type="percentile" val="50"/>
        <cfvo type="max"/>
        <color rgb="FFF8696B"/>
        <color rgb="FFFFEB84"/>
        <color rgb="FF63BE7B"/>
      </colorScale>
    </cfRule>
    <cfRule type="colorScale" priority="1237">
      <colorScale>
        <cfvo type="min"/>
        <cfvo type="percentile" val="50"/>
        <cfvo type="max"/>
        <color rgb="FFF8696B"/>
        <color rgb="FFFFEB84"/>
        <color rgb="FF63BE7B"/>
      </colorScale>
    </cfRule>
  </conditionalFormatting>
  <conditionalFormatting sqref="K28:K45">
    <cfRule type="cellIs" priority="1228" operator="equal" dxfId="0">
      <formula>0</formula>
    </cfRule>
    <cfRule type="cellIs" priority="1229" operator="lessThan" dxfId="1">
      <formula>0</formula>
    </cfRule>
    <cfRule type="cellIs" priority="1230" operator="greaterThan" dxfId="0">
      <formula>0</formula>
    </cfRule>
    <cfRule type="colorScale" priority="1231">
      <colorScale>
        <cfvo type="min"/>
        <cfvo type="percentile" val="50"/>
        <cfvo type="max"/>
        <color rgb="FFF8696B"/>
        <color rgb="FFFFEB84"/>
        <color rgb="FF63BE7B"/>
      </colorScale>
    </cfRule>
    <cfRule type="colorScale" priority="1232">
      <colorScale>
        <cfvo type="min"/>
        <cfvo type="percentile" val="50"/>
        <cfvo type="max"/>
        <color rgb="FFF8696B"/>
        <color rgb="FFFFEB84"/>
        <color rgb="FF63BE7B"/>
      </colorScale>
    </cfRule>
  </conditionalFormatting>
  <conditionalFormatting sqref="K50:K67">
    <cfRule type="cellIs" priority="1223" operator="equal" dxfId="0">
      <formula>0</formula>
    </cfRule>
    <cfRule type="cellIs" priority="1224" operator="lessThan" dxfId="1">
      <formula>0</formula>
    </cfRule>
    <cfRule type="cellIs" priority="1225" operator="greaterThan" dxfId="0">
      <formula>0</formula>
    </cfRule>
    <cfRule type="colorScale" priority="1226">
      <colorScale>
        <cfvo type="min"/>
        <cfvo type="percentile" val="50"/>
        <cfvo type="max"/>
        <color rgb="FFF8696B"/>
        <color rgb="FFFFEB84"/>
        <color rgb="FF63BE7B"/>
      </colorScale>
    </cfRule>
    <cfRule type="colorScale" priority="1227">
      <colorScale>
        <cfvo type="min"/>
        <cfvo type="percentile" val="50"/>
        <cfvo type="max"/>
        <color rgb="FFF8696B"/>
        <color rgb="FFFFEB84"/>
        <color rgb="FF63BE7B"/>
      </colorScale>
    </cfRule>
  </conditionalFormatting>
  <conditionalFormatting sqref="L6:L23">
    <cfRule type="cellIs" priority="1188" operator="equal" dxfId="0">
      <formula>0</formula>
    </cfRule>
    <cfRule type="cellIs" priority="1189" operator="lessThan" dxfId="1">
      <formula>0</formula>
    </cfRule>
    <cfRule type="cellIs" priority="1190" operator="greaterThan" dxfId="0">
      <formula>0</formula>
    </cfRule>
    <cfRule type="colorScale" priority="1191">
      <colorScale>
        <cfvo type="min"/>
        <cfvo type="percentile" val="50"/>
        <cfvo type="max"/>
        <color rgb="FFF8696B"/>
        <color rgb="FFFFEB84"/>
        <color rgb="FF63BE7B"/>
      </colorScale>
    </cfRule>
    <cfRule type="colorScale" priority="1192">
      <colorScale>
        <cfvo type="min"/>
        <cfvo type="percentile" val="50"/>
        <cfvo type="max"/>
        <color rgb="FFF8696B"/>
        <color rgb="FFFFEB84"/>
        <color rgb="FF63BE7B"/>
      </colorScale>
    </cfRule>
  </conditionalFormatting>
  <conditionalFormatting sqref="L28:L45">
    <cfRule type="cellIs" priority="1183" operator="equal" dxfId="0">
      <formula>0</formula>
    </cfRule>
    <cfRule type="cellIs" priority="1184" operator="lessThan" dxfId="1">
      <formula>0</formula>
    </cfRule>
    <cfRule type="cellIs" priority="1185" operator="greaterThan" dxfId="0">
      <formula>0</formula>
    </cfRule>
    <cfRule type="colorScale" priority="1186">
      <colorScale>
        <cfvo type="min"/>
        <cfvo type="percentile" val="50"/>
        <cfvo type="max"/>
        <color rgb="FFF8696B"/>
        <color rgb="FFFFEB84"/>
        <color rgb="FF63BE7B"/>
      </colorScale>
    </cfRule>
    <cfRule type="colorScale" priority="1187">
      <colorScale>
        <cfvo type="min"/>
        <cfvo type="percentile" val="50"/>
        <cfvo type="max"/>
        <color rgb="FFF8696B"/>
        <color rgb="FFFFEB84"/>
        <color rgb="FF63BE7B"/>
      </colorScale>
    </cfRule>
  </conditionalFormatting>
  <conditionalFormatting sqref="L50:L67">
    <cfRule type="cellIs" priority="1178" operator="equal" dxfId="0">
      <formula>0</formula>
    </cfRule>
    <cfRule type="cellIs" priority="1179" operator="lessThan" dxfId="1">
      <formula>0</formula>
    </cfRule>
    <cfRule type="cellIs" priority="1180" operator="greaterThan" dxfId="0">
      <formula>0</formula>
    </cfRule>
    <cfRule type="colorScale" priority="1181">
      <colorScale>
        <cfvo type="min"/>
        <cfvo type="percentile" val="50"/>
        <cfvo type="max"/>
        <color rgb="FFF8696B"/>
        <color rgb="FFFFEB84"/>
        <color rgb="FF63BE7B"/>
      </colorScale>
    </cfRule>
    <cfRule type="colorScale" priority="1182">
      <colorScale>
        <cfvo type="min"/>
        <cfvo type="percentile" val="50"/>
        <cfvo type="max"/>
        <color rgb="FFF8696B"/>
        <color rgb="FFFFEB84"/>
        <color rgb="FF63BE7B"/>
      </colorScale>
    </cfRule>
  </conditionalFormatting>
  <conditionalFormatting sqref="M6:M23">
    <cfRule type="cellIs" priority="1143" operator="equal" dxfId="0">
      <formula>0</formula>
    </cfRule>
    <cfRule type="cellIs" priority="1144" operator="lessThan" dxfId="1">
      <formula>0</formula>
    </cfRule>
    <cfRule type="cellIs" priority="1145" operator="greaterThan" dxfId="0">
      <formula>0</formula>
    </cfRule>
    <cfRule type="colorScale" priority="1146">
      <colorScale>
        <cfvo type="min"/>
        <cfvo type="percentile" val="50"/>
        <cfvo type="max"/>
        <color rgb="FFF8696B"/>
        <color rgb="FFFFEB84"/>
        <color rgb="FF63BE7B"/>
      </colorScale>
    </cfRule>
    <cfRule type="colorScale" priority="1147">
      <colorScale>
        <cfvo type="min"/>
        <cfvo type="percentile" val="50"/>
        <cfvo type="max"/>
        <color rgb="FFF8696B"/>
        <color rgb="FFFFEB84"/>
        <color rgb="FF63BE7B"/>
      </colorScale>
    </cfRule>
  </conditionalFormatting>
  <conditionalFormatting sqref="M28:M45">
    <cfRule type="cellIs" priority="1138" operator="equal" dxfId="0">
      <formula>0</formula>
    </cfRule>
    <cfRule type="cellIs" priority="1139" operator="lessThan" dxfId="1">
      <formula>0</formula>
    </cfRule>
    <cfRule type="cellIs" priority="1140" operator="greaterThan" dxfId="0">
      <formula>0</formula>
    </cfRule>
    <cfRule type="colorScale" priority="1141">
      <colorScale>
        <cfvo type="min"/>
        <cfvo type="percentile" val="50"/>
        <cfvo type="max"/>
        <color rgb="FFF8696B"/>
        <color rgb="FFFFEB84"/>
        <color rgb="FF63BE7B"/>
      </colorScale>
    </cfRule>
    <cfRule type="colorScale" priority="1142">
      <colorScale>
        <cfvo type="min"/>
        <cfvo type="percentile" val="50"/>
        <cfvo type="max"/>
        <color rgb="FFF8696B"/>
        <color rgb="FFFFEB84"/>
        <color rgb="FF63BE7B"/>
      </colorScale>
    </cfRule>
  </conditionalFormatting>
  <conditionalFormatting sqref="M50:M67">
    <cfRule type="cellIs" priority="1133" operator="equal" dxfId="0">
      <formula>0</formula>
    </cfRule>
    <cfRule type="cellIs" priority="1134" operator="lessThan" dxfId="1">
      <formula>0</formula>
    </cfRule>
    <cfRule type="cellIs" priority="1135" operator="greaterThan" dxfId="0">
      <formula>0</formula>
    </cfRule>
    <cfRule type="colorScale" priority="1136">
      <colorScale>
        <cfvo type="min"/>
        <cfvo type="percentile" val="50"/>
        <cfvo type="max"/>
        <color rgb="FFF8696B"/>
        <color rgb="FFFFEB84"/>
        <color rgb="FF63BE7B"/>
      </colorScale>
    </cfRule>
    <cfRule type="colorScale" priority="1137">
      <colorScale>
        <cfvo type="min"/>
        <cfvo type="percentile" val="50"/>
        <cfvo type="max"/>
        <color rgb="FFF8696B"/>
        <color rgb="FFFFEB84"/>
        <color rgb="FF63BE7B"/>
      </colorScale>
    </cfRule>
  </conditionalFormatting>
  <conditionalFormatting sqref="N6:N23">
    <cfRule type="cellIs" priority="1128" operator="equal" dxfId="0">
      <formula>0</formula>
    </cfRule>
    <cfRule type="cellIs" priority="1129" operator="lessThan" dxfId="1">
      <formula>0</formula>
    </cfRule>
    <cfRule type="cellIs" priority="1130" operator="greaterThan" dxfId="0">
      <formula>0</formula>
    </cfRule>
    <cfRule type="colorScale" priority="1131">
      <colorScale>
        <cfvo type="min"/>
        <cfvo type="percentile" val="50"/>
        <cfvo type="max"/>
        <color rgb="FFF8696B"/>
        <color rgb="FFFFEB84"/>
        <color rgb="FF63BE7B"/>
      </colorScale>
    </cfRule>
    <cfRule type="colorScale" priority="1132">
      <colorScale>
        <cfvo type="min"/>
        <cfvo type="percentile" val="50"/>
        <cfvo type="max"/>
        <color rgb="FFF8696B"/>
        <color rgb="FFFFEB84"/>
        <color rgb="FF63BE7B"/>
      </colorScale>
    </cfRule>
  </conditionalFormatting>
  <conditionalFormatting sqref="N28:N45">
    <cfRule type="cellIs" priority="1123" operator="equal" dxfId="0">
      <formula>0</formula>
    </cfRule>
    <cfRule type="cellIs" priority="1124" operator="lessThan" dxfId="1">
      <formula>0</formula>
    </cfRule>
    <cfRule type="cellIs" priority="1125" operator="greaterThan" dxfId="0">
      <formula>0</formula>
    </cfRule>
    <cfRule type="colorScale" priority="1126">
      <colorScale>
        <cfvo type="min"/>
        <cfvo type="percentile" val="50"/>
        <cfvo type="max"/>
        <color rgb="FFF8696B"/>
        <color rgb="FFFFEB84"/>
        <color rgb="FF63BE7B"/>
      </colorScale>
    </cfRule>
    <cfRule type="colorScale" priority="1127">
      <colorScale>
        <cfvo type="min"/>
        <cfvo type="percentile" val="50"/>
        <cfvo type="max"/>
        <color rgb="FFF8696B"/>
        <color rgb="FFFFEB84"/>
        <color rgb="FF63BE7B"/>
      </colorScale>
    </cfRule>
  </conditionalFormatting>
  <conditionalFormatting sqref="N50:N67">
    <cfRule type="cellIs" priority="1118" operator="equal" dxfId="0">
      <formula>0</formula>
    </cfRule>
    <cfRule type="cellIs" priority="1119" operator="lessThan" dxfId="1">
      <formula>0</formula>
    </cfRule>
    <cfRule type="cellIs" priority="1120" operator="greaterThan" dxfId="0">
      <formula>0</formula>
    </cfRule>
    <cfRule type="colorScale" priority="1121">
      <colorScale>
        <cfvo type="min"/>
        <cfvo type="percentile" val="50"/>
        <cfvo type="max"/>
        <color rgb="FFF8696B"/>
        <color rgb="FFFFEB84"/>
        <color rgb="FF63BE7B"/>
      </colorScale>
    </cfRule>
    <cfRule type="colorScale" priority="1122">
      <colorScale>
        <cfvo type="min"/>
        <cfvo type="percentile" val="50"/>
        <cfvo type="max"/>
        <color rgb="FFF8696B"/>
        <color rgb="FFFFEB84"/>
        <color rgb="FF63BE7B"/>
      </colorScale>
    </cfRule>
  </conditionalFormatting>
  <conditionalFormatting sqref="O6:O23">
    <cfRule type="cellIs" priority="1113" operator="equal" dxfId="0">
      <formula>0</formula>
    </cfRule>
    <cfRule type="cellIs" priority="1114" operator="lessThan" dxfId="1">
      <formula>0</formula>
    </cfRule>
    <cfRule type="cellIs" priority="1115" operator="greaterThan" dxfId="0">
      <formula>0</formula>
    </cfRule>
    <cfRule type="colorScale" priority="1116">
      <colorScale>
        <cfvo type="min"/>
        <cfvo type="percentile" val="50"/>
        <cfvo type="max"/>
        <color rgb="FFF8696B"/>
        <color rgb="FFFFEB84"/>
        <color rgb="FF63BE7B"/>
      </colorScale>
    </cfRule>
    <cfRule type="colorScale" priority="1117">
      <colorScale>
        <cfvo type="min"/>
        <cfvo type="percentile" val="50"/>
        <cfvo type="max"/>
        <color rgb="FFF8696B"/>
        <color rgb="FFFFEB84"/>
        <color rgb="FF63BE7B"/>
      </colorScale>
    </cfRule>
  </conditionalFormatting>
  <conditionalFormatting sqref="O28:O45">
    <cfRule type="cellIs" priority="1108" operator="equal" dxfId="0">
      <formula>0</formula>
    </cfRule>
    <cfRule type="cellIs" priority="1109" operator="lessThan" dxfId="1">
      <formula>0</formula>
    </cfRule>
    <cfRule type="cellIs" priority="1110" operator="greaterThan" dxfId="0">
      <formula>0</formula>
    </cfRule>
    <cfRule type="colorScale" priority="1111">
      <colorScale>
        <cfvo type="min"/>
        <cfvo type="percentile" val="50"/>
        <cfvo type="max"/>
        <color rgb="FFF8696B"/>
        <color rgb="FFFFEB84"/>
        <color rgb="FF63BE7B"/>
      </colorScale>
    </cfRule>
    <cfRule type="colorScale" priority="1112">
      <colorScale>
        <cfvo type="min"/>
        <cfvo type="percentile" val="50"/>
        <cfvo type="max"/>
        <color rgb="FFF8696B"/>
        <color rgb="FFFFEB84"/>
        <color rgb="FF63BE7B"/>
      </colorScale>
    </cfRule>
  </conditionalFormatting>
  <conditionalFormatting sqref="O50:O67">
    <cfRule type="cellIs" priority="1103" operator="equal" dxfId="0">
      <formula>0</formula>
    </cfRule>
    <cfRule type="cellIs" priority="1104" operator="lessThan" dxfId="1">
      <formula>0</formula>
    </cfRule>
    <cfRule type="cellIs" priority="1105" operator="greaterThan" dxfId="0">
      <formula>0</formula>
    </cfRule>
    <cfRule type="colorScale" priority="1106">
      <colorScale>
        <cfvo type="min"/>
        <cfvo type="percentile" val="50"/>
        <cfvo type="max"/>
        <color rgb="FFF8696B"/>
        <color rgb="FFFFEB84"/>
        <color rgb="FF63BE7B"/>
      </colorScale>
    </cfRule>
    <cfRule type="colorScale" priority="1107">
      <colorScale>
        <cfvo type="min"/>
        <cfvo type="percentile" val="50"/>
        <cfvo type="max"/>
        <color rgb="FFF8696B"/>
        <color rgb="FFFFEB84"/>
        <color rgb="FF63BE7B"/>
      </colorScale>
    </cfRule>
  </conditionalFormatting>
  <conditionalFormatting sqref="P6:P23">
    <cfRule type="cellIs" priority="1068" operator="equal" dxfId="0">
      <formula>0</formula>
    </cfRule>
    <cfRule type="cellIs" priority="1069" operator="lessThan" dxfId="1">
      <formula>0</formula>
    </cfRule>
    <cfRule type="cellIs" priority="1070" operator="greaterThan" dxfId="0">
      <formula>0</formula>
    </cfRule>
    <cfRule type="colorScale" priority="1071">
      <colorScale>
        <cfvo type="min"/>
        <cfvo type="percentile" val="50"/>
        <cfvo type="max"/>
        <color rgb="FFF8696B"/>
        <color rgb="FFFFEB84"/>
        <color rgb="FF63BE7B"/>
      </colorScale>
    </cfRule>
    <cfRule type="colorScale" priority="1072">
      <colorScale>
        <cfvo type="min"/>
        <cfvo type="percentile" val="50"/>
        <cfvo type="max"/>
        <color rgb="FFF8696B"/>
        <color rgb="FFFFEB84"/>
        <color rgb="FF63BE7B"/>
      </colorScale>
    </cfRule>
  </conditionalFormatting>
  <conditionalFormatting sqref="P28:P45">
    <cfRule type="cellIs" priority="1063" operator="equal" dxfId="0">
      <formula>0</formula>
    </cfRule>
    <cfRule type="cellIs" priority="1064" operator="lessThan" dxfId="1">
      <formula>0</formula>
    </cfRule>
    <cfRule type="cellIs" priority="1065" operator="greaterThan" dxfId="0">
      <formula>0</formula>
    </cfRule>
    <cfRule type="colorScale" priority="1066">
      <colorScale>
        <cfvo type="min"/>
        <cfvo type="percentile" val="50"/>
        <cfvo type="max"/>
        <color rgb="FFF8696B"/>
        <color rgb="FFFFEB84"/>
        <color rgb="FF63BE7B"/>
      </colorScale>
    </cfRule>
    <cfRule type="colorScale" priority="1067">
      <colorScale>
        <cfvo type="min"/>
        <cfvo type="percentile" val="50"/>
        <cfvo type="max"/>
        <color rgb="FFF8696B"/>
        <color rgb="FFFFEB84"/>
        <color rgb="FF63BE7B"/>
      </colorScale>
    </cfRule>
  </conditionalFormatting>
  <conditionalFormatting sqref="P50:P67">
    <cfRule type="cellIs" priority="1058" operator="equal" dxfId="0">
      <formula>0</formula>
    </cfRule>
    <cfRule type="cellIs" priority="1059" operator="lessThan" dxfId="1">
      <formula>0</formula>
    </cfRule>
    <cfRule type="cellIs" priority="1060" operator="greaterThan" dxfId="0">
      <formula>0</formula>
    </cfRule>
    <cfRule type="colorScale" priority="1061">
      <colorScale>
        <cfvo type="min"/>
        <cfvo type="percentile" val="50"/>
        <cfvo type="max"/>
        <color rgb="FFF8696B"/>
        <color rgb="FFFFEB84"/>
        <color rgb="FF63BE7B"/>
      </colorScale>
    </cfRule>
    <cfRule type="colorScale" priority="1062">
      <colorScale>
        <cfvo type="min"/>
        <cfvo type="percentile" val="50"/>
        <cfvo type="max"/>
        <color rgb="FFF8696B"/>
        <color rgb="FFFFEB84"/>
        <color rgb="FF63BE7B"/>
      </colorScale>
    </cfRule>
  </conditionalFormatting>
  <conditionalFormatting sqref="Q6:Q23">
    <cfRule type="cellIs" priority="1023" operator="equal" dxfId="0">
      <formula>0</formula>
    </cfRule>
    <cfRule type="cellIs" priority="1024" operator="lessThan" dxfId="1">
      <formula>0</formula>
    </cfRule>
    <cfRule type="cellIs" priority="1025" operator="greaterThan" dxfId="0">
      <formula>0</formula>
    </cfRule>
    <cfRule type="colorScale" priority="1026">
      <colorScale>
        <cfvo type="min"/>
        <cfvo type="percentile" val="50"/>
        <cfvo type="max"/>
        <color rgb="FFF8696B"/>
        <color rgb="FFFFEB84"/>
        <color rgb="FF63BE7B"/>
      </colorScale>
    </cfRule>
    <cfRule type="colorScale" priority="1027">
      <colorScale>
        <cfvo type="min"/>
        <cfvo type="percentile" val="50"/>
        <cfvo type="max"/>
        <color rgb="FFF8696B"/>
        <color rgb="FFFFEB84"/>
        <color rgb="FF63BE7B"/>
      </colorScale>
    </cfRule>
  </conditionalFormatting>
  <conditionalFormatting sqref="Q28:Q45">
    <cfRule type="cellIs" priority="1018" operator="equal" dxfId="0">
      <formula>0</formula>
    </cfRule>
    <cfRule type="cellIs" priority="1019" operator="lessThan" dxfId="1">
      <formula>0</formula>
    </cfRule>
    <cfRule type="cellIs" priority="1020" operator="greaterThan" dxfId="0">
      <formula>0</formula>
    </cfRule>
    <cfRule type="colorScale" priority="1021">
      <colorScale>
        <cfvo type="min"/>
        <cfvo type="percentile" val="50"/>
        <cfvo type="max"/>
        <color rgb="FFF8696B"/>
        <color rgb="FFFFEB84"/>
        <color rgb="FF63BE7B"/>
      </colorScale>
    </cfRule>
    <cfRule type="colorScale" priority="1022">
      <colorScale>
        <cfvo type="min"/>
        <cfvo type="percentile" val="50"/>
        <cfvo type="max"/>
        <color rgb="FFF8696B"/>
        <color rgb="FFFFEB84"/>
        <color rgb="FF63BE7B"/>
      </colorScale>
    </cfRule>
  </conditionalFormatting>
  <conditionalFormatting sqref="Q50:Q67">
    <cfRule type="cellIs" priority="1013" operator="equal" dxfId="0">
      <formula>0</formula>
    </cfRule>
    <cfRule type="cellIs" priority="1014" operator="lessThan" dxfId="1">
      <formula>0</formula>
    </cfRule>
    <cfRule type="cellIs" priority="1015" operator="greaterThan" dxfId="0">
      <formula>0</formula>
    </cfRule>
    <cfRule type="colorScale" priority="1016">
      <colorScale>
        <cfvo type="min"/>
        <cfvo type="percentile" val="50"/>
        <cfvo type="max"/>
        <color rgb="FFF8696B"/>
        <color rgb="FFFFEB84"/>
        <color rgb="FF63BE7B"/>
      </colorScale>
    </cfRule>
    <cfRule type="colorScale" priority="1017">
      <colorScale>
        <cfvo type="min"/>
        <cfvo type="percentile" val="50"/>
        <cfvo type="max"/>
        <color rgb="FFF8696B"/>
        <color rgb="FFFFEB84"/>
        <color rgb="FF63BE7B"/>
      </colorScale>
    </cfRule>
  </conditionalFormatting>
  <conditionalFormatting sqref="R6:R23">
    <cfRule type="cellIs" priority="924" operator="equal" dxfId="0">
      <formula>0</formula>
    </cfRule>
    <cfRule type="cellIs" priority="925" operator="lessThan" dxfId="1">
      <formula>0</formula>
    </cfRule>
    <cfRule type="cellIs" priority="926" operator="greaterThan" dxfId="0">
      <formula>0</formula>
    </cfRule>
    <cfRule type="colorScale" priority="927">
      <colorScale>
        <cfvo type="min"/>
        <cfvo type="percentile" val="50"/>
        <cfvo type="max"/>
        <color rgb="FFF8696B"/>
        <color rgb="FFFFEB84"/>
        <color rgb="FF63BE7B"/>
      </colorScale>
    </cfRule>
    <cfRule type="colorScale" priority="928">
      <colorScale>
        <cfvo type="min"/>
        <cfvo type="percentile" val="50"/>
        <cfvo type="max"/>
        <color rgb="FFF8696B"/>
        <color rgb="FFFFEB84"/>
        <color rgb="FF63BE7B"/>
      </colorScale>
    </cfRule>
  </conditionalFormatting>
  <conditionalFormatting sqref="R28:R45">
    <cfRule type="cellIs" priority="919" operator="equal" dxfId="0">
      <formula>0</formula>
    </cfRule>
    <cfRule type="cellIs" priority="920" operator="lessThan" dxfId="1">
      <formula>0</formula>
    </cfRule>
    <cfRule type="cellIs" priority="921" operator="greaterThan" dxfId="0">
      <formula>0</formula>
    </cfRule>
    <cfRule type="colorScale" priority="922">
      <colorScale>
        <cfvo type="min"/>
        <cfvo type="percentile" val="50"/>
        <cfvo type="max"/>
        <color rgb="FFF8696B"/>
        <color rgb="FFFFEB84"/>
        <color rgb="FF63BE7B"/>
      </colorScale>
    </cfRule>
    <cfRule type="colorScale" priority="923">
      <colorScale>
        <cfvo type="min"/>
        <cfvo type="percentile" val="50"/>
        <cfvo type="max"/>
        <color rgb="FFF8696B"/>
        <color rgb="FFFFEB84"/>
        <color rgb="FF63BE7B"/>
      </colorScale>
    </cfRule>
  </conditionalFormatting>
  <conditionalFormatting sqref="R50:R67">
    <cfRule type="cellIs" priority="914" operator="equal" dxfId="0">
      <formula>0</formula>
    </cfRule>
    <cfRule type="cellIs" priority="915" operator="lessThan" dxfId="1">
      <formula>0</formula>
    </cfRule>
    <cfRule type="cellIs" priority="916" operator="greaterThan" dxfId="0">
      <formula>0</formula>
    </cfRule>
    <cfRule type="colorScale" priority="917">
      <colorScale>
        <cfvo type="min"/>
        <cfvo type="percentile" val="50"/>
        <cfvo type="max"/>
        <color rgb="FFF8696B"/>
        <color rgb="FFFFEB84"/>
        <color rgb="FF63BE7B"/>
      </colorScale>
    </cfRule>
    <cfRule type="colorScale" priority="918">
      <colorScale>
        <cfvo type="min"/>
        <cfvo type="percentile" val="50"/>
        <cfvo type="max"/>
        <color rgb="FFF8696B"/>
        <color rgb="FFFFEB84"/>
        <color rgb="FF63BE7B"/>
      </colorScale>
    </cfRule>
  </conditionalFormatting>
  <conditionalFormatting sqref="S6:S23">
    <cfRule type="cellIs" priority="812" operator="equal" dxfId="0">
      <formula>0</formula>
    </cfRule>
    <cfRule type="cellIs" priority="813" operator="lessThan" dxfId="1">
      <formula>0</formula>
    </cfRule>
    <cfRule type="cellIs" priority="814" operator="greaterThan" dxfId="0">
      <formula>0</formula>
    </cfRule>
    <cfRule type="colorScale" priority="815">
      <colorScale>
        <cfvo type="min"/>
        <cfvo type="percentile" val="50"/>
        <cfvo type="max"/>
        <color rgb="FFF8696B"/>
        <color rgb="FFFFEB84"/>
        <color rgb="FF63BE7B"/>
      </colorScale>
    </cfRule>
    <cfRule type="colorScale" priority="816">
      <colorScale>
        <cfvo type="min"/>
        <cfvo type="percentile" val="50"/>
        <cfvo type="max"/>
        <color rgb="FFF8696B"/>
        <color rgb="FFFFEB84"/>
        <color rgb="FF63BE7B"/>
      </colorScale>
    </cfRule>
  </conditionalFormatting>
  <conditionalFormatting sqref="S28:S45">
    <cfRule type="cellIs" priority="807" operator="equal" dxfId="0">
      <formula>0</formula>
    </cfRule>
    <cfRule type="cellIs" priority="808" operator="lessThan" dxfId="1">
      <formula>0</formula>
    </cfRule>
    <cfRule type="cellIs" priority="809" operator="greaterThan" dxfId="0">
      <formula>0</formula>
    </cfRule>
    <cfRule type="colorScale" priority="810">
      <colorScale>
        <cfvo type="min"/>
        <cfvo type="percentile" val="50"/>
        <cfvo type="max"/>
        <color rgb="FFF8696B"/>
        <color rgb="FFFFEB84"/>
        <color rgb="FF63BE7B"/>
      </colorScale>
    </cfRule>
    <cfRule type="colorScale" priority="811">
      <colorScale>
        <cfvo type="min"/>
        <cfvo type="percentile" val="50"/>
        <cfvo type="max"/>
        <color rgb="FFF8696B"/>
        <color rgb="FFFFEB84"/>
        <color rgb="FF63BE7B"/>
      </colorScale>
    </cfRule>
  </conditionalFormatting>
  <conditionalFormatting sqref="S50:S67">
    <cfRule type="cellIs" priority="802" operator="equal" dxfId="0">
      <formula>0</formula>
    </cfRule>
    <cfRule type="cellIs" priority="803" operator="lessThan" dxfId="1">
      <formula>0</formula>
    </cfRule>
    <cfRule type="cellIs" priority="804" operator="greaterThan" dxfId="0">
      <formula>0</formula>
    </cfRule>
    <cfRule type="colorScale" priority="805">
      <colorScale>
        <cfvo type="min"/>
        <cfvo type="percentile" val="50"/>
        <cfvo type="max"/>
        <color rgb="FFF8696B"/>
        <color rgb="FFFFEB84"/>
        <color rgb="FF63BE7B"/>
      </colorScale>
    </cfRule>
    <cfRule type="colorScale" priority="806">
      <colorScale>
        <cfvo type="min"/>
        <cfvo type="percentile" val="50"/>
        <cfvo type="max"/>
        <color rgb="FFF8696B"/>
        <color rgb="FFFFEB84"/>
        <color rgb="FF63BE7B"/>
      </colorScale>
    </cfRule>
  </conditionalFormatting>
  <conditionalFormatting sqref="T6:T23">
    <cfRule type="cellIs" priority="761" operator="equal" dxfId="0">
      <formula>0</formula>
    </cfRule>
    <cfRule type="cellIs" priority="762" operator="lessThan" dxfId="1">
      <formula>0</formula>
    </cfRule>
    <cfRule type="cellIs" priority="763" operator="greaterThan" dxfId="0">
      <formula>0</formula>
    </cfRule>
    <cfRule type="colorScale" priority="764">
      <colorScale>
        <cfvo type="min"/>
        <cfvo type="percentile" val="50"/>
        <cfvo type="max"/>
        <color rgb="FFF8696B"/>
        <color rgb="FFFFEB84"/>
        <color rgb="FF63BE7B"/>
      </colorScale>
    </cfRule>
    <cfRule type="colorScale" priority="765">
      <colorScale>
        <cfvo type="min"/>
        <cfvo type="percentile" val="50"/>
        <cfvo type="max"/>
        <color rgb="FFF8696B"/>
        <color rgb="FFFFEB84"/>
        <color rgb="FF63BE7B"/>
      </colorScale>
    </cfRule>
  </conditionalFormatting>
  <conditionalFormatting sqref="T28:T45">
    <cfRule type="cellIs" priority="756" operator="equal" dxfId="0">
      <formula>0</formula>
    </cfRule>
    <cfRule type="cellIs" priority="757" operator="lessThan" dxfId="1">
      <formula>0</formula>
    </cfRule>
    <cfRule type="cellIs" priority="758" operator="greaterThan" dxfId="0">
      <formula>0</formula>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T50:T67">
    <cfRule type="cellIs" priority="751" operator="equal" dxfId="0">
      <formula>0</formula>
    </cfRule>
    <cfRule type="cellIs" priority="752" operator="lessThan" dxfId="1">
      <formula>0</formula>
    </cfRule>
    <cfRule type="cellIs" priority="753" operator="greaterThan" dxfId="0">
      <formula>0</formula>
    </cfRule>
    <cfRule type="colorScale" priority="754">
      <colorScale>
        <cfvo type="min"/>
        <cfvo type="percentile" val="50"/>
        <cfvo type="max"/>
        <color rgb="FFF8696B"/>
        <color rgb="FFFFEB84"/>
        <color rgb="FF63BE7B"/>
      </colorScale>
    </cfRule>
    <cfRule type="colorScale" priority="755">
      <colorScale>
        <cfvo type="min"/>
        <cfvo type="percentile" val="50"/>
        <cfvo type="max"/>
        <color rgb="FFF8696B"/>
        <color rgb="FFFFEB84"/>
        <color rgb="FF63BE7B"/>
      </colorScale>
    </cfRule>
  </conditionalFormatting>
  <conditionalFormatting sqref="U6:U23">
    <cfRule type="cellIs" priority="710" operator="equal" dxfId="0">
      <formula>0</formula>
    </cfRule>
    <cfRule type="cellIs" priority="711" operator="lessThan" dxfId="1">
      <formula>0</formula>
    </cfRule>
    <cfRule type="cellIs" priority="712" operator="greaterThan" dxfId="0">
      <formula>0</formula>
    </cfRule>
    <cfRule type="colorScale" priority="713">
      <colorScale>
        <cfvo type="min"/>
        <cfvo type="percentile" val="50"/>
        <cfvo type="max"/>
        <color rgb="FFF8696B"/>
        <color rgb="FFFFEB84"/>
        <color rgb="FF63BE7B"/>
      </colorScale>
    </cfRule>
    <cfRule type="colorScale" priority="714">
      <colorScale>
        <cfvo type="min"/>
        <cfvo type="percentile" val="50"/>
        <cfvo type="max"/>
        <color rgb="FFF8696B"/>
        <color rgb="FFFFEB84"/>
        <color rgb="FF63BE7B"/>
      </colorScale>
    </cfRule>
  </conditionalFormatting>
  <conditionalFormatting sqref="U28:U45">
    <cfRule type="cellIs" priority="705" operator="equal" dxfId="0">
      <formula>0</formula>
    </cfRule>
    <cfRule type="cellIs" priority="706" operator="lessThan" dxfId="1">
      <formula>0</formula>
    </cfRule>
    <cfRule type="cellIs" priority="707" operator="greaterThan" dxfId="0">
      <formula>0</formula>
    </cfRule>
    <cfRule type="colorScale" priority="708">
      <colorScale>
        <cfvo type="min"/>
        <cfvo type="percentile" val="50"/>
        <cfvo type="max"/>
        <color rgb="FFF8696B"/>
        <color rgb="FFFFEB84"/>
        <color rgb="FF63BE7B"/>
      </colorScale>
    </cfRule>
    <cfRule type="colorScale" priority="709">
      <colorScale>
        <cfvo type="min"/>
        <cfvo type="percentile" val="50"/>
        <cfvo type="max"/>
        <color rgb="FFF8696B"/>
        <color rgb="FFFFEB84"/>
        <color rgb="FF63BE7B"/>
      </colorScale>
    </cfRule>
  </conditionalFormatting>
  <conditionalFormatting sqref="U50:U67">
    <cfRule type="cellIs" priority="700" operator="equal" dxfId="0">
      <formula>0</formula>
    </cfRule>
    <cfRule type="cellIs" priority="701" operator="lessThan" dxfId="1">
      <formula>0</formula>
    </cfRule>
    <cfRule type="cellIs" priority="702" operator="greaterThan" dxfId="0">
      <formula>0</formula>
    </cfRule>
    <cfRule type="colorScale" priority="703">
      <colorScale>
        <cfvo type="min"/>
        <cfvo type="percentile" val="50"/>
        <cfvo type="max"/>
        <color rgb="FFF8696B"/>
        <color rgb="FFFFEB84"/>
        <color rgb="FF63BE7B"/>
      </colorScale>
    </cfRule>
    <cfRule type="colorScale" priority="704">
      <colorScale>
        <cfvo type="min"/>
        <cfvo type="percentile" val="50"/>
        <cfvo type="max"/>
        <color rgb="FFF8696B"/>
        <color rgb="FFFFEB84"/>
        <color rgb="FF63BE7B"/>
      </colorScale>
    </cfRule>
  </conditionalFormatting>
  <conditionalFormatting sqref="V6:V23">
    <cfRule type="cellIs" priority="659" operator="equal" dxfId="0">
      <formula>0</formula>
    </cfRule>
    <cfRule type="cellIs" priority="660" operator="lessThan" dxfId="1">
      <formula>0</formula>
    </cfRule>
    <cfRule type="cellIs" priority="661" operator="greaterThan" dxfId="0">
      <formula>0</formula>
    </cfRule>
    <cfRule type="colorScale" priority="662">
      <colorScale>
        <cfvo type="min"/>
        <cfvo type="percentile" val="50"/>
        <cfvo type="max"/>
        <color rgb="FFF8696B"/>
        <color rgb="FFFFEB84"/>
        <color rgb="FF63BE7B"/>
      </colorScale>
    </cfRule>
    <cfRule type="colorScale" priority="663">
      <colorScale>
        <cfvo type="min"/>
        <cfvo type="percentile" val="50"/>
        <cfvo type="max"/>
        <color rgb="FFF8696B"/>
        <color rgb="FFFFEB84"/>
        <color rgb="FF63BE7B"/>
      </colorScale>
    </cfRule>
  </conditionalFormatting>
  <conditionalFormatting sqref="V28:V45">
    <cfRule type="cellIs" priority="654" operator="equal" dxfId="0">
      <formula>0</formula>
    </cfRule>
    <cfRule type="cellIs" priority="655" operator="lessThan" dxfId="1">
      <formula>0</formula>
    </cfRule>
    <cfRule type="cellIs" priority="656" operator="greaterThan" dxfId="0">
      <formula>0</formula>
    </cfRule>
    <cfRule type="colorScale" priority="657">
      <colorScale>
        <cfvo type="min"/>
        <cfvo type="percentile" val="50"/>
        <cfvo type="max"/>
        <color rgb="FFF8696B"/>
        <color rgb="FFFFEB84"/>
        <color rgb="FF63BE7B"/>
      </colorScale>
    </cfRule>
    <cfRule type="colorScale" priority="658">
      <colorScale>
        <cfvo type="min"/>
        <cfvo type="percentile" val="50"/>
        <cfvo type="max"/>
        <color rgb="FFF8696B"/>
        <color rgb="FFFFEB84"/>
        <color rgb="FF63BE7B"/>
      </colorScale>
    </cfRule>
  </conditionalFormatting>
  <conditionalFormatting sqref="V50:V67">
    <cfRule type="cellIs" priority="649" operator="equal" dxfId="0">
      <formula>0</formula>
    </cfRule>
    <cfRule type="cellIs" priority="650" operator="lessThan" dxfId="1">
      <formula>0</formula>
    </cfRule>
    <cfRule type="cellIs" priority="651" operator="greaterThan" dxfId="0">
      <formula>0</formula>
    </cfRule>
    <cfRule type="colorScale" priority="652">
      <colorScale>
        <cfvo type="min"/>
        <cfvo type="percentile" val="50"/>
        <cfvo type="max"/>
        <color rgb="FFF8696B"/>
        <color rgb="FFFFEB84"/>
        <color rgb="FF63BE7B"/>
      </colorScale>
    </cfRule>
    <cfRule type="colorScale" priority="653">
      <colorScale>
        <cfvo type="min"/>
        <cfvo type="percentile" val="50"/>
        <cfvo type="max"/>
        <color rgb="FFF8696B"/>
        <color rgb="FFFFEB84"/>
        <color rgb="FF63BE7B"/>
      </colorScale>
    </cfRule>
  </conditionalFormatting>
  <conditionalFormatting sqref="W6:W23">
    <cfRule type="cellIs" priority="608" operator="equal" dxfId="0">
      <formula>0</formula>
    </cfRule>
    <cfRule type="cellIs" priority="609" operator="lessThan" dxfId="1">
      <formula>0</formula>
    </cfRule>
    <cfRule type="cellIs" priority="610" operator="greaterThan" dxfId="0">
      <formula>0</formula>
    </cfRule>
    <cfRule type="colorScale" priority="611">
      <colorScale>
        <cfvo type="min"/>
        <cfvo type="percentile" val="50"/>
        <cfvo type="max"/>
        <color rgb="FFF8696B"/>
        <color rgb="FFFFEB84"/>
        <color rgb="FF63BE7B"/>
      </colorScale>
    </cfRule>
    <cfRule type="colorScale" priority="612">
      <colorScale>
        <cfvo type="min"/>
        <cfvo type="percentile" val="50"/>
        <cfvo type="max"/>
        <color rgb="FFF8696B"/>
        <color rgb="FFFFEB84"/>
        <color rgb="FF63BE7B"/>
      </colorScale>
    </cfRule>
  </conditionalFormatting>
  <conditionalFormatting sqref="W28:W45">
    <cfRule type="cellIs" priority="603" operator="equal" dxfId="0">
      <formula>0</formula>
    </cfRule>
    <cfRule type="cellIs" priority="604" operator="lessThan" dxfId="1">
      <formula>0</formula>
    </cfRule>
    <cfRule type="cellIs" priority="605" operator="greaterThan" dxfId="0">
      <formula>0</formula>
    </cfRule>
    <cfRule type="colorScale" priority="606">
      <colorScale>
        <cfvo type="min"/>
        <cfvo type="percentile" val="50"/>
        <cfvo type="max"/>
        <color rgb="FFF8696B"/>
        <color rgb="FFFFEB84"/>
        <color rgb="FF63BE7B"/>
      </colorScale>
    </cfRule>
    <cfRule type="colorScale" priority="607">
      <colorScale>
        <cfvo type="min"/>
        <cfvo type="percentile" val="50"/>
        <cfvo type="max"/>
        <color rgb="FFF8696B"/>
        <color rgb="FFFFEB84"/>
        <color rgb="FF63BE7B"/>
      </colorScale>
    </cfRule>
  </conditionalFormatting>
  <conditionalFormatting sqref="W50:W67">
    <cfRule type="cellIs" priority="598" operator="equal" dxfId="0">
      <formula>0</formula>
    </cfRule>
    <cfRule type="cellIs" priority="599" operator="lessThan" dxfId="1">
      <formula>0</formula>
    </cfRule>
    <cfRule type="cellIs" priority="600" operator="greaterThan" dxfId="0">
      <formula>0</formula>
    </cfRule>
    <cfRule type="colorScale" priority="601">
      <colorScale>
        <cfvo type="min"/>
        <cfvo type="percentile" val="50"/>
        <cfvo type="max"/>
        <color rgb="FFF8696B"/>
        <color rgb="FFFFEB84"/>
        <color rgb="FF63BE7B"/>
      </colorScale>
    </cfRule>
    <cfRule type="colorScale" priority="602">
      <colorScale>
        <cfvo type="min"/>
        <cfvo type="percentile" val="50"/>
        <cfvo type="max"/>
        <color rgb="FFF8696B"/>
        <color rgb="FFFFEB84"/>
        <color rgb="FF63BE7B"/>
      </colorScale>
    </cfRule>
  </conditionalFormatting>
  <conditionalFormatting sqref="X6:X23">
    <cfRule type="cellIs" priority="557" operator="equal" dxfId="0">
      <formula>0</formula>
    </cfRule>
    <cfRule type="cellIs" priority="558" operator="lessThan" dxfId="1">
      <formula>0</formula>
    </cfRule>
    <cfRule type="cellIs" priority="559" operator="greaterThan" dxfId="0">
      <formula>0</formula>
    </cfRule>
    <cfRule type="colorScale" priority="560">
      <colorScale>
        <cfvo type="min"/>
        <cfvo type="percentile" val="50"/>
        <cfvo type="max"/>
        <color rgb="FFF8696B"/>
        <color rgb="FFFFEB84"/>
        <color rgb="FF63BE7B"/>
      </colorScale>
    </cfRule>
    <cfRule type="colorScale" priority="561">
      <colorScale>
        <cfvo type="min"/>
        <cfvo type="percentile" val="50"/>
        <cfvo type="max"/>
        <color rgb="FFF8696B"/>
        <color rgb="FFFFEB84"/>
        <color rgb="FF63BE7B"/>
      </colorScale>
    </cfRule>
  </conditionalFormatting>
  <conditionalFormatting sqref="X28:X45">
    <cfRule type="cellIs" priority="552" operator="equal" dxfId="0">
      <formula>0</formula>
    </cfRule>
    <cfRule type="cellIs" priority="553" operator="lessThan" dxfId="1">
      <formula>0</formula>
    </cfRule>
    <cfRule type="cellIs" priority="554" operator="greaterThan" dxfId="0">
      <formula>0</formula>
    </cfRule>
    <cfRule type="colorScale" priority="555">
      <colorScale>
        <cfvo type="min"/>
        <cfvo type="percentile" val="50"/>
        <cfvo type="max"/>
        <color rgb="FFF8696B"/>
        <color rgb="FFFFEB84"/>
        <color rgb="FF63BE7B"/>
      </colorScale>
    </cfRule>
    <cfRule type="colorScale" priority="556">
      <colorScale>
        <cfvo type="min"/>
        <cfvo type="percentile" val="50"/>
        <cfvo type="max"/>
        <color rgb="FFF8696B"/>
        <color rgb="FFFFEB84"/>
        <color rgb="FF63BE7B"/>
      </colorScale>
    </cfRule>
  </conditionalFormatting>
  <conditionalFormatting sqref="X50:X67">
    <cfRule type="cellIs" priority="547" operator="equal" dxfId="0">
      <formula>0</formula>
    </cfRule>
    <cfRule type="cellIs" priority="548" operator="lessThan" dxfId="1">
      <formula>0</formula>
    </cfRule>
    <cfRule type="cellIs" priority="549" operator="greaterThan" dxfId="0">
      <formula>0</formula>
    </cfRule>
    <cfRule type="colorScale" priority="550">
      <colorScale>
        <cfvo type="min"/>
        <cfvo type="percentile" val="50"/>
        <cfvo type="max"/>
        <color rgb="FFF8696B"/>
        <color rgb="FFFFEB84"/>
        <color rgb="FF63BE7B"/>
      </colorScale>
    </cfRule>
    <cfRule type="colorScale" priority="551">
      <colorScale>
        <cfvo type="min"/>
        <cfvo type="percentile" val="50"/>
        <cfvo type="max"/>
        <color rgb="FFF8696B"/>
        <color rgb="FFFFEB84"/>
        <color rgb="FF63BE7B"/>
      </colorScale>
    </cfRule>
  </conditionalFormatting>
  <conditionalFormatting sqref="Y6:Y23">
    <cfRule type="cellIs" priority="506" operator="equal" dxfId="0">
      <formula>0</formula>
    </cfRule>
    <cfRule type="cellIs" priority="507" operator="lessThan" dxfId="1">
      <formula>0</formula>
    </cfRule>
    <cfRule type="cellIs" priority="508" operator="greaterThan" dxfId="0">
      <formula>0</formula>
    </cfRule>
    <cfRule type="colorScale" priority="509">
      <colorScale>
        <cfvo type="min"/>
        <cfvo type="percentile" val="50"/>
        <cfvo type="max"/>
        <color rgb="FFF8696B"/>
        <color rgb="FFFFEB84"/>
        <color rgb="FF63BE7B"/>
      </colorScale>
    </cfRule>
    <cfRule type="colorScale" priority="510">
      <colorScale>
        <cfvo type="min"/>
        <cfvo type="percentile" val="50"/>
        <cfvo type="max"/>
        <color rgb="FFF8696B"/>
        <color rgb="FFFFEB84"/>
        <color rgb="FF63BE7B"/>
      </colorScale>
    </cfRule>
  </conditionalFormatting>
  <conditionalFormatting sqref="Y28:Y45">
    <cfRule type="cellIs" priority="501" operator="equal" dxfId="0">
      <formula>0</formula>
    </cfRule>
    <cfRule type="cellIs" priority="502" operator="lessThan" dxfId="1">
      <formula>0</formula>
    </cfRule>
    <cfRule type="cellIs" priority="503" operator="greaterThan" dxfId="0">
      <formula>0</formula>
    </cfRule>
    <cfRule type="colorScale" priority="504">
      <colorScale>
        <cfvo type="min"/>
        <cfvo type="percentile" val="50"/>
        <cfvo type="max"/>
        <color rgb="FFF8696B"/>
        <color rgb="FFFFEB84"/>
        <color rgb="FF63BE7B"/>
      </colorScale>
    </cfRule>
    <cfRule type="colorScale" priority="505">
      <colorScale>
        <cfvo type="min"/>
        <cfvo type="percentile" val="50"/>
        <cfvo type="max"/>
        <color rgb="FFF8696B"/>
        <color rgb="FFFFEB84"/>
        <color rgb="FF63BE7B"/>
      </colorScale>
    </cfRule>
  </conditionalFormatting>
  <conditionalFormatting sqref="Y50:Y67">
    <cfRule type="cellIs" priority="496" operator="equal" dxfId="0">
      <formula>0</formula>
    </cfRule>
    <cfRule type="cellIs" priority="497" operator="lessThan" dxfId="1">
      <formula>0</formula>
    </cfRule>
    <cfRule type="cellIs" priority="498" operator="greaterThan" dxfId="0">
      <formula>0</formula>
    </cfRule>
    <cfRule type="colorScale" priority="499">
      <colorScale>
        <cfvo type="min"/>
        <cfvo type="percentile" val="50"/>
        <cfvo type="max"/>
        <color rgb="FFF8696B"/>
        <color rgb="FFFFEB84"/>
        <color rgb="FF63BE7B"/>
      </colorScale>
    </cfRule>
    <cfRule type="colorScale" priority="500">
      <colorScale>
        <cfvo type="min"/>
        <cfvo type="percentile" val="50"/>
        <cfvo type="max"/>
        <color rgb="FFF8696B"/>
        <color rgb="FFFFEB84"/>
        <color rgb="FF63BE7B"/>
      </colorScale>
    </cfRule>
  </conditionalFormatting>
  <conditionalFormatting sqref="Z6:Z23">
    <cfRule type="cellIs" priority="455" operator="equal" dxfId="0">
      <formula>0</formula>
    </cfRule>
    <cfRule type="cellIs" priority="456" operator="lessThan" dxfId="1">
      <formula>0</formula>
    </cfRule>
    <cfRule type="cellIs" priority="457" operator="greaterThan" dxfId="0">
      <formula>0</formula>
    </cfRule>
    <cfRule type="colorScale" priority="458">
      <colorScale>
        <cfvo type="min"/>
        <cfvo type="percentile" val="50"/>
        <cfvo type="max"/>
        <color rgb="FFF8696B"/>
        <color rgb="FFFFEB84"/>
        <color rgb="FF63BE7B"/>
      </colorScale>
    </cfRule>
    <cfRule type="colorScale" priority="459">
      <colorScale>
        <cfvo type="min"/>
        <cfvo type="percentile" val="50"/>
        <cfvo type="max"/>
        <color rgb="FFF8696B"/>
        <color rgb="FFFFEB84"/>
        <color rgb="FF63BE7B"/>
      </colorScale>
    </cfRule>
  </conditionalFormatting>
  <conditionalFormatting sqref="Z28:Z45">
    <cfRule type="cellIs" priority="450" operator="equal" dxfId="0">
      <formula>0</formula>
    </cfRule>
    <cfRule type="cellIs" priority="451" operator="lessThan" dxfId="1">
      <formula>0</formula>
    </cfRule>
    <cfRule type="cellIs" priority="452" operator="greaterThan" dxfId="0">
      <formula>0</formula>
    </cfRule>
    <cfRule type="colorScale" priority="453">
      <colorScale>
        <cfvo type="min"/>
        <cfvo type="percentile" val="50"/>
        <cfvo type="max"/>
        <color rgb="FFF8696B"/>
        <color rgb="FFFFEB84"/>
        <color rgb="FF63BE7B"/>
      </colorScale>
    </cfRule>
    <cfRule type="colorScale" priority="454">
      <colorScale>
        <cfvo type="min"/>
        <cfvo type="percentile" val="50"/>
        <cfvo type="max"/>
        <color rgb="FFF8696B"/>
        <color rgb="FFFFEB84"/>
        <color rgb="FF63BE7B"/>
      </colorScale>
    </cfRule>
  </conditionalFormatting>
  <conditionalFormatting sqref="Z50:Z67">
    <cfRule type="cellIs" priority="445" operator="equal" dxfId="0">
      <formula>0</formula>
    </cfRule>
    <cfRule type="cellIs" priority="446" operator="lessThan" dxfId="1">
      <formula>0</formula>
    </cfRule>
    <cfRule type="cellIs" priority="447" operator="greaterThan" dxfId="0">
      <formula>0</formula>
    </cfRule>
    <cfRule type="colorScale" priority="448">
      <colorScale>
        <cfvo type="min"/>
        <cfvo type="percentile" val="50"/>
        <cfvo type="max"/>
        <color rgb="FFF8696B"/>
        <color rgb="FFFFEB84"/>
        <color rgb="FF63BE7B"/>
      </colorScale>
    </cfRule>
    <cfRule type="colorScale" priority="449">
      <colorScale>
        <cfvo type="min"/>
        <cfvo type="percentile" val="50"/>
        <cfvo type="max"/>
        <color rgb="FFF8696B"/>
        <color rgb="FFFFEB84"/>
        <color rgb="FF63BE7B"/>
      </colorScale>
    </cfRule>
  </conditionalFormatting>
  <conditionalFormatting sqref="AA6:AA23">
    <cfRule type="cellIs" priority="404" operator="equal" dxfId="0">
      <formula>0</formula>
    </cfRule>
    <cfRule type="cellIs" priority="405" operator="lessThan" dxfId="1">
      <formula>0</formula>
    </cfRule>
    <cfRule type="cellIs" priority="406" operator="greaterThan" dxfId="0">
      <formula>0</formula>
    </cfRule>
    <cfRule type="colorScale" priority="407">
      <colorScale>
        <cfvo type="min"/>
        <cfvo type="percentile" val="50"/>
        <cfvo type="max"/>
        <color rgb="FFF8696B"/>
        <color rgb="FFFFEB84"/>
        <color rgb="FF63BE7B"/>
      </colorScale>
    </cfRule>
    <cfRule type="colorScale" priority="408">
      <colorScale>
        <cfvo type="min"/>
        <cfvo type="percentile" val="50"/>
        <cfvo type="max"/>
        <color rgb="FFF8696B"/>
        <color rgb="FFFFEB84"/>
        <color rgb="FF63BE7B"/>
      </colorScale>
    </cfRule>
  </conditionalFormatting>
  <conditionalFormatting sqref="AA28:AA45">
    <cfRule type="cellIs" priority="399" operator="equal" dxfId="0">
      <formula>0</formula>
    </cfRule>
    <cfRule type="cellIs" priority="400" operator="lessThan" dxfId="1">
      <formula>0</formula>
    </cfRule>
    <cfRule type="cellIs" priority="401" operator="greaterThan" dxfId="0">
      <formula>0</formula>
    </cfRule>
    <cfRule type="colorScale" priority="402">
      <colorScale>
        <cfvo type="min"/>
        <cfvo type="percentile" val="50"/>
        <cfvo type="max"/>
        <color rgb="FFF8696B"/>
        <color rgb="FFFFEB84"/>
        <color rgb="FF63BE7B"/>
      </colorScale>
    </cfRule>
    <cfRule type="colorScale" priority="403">
      <colorScale>
        <cfvo type="min"/>
        <cfvo type="percentile" val="50"/>
        <cfvo type="max"/>
        <color rgb="FFF8696B"/>
        <color rgb="FFFFEB84"/>
        <color rgb="FF63BE7B"/>
      </colorScale>
    </cfRule>
  </conditionalFormatting>
  <conditionalFormatting sqref="AA50:AA67">
    <cfRule type="cellIs" priority="394" operator="equal" dxfId="0">
      <formula>0</formula>
    </cfRule>
    <cfRule type="cellIs" priority="395" operator="lessThan" dxfId="1">
      <formula>0</formula>
    </cfRule>
    <cfRule type="cellIs" priority="396" operator="greaterThan" dxfId="0">
      <formula>0</formula>
    </cfRule>
    <cfRule type="colorScale" priority="397">
      <colorScale>
        <cfvo type="min"/>
        <cfvo type="percentile" val="50"/>
        <cfvo type="max"/>
        <color rgb="FFF8696B"/>
        <color rgb="FFFFEB84"/>
        <color rgb="FF63BE7B"/>
      </colorScale>
    </cfRule>
    <cfRule type="colorScale" priority="398">
      <colorScale>
        <cfvo type="min"/>
        <cfvo type="percentile" val="50"/>
        <cfvo type="max"/>
        <color rgb="FFF8696B"/>
        <color rgb="FFFFEB84"/>
        <color rgb="FF63BE7B"/>
      </colorScale>
    </cfRule>
  </conditionalFormatting>
  <conditionalFormatting sqref="AB6:AB23">
    <cfRule type="cellIs" priority="353" operator="equal" dxfId="0">
      <formula>0</formula>
    </cfRule>
    <cfRule type="cellIs" priority="354" operator="lessThan" dxfId="1">
      <formula>0</formula>
    </cfRule>
    <cfRule type="cellIs" priority="355" operator="greaterThan" dxfId="0">
      <formula>0</formula>
    </cfRule>
    <cfRule type="colorScale" priority="356">
      <colorScale>
        <cfvo type="min"/>
        <cfvo type="percentile" val="50"/>
        <cfvo type="max"/>
        <color rgb="FFF8696B"/>
        <color rgb="FFFFEB84"/>
        <color rgb="FF63BE7B"/>
      </colorScale>
    </cfRule>
    <cfRule type="colorScale" priority="357">
      <colorScale>
        <cfvo type="min"/>
        <cfvo type="percentile" val="50"/>
        <cfvo type="max"/>
        <color rgb="FFF8696B"/>
        <color rgb="FFFFEB84"/>
        <color rgb="FF63BE7B"/>
      </colorScale>
    </cfRule>
  </conditionalFormatting>
  <conditionalFormatting sqref="AB28:AB45">
    <cfRule type="cellIs" priority="348" operator="equal" dxfId="0">
      <formula>0</formula>
    </cfRule>
    <cfRule type="cellIs" priority="349" operator="lessThan" dxfId="1">
      <formula>0</formula>
    </cfRule>
    <cfRule type="cellIs" priority="350" operator="greaterThan" dxfId="0">
      <formula>0</formula>
    </cfRule>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AB50:AB67">
    <cfRule type="cellIs" priority="343" operator="equal" dxfId="0">
      <formula>0</formula>
    </cfRule>
    <cfRule type="cellIs" priority="344" operator="lessThan" dxfId="1">
      <formula>0</formula>
    </cfRule>
    <cfRule type="cellIs" priority="345" operator="greaterThan" dxfId="0">
      <formula>0</formula>
    </cfRule>
    <cfRule type="colorScale" priority="346">
      <colorScale>
        <cfvo type="min"/>
        <cfvo type="percentile" val="50"/>
        <cfvo type="max"/>
        <color rgb="FFF8696B"/>
        <color rgb="FFFFEB84"/>
        <color rgb="FF63BE7B"/>
      </colorScale>
    </cfRule>
    <cfRule type="colorScale" priority="347">
      <colorScale>
        <cfvo type="min"/>
        <cfvo type="percentile" val="50"/>
        <cfvo type="max"/>
        <color rgb="FFF8696B"/>
        <color rgb="FFFFEB84"/>
        <color rgb="FF63BE7B"/>
      </colorScale>
    </cfRule>
  </conditionalFormatting>
  <conditionalFormatting sqref="AC6:AC23">
    <cfRule type="cellIs" priority="302" operator="equal" dxfId="0">
      <formula>0</formula>
    </cfRule>
    <cfRule type="cellIs" priority="303" operator="lessThan" dxfId="1">
      <formula>0</formula>
    </cfRule>
    <cfRule type="cellIs" priority="304" operator="greaterThan" dxfId="0">
      <formula>0</formula>
    </cfRule>
    <cfRule type="colorScale" priority="305">
      <colorScale>
        <cfvo type="min"/>
        <cfvo type="percentile" val="50"/>
        <cfvo type="max"/>
        <color rgb="FFF8696B"/>
        <color rgb="FFFFEB84"/>
        <color rgb="FF63BE7B"/>
      </colorScale>
    </cfRule>
    <cfRule type="colorScale" priority="306">
      <colorScale>
        <cfvo type="min"/>
        <cfvo type="percentile" val="50"/>
        <cfvo type="max"/>
        <color rgb="FFF8696B"/>
        <color rgb="FFFFEB84"/>
        <color rgb="FF63BE7B"/>
      </colorScale>
    </cfRule>
  </conditionalFormatting>
  <conditionalFormatting sqref="AC28:AC45">
    <cfRule type="cellIs" priority="297" operator="equal" dxfId="0">
      <formula>0</formula>
    </cfRule>
    <cfRule type="cellIs" priority="298" operator="lessThan" dxfId="1">
      <formula>0</formula>
    </cfRule>
    <cfRule type="cellIs" priority="299" operator="greaterThan" dxfId="0">
      <formula>0</formula>
    </cfRule>
    <cfRule type="colorScale" priority="300">
      <colorScale>
        <cfvo type="min"/>
        <cfvo type="percentile" val="50"/>
        <cfvo type="max"/>
        <color rgb="FFF8696B"/>
        <color rgb="FFFFEB84"/>
        <color rgb="FF63BE7B"/>
      </colorScale>
    </cfRule>
    <cfRule type="colorScale" priority="301">
      <colorScale>
        <cfvo type="min"/>
        <cfvo type="percentile" val="50"/>
        <cfvo type="max"/>
        <color rgb="FFF8696B"/>
        <color rgb="FFFFEB84"/>
        <color rgb="FF63BE7B"/>
      </colorScale>
    </cfRule>
  </conditionalFormatting>
  <conditionalFormatting sqref="AC50:AC67">
    <cfRule type="cellIs" priority="292" operator="equal" dxfId="0">
      <formula>0</formula>
    </cfRule>
    <cfRule type="cellIs" priority="293" operator="lessThan" dxfId="1">
      <formula>0</formula>
    </cfRule>
    <cfRule type="cellIs" priority="294" operator="greaterThan" dxfId="0">
      <formula>0</formula>
    </cfRule>
    <cfRule type="colorScale" priority="295">
      <colorScale>
        <cfvo type="min"/>
        <cfvo type="percentile" val="50"/>
        <cfvo type="max"/>
        <color rgb="FFF8696B"/>
        <color rgb="FFFFEB84"/>
        <color rgb="FF63BE7B"/>
      </colorScale>
    </cfRule>
    <cfRule type="colorScale" priority="296">
      <colorScale>
        <cfvo type="min"/>
        <cfvo type="percentile" val="50"/>
        <cfvo type="max"/>
        <color rgb="FFF8696B"/>
        <color rgb="FFFFEB84"/>
        <color rgb="FF63BE7B"/>
      </colorScale>
    </cfRule>
  </conditionalFormatting>
  <conditionalFormatting sqref="AD6:AD23">
    <cfRule type="cellIs" priority="251" operator="equal" dxfId="0">
      <formula>0</formula>
    </cfRule>
    <cfRule type="cellIs" priority="252" operator="lessThan" dxfId="1">
      <formula>0</formula>
    </cfRule>
    <cfRule type="cellIs" priority="253" operator="greaterThan" dxfId="0">
      <formula>0</formula>
    </cfRule>
    <cfRule type="colorScale" priority="254">
      <colorScale>
        <cfvo type="min"/>
        <cfvo type="percentile" val="50"/>
        <cfvo type="max"/>
        <color rgb="FFF8696B"/>
        <color rgb="FFFFEB84"/>
        <color rgb="FF63BE7B"/>
      </colorScale>
    </cfRule>
    <cfRule type="colorScale" priority="255">
      <colorScale>
        <cfvo type="min"/>
        <cfvo type="percentile" val="50"/>
        <cfvo type="max"/>
        <color rgb="FFF8696B"/>
        <color rgb="FFFFEB84"/>
        <color rgb="FF63BE7B"/>
      </colorScale>
    </cfRule>
  </conditionalFormatting>
  <conditionalFormatting sqref="AD28:AD45">
    <cfRule type="cellIs" priority="246" operator="equal" dxfId="0">
      <formula>0</formula>
    </cfRule>
    <cfRule type="cellIs" priority="247" operator="lessThan" dxfId="1">
      <formula>0</formula>
    </cfRule>
    <cfRule type="cellIs" priority="248" operator="greaterThan" dxfId="0">
      <formula>0</formula>
    </cfRule>
    <cfRule type="colorScale" priority="249">
      <colorScale>
        <cfvo type="min"/>
        <cfvo type="percentile" val="50"/>
        <cfvo type="max"/>
        <color rgb="FFF8696B"/>
        <color rgb="FFFFEB84"/>
        <color rgb="FF63BE7B"/>
      </colorScale>
    </cfRule>
    <cfRule type="colorScale" priority="250">
      <colorScale>
        <cfvo type="min"/>
        <cfvo type="percentile" val="50"/>
        <cfvo type="max"/>
        <color rgb="FFF8696B"/>
        <color rgb="FFFFEB84"/>
        <color rgb="FF63BE7B"/>
      </colorScale>
    </cfRule>
  </conditionalFormatting>
  <conditionalFormatting sqref="AD50:AD67">
    <cfRule type="cellIs" priority="241" operator="equal" dxfId="0">
      <formula>0</formula>
    </cfRule>
    <cfRule type="cellIs" priority="242" operator="lessThan" dxfId="1">
      <formula>0</formula>
    </cfRule>
    <cfRule type="cellIs" priority="243" operator="greaterThan" dxfId="0">
      <formula>0</formula>
    </cfRule>
    <cfRule type="colorScale" priority="244">
      <colorScale>
        <cfvo type="min"/>
        <cfvo type="percentile" val="50"/>
        <cfvo type="max"/>
        <color rgb="FFF8696B"/>
        <color rgb="FFFFEB84"/>
        <color rgb="FF63BE7B"/>
      </colorScale>
    </cfRule>
    <cfRule type="colorScale" priority="245">
      <colorScale>
        <cfvo type="min"/>
        <cfvo type="percentile" val="50"/>
        <cfvo type="max"/>
        <color rgb="FFF8696B"/>
        <color rgb="FFFFEB84"/>
        <color rgb="FF63BE7B"/>
      </colorScale>
    </cfRule>
  </conditionalFormatting>
  <conditionalFormatting sqref="AE6:AE23">
    <cfRule type="cellIs" priority="200" operator="equal" dxfId="0">
      <formula>0</formula>
    </cfRule>
    <cfRule type="cellIs" priority="201" operator="lessThan" dxfId="1">
      <formula>0</formula>
    </cfRule>
    <cfRule type="cellIs" priority="202" operator="greaterThan" dxfId="0">
      <formula>0</formula>
    </cfRule>
    <cfRule type="colorScale" priority="203">
      <colorScale>
        <cfvo type="min"/>
        <cfvo type="percentile" val="50"/>
        <cfvo type="max"/>
        <color rgb="FFF8696B"/>
        <color rgb="FFFFEB84"/>
        <color rgb="FF63BE7B"/>
      </colorScale>
    </cfRule>
    <cfRule type="colorScale" priority="204">
      <colorScale>
        <cfvo type="min"/>
        <cfvo type="percentile" val="50"/>
        <cfvo type="max"/>
        <color rgb="FFF8696B"/>
        <color rgb="FFFFEB84"/>
        <color rgb="FF63BE7B"/>
      </colorScale>
    </cfRule>
  </conditionalFormatting>
  <conditionalFormatting sqref="AE28:AE45">
    <cfRule type="cellIs" priority="195" operator="equal" dxfId="0">
      <formula>0</formula>
    </cfRule>
    <cfRule type="cellIs" priority="196" operator="lessThan" dxfId="1">
      <formula>0</formula>
    </cfRule>
    <cfRule type="cellIs" priority="197" operator="greaterThan" dxfId="0">
      <formula>0</formula>
    </cfRule>
    <cfRule type="colorScale" priority="198">
      <colorScale>
        <cfvo type="min"/>
        <cfvo type="percentile" val="50"/>
        <cfvo type="max"/>
        <color rgb="FFF8696B"/>
        <color rgb="FFFFEB84"/>
        <color rgb="FF63BE7B"/>
      </colorScale>
    </cfRule>
    <cfRule type="colorScale" priority="199">
      <colorScale>
        <cfvo type="min"/>
        <cfvo type="percentile" val="50"/>
        <cfvo type="max"/>
        <color rgb="FFF8696B"/>
        <color rgb="FFFFEB84"/>
        <color rgb="FF63BE7B"/>
      </colorScale>
    </cfRule>
  </conditionalFormatting>
  <conditionalFormatting sqref="AE50:AE67">
    <cfRule type="cellIs" priority="190" operator="equal" dxfId="0">
      <formula>0</formula>
    </cfRule>
    <cfRule type="cellIs" priority="191" operator="lessThan" dxfId="1">
      <formula>0</formula>
    </cfRule>
    <cfRule type="cellIs" priority="192" operator="greaterThan" dxfId="0">
      <formula>0</formula>
    </cfRule>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onditionalFormatting>
  <conditionalFormatting sqref="AF6:AF23">
    <cfRule type="cellIs" priority="149" operator="equal" dxfId="0">
      <formula>0</formula>
    </cfRule>
    <cfRule type="cellIs" priority="150" operator="lessThan" dxfId="1">
      <formula>0</formula>
    </cfRule>
    <cfRule type="cellIs" priority="151" operator="greaterThan" dxfId="0">
      <formula>0</formula>
    </cfRule>
    <cfRule type="colorScale" priority="152">
      <colorScale>
        <cfvo type="min"/>
        <cfvo type="percentile" val="50"/>
        <cfvo type="max"/>
        <color rgb="FFF8696B"/>
        <color rgb="FFFFEB84"/>
        <color rgb="FF63BE7B"/>
      </colorScale>
    </cfRule>
    <cfRule type="colorScale" priority="153">
      <colorScale>
        <cfvo type="min"/>
        <cfvo type="percentile" val="50"/>
        <cfvo type="max"/>
        <color rgb="FFF8696B"/>
        <color rgb="FFFFEB84"/>
        <color rgb="FF63BE7B"/>
      </colorScale>
    </cfRule>
  </conditionalFormatting>
  <conditionalFormatting sqref="AF28:AF45">
    <cfRule type="cellIs" priority="144" operator="equal" dxfId="0">
      <formula>0</formula>
    </cfRule>
    <cfRule type="cellIs" priority="145" operator="lessThan" dxfId="1">
      <formula>0</formula>
    </cfRule>
    <cfRule type="cellIs" priority="146" operator="greaterThan" dxfId="0">
      <formula>0</formula>
    </cfRule>
    <cfRule type="colorScale" priority="147">
      <colorScale>
        <cfvo type="min"/>
        <cfvo type="percentile" val="50"/>
        <cfvo type="max"/>
        <color rgb="FFF8696B"/>
        <color rgb="FFFFEB84"/>
        <color rgb="FF63BE7B"/>
      </colorScale>
    </cfRule>
    <cfRule type="colorScale" priority="148">
      <colorScale>
        <cfvo type="min"/>
        <cfvo type="percentile" val="50"/>
        <cfvo type="max"/>
        <color rgb="FFF8696B"/>
        <color rgb="FFFFEB84"/>
        <color rgb="FF63BE7B"/>
      </colorScale>
    </cfRule>
  </conditionalFormatting>
  <conditionalFormatting sqref="AF50:AF67">
    <cfRule type="cellIs" priority="139" operator="equal" dxfId="0">
      <formula>0</formula>
    </cfRule>
    <cfRule type="cellIs" priority="140" operator="lessThan" dxfId="1">
      <formula>0</formula>
    </cfRule>
    <cfRule type="cellIs" priority="141" operator="greaterThan" dxfId="0">
      <formula>0</formula>
    </cfRule>
    <cfRule type="colorScale" priority="142">
      <colorScale>
        <cfvo type="min"/>
        <cfvo type="percentile" val="50"/>
        <cfvo type="max"/>
        <color rgb="FFF8696B"/>
        <color rgb="FFFFEB84"/>
        <color rgb="FF63BE7B"/>
      </colorScale>
    </cfRule>
    <cfRule type="colorScale" priority="143">
      <colorScale>
        <cfvo type="min"/>
        <cfvo type="percentile" val="50"/>
        <cfvo type="max"/>
        <color rgb="FFF8696B"/>
        <color rgb="FFFFEB84"/>
        <color rgb="FF63BE7B"/>
      </colorScale>
    </cfRule>
  </conditionalFormatting>
  <conditionalFormatting sqref="AG6:AG23">
    <cfRule type="cellIs" priority="98" operator="equal" dxfId="0">
      <formula>0</formula>
    </cfRule>
    <cfRule type="cellIs" priority="99" operator="lessThan" dxfId="1">
      <formula>0</formula>
    </cfRule>
    <cfRule type="cellIs" priority="100" operator="greaterThan" dxfId="0">
      <formula>0</formula>
    </cfRule>
    <cfRule type="colorScale" priority="101">
      <colorScale>
        <cfvo type="min"/>
        <cfvo type="percentile" val="50"/>
        <cfvo type="max"/>
        <color rgb="FFF8696B"/>
        <color rgb="FFFFEB84"/>
        <color rgb="FF63BE7B"/>
      </colorScale>
    </cfRule>
    <cfRule type="colorScale" priority="102">
      <colorScale>
        <cfvo type="min"/>
        <cfvo type="percentile" val="50"/>
        <cfvo type="max"/>
        <color rgb="FFF8696B"/>
        <color rgb="FFFFEB84"/>
        <color rgb="FF63BE7B"/>
      </colorScale>
    </cfRule>
  </conditionalFormatting>
  <conditionalFormatting sqref="AG28:AG45">
    <cfRule type="cellIs" priority="93" operator="equal" dxfId="0">
      <formula>0</formula>
    </cfRule>
    <cfRule type="cellIs" priority="94" operator="lessThan" dxfId="1">
      <formula>0</formula>
    </cfRule>
    <cfRule type="cellIs" priority="95" operator="greaterThan" dxfId="0">
      <formula>0</formula>
    </cfRule>
    <cfRule type="colorScale" priority="96">
      <colorScale>
        <cfvo type="min"/>
        <cfvo type="percentile" val="50"/>
        <cfvo type="max"/>
        <color rgb="FFF8696B"/>
        <color rgb="FFFFEB84"/>
        <color rgb="FF63BE7B"/>
      </colorScale>
    </cfRule>
    <cfRule type="colorScale" priority="97">
      <colorScale>
        <cfvo type="min"/>
        <cfvo type="percentile" val="50"/>
        <cfvo type="max"/>
        <color rgb="FFF8696B"/>
        <color rgb="FFFFEB84"/>
        <color rgb="FF63BE7B"/>
      </colorScale>
    </cfRule>
  </conditionalFormatting>
  <conditionalFormatting sqref="AG50:AG67">
    <cfRule type="cellIs" priority="88" operator="equal" dxfId="0">
      <formula>0</formula>
    </cfRule>
    <cfRule type="cellIs" priority="89" operator="lessThan" dxfId="1">
      <formula>0</formula>
    </cfRule>
    <cfRule type="cellIs" priority="90" operator="greaterThan" dxfId="0">
      <formula>0</formula>
    </cfRule>
    <cfRule type="colorScale" priority="91">
      <colorScale>
        <cfvo type="min"/>
        <cfvo type="percentile" val="50"/>
        <cfvo type="max"/>
        <color rgb="FFF8696B"/>
        <color rgb="FFFFEB84"/>
        <color rgb="FF63BE7B"/>
      </colorScale>
    </cfRule>
    <cfRule type="colorScale" priority="92">
      <colorScale>
        <cfvo type="min"/>
        <cfvo type="percentile" val="50"/>
        <cfvo type="max"/>
        <color rgb="FFF8696B"/>
        <color rgb="FFFFEB84"/>
        <color rgb="FF63BE7B"/>
      </colorScale>
    </cfRule>
  </conditionalFormatting>
  <conditionalFormatting sqref="AH6:AH23">
    <cfRule type="cellIs" priority="47" operator="equal" dxfId="0">
      <formula>0</formula>
    </cfRule>
    <cfRule type="cellIs" priority="48" operator="lessThan" dxfId="1">
      <formula>0</formula>
    </cfRule>
    <cfRule type="cellIs" priority="49" operator="greaterThan" dxfId="0">
      <formula>0</formula>
    </cfRule>
    <cfRule type="colorScale" priority="50">
      <colorScale>
        <cfvo type="min"/>
        <cfvo type="percentile" val="50"/>
        <cfvo type="max"/>
        <color rgb="FFF8696B"/>
        <color rgb="FFFFEB84"/>
        <color rgb="FF63BE7B"/>
      </colorScale>
    </cfRule>
    <cfRule type="colorScale" priority="51">
      <colorScale>
        <cfvo type="min"/>
        <cfvo type="percentile" val="50"/>
        <cfvo type="max"/>
        <color rgb="FFF8696B"/>
        <color rgb="FFFFEB84"/>
        <color rgb="FF63BE7B"/>
      </colorScale>
    </cfRule>
  </conditionalFormatting>
  <conditionalFormatting sqref="AH28:AH45">
    <cfRule type="cellIs" priority="42" operator="equal" dxfId="0">
      <formula>0</formula>
    </cfRule>
    <cfRule type="cellIs" priority="43" operator="lessThan" dxfId="1">
      <formula>0</formula>
    </cfRule>
    <cfRule type="cellIs" priority="44" operator="greaterThan" dxfId="0">
      <formula>0</formula>
    </cfRule>
    <cfRule type="colorScale" priority="45">
      <colorScale>
        <cfvo type="min"/>
        <cfvo type="percentile" val="50"/>
        <cfvo type="max"/>
        <color rgb="FFF8696B"/>
        <color rgb="FFFFEB84"/>
        <color rgb="FF63BE7B"/>
      </colorScale>
    </cfRule>
    <cfRule type="colorScale" priority="46">
      <colorScale>
        <cfvo type="min"/>
        <cfvo type="percentile" val="50"/>
        <cfvo type="max"/>
        <color rgb="FFF8696B"/>
        <color rgb="FFFFEB84"/>
        <color rgb="FF63BE7B"/>
      </colorScale>
    </cfRule>
  </conditionalFormatting>
  <conditionalFormatting sqref="AH50:AH67">
    <cfRule type="cellIs" priority="37" operator="equal" dxfId="0">
      <formula>0</formula>
    </cfRule>
    <cfRule type="cellIs" priority="38" operator="lessThan" dxfId="1">
      <formula>0</formula>
    </cfRule>
    <cfRule type="cellIs" priority="39" operator="greaterThan" dxfId="0">
      <formula>0</formula>
    </cfRule>
    <cfRule type="colorScale" priority="40">
      <colorScale>
        <cfvo type="min"/>
        <cfvo type="percentile" val="50"/>
        <cfvo type="max"/>
        <color rgb="FFF8696B"/>
        <color rgb="FFFFEB84"/>
        <color rgb="FF63BE7B"/>
      </colorScale>
    </cfRule>
    <cfRule type="colorScale" priority="41">
      <colorScale>
        <cfvo type="min"/>
        <cfvo type="percentile" val="50"/>
        <cfvo type="max"/>
        <color rgb="FFF8696B"/>
        <color rgb="FFFFEB84"/>
        <color rgb="FF63BE7B"/>
      </colorScale>
    </cfRule>
  </conditionalFormatting>
  <conditionalFormatting sqref="AJ28:AJ45">
    <cfRule type="colorScale" priority="21">
      <colorScale>
        <cfvo type="min"/>
        <cfvo type="percentile" val="50"/>
        <cfvo type="max"/>
        <color rgb="FFF8696B"/>
        <color rgb="FFFFEB84"/>
        <color rgb="FF63BE7B"/>
      </colorScale>
    </cfRule>
    <cfRule type="cellIs" priority="32" operator="equal" dxfId="0">
      <formula>0</formula>
    </cfRule>
    <cfRule type="cellIs" priority="33" operator="lessThan" dxfId="1">
      <formula>0</formula>
    </cfRule>
    <cfRule type="cellIs" priority="34" operator="greaterThan" dxfId="0">
      <formula>0</formula>
    </cfRule>
    <cfRule type="colorScale" priority="35">
      <colorScale>
        <cfvo type="min"/>
        <cfvo type="percentile" val="50"/>
        <cfvo type="max"/>
        <color rgb="FFF8696B"/>
        <color rgb="FFFFEB84"/>
        <color rgb="FF63BE7B"/>
      </colorScale>
    </cfRule>
    <cfRule type="colorScale" priority="36">
      <colorScale>
        <cfvo type="min"/>
        <cfvo type="percentile" val="50"/>
        <cfvo type="max"/>
        <color rgb="FFF8696B"/>
        <color rgb="FFFFEB84"/>
        <color rgb="FF63BE7B"/>
      </colorScale>
    </cfRule>
  </conditionalFormatting>
  <conditionalFormatting sqref="AK28:AK45">
    <cfRule type="colorScale" priority="20">
      <colorScale>
        <cfvo type="min"/>
        <cfvo type="percentile" val="50"/>
        <cfvo type="max"/>
        <color rgb="FFF8696B"/>
        <color rgb="FFFFEB84"/>
        <color rgb="FF63BE7B"/>
      </colorScale>
    </cfRule>
    <cfRule type="cellIs" priority="27" operator="equal" dxfId="0">
      <formula>0</formula>
    </cfRule>
    <cfRule type="cellIs" priority="28" operator="lessThan" dxfId="1">
      <formula>0</formula>
    </cfRule>
    <cfRule type="cellIs" priority="29" operator="greaterThan" dxfId="0">
      <formula>0</formula>
    </cfRule>
    <cfRule type="colorScale" priority="30">
      <colorScale>
        <cfvo type="min"/>
        <cfvo type="percentile" val="50"/>
        <cfvo type="max"/>
        <color rgb="FFF8696B"/>
        <color rgb="FFFFEB84"/>
        <color rgb="FF63BE7B"/>
      </colorScale>
    </cfRule>
    <cfRule type="colorScale" priority="31">
      <colorScale>
        <cfvo type="min"/>
        <cfvo type="percentile" val="50"/>
        <cfvo type="max"/>
        <color rgb="FFF8696B"/>
        <color rgb="FFFFEB84"/>
        <color rgb="FF63BE7B"/>
      </colorScale>
    </cfRule>
  </conditionalFormatting>
  <conditionalFormatting sqref="AL28:AL45">
    <cfRule type="colorScale" priority="19">
      <colorScale>
        <cfvo type="min"/>
        <cfvo type="percentile" val="50"/>
        <cfvo type="max"/>
        <color rgb="FFF8696B"/>
        <color rgb="FFFFEB84"/>
        <color rgb="FF63BE7B"/>
      </colorScale>
    </cfRule>
    <cfRule type="cellIs" priority="22" operator="equal" dxfId="0">
      <formula>0</formula>
    </cfRule>
    <cfRule type="cellIs" priority="23" operator="lessThan" dxfId="1">
      <formula>0</formula>
    </cfRule>
    <cfRule type="cellIs" priority="24" operator="greaterThan" dxfId="0">
      <formula>0</formula>
    </cfRule>
    <cfRule type="colorScale" priority="25">
      <colorScale>
        <cfvo type="min"/>
        <cfvo type="percentile" val="50"/>
        <cfvo type="max"/>
        <color rgb="FFF8696B"/>
        <color rgb="FFFFEB84"/>
        <color rgb="FF63BE7B"/>
      </colorScale>
    </cfRule>
    <cfRule type="colorScale" priority="26">
      <colorScale>
        <cfvo type="min"/>
        <cfvo type="percentile" val="50"/>
        <cfvo type="max"/>
        <color rgb="FFF8696B"/>
        <color rgb="FFFFEB84"/>
        <color rgb="FF63BE7B"/>
      </colorScale>
    </cfRule>
  </conditionalFormatting>
  <conditionalFormatting sqref="AJ50:AJ67">
    <cfRule type="colorScale" priority="3">
      <colorScale>
        <cfvo type="min"/>
        <cfvo type="percentile" val="50"/>
        <cfvo type="max"/>
        <color rgb="FFF8696B"/>
        <color rgb="FFFFEB84"/>
        <color rgb="FF63BE7B"/>
      </colorScale>
    </cfRule>
    <cfRule type="cellIs" priority="14" operator="equal" dxfId="0">
      <formula>0</formula>
    </cfRule>
    <cfRule type="cellIs" priority="15" operator="lessThan" dxfId="1">
      <formula>0</formula>
    </cfRule>
    <cfRule type="cellIs" priority="16" operator="greaterThan" dxfId="0">
      <formula>0</formula>
    </cfRule>
    <cfRule type="colorScale" priority="17">
      <colorScale>
        <cfvo type="min"/>
        <cfvo type="percentile" val="50"/>
        <cfvo type="max"/>
        <color rgb="FFF8696B"/>
        <color rgb="FFFFEB84"/>
        <color rgb="FF63BE7B"/>
      </colorScale>
    </cfRule>
    <cfRule type="colorScale" priority="18">
      <colorScale>
        <cfvo type="min"/>
        <cfvo type="percentile" val="50"/>
        <cfvo type="max"/>
        <color rgb="FFF8696B"/>
        <color rgb="FFFFEB84"/>
        <color rgb="FF63BE7B"/>
      </colorScale>
    </cfRule>
  </conditionalFormatting>
  <conditionalFormatting sqref="AK50:AK67">
    <cfRule type="colorScale" priority="2">
      <colorScale>
        <cfvo type="min"/>
        <cfvo type="percentile" val="50"/>
        <cfvo type="max"/>
        <color rgb="FFF8696B"/>
        <color rgb="FFFFEB84"/>
        <color rgb="FF63BE7B"/>
      </colorScale>
    </cfRule>
    <cfRule type="cellIs" priority="9" operator="equal" dxfId="0">
      <formula>0</formula>
    </cfRule>
    <cfRule type="cellIs" priority="10" operator="lessThan" dxfId="1">
      <formula>0</formula>
    </cfRule>
    <cfRule type="cellIs" priority="11" operator="greaterThan" dxfId="0">
      <formula>0</formula>
    </cfRule>
    <cfRule type="colorScale" priority="12">
      <colorScale>
        <cfvo type="min"/>
        <cfvo type="percentile" val="50"/>
        <cfvo type="max"/>
        <color rgb="FFF8696B"/>
        <color rgb="FFFFEB84"/>
        <color rgb="FF63BE7B"/>
      </colorScale>
    </cfRule>
    <cfRule type="colorScale" priority="13">
      <colorScale>
        <cfvo type="min"/>
        <cfvo type="percentile" val="50"/>
        <cfvo type="max"/>
        <color rgb="FFF8696B"/>
        <color rgb="FFFFEB84"/>
        <color rgb="FF63BE7B"/>
      </colorScale>
    </cfRule>
  </conditionalFormatting>
  <conditionalFormatting sqref="AL50:AL67">
    <cfRule type="colorScale" priority="1">
      <colorScale>
        <cfvo type="min"/>
        <cfvo type="percentile" val="50"/>
        <cfvo type="max"/>
        <color rgb="FFF8696B"/>
        <color rgb="FFFFEB84"/>
        <color rgb="FF63BE7B"/>
      </colorScale>
    </cfRule>
    <cfRule type="cellIs" priority="4" operator="equal" dxfId="0">
      <formula>0</formula>
    </cfRule>
    <cfRule type="cellIs" priority="5" operator="lessThan" dxfId="1">
      <formula>0</formula>
    </cfRule>
    <cfRule type="cellIs" priority="6" operator="greaterThan" dxfId="0">
      <formula>0</formula>
    </cfRule>
    <cfRule type="colorScale" priority="7">
      <colorScale>
        <cfvo type="min"/>
        <cfvo type="percentile" val="50"/>
        <cfvo type="max"/>
        <color rgb="FFF8696B"/>
        <color rgb="FFFFEB84"/>
        <color rgb="FF63BE7B"/>
      </colorScale>
    </cfRule>
    <cfRule type="colorScale" priority="8">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3.xml><?xml version="1.0" encoding="utf-8"?>
<worksheet xmlns="http://schemas.openxmlformats.org/spreadsheetml/2006/main">
  <sheetPr codeName="Sheet5">
    <outlinePr summaryBelow="1" summaryRight="1"/>
    <pageSetUpPr/>
  </sheetPr>
  <dimension ref="A1:L890"/>
  <sheetViews>
    <sheetView zoomScale="160" zoomScaleNormal="160" workbookViewId="0">
      <pane ySplit="5" topLeftCell="A846" activePane="bottomLeft" state="frozen"/>
      <selection pane="bottomLeft" activeCell="G889" sqref="G889"/>
    </sheetView>
  </sheetViews>
  <sheetFormatPr baseColWidth="10" defaultColWidth="9.1640625" defaultRowHeight="15"/>
  <cols>
    <col width="12" customWidth="1" style="116" min="1" max="1"/>
    <col width="11.33203125" customWidth="1" style="116" min="2" max="9"/>
    <col width="12.1640625" customWidth="1" style="116" min="10" max="10"/>
    <col width="11.33203125" customWidth="1" style="116" min="11" max="11"/>
    <col width="9.1640625" customWidth="1" style="116" min="12" max="18"/>
    <col width="9.1640625" customWidth="1" style="116" min="19" max="16384"/>
  </cols>
  <sheetData>
    <row r="1">
      <c r="A1" s="117" t="n"/>
      <c r="B1" s="117" t="n"/>
      <c r="J1" s="130" t="n"/>
    </row>
    <row r="2">
      <c r="C2" s="130" t="n"/>
      <c r="D2" s="130" t="n"/>
    </row>
    <row r="3">
      <c r="C3" s="130" t="n"/>
      <c r="D3" s="130" t="n"/>
    </row>
    <row r="4" ht="16" customHeight="1" thickBot="1">
      <c r="C4" s="130" t="n"/>
      <c r="D4" s="130" t="n"/>
    </row>
    <row r="5" ht="39" customHeight="1" thickBot="1">
      <c r="A5" s="76" t="inlineStr">
        <is>
          <t>Date</t>
        </is>
      </c>
      <c r="B5" s="77" t="inlineStr">
        <is>
          <t>New Orders</t>
        </is>
      </c>
      <c r="C5" s="77" t="inlineStr">
        <is>
          <t>Imports</t>
        </is>
      </c>
      <c r="D5" s="77" t="inlineStr">
        <is>
          <t>Backlog Of Orders</t>
        </is>
      </c>
      <c r="E5" s="77" t="inlineStr">
        <is>
          <t>Prices</t>
        </is>
      </c>
      <c r="F5" s="77" t="inlineStr">
        <is>
          <t>Production</t>
        </is>
      </c>
      <c r="G5" s="77" t="inlineStr">
        <is>
          <t>Customers Inventories</t>
        </is>
      </c>
      <c r="H5" s="77" t="inlineStr">
        <is>
          <t>Inventories</t>
        </is>
      </c>
      <c r="I5" s="77" t="inlineStr">
        <is>
          <t>Deliveries</t>
        </is>
      </c>
      <c r="J5" s="77" t="inlineStr">
        <is>
          <t>Employment</t>
        </is>
      </c>
      <c r="K5" s="77" t="inlineStr">
        <is>
          <t>Exports</t>
        </is>
      </c>
      <c r="L5" s="78" t="inlineStr">
        <is>
          <t>ISM</t>
        </is>
      </c>
    </row>
    <row r="6">
      <c r="A6" s="72" t="n">
        <v>17533</v>
      </c>
      <c r="B6" s="73" t="n">
        <v>53.3</v>
      </c>
      <c r="C6" s="74" t="n"/>
      <c r="D6" s="74" t="n"/>
      <c r="E6" s="75" t="n">
        <v>72.2</v>
      </c>
      <c r="F6" s="75" t="n">
        <v>59.1</v>
      </c>
      <c r="G6" s="75" t="n"/>
      <c r="H6" s="75" t="n">
        <v>45.3</v>
      </c>
      <c r="I6" s="75" t="n">
        <v>36.3</v>
      </c>
      <c r="J6" s="75" t="n">
        <v>54.8</v>
      </c>
      <c r="K6" s="75" t="n"/>
      <c r="L6" s="75" t="n">
        <v>51.7</v>
      </c>
    </row>
    <row r="7">
      <c r="A7" s="54" t="n">
        <v>17564</v>
      </c>
      <c r="B7" s="71" t="n">
        <v>51.1</v>
      </c>
      <c r="C7" s="55" t="n"/>
      <c r="D7" s="55" t="n"/>
      <c r="E7" s="138" t="n">
        <v>62.7</v>
      </c>
      <c r="F7" s="138" t="n">
        <v>55.2</v>
      </c>
      <c r="G7" s="138" t="n"/>
      <c r="H7" s="138" t="n">
        <v>43.9</v>
      </c>
      <c r="I7" s="138" t="n">
        <v>37.1</v>
      </c>
      <c r="J7" s="138" t="n">
        <v>55.8</v>
      </c>
      <c r="K7" s="138" t="n"/>
      <c r="L7" s="138" t="n">
        <v>50.2</v>
      </c>
    </row>
    <row r="8">
      <c r="A8" s="54" t="n">
        <v>17593</v>
      </c>
      <c r="B8" s="71" t="n">
        <v>43.9</v>
      </c>
      <c r="C8" s="55" t="n"/>
      <c r="D8" s="55" t="n"/>
      <c r="E8" s="138" t="n">
        <v>69.3</v>
      </c>
      <c r="F8" s="138" t="n">
        <v>47.8</v>
      </c>
      <c r="G8" s="138" t="n"/>
      <c r="H8" s="138" t="n">
        <v>44.5</v>
      </c>
      <c r="I8" s="138" t="n">
        <v>32.7</v>
      </c>
      <c r="J8" s="138" t="n">
        <v>44</v>
      </c>
      <c r="K8" s="138" t="n"/>
      <c r="L8" s="138" t="n">
        <v>43.3</v>
      </c>
    </row>
    <row r="9">
      <c r="A9" s="54" t="n">
        <v>17624</v>
      </c>
      <c r="B9" s="71" t="n">
        <v>44.5</v>
      </c>
      <c r="C9" s="55" t="n"/>
      <c r="D9" s="55" t="n"/>
      <c r="E9" s="138" t="n">
        <v>75.8</v>
      </c>
      <c r="F9" s="138" t="n">
        <v>49.5</v>
      </c>
      <c r="G9" s="138" t="n"/>
      <c r="H9" s="138" t="n">
        <v>46.1</v>
      </c>
      <c r="I9" s="138" t="n">
        <v>41.6</v>
      </c>
      <c r="J9" s="138" t="n">
        <v>43.9</v>
      </c>
      <c r="K9" s="138" t="n"/>
      <c r="L9" s="138" t="n">
        <v>45.4</v>
      </c>
    </row>
    <row r="10">
      <c r="A10" s="54" t="n">
        <v>17654</v>
      </c>
      <c r="B10" s="71" t="n">
        <v>51.2</v>
      </c>
      <c r="C10" s="55" t="n"/>
      <c r="D10" s="55" t="n"/>
      <c r="E10" s="138" t="n">
        <v>70.8</v>
      </c>
      <c r="F10" s="138" t="n">
        <v>52.1</v>
      </c>
      <c r="G10" s="138" t="n"/>
      <c r="H10" s="138" t="n">
        <v>47</v>
      </c>
      <c r="I10" s="138" t="n">
        <v>40.4</v>
      </c>
      <c r="J10" s="138" t="n">
        <v>51.8</v>
      </c>
      <c r="K10" s="138" t="n"/>
      <c r="L10" s="138" t="n">
        <v>49.5</v>
      </c>
    </row>
    <row r="11">
      <c r="A11" s="54" t="n">
        <v>17685</v>
      </c>
      <c r="B11" s="71" t="n">
        <v>58.1</v>
      </c>
      <c r="C11" s="55" t="n"/>
      <c r="D11" s="55" t="n"/>
      <c r="E11" s="138" t="n">
        <v>78.5</v>
      </c>
      <c r="F11" s="138" t="n">
        <v>56.8</v>
      </c>
      <c r="G11" s="138" t="n"/>
      <c r="H11" s="138" t="n">
        <v>54.7</v>
      </c>
      <c r="I11" s="138" t="n">
        <v>38.4</v>
      </c>
      <c r="J11" s="138" t="n">
        <v>50.8</v>
      </c>
      <c r="K11" s="138" t="n"/>
      <c r="L11" s="138" t="n">
        <v>53</v>
      </c>
    </row>
    <row r="12">
      <c r="A12" s="54" t="n">
        <v>17715</v>
      </c>
      <c r="B12" s="71" t="n">
        <v>50.4</v>
      </c>
      <c r="C12" s="55" t="n"/>
      <c r="D12" s="55" t="n"/>
      <c r="E12" s="138" t="n">
        <v>77.3</v>
      </c>
      <c r="F12" s="138" t="n">
        <v>51.4</v>
      </c>
      <c r="G12" s="138" t="n"/>
      <c r="H12" s="138" t="n">
        <v>51.1</v>
      </c>
      <c r="I12" s="138" t="n">
        <v>36.8</v>
      </c>
      <c r="J12" s="138" t="n">
        <v>49.1</v>
      </c>
      <c r="K12" s="138" t="n"/>
      <c r="L12" s="138" t="n">
        <v>48.4</v>
      </c>
    </row>
    <row r="13">
      <c r="A13" s="54" t="n">
        <v>17746</v>
      </c>
      <c r="B13" s="71" t="n">
        <v>46</v>
      </c>
      <c r="C13" s="55" t="n"/>
      <c r="D13" s="55" t="n"/>
      <c r="E13" s="138" t="n">
        <v>77</v>
      </c>
      <c r="F13" s="138" t="n">
        <v>51</v>
      </c>
      <c r="G13" s="138" t="n"/>
      <c r="H13" s="138" t="n">
        <v>46.6</v>
      </c>
      <c r="I13" s="138" t="n">
        <v>31.2</v>
      </c>
      <c r="J13" s="138" t="n">
        <v>46.1</v>
      </c>
      <c r="K13" s="138" t="n"/>
      <c r="L13" s="138" t="n">
        <v>45.1</v>
      </c>
    </row>
    <row r="14">
      <c r="A14" s="54" t="n">
        <v>17777</v>
      </c>
      <c r="B14" s="71" t="n">
        <v>40.6</v>
      </c>
      <c r="C14" s="55" t="n"/>
      <c r="D14" s="55" t="n"/>
      <c r="E14" s="138" t="n">
        <v>66</v>
      </c>
      <c r="F14" s="138" t="n">
        <v>47.9</v>
      </c>
      <c r="G14" s="138" t="n"/>
      <c r="H14" s="138" t="n">
        <v>45.2</v>
      </c>
      <c r="I14" s="138" t="n">
        <v>28.3</v>
      </c>
      <c r="J14" s="138" t="n">
        <v>46.1</v>
      </c>
      <c r="K14" s="138" t="n"/>
      <c r="L14" s="138" t="n">
        <v>42.1</v>
      </c>
    </row>
    <row r="15">
      <c r="A15" s="54" t="n">
        <v>17807</v>
      </c>
      <c r="B15" s="71" t="n">
        <v>52.1</v>
      </c>
      <c r="C15" s="55" t="n"/>
      <c r="D15" s="55" t="n"/>
      <c r="E15" s="138" t="n">
        <v>56.6</v>
      </c>
      <c r="F15" s="138" t="n">
        <v>52.7</v>
      </c>
      <c r="G15" s="138" t="n"/>
      <c r="H15" s="138" t="n">
        <v>45.4</v>
      </c>
      <c r="I15" s="138" t="n">
        <v>28.7</v>
      </c>
      <c r="J15" s="138" t="n">
        <v>47.5</v>
      </c>
      <c r="K15" s="138" t="n"/>
      <c r="L15" s="138" t="n">
        <v>47.2</v>
      </c>
    </row>
    <row r="16">
      <c r="A16" s="54" t="n">
        <v>17838</v>
      </c>
      <c r="B16" s="71" t="n">
        <v>43.2</v>
      </c>
      <c r="C16" s="55" t="n"/>
      <c r="D16" s="55" t="n"/>
      <c r="E16" s="138" t="n">
        <v>51</v>
      </c>
      <c r="F16" s="138" t="n">
        <v>48.9</v>
      </c>
      <c r="G16" s="138" t="n"/>
      <c r="H16" s="138" t="n">
        <v>42.6</v>
      </c>
      <c r="I16" s="138" t="n">
        <v>28</v>
      </c>
      <c r="J16" s="138" t="n">
        <v>44</v>
      </c>
      <c r="K16" s="138" t="n"/>
      <c r="L16" s="138" t="n">
        <v>42.4</v>
      </c>
    </row>
    <row r="17">
      <c r="A17" s="54" t="n">
        <v>17868</v>
      </c>
      <c r="B17" s="71" t="n">
        <v>34.5</v>
      </c>
      <c r="C17" s="55" t="n"/>
      <c r="D17" s="55" t="n"/>
      <c r="E17" s="138" t="n">
        <v>47.5</v>
      </c>
      <c r="F17" s="138" t="n">
        <v>42.1</v>
      </c>
      <c r="G17" s="138" t="n"/>
      <c r="H17" s="138" t="n">
        <v>37</v>
      </c>
      <c r="I17" s="138" t="n">
        <v>17.7</v>
      </c>
      <c r="J17" s="138" t="n">
        <v>39</v>
      </c>
      <c r="K17" s="138" t="n"/>
      <c r="L17" s="138" t="n">
        <v>35</v>
      </c>
    </row>
    <row r="18">
      <c r="A18" s="54" t="n">
        <v>17899</v>
      </c>
      <c r="B18" s="71" t="n">
        <v>31.4</v>
      </c>
      <c r="C18" s="55" t="n"/>
      <c r="D18" s="55" t="n"/>
      <c r="E18" s="138" t="n">
        <v>39.6</v>
      </c>
      <c r="F18" s="138" t="n">
        <v>42</v>
      </c>
      <c r="G18" s="138" t="n"/>
      <c r="H18" s="138" t="n">
        <v>36.6</v>
      </c>
      <c r="I18" s="138" t="n">
        <v>16.6</v>
      </c>
      <c r="J18" s="138" t="n">
        <v>34.1</v>
      </c>
      <c r="K18" s="138" t="n"/>
      <c r="L18" s="138" t="n">
        <v>32.9</v>
      </c>
    </row>
    <row r="19">
      <c r="A19" s="54" t="n">
        <v>17930</v>
      </c>
      <c r="B19" s="71" t="n">
        <v>34.2</v>
      </c>
      <c r="C19" s="55" t="n"/>
      <c r="D19" s="55" t="n"/>
      <c r="E19" s="138" t="n">
        <v>31.3</v>
      </c>
      <c r="F19" s="138" t="n">
        <v>39.6</v>
      </c>
      <c r="G19" s="138" t="n"/>
      <c r="H19" s="138" t="n">
        <v>34.9</v>
      </c>
      <c r="I19" s="138" t="n">
        <v>13.1</v>
      </c>
      <c r="J19" s="138" t="n">
        <v>28.3</v>
      </c>
      <c r="K19" s="138" t="n"/>
      <c r="L19" s="138" t="n">
        <v>31.3</v>
      </c>
    </row>
    <row r="20">
      <c r="A20" s="54" t="n">
        <v>17958</v>
      </c>
      <c r="B20" s="71" t="n">
        <v>42.1</v>
      </c>
      <c r="C20" s="55" t="n"/>
      <c r="D20" s="55" t="n"/>
      <c r="E20" s="138" t="n">
        <v>31.8</v>
      </c>
      <c r="F20" s="138" t="n">
        <v>41.9</v>
      </c>
      <c r="G20" s="138" t="n"/>
      <c r="H20" s="138" t="n">
        <v>33.3</v>
      </c>
      <c r="I20" s="138" t="n">
        <v>12.4</v>
      </c>
      <c r="J20" s="138" t="n">
        <v>31.1</v>
      </c>
      <c r="K20" s="138" t="n"/>
      <c r="L20" s="138" t="n">
        <v>34.5</v>
      </c>
    </row>
    <row r="21">
      <c r="A21" s="54" t="n">
        <v>17989</v>
      </c>
      <c r="B21" s="71" t="n">
        <v>42.3</v>
      </c>
      <c r="C21" s="55" t="n"/>
      <c r="D21" s="55" t="n"/>
      <c r="E21" s="138" t="n">
        <v>13.8</v>
      </c>
      <c r="F21" s="138" t="n">
        <v>44.1</v>
      </c>
      <c r="G21" s="138" t="n"/>
      <c r="H21" s="138" t="n">
        <v>27.9</v>
      </c>
      <c r="I21" s="138" t="n">
        <v>16.2</v>
      </c>
      <c r="J21" s="138" t="n">
        <v>31.6</v>
      </c>
      <c r="K21" s="138" t="n"/>
      <c r="L21" s="138" t="n">
        <v>35.5</v>
      </c>
    </row>
    <row r="22">
      <c r="A22" s="54" t="n">
        <v>18019</v>
      </c>
      <c r="B22" s="71" t="n">
        <v>41.1</v>
      </c>
      <c r="C22" s="55" t="n"/>
      <c r="D22" s="55" t="n"/>
      <c r="E22" s="138" t="n">
        <v>20.1</v>
      </c>
      <c r="F22" s="138" t="n">
        <v>38.2</v>
      </c>
      <c r="G22" s="138" t="n"/>
      <c r="H22" s="138" t="n">
        <v>25.5</v>
      </c>
      <c r="I22" s="138" t="n">
        <v>15.5</v>
      </c>
      <c r="J22" s="138" t="n">
        <v>29</v>
      </c>
      <c r="K22" s="138" t="n"/>
      <c r="L22" s="138" t="n">
        <v>32.6</v>
      </c>
    </row>
    <row r="23">
      <c r="A23" s="54" t="n">
        <v>18050</v>
      </c>
      <c r="B23" s="71" t="n">
        <v>39.8</v>
      </c>
      <c r="C23" s="55" t="n"/>
      <c r="D23" s="55" t="n"/>
      <c r="E23" s="138" t="n">
        <v>10.6</v>
      </c>
      <c r="F23" s="138" t="n">
        <v>38.4</v>
      </c>
      <c r="G23" s="138" t="n"/>
      <c r="H23" s="138" t="n">
        <v>24.1</v>
      </c>
      <c r="I23" s="138" t="n">
        <v>15</v>
      </c>
      <c r="J23" s="138" t="n">
        <v>27.2</v>
      </c>
      <c r="K23" s="138" t="n"/>
      <c r="L23" s="138" t="n">
        <v>31.6</v>
      </c>
    </row>
    <row r="24">
      <c r="A24" s="54" t="n">
        <v>18080</v>
      </c>
      <c r="B24" s="71" t="n">
        <v>49.1</v>
      </c>
      <c r="C24" s="55" t="n"/>
      <c r="D24" s="55" t="n"/>
      <c r="E24" s="138" t="n">
        <v>28.8</v>
      </c>
      <c r="F24" s="138" t="n">
        <v>47</v>
      </c>
      <c r="G24" s="138" t="n"/>
      <c r="H24" s="138" t="n">
        <v>21.5</v>
      </c>
      <c r="I24" s="138" t="n">
        <v>22.4</v>
      </c>
      <c r="J24" s="138" t="n">
        <v>34.8</v>
      </c>
      <c r="K24" s="138" t="n"/>
      <c r="L24" s="138" t="n">
        <v>39</v>
      </c>
    </row>
    <row r="25">
      <c r="A25" s="54" t="n">
        <v>18111</v>
      </c>
      <c r="B25" s="71" t="n">
        <v>55.7</v>
      </c>
      <c r="C25" s="55" t="n"/>
      <c r="D25" s="55" t="n"/>
      <c r="E25" s="138" t="n">
        <v>42.7</v>
      </c>
      <c r="F25" s="138" t="n">
        <v>58.5</v>
      </c>
      <c r="G25" s="138" t="n"/>
      <c r="H25" s="138" t="n">
        <v>26.8</v>
      </c>
      <c r="I25" s="138" t="n">
        <v>33</v>
      </c>
      <c r="J25" s="138" t="n">
        <v>40</v>
      </c>
      <c r="K25" s="138" t="n"/>
      <c r="L25" s="138" t="n">
        <v>47</v>
      </c>
    </row>
    <row r="26">
      <c r="A26" s="54" t="n">
        <v>18142</v>
      </c>
      <c r="B26" s="71" t="n">
        <v>58</v>
      </c>
      <c r="C26" s="55" t="n"/>
      <c r="D26" s="55" t="n"/>
      <c r="E26" s="138" t="n">
        <v>47.5</v>
      </c>
      <c r="F26" s="138" t="n">
        <v>60.3</v>
      </c>
      <c r="G26" s="138" t="n"/>
      <c r="H26" s="138" t="n">
        <v>35.8</v>
      </c>
      <c r="I26" s="138" t="n">
        <v>39.9</v>
      </c>
      <c r="J26" s="138" t="n">
        <v>51.4</v>
      </c>
      <c r="K26" s="138" t="n"/>
      <c r="L26" s="138" t="n">
        <v>52.3</v>
      </c>
    </row>
    <row r="27">
      <c r="A27" s="54" t="n">
        <v>18172</v>
      </c>
      <c r="B27" s="71" t="n">
        <v>58.9</v>
      </c>
      <c r="C27" s="55" t="n"/>
      <c r="D27" s="55" t="n"/>
      <c r="E27" s="138" t="n">
        <v>42.1</v>
      </c>
      <c r="F27" s="138" t="n">
        <v>54.5</v>
      </c>
      <c r="G27" s="138" t="n"/>
      <c r="H27" s="138" t="n">
        <v>40.6</v>
      </c>
      <c r="I27" s="138" t="n">
        <v>46.1</v>
      </c>
      <c r="J27" s="138" t="n">
        <v>43.7</v>
      </c>
      <c r="K27" s="138" t="n"/>
      <c r="L27" s="138" t="n">
        <v>51</v>
      </c>
    </row>
    <row r="28">
      <c r="A28" s="54" t="n">
        <v>18203</v>
      </c>
      <c r="B28" s="71" t="n">
        <v>58.7</v>
      </c>
      <c r="C28" s="55" t="n"/>
      <c r="D28" s="55" t="n"/>
      <c r="E28" s="138" t="n">
        <v>51.1</v>
      </c>
      <c r="F28" s="138" t="n">
        <v>55.7</v>
      </c>
      <c r="G28" s="138" t="n"/>
      <c r="H28" s="138" t="n">
        <v>31.3</v>
      </c>
      <c r="I28" s="138" t="n">
        <v>51.5</v>
      </c>
      <c r="J28" s="138" t="n">
        <v>42.9</v>
      </c>
      <c r="K28" s="138" t="n"/>
      <c r="L28" s="138" t="n">
        <v>51</v>
      </c>
    </row>
    <row r="29">
      <c r="A29" s="54" t="n">
        <v>18233</v>
      </c>
      <c r="B29" s="71" t="n">
        <v>53.1</v>
      </c>
      <c r="C29" s="55" t="n"/>
      <c r="D29" s="55" t="n"/>
      <c r="E29" s="138" t="n">
        <v>49.9</v>
      </c>
      <c r="F29" s="138" t="n">
        <v>63.3</v>
      </c>
      <c r="G29" s="138" t="n"/>
      <c r="H29" s="138" t="n">
        <v>41.7</v>
      </c>
      <c r="I29" s="138" t="n">
        <v>52.2</v>
      </c>
      <c r="J29" s="138" t="n">
        <v>52.6</v>
      </c>
      <c r="K29" s="138" t="n"/>
      <c r="L29" s="138" t="n">
        <v>57.3</v>
      </c>
    </row>
    <row r="30">
      <c r="A30" s="54" t="n">
        <v>18264</v>
      </c>
      <c r="B30" s="71" t="n">
        <v>62.3</v>
      </c>
      <c r="C30" s="55" t="n"/>
      <c r="D30" s="55" t="n"/>
      <c r="E30" s="138" t="n">
        <v>62.4</v>
      </c>
      <c r="F30" s="138" t="n">
        <v>64.3</v>
      </c>
      <c r="G30" s="138" t="n"/>
      <c r="H30" s="138" t="n">
        <v>43.6</v>
      </c>
      <c r="I30" s="138" t="n">
        <v>56.3</v>
      </c>
      <c r="J30" s="138" t="n">
        <v>57.7</v>
      </c>
      <c r="K30" s="138" t="n"/>
      <c r="L30" s="138" t="n">
        <v>59.1</v>
      </c>
    </row>
    <row r="31">
      <c r="A31" s="54" t="n">
        <v>18295</v>
      </c>
      <c r="B31" s="71" t="n">
        <v>62.5</v>
      </c>
      <c r="C31" s="55" t="n"/>
      <c r="D31" s="55" t="n"/>
      <c r="E31" s="138" t="n">
        <v>70.90000000000001</v>
      </c>
      <c r="F31" s="138" t="n">
        <v>66.7</v>
      </c>
      <c r="G31" s="138" t="n"/>
      <c r="H31" s="138" t="n">
        <v>46.4</v>
      </c>
      <c r="I31" s="138" t="n">
        <v>68</v>
      </c>
      <c r="J31" s="138" t="n">
        <v>51.1</v>
      </c>
      <c r="K31" s="138" t="n"/>
      <c r="L31" s="138" t="n">
        <v>60.5</v>
      </c>
    </row>
    <row r="32">
      <c r="A32" s="54" t="n">
        <v>18323</v>
      </c>
      <c r="B32" s="71" t="n">
        <v>61.8</v>
      </c>
      <c r="C32" s="55" t="n"/>
      <c r="D32" s="55" t="n"/>
      <c r="E32" s="138" t="n">
        <v>77</v>
      </c>
      <c r="F32" s="138" t="n">
        <v>65.8</v>
      </c>
      <c r="G32" s="138" t="n"/>
      <c r="H32" s="138" t="n">
        <v>48.8</v>
      </c>
      <c r="I32" s="138" t="n">
        <v>72</v>
      </c>
      <c r="J32" s="138" t="n">
        <v>56.9</v>
      </c>
      <c r="K32" s="138" t="n"/>
      <c r="L32" s="138" t="n">
        <v>62.1</v>
      </c>
    </row>
    <row r="33">
      <c r="A33" s="54" t="n">
        <v>18354</v>
      </c>
      <c r="B33" s="71" t="n">
        <v>71</v>
      </c>
      <c r="C33" s="55" t="n"/>
      <c r="D33" s="55" t="n"/>
      <c r="E33" s="138" t="n">
        <v>80.2</v>
      </c>
      <c r="F33" s="138" t="n">
        <v>74.8</v>
      </c>
      <c r="G33" s="138" t="n"/>
      <c r="H33" s="138" t="n">
        <v>50.6</v>
      </c>
      <c r="I33" s="138" t="n">
        <v>68.8</v>
      </c>
      <c r="J33" s="138" t="n">
        <v>63.4</v>
      </c>
      <c r="K33" s="138" t="n"/>
      <c r="L33" s="138" t="n">
        <v>68.09999999999999</v>
      </c>
    </row>
    <row r="34">
      <c r="A34" s="54" t="n">
        <v>18384</v>
      </c>
      <c r="B34" s="71" t="n">
        <v>76.59999999999999</v>
      </c>
      <c r="C34" s="55" t="n"/>
      <c r="D34" s="55" t="n"/>
      <c r="E34" s="138" t="n">
        <v>98.2</v>
      </c>
      <c r="F34" s="138" t="n">
        <v>78.09999999999999</v>
      </c>
      <c r="G34" s="138" t="n"/>
      <c r="H34" s="138" t="n">
        <v>58.2</v>
      </c>
      <c r="I34" s="138" t="n">
        <v>82.90000000000001</v>
      </c>
      <c r="J34" s="138" t="n">
        <v>69.8</v>
      </c>
      <c r="K34" s="138" t="n"/>
      <c r="L34" s="138" t="n">
        <v>74.7</v>
      </c>
    </row>
    <row r="35">
      <c r="A35" s="54" t="n">
        <v>18415</v>
      </c>
      <c r="B35" s="71" t="n">
        <v>82.59999999999999</v>
      </c>
      <c r="C35" s="55" t="n"/>
      <c r="D35" s="55" t="n"/>
      <c r="E35" s="138" t="n">
        <v>100</v>
      </c>
      <c r="F35" s="138" t="n">
        <v>79.09999999999999</v>
      </c>
      <c r="G35" s="138" t="n"/>
      <c r="H35" s="138" t="n">
        <v>62.1</v>
      </c>
      <c r="I35" s="138" t="n">
        <v>76.5</v>
      </c>
      <c r="J35" s="138" t="n">
        <v>71.90000000000001</v>
      </c>
      <c r="K35" s="138" t="n"/>
      <c r="L35" s="138" t="n">
        <v>76.59999999999999</v>
      </c>
    </row>
    <row r="36">
      <c r="A36" s="54" t="n">
        <v>18445</v>
      </c>
      <c r="B36" s="71" t="n">
        <v>80.3</v>
      </c>
      <c r="C36" s="55" t="n"/>
      <c r="D36" s="55" t="n"/>
      <c r="E36" s="138" t="n">
        <v>90.7</v>
      </c>
      <c r="F36" s="138" t="n">
        <v>77.09999999999999</v>
      </c>
      <c r="G36" s="138" t="n"/>
      <c r="H36" s="138" t="n">
        <v>62.7</v>
      </c>
      <c r="I36" s="138" t="n">
        <v>89.40000000000001</v>
      </c>
      <c r="J36" s="138" t="n">
        <v>72.5</v>
      </c>
      <c r="K36" s="138" t="n"/>
      <c r="L36" s="138" t="n">
        <v>77.5</v>
      </c>
    </row>
    <row r="37">
      <c r="A37" s="54" t="n">
        <v>18476</v>
      </c>
      <c r="B37" s="71" t="n">
        <v>77.09999999999999</v>
      </c>
      <c r="C37" s="55" t="n"/>
      <c r="D37" s="55" t="n"/>
      <c r="E37" s="138" t="n">
        <v>84.8</v>
      </c>
      <c r="F37" s="138" t="n">
        <v>78.7</v>
      </c>
      <c r="G37" s="138" t="n"/>
      <c r="H37" s="138" t="n">
        <v>62.3</v>
      </c>
      <c r="I37" s="138" t="n">
        <v>81.7</v>
      </c>
      <c r="J37" s="138" t="n">
        <v>72.3</v>
      </c>
      <c r="K37" s="138" t="n"/>
      <c r="L37" s="138" t="n">
        <v>75.8</v>
      </c>
    </row>
    <row r="38">
      <c r="A38" s="54" t="n">
        <v>18507</v>
      </c>
      <c r="B38" s="71" t="n">
        <v>66.40000000000001</v>
      </c>
      <c r="C38" s="55" t="n"/>
      <c r="D38" s="55" t="n"/>
      <c r="E38" s="138" t="n">
        <v>84.40000000000001</v>
      </c>
      <c r="F38" s="138" t="n">
        <v>68.59999999999999</v>
      </c>
      <c r="G38" s="138" t="n"/>
      <c r="H38" s="138" t="n">
        <v>55.2</v>
      </c>
      <c r="I38" s="138" t="n">
        <v>73.7</v>
      </c>
      <c r="J38" s="138" t="n">
        <v>72.2</v>
      </c>
      <c r="K38" s="138" t="n"/>
      <c r="L38" s="138" t="n">
        <v>68.09999999999999</v>
      </c>
    </row>
    <row r="39">
      <c r="A39" s="54" t="n">
        <v>18537</v>
      </c>
      <c r="B39" s="71" t="n">
        <v>49</v>
      </c>
      <c r="C39" s="55" t="n"/>
      <c r="D39" s="55" t="n"/>
      <c r="E39" s="138" t="n">
        <v>84.8</v>
      </c>
      <c r="F39" s="138" t="n">
        <v>62.9</v>
      </c>
      <c r="G39" s="138" t="n"/>
      <c r="H39" s="138" t="n">
        <v>50.6</v>
      </c>
      <c r="I39" s="138" t="n">
        <v>70.3</v>
      </c>
      <c r="J39" s="138" t="n">
        <v>65.59999999999999</v>
      </c>
      <c r="K39" s="138" t="n"/>
      <c r="L39" s="138" t="n">
        <v>59.2</v>
      </c>
    </row>
    <row r="40">
      <c r="A40" s="54" t="n">
        <v>18568</v>
      </c>
      <c r="B40" s="71" t="n">
        <v>57.2</v>
      </c>
      <c r="C40" s="55" t="n"/>
      <c r="D40" s="55" t="n"/>
      <c r="E40" s="138" t="n">
        <v>85.09999999999999</v>
      </c>
      <c r="F40" s="138" t="n">
        <v>63.6</v>
      </c>
      <c r="G40" s="138" t="n"/>
      <c r="H40" s="138" t="n">
        <v>48.3</v>
      </c>
      <c r="I40" s="138" t="n">
        <v>79.09999999999999</v>
      </c>
      <c r="J40" s="138" t="n">
        <v>66.7</v>
      </c>
      <c r="K40" s="138" t="n"/>
      <c r="L40" s="138" t="n">
        <v>63.1</v>
      </c>
    </row>
    <row r="41">
      <c r="A41" s="54" t="n">
        <v>18598</v>
      </c>
      <c r="B41" s="71" t="n">
        <v>67.7</v>
      </c>
      <c r="C41" s="55" t="n"/>
      <c r="D41" s="55" t="n"/>
      <c r="E41" s="138" t="n">
        <v>91.09999999999999</v>
      </c>
      <c r="F41" s="138" t="n">
        <v>62.5</v>
      </c>
      <c r="G41" s="138" t="n"/>
      <c r="H41" s="138" t="n">
        <v>49.7</v>
      </c>
      <c r="I41" s="138" t="n">
        <v>87.5</v>
      </c>
      <c r="J41" s="138" t="n">
        <v>65.09999999999999</v>
      </c>
      <c r="K41" s="138" t="n"/>
      <c r="L41" s="138" t="n">
        <v>67.09999999999999</v>
      </c>
    </row>
    <row r="42">
      <c r="A42" s="54" t="n">
        <v>18629</v>
      </c>
      <c r="B42" s="71" t="n">
        <v>67.90000000000001</v>
      </c>
      <c r="C42" s="55" t="n"/>
      <c r="D42" s="55" t="n"/>
      <c r="E42" s="138" t="n">
        <v>85.09999999999999</v>
      </c>
      <c r="F42" s="138" t="n">
        <v>63</v>
      </c>
      <c r="G42" s="138" t="n"/>
      <c r="H42" s="138" t="n">
        <v>48</v>
      </c>
      <c r="I42" s="138" t="n">
        <v>88.7</v>
      </c>
      <c r="J42" s="138" t="n">
        <v>67.8</v>
      </c>
      <c r="K42" s="138" t="n"/>
      <c r="L42" s="138" t="n">
        <v>67.8</v>
      </c>
    </row>
    <row r="43">
      <c r="A43" s="54" t="n">
        <v>18660</v>
      </c>
      <c r="B43" s="71" t="n">
        <v>70</v>
      </c>
      <c r="C43" s="55" t="n"/>
      <c r="D43" s="55" t="n"/>
      <c r="E43" s="138" t="n">
        <v>86.5</v>
      </c>
      <c r="F43" s="138" t="n">
        <v>61.4</v>
      </c>
      <c r="G43" s="138" t="n"/>
      <c r="H43" s="138" t="n">
        <v>42.1</v>
      </c>
      <c r="I43" s="138" t="n">
        <v>93.3</v>
      </c>
      <c r="J43" s="138" t="n">
        <v>73.7</v>
      </c>
      <c r="K43" s="138" t="n"/>
      <c r="L43" s="138" t="n">
        <v>69.3</v>
      </c>
    </row>
    <row r="44">
      <c r="A44" s="54" t="n">
        <v>18688</v>
      </c>
      <c r="B44" s="71" t="n">
        <v>61</v>
      </c>
      <c r="C44" s="55" t="n"/>
      <c r="D44" s="55" t="n"/>
      <c r="E44" s="138" t="n">
        <v>76.59999999999999</v>
      </c>
      <c r="F44" s="138" t="n">
        <v>61.2</v>
      </c>
      <c r="G44" s="138" t="n"/>
      <c r="H44" s="138" t="n">
        <v>47.4</v>
      </c>
      <c r="I44" s="138" t="n">
        <v>85.09999999999999</v>
      </c>
      <c r="J44" s="138" t="n">
        <v>72</v>
      </c>
      <c r="K44" s="138" t="n"/>
      <c r="L44" s="138" t="n">
        <v>65.5</v>
      </c>
    </row>
    <row r="45">
      <c r="A45" s="54" t="n">
        <v>18719</v>
      </c>
      <c r="B45" s="71" t="n">
        <v>42.3</v>
      </c>
      <c r="C45" s="55" t="n"/>
      <c r="D45" s="55" t="n"/>
      <c r="E45" s="138" t="n">
        <v>68.5</v>
      </c>
      <c r="F45" s="138" t="n">
        <v>53.5</v>
      </c>
      <c r="G45" s="138" t="n"/>
      <c r="H45" s="138" t="n">
        <v>51.8</v>
      </c>
      <c r="I45" s="138" t="n">
        <v>65.7</v>
      </c>
      <c r="J45" s="138" t="n">
        <v>61.9</v>
      </c>
      <c r="K45" s="138" t="n"/>
      <c r="L45" s="138" t="n">
        <v>53.5</v>
      </c>
    </row>
    <row r="46">
      <c r="A46" s="54" t="n">
        <v>18749</v>
      </c>
      <c r="B46" s="71" t="n">
        <v>45.2</v>
      </c>
      <c r="C46" s="55" t="n"/>
      <c r="D46" s="55" t="n"/>
      <c r="E46" s="138" t="n">
        <v>63.6</v>
      </c>
      <c r="F46" s="138" t="n">
        <v>54.2</v>
      </c>
      <c r="G46" s="138" t="n"/>
      <c r="H46" s="138" t="n">
        <v>51.2</v>
      </c>
      <c r="I46" s="138" t="n">
        <v>45</v>
      </c>
      <c r="J46" s="138" t="n">
        <v>58.8</v>
      </c>
      <c r="K46" s="138" t="n"/>
      <c r="L46" s="138" t="n">
        <v>50.7</v>
      </c>
    </row>
    <row r="47">
      <c r="A47" s="54" t="n">
        <v>18780</v>
      </c>
      <c r="B47" s="71" t="n">
        <v>39.1</v>
      </c>
      <c r="C47" s="55" t="n"/>
      <c r="D47" s="55" t="n"/>
      <c r="E47" s="138" t="n">
        <v>52.1</v>
      </c>
      <c r="F47" s="138" t="n">
        <v>48.6</v>
      </c>
      <c r="G47" s="138" t="n"/>
      <c r="H47" s="138" t="n">
        <v>48.4</v>
      </c>
      <c r="I47" s="138" t="n">
        <v>36.7</v>
      </c>
      <c r="J47" s="138" t="n">
        <v>56.4</v>
      </c>
      <c r="K47" s="138" t="n"/>
      <c r="L47" s="138" t="n">
        <v>45.5</v>
      </c>
    </row>
    <row r="48">
      <c r="A48" s="54" t="n">
        <v>18810</v>
      </c>
      <c r="B48" s="71" t="n">
        <v>38.2</v>
      </c>
      <c r="C48" s="55" t="n"/>
      <c r="D48" s="55" t="n"/>
      <c r="E48" s="138" t="n">
        <v>46.4</v>
      </c>
      <c r="F48" s="138" t="n">
        <v>41.6</v>
      </c>
      <c r="G48" s="138" t="n"/>
      <c r="H48" s="138" t="n">
        <v>47.8</v>
      </c>
      <c r="I48" s="138" t="n">
        <v>32.2</v>
      </c>
      <c r="J48" s="138" t="n">
        <v>53.2</v>
      </c>
      <c r="K48" s="138" t="n"/>
      <c r="L48" s="138" t="n">
        <v>42.1</v>
      </c>
    </row>
    <row r="49">
      <c r="A49" s="54" t="n">
        <v>18841</v>
      </c>
      <c r="B49" s="71" t="n">
        <v>38.5</v>
      </c>
      <c r="C49" s="55" t="n"/>
      <c r="D49" s="55" t="n"/>
      <c r="E49" s="138" t="n">
        <v>43.2</v>
      </c>
      <c r="F49" s="138" t="n">
        <v>48.4</v>
      </c>
      <c r="G49" s="138" t="n"/>
      <c r="H49" s="138" t="n">
        <v>46.7</v>
      </c>
      <c r="I49" s="138" t="n">
        <v>32</v>
      </c>
      <c r="J49" s="138" t="n">
        <v>51.7</v>
      </c>
      <c r="K49" s="138" t="n"/>
      <c r="L49" s="138" t="n">
        <v>43.6</v>
      </c>
    </row>
    <row r="50">
      <c r="A50" s="54" t="n">
        <v>18872</v>
      </c>
      <c r="B50" s="71" t="n">
        <v>48.2</v>
      </c>
      <c r="C50" s="55" t="n"/>
      <c r="D50" s="55" t="n"/>
      <c r="E50" s="138" t="n">
        <v>45.7</v>
      </c>
      <c r="F50" s="138" t="n">
        <v>50.2</v>
      </c>
      <c r="G50" s="138" t="n"/>
      <c r="H50" s="138" t="n">
        <v>43.8</v>
      </c>
      <c r="I50" s="138" t="n">
        <v>46.4</v>
      </c>
      <c r="J50" s="138" t="n">
        <v>48.6</v>
      </c>
      <c r="K50" s="138" t="n"/>
      <c r="L50" s="138" t="n">
        <v>48.1</v>
      </c>
    </row>
    <row r="51">
      <c r="A51" s="54" t="n">
        <v>18902</v>
      </c>
      <c r="B51" s="71" t="n">
        <v>51.7</v>
      </c>
      <c r="C51" s="55" t="n"/>
      <c r="D51" s="55" t="n"/>
      <c r="E51" s="138" t="n">
        <v>54.4</v>
      </c>
      <c r="F51" s="138" t="n">
        <v>50.3</v>
      </c>
      <c r="G51" s="138" t="n"/>
      <c r="H51" s="138" t="n">
        <v>42</v>
      </c>
      <c r="I51" s="138" t="n">
        <v>47.2</v>
      </c>
      <c r="J51" s="138" t="n">
        <v>51.1</v>
      </c>
      <c r="K51" s="138" t="n"/>
      <c r="L51" s="138" t="n">
        <v>49.6</v>
      </c>
    </row>
    <row r="52">
      <c r="A52" s="54" t="n">
        <v>18933</v>
      </c>
      <c r="B52" s="71" t="n">
        <v>49.3</v>
      </c>
      <c r="C52" s="55" t="n"/>
      <c r="D52" s="55" t="n"/>
      <c r="E52" s="138" t="n">
        <v>55.6</v>
      </c>
      <c r="F52" s="138" t="n">
        <v>50.9</v>
      </c>
      <c r="G52" s="138" t="n"/>
      <c r="H52" s="138" t="n">
        <v>44.5</v>
      </c>
      <c r="I52" s="138" t="n">
        <v>34.9</v>
      </c>
      <c r="J52" s="138" t="n">
        <v>50.2</v>
      </c>
      <c r="K52" s="138" t="n"/>
      <c r="L52" s="138" t="n">
        <v>47.2</v>
      </c>
    </row>
    <row r="53">
      <c r="A53" s="54" t="n">
        <v>18963</v>
      </c>
      <c r="B53" s="71" t="n">
        <v>45.3</v>
      </c>
      <c r="C53" s="55" t="n"/>
      <c r="D53" s="55" t="n"/>
      <c r="E53" s="138" t="n">
        <v>56.6</v>
      </c>
      <c r="F53" s="138" t="n">
        <v>52.8</v>
      </c>
      <c r="G53" s="138" t="n"/>
      <c r="H53" s="138" t="n">
        <v>42.6</v>
      </c>
      <c r="I53" s="138" t="n">
        <v>33.6</v>
      </c>
      <c r="J53" s="138" t="n">
        <v>51.8</v>
      </c>
      <c r="K53" s="138" t="n"/>
      <c r="L53" s="138" t="n">
        <v>46.5</v>
      </c>
    </row>
    <row r="54">
      <c r="A54" s="54" t="n">
        <v>18994</v>
      </c>
      <c r="B54" s="71" t="n">
        <v>46.8</v>
      </c>
      <c r="C54" s="55" t="n"/>
      <c r="D54" s="55" t="n"/>
      <c r="E54" s="138" t="n">
        <v>51.8</v>
      </c>
      <c r="F54" s="138" t="n">
        <v>49.5</v>
      </c>
      <c r="G54" s="138" t="n"/>
      <c r="H54" s="138" t="n">
        <v>42.5</v>
      </c>
      <c r="I54" s="138" t="n">
        <v>31.3</v>
      </c>
      <c r="J54" s="138" t="n">
        <v>46.9</v>
      </c>
      <c r="K54" s="138" t="n"/>
      <c r="L54" s="138" t="n">
        <v>44.7</v>
      </c>
    </row>
    <row r="55">
      <c r="A55" s="54" t="n">
        <v>19025</v>
      </c>
      <c r="B55" s="71" t="n">
        <v>42.3</v>
      </c>
      <c r="C55" s="55" t="n"/>
      <c r="D55" s="55" t="n"/>
      <c r="E55" s="138" t="n">
        <v>52.7</v>
      </c>
      <c r="F55" s="138" t="n">
        <v>49.9</v>
      </c>
      <c r="G55" s="138" t="n"/>
      <c r="H55" s="138" t="n">
        <v>39.3</v>
      </c>
      <c r="I55" s="138" t="n">
        <v>24.9</v>
      </c>
      <c r="J55" s="138" t="n">
        <v>44.8</v>
      </c>
      <c r="K55" s="138" t="n"/>
      <c r="L55" s="138" t="n">
        <v>41.8</v>
      </c>
    </row>
    <row r="56">
      <c r="A56" s="54" t="n">
        <v>19054</v>
      </c>
      <c r="B56" s="71" t="n">
        <v>43.7</v>
      </c>
      <c r="C56" s="55" t="n"/>
      <c r="D56" s="55" t="n"/>
      <c r="E56" s="138" t="n">
        <v>44.7</v>
      </c>
      <c r="F56" s="138" t="n">
        <v>48.7</v>
      </c>
      <c r="G56" s="138" t="n"/>
      <c r="H56" s="138" t="n">
        <v>35.6</v>
      </c>
      <c r="I56" s="138" t="n">
        <v>18.8</v>
      </c>
      <c r="J56" s="138" t="n">
        <v>41.8</v>
      </c>
      <c r="K56" s="138" t="n"/>
      <c r="L56" s="138" t="n">
        <v>40</v>
      </c>
    </row>
    <row r="57">
      <c r="A57" s="54" t="n">
        <v>19085</v>
      </c>
      <c r="B57" s="71" t="n">
        <v>35.8</v>
      </c>
      <c r="C57" s="55" t="n"/>
      <c r="D57" s="55" t="n"/>
      <c r="E57" s="138" t="n">
        <v>42.6</v>
      </c>
      <c r="F57" s="138" t="n">
        <v>43.5</v>
      </c>
      <c r="G57" s="138" t="n"/>
      <c r="H57" s="138" t="n">
        <v>35.4</v>
      </c>
      <c r="I57" s="138" t="n">
        <v>19.4</v>
      </c>
      <c r="J57" s="138" t="n">
        <v>43.3</v>
      </c>
      <c r="K57" s="138" t="n"/>
      <c r="L57" s="138" t="n">
        <v>36.7</v>
      </c>
    </row>
    <row r="58">
      <c r="A58" s="54" t="n">
        <v>19115</v>
      </c>
      <c r="B58" s="71" t="n">
        <v>43.9</v>
      </c>
      <c r="C58" s="55" t="n"/>
      <c r="D58" s="55" t="n"/>
      <c r="E58" s="138" t="n">
        <v>38.8</v>
      </c>
      <c r="F58" s="138" t="n">
        <v>45.7</v>
      </c>
      <c r="G58" s="138" t="n"/>
      <c r="H58" s="138" t="n">
        <v>30.3</v>
      </c>
      <c r="I58" s="138" t="n">
        <v>22.4</v>
      </c>
      <c r="J58" s="138" t="n">
        <v>42.7</v>
      </c>
      <c r="K58" s="138" t="n"/>
      <c r="L58" s="138" t="n">
        <v>39.5</v>
      </c>
    </row>
    <row r="59">
      <c r="A59" s="54" t="n">
        <v>19146</v>
      </c>
      <c r="B59" s="71" t="n">
        <v>46.3</v>
      </c>
      <c r="C59" s="55" t="n"/>
      <c r="D59" s="55" t="n"/>
      <c r="E59" s="138" t="n">
        <v>40.4</v>
      </c>
      <c r="F59" s="138" t="n">
        <v>49.5</v>
      </c>
      <c r="G59" s="138" t="n"/>
      <c r="H59" s="138" t="n">
        <v>33.8</v>
      </c>
      <c r="I59" s="138" t="n">
        <v>33</v>
      </c>
      <c r="J59" s="138" t="n">
        <v>43.5</v>
      </c>
      <c r="K59" s="138" t="n"/>
      <c r="L59" s="138" t="n">
        <v>43.3</v>
      </c>
    </row>
    <row r="60">
      <c r="A60" s="54" t="n">
        <v>19176</v>
      </c>
      <c r="B60" s="71" t="n">
        <v>69.40000000000001</v>
      </c>
      <c r="C60" s="55" t="n"/>
      <c r="D60" s="55" t="n"/>
      <c r="E60" s="138" t="n">
        <v>60.1</v>
      </c>
      <c r="F60" s="138" t="n">
        <v>37.2</v>
      </c>
      <c r="G60" s="138" t="n"/>
      <c r="H60" s="138" t="n">
        <v>31.6</v>
      </c>
      <c r="I60" s="138" t="n">
        <v>47.4</v>
      </c>
      <c r="J60" s="138" t="n">
        <v>39.5</v>
      </c>
      <c r="K60" s="138" t="n"/>
      <c r="L60" s="138" t="n">
        <v>48.3</v>
      </c>
    </row>
    <row r="61">
      <c r="A61" s="54" t="n">
        <v>19207</v>
      </c>
      <c r="B61" s="71" t="n">
        <v>58.5</v>
      </c>
      <c r="C61" s="55" t="n"/>
      <c r="D61" s="55" t="n"/>
      <c r="E61" s="138" t="n">
        <v>54.7</v>
      </c>
      <c r="F61" s="138" t="n">
        <v>84</v>
      </c>
      <c r="G61" s="138" t="n"/>
      <c r="H61" s="138" t="n">
        <v>30.5</v>
      </c>
      <c r="I61" s="138" t="n">
        <v>41.2</v>
      </c>
      <c r="J61" s="138" t="n">
        <v>63.1</v>
      </c>
      <c r="K61" s="138" t="n"/>
      <c r="L61" s="138" t="n">
        <v>60.4</v>
      </c>
    </row>
    <row r="62">
      <c r="A62" s="54" t="n">
        <v>19238</v>
      </c>
      <c r="B62" s="71" t="n">
        <v>60.3</v>
      </c>
      <c r="C62" s="55" t="n"/>
      <c r="D62" s="55" t="n"/>
      <c r="E62" s="138" t="n">
        <v>57.9</v>
      </c>
      <c r="F62" s="138" t="n">
        <v>66</v>
      </c>
      <c r="G62" s="138" t="n"/>
      <c r="H62" s="138" t="n">
        <v>38.6</v>
      </c>
      <c r="I62" s="138" t="n">
        <v>42.7</v>
      </c>
      <c r="J62" s="138" t="n">
        <v>56.2</v>
      </c>
      <c r="K62" s="138" t="n"/>
      <c r="L62" s="138" t="n">
        <v>56.1</v>
      </c>
    </row>
    <row r="63">
      <c r="A63" s="54" t="n">
        <v>19268</v>
      </c>
      <c r="B63" s="71" t="n">
        <v>59.9</v>
      </c>
      <c r="C63" s="55" t="n"/>
      <c r="D63" s="55" t="n"/>
      <c r="E63" s="138" t="n">
        <v>54.1</v>
      </c>
      <c r="F63" s="138" t="n">
        <v>65.3</v>
      </c>
      <c r="G63" s="138" t="n"/>
      <c r="H63" s="138" t="n">
        <v>38.2</v>
      </c>
      <c r="I63" s="138" t="n">
        <v>43.3</v>
      </c>
      <c r="J63" s="138" t="n">
        <v>57.8</v>
      </c>
      <c r="K63" s="138" t="n"/>
      <c r="L63" s="138" t="n">
        <v>56.2</v>
      </c>
    </row>
    <row r="64">
      <c r="A64" s="54" t="n">
        <v>19299</v>
      </c>
      <c r="B64" s="71" t="n">
        <v>58.8</v>
      </c>
      <c r="C64" s="55" t="n"/>
      <c r="D64" s="55" t="n"/>
      <c r="E64" s="138" t="n">
        <v>49.7</v>
      </c>
      <c r="F64" s="138" t="n">
        <v>65</v>
      </c>
      <c r="G64" s="138" t="n"/>
      <c r="H64" s="138" t="n">
        <v>39.9</v>
      </c>
      <c r="I64" s="138" t="n">
        <v>45</v>
      </c>
      <c r="J64" s="138" t="n">
        <v>60.9</v>
      </c>
      <c r="K64" s="138" t="n"/>
      <c r="L64" s="138" t="n">
        <v>56.8</v>
      </c>
    </row>
    <row r="65">
      <c r="A65" s="54" t="n">
        <v>19329</v>
      </c>
      <c r="B65" s="71" t="n">
        <v>60.4</v>
      </c>
      <c r="C65" s="55" t="n"/>
      <c r="D65" s="55" t="n"/>
      <c r="E65" s="138" t="n">
        <v>48.2</v>
      </c>
      <c r="F65" s="138" t="n">
        <v>64.3</v>
      </c>
      <c r="G65" s="138" t="n"/>
      <c r="H65" s="138" t="n">
        <v>40</v>
      </c>
      <c r="I65" s="138" t="n">
        <v>43.5</v>
      </c>
      <c r="J65" s="138" t="n">
        <v>55.6</v>
      </c>
      <c r="K65" s="138" t="n"/>
      <c r="L65" s="138" t="n">
        <v>55.8</v>
      </c>
    </row>
    <row r="66">
      <c r="A66" s="54" t="n">
        <v>19360</v>
      </c>
      <c r="B66" s="71" t="n">
        <v>64.59999999999999</v>
      </c>
      <c r="C66" s="55" t="n"/>
      <c r="D66" s="55" t="n"/>
      <c r="E66" s="138" t="n">
        <v>45.1</v>
      </c>
      <c r="F66" s="138" t="n">
        <v>69.8</v>
      </c>
      <c r="G66" s="138" t="n"/>
      <c r="H66" s="138" t="n">
        <v>40.9</v>
      </c>
      <c r="I66" s="138" t="n">
        <v>41.5</v>
      </c>
      <c r="J66" s="138" t="n">
        <v>61.5</v>
      </c>
      <c r="K66" s="138" t="n"/>
      <c r="L66" s="138" t="n">
        <v>59.4</v>
      </c>
    </row>
    <row r="67">
      <c r="A67" s="54" t="n">
        <v>19391</v>
      </c>
      <c r="B67" s="71" t="n">
        <v>56</v>
      </c>
      <c r="C67" s="55" t="n"/>
      <c r="D67" s="55" t="n"/>
      <c r="E67" s="138" t="n">
        <v>54.5</v>
      </c>
      <c r="F67" s="138" t="n">
        <v>62.4</v>
      </c>
      <c r="G67" s="138" t="n"/>
      <c r="H67" s="138" t="n">
        <v>44.3</v>
      </c>
      <c r="I67" s="138" t="n">
        <v>41.8</v>
      </c>
      <c r="J67" s="138" t="n">
        <v>61.7</v>
      </c>
      <c r="K67" s="138" t="n"/>
      <c r="L67" s="138" t="n">
        <v>55.4</v>
      </c>
    </row>
    <row r="68">
      <c r="A68" s="54" t="n">
        <v>19419</v>
      </c>
      <c r="B68" s="71" t="n">
        <v>47.2</v>
      </c>
      <c r="C68" s="55" t="n"/>
      <c r="D68" s="55" t="n"/>
      <c r="E68" s="138" t="n">
        <v>73.3</v>
      </c>
      <c r="F68" s="138" t="n">
        <v>54</v>
      </c>
      <c r="G68" s="138" t="n"/>
      <c r="H68" s="138" t="n">
        <v>46.4</v>
      </c>
      <c r="I68" s="138" t="n">
        <v>41.8</v>
      </c>
      <c r="J68" s="138" t="n">
        <v>59.4</v>
      </c>
      <c r="K68" s="138" t="n"/>
      <c r="L68" s="138" t="n">
        <v>50.5</v>
      </c>
    </row>
    <row r="69">
      <c r="A69" s="54" t="n">
        <v>19450</v>
      </c>
      <c r="B69" s="71" t="n">
        <v>52</v>
      </c>
      <c r="C69" s="55" t="n"/>
      <c r="D69" s="55" t="n"/>
      <c r="E69" s="138" t="n">
        <v>69.3</v>
      </c>
      <c r="F69" s="138" t="n">
        <v>57.3</v>
      </c>
      <c r="G69" s="138" t="n"/>
      <c r="H69" s="138" t="n">
        <v>43.8</v>
      </c>
      <c r="I69" s="138" t="n">
        <v>38.6</v>
      </c>
      <c r="J69" s="138" t="n">
        <v>55</v>
      </c>
      <c r="K69" s="138" t="n"/>
      <c r="L69" s="138" t="n">
        <v>51.1</v>
      </c>
    </row>
    <row r="70">
      <c r="A70" s="54" t="n">
        <v>19480</v>
      </c>
      <c r="B70" s="71" t="n">
        <v>49.3</v>
      </c>
      <c r="C70" s="55" t="n"/>
      <c r="D70" s="55" t="n"/>
      <c r="E70" s="138" t="n">
        <v>72.3</v>
      </c>
      <c r="F70" s="138" t="n">
        <v>57.1</v>
      </c>
      <c r="G70" s="138" t="n"/>
      <c r="H70" s="138" t="n">
        <v>41.2</v>
      </c>
      <c r="I70" s="138" t="n">
        <v>35.1</v>
      </c>
      <c r="J70" s="138" t="n">
        <v>52.3</v>
      </c>
      <c r="K70" s="138" t="n"/>
      <c r="L70" s="138" t="n">
        <v>48.9</v>
      </c>
    </row>
    <row r="71">
      <c r="A71" s="54" t="n">
        <v>19511</v>
      </c>
      <c r="B71" s="71" t="n">
        <v>48.3</v>
      </c>
      <c r="C71" s="55" t="n"/>
      <c r="D71" s="55" t="n"/>
      <c r="E71" s="138" t="n">
        <v>69.7</v>
      </c>
      <c r="F71" s="138" t="n">
        <v>55.2</v>
      </c>
      <c r="G71" s="138" t="n"/>
      <c r="H71" s="138" t="n">
        <v>44.6</v>
      </c>
      <c r="I71" s="138" t="n">
        <v>33.3</v>
      </c>
      <c r="J71" s="138" t="n">
        <v>53.8</v>
      </c>
      <c r="K71" s="138" t="n"/>
      <c r="L71" s="138" t="n">
        <v>48.5</v>
      </c>
    </row>
    <row r="72">
      <c r="A72" s="54" t="n">
        <v>19541</v>
      </c>
      <c r="B72" s="71" t="n">
        <v>44.2</v>
      </c>
      <c r="C72" s="55" t="n"/>
      <c r="D72" s="55" t="n"/>
      <c r="E72" s="138" t="n">
        <v>62</v>
      </c>
      <c r="F72" s="138" t="n">
        <v>53.1</v>
      </c>
      <c r="G72" s="138" t="n"/>
      <c r="H72" s="138" t="n">
        <v>45.6</v>
      </c>
      <c r="I72" s="138" t="n">
        <v>28.5</v>
      </c>
      <c r="J72" s="138" t="n">
        <v>54.4</v>
      </c>
      <c r="K72" s="138" t="n"/>
      <c r="L72" s="138" t="n">
        <v>46.3</v>
      </c>
    </row>
    <row r="73">
      <c r="A73" s="54" t="n">
        <v>19572</v>
      </c>
      <c r="B73" s="71" t="n">
        <v>42.1</v>
      </c>
      <c r="C73" s="55" t="n"/>
      <c r="D73" s="55" t="n"/>
      <c r="E73" s="138" t="n">
        <v>55.8</v>
      </c>
      <c r="F73" s="138" t="n">
        <v>50.7</v>
      </c>
      <c r="G73" s="138" t="n"/>
      <c r="H73" s="138" t="n">
        <v>46.2</v>
      </c>
      <c r="I73" s="138" t="n">
        <v>26.5</v>
      </c>
      <c r="J73" s="138" t="n">
        <v>48.1</v>
      </c>
      <c r="K73" s="138" t="n"/>
      <c r="L73" s="138" t="n">
        <v>43.5</v>
      </c>
    </row>
    <row r="74">
      <c r="A74" s="54" t="n">
        <v>19603</v>
      </c>
      <c r="B74" s="71" t="n">
        <v>39.9</v>
      </c>
      <c r="C74" s="55" t="n"/>
      <c r="D74" s="55" t="n"/>
      <c r="E74" s="138" t="n">
        <v>43.8</v>
      </c>
      <c r="F74" s="138" t="n">
        <v>46.8</v>
      </c>
      <c r="G74" s="138" t="n"/>
      <c r="H74" s="138" t="n">
        <v>43.3</v>
      </c>
      <c r="I74" s="138" t="n">
        <v>23.2</v>
      </c>
      <c r="J74" s="138" t="n">
        <v>43.8</v>
      </c>
      <c r="K74" s="138" t="n"/>
      <c r="L74" s="138" t="n">
        <v>40.2</v>
      </c>
    </row>
    <row r="75">
      <c r="A75" s="54" t="n">
        <v>19633</v>
      </c>
      <c r="B75" s="71" t="n">
        <v>38</v>
      </c>
      <c r="C75" s="55" t="n"/>
      <c r="D75" s="55" t="n"/>
      <c r="E75" s="138" t="n">
        <v>45.1</v>
      </c>
      <c r="F75" s="138" t="n">
        <v>44.6</v>
      </c>
      <c r="G75" s="138" t="n"/>
      <c r="H75" s="138" t="n">
        <v>41.3</v>
      </c>
      <c r="I75" s="138" t="n">
        <v>20.7</v>
      </c>
      <c r="J75" s="138" t="n">
        <v>37.9</v>
      </c>
      <c r="K75" s="138" t="n"/>
      <c r="L75" s="138" t="n">
        <v>37.4</v>
      </c>
    </row>
    <row r="76">
      <c r="A76" s="54" t="n">
        <v>19664</v>
      </c>
      <c r="B76" s="71" t="n">
        <v>40.9</v>
      </c>
      <c r="C76" s="55" t="n"/>
      <c r="D76" s="55" t="n"/>
      <c r="E76" s="138" t="n">
        <v>47</v>
      </c>
      <c r="F76" s="138" t="n">
        <v>43.4</v>
      </c>
      <c r="G76" s="138" t="n"/>
      <c r="H76" s="138" t="n">
        <v>35.5</v>
      </c>
      <c r="I76" s="138" t="n">
        <v>20.2</v>
      </c>
      <c r="J76" s="138" t="n">
        <v>35.8</v>
      </c>
      <c r="K76" s="138" t="n"/>
      <c r="L76" s="138" t="n">
        <v>36.9</v>
      </c>
    </row>
    <row r="77">
      <c r="A77" s="54" t="n">
        <v>19694</v>
      </c>
      <c r="B77" s="71" t="n">
        <v>37.5</v>
      </c>
      <c r="C77" s="55" t="n"/>
      <c r="D77" s="55" t="n"/>
      <c r="E77" s="138" t="n">
        <v>47.7</v>
      </c>
      <c r="F77" s="138" t="n">
        <v>41.3</v>
      </c>
      <c r="G77" s="138" t="n"/>
      <c r="H77" s="138" t="n">
        <v>34.2</v>
      </c>
      <c r="I77" s="138" t="n">
        <v>21.8</v>
      </c>
      <c r="J77" s="138" t="n">
        <v>36.6</v>
      </c>
      <c r="K77" s="138" t="n"/>
      <c r="L77" s="138" t="n">
        <v>35.6</v>
      </c>
    </row>
    <row r="78">
      <c r="A78" s="54" t="n">
        <v>19725</v>
      </c>
      <c r="B78" s="71" t="n">
        <v>42.9</v>
      </c>
      <c r="C78" s="55" t="n"/>
      <c r="D78" s="55" t="n"/>
      <c r="E78" s="138" t="n">
        <v>40.5</v>
      </c>
      <c r="F78" s="138" t="n">
        <v>45</v>
      </c>
      <c r="G78" s="138" t="n"/>
      <c r="H78" s="138" t="n">
        <v>34.2</v>
      </c>
      <c r="I78" s="138" t="n">
        <v>23.6</v>
      </c>
      <c r="J78" s="138" t="n">
        <v>31.5</v>
      </c>
      <c r="K78" s="138" t="n"/>
      <c r="L78" s="138" t="n">
        <v>37.4</v>
      </c>
    </row>
    <row r="79">
      <c r="A79" s="54" t="n">
        <v>19756</v>
      </c>
      <c r="B79" s="71" t="n">
        <v>50.3</v>
      </c>
      <c r="C79" s="55" t="n"/>
      <c r="D79" s="55" t="n"/>
      <c r="E79" s="138" t="n">
        <v>41.6</v>
      </c>
      <c r="F79" s="138" t="n">
        <v>46</v>
      </c>
      <c r="G79" s="138" t="n"/>
      <c r="H79" s="138" t="n">
        <v>30.9</v>
      </c>
      <c r="I79" s="138" t="n">
        <v>26.9</v>
      </c>
      <c r="J79" s="138" t="n">
        <v>34.8</v>
      </c>
      <c r="K79" s="138" t="n"/>
      <c r="L79" s="138" t="n">
        <v>40.7</v>
      </c>
    </row>
    <row r="80">
      <c r="A80" s="54" t="n">
        <v>19784</v>
      </c>
      <c r="B80" s="71" t="n">
        <v>54.7</v>
      </c>
      <c r="C80" s="55" t="n"/>
      <c r="D80" s="55" t="n"/>
      <c r="E80" s="138" t="n">
        <v>46.6</v>
      </c>
      <c r="F80" s="138" t="n">
        <v>51.5</v>
      </c>
      <c r="G80" s="138" t="n"/>
      <c r="H80" s="138" t="n">
        <v>31.6</v>
      </c>
      <c r="I80" s="138" t="n">
        <v>28</v>
      </c>
      <c r="J80" s="138" t="n">
        <v>40.2</v>
      </c>
      <c r="K80" s="138" t="n"/>
      <c r="L80" s="138" t="n">
        <v>44.7</v>
      </c>
    </row>
    <row r="81">
      <c r="A81" s="54" t="n">
        <v>19815</v>
      </c>
      <c r="B81" s="71" t="n">
        <v>58.4</v>
      </c>
      <c r="C81" s="55" t="n"/>
      <c r="D81" s="55" t="n"/>
      <c r="E81" s="138" t="n">
        <v>49.7</v>
      </c>
      <c r="F81" s="138" t="n">
        <v>55.4</v>
      </c>
      <c r="G81" s="138" t="n"/>
      <c r="H81" s="138" t="n">
        <v>33.2</v>
      </c>
      <c r="I81" s="138" t="n">
        <v>30.3</v>
      </c>
      <c r="J81" s="138" t="n">
        <v>42.4</v>
      </c>
      <c r="K81" s="138" t="n"/>
      <c r="L81" s="138" t="n">
        <v>47.7</v>
      </c>
    </row>
    <row r="82">
      <c r="A82" s="54" t="n">
        <v>19845</v>
      </c>
      <c r="B82" s="71" t="n">
        <v>60.2</v>
      </c>
      <c r="C82" s="55" t="n"/>
      <c r="D82" s="55" t="n"/>
      <c r="E82" s="138" t="n">
        <v>45.6</v>
      </c>
      <c r="F82" s="138" t="n">
        <v>56.3</v>
      </c>
      <c r="G82" s="138" t="n"/>
      <c r="H82" s="138" t="n">
        <v>39.1</v>
      </c>
      <c r="I82" s="138" t="n">
        <v>34.3</v>
      </c>
      <c r="J82" s="138" t="n">
        <v>44.5</v>
      </c>
      <c r="K82" s="138" t="n"/>
      <c r="L82" s="138" t="n">
        <v>50.1</v>
      </c>
    </row>
    <row r="83">
      <c r="A83" s="54" t="n">
        <v>19876</v>
      </c>
      <c r="B83" s="71" t="n">
        <v>64.59999999999999</v>
      </c>
      <c r="C83" s="55" t="n"/>
      <c r="D83" s="55" t="n"/>
      <c r="E83" s="138" t="n">
        <v>52.5</v>
      </c>
      <c r="F83" s="138" t="n">
        <v>59.4</v>
      </c>
      <c r="G83" s="138" t="n"/>
      <c r="H83" s="138" t="n">
        <v>34.4</v>
      </c>
      <c r="I83" s="138" t="n">
        <v>35.8</v>
      </c>
      <c r="J83" s="138" t="n">
        <v>45.2</v>
      </c>
      <c r="K83" s="138" t="n"/>
      <c r="L83" s="138" t="n">
        <v>52.1</v>
      </c>
    </row>
    <row r="84">
      <c r="A84" s="54" t="n">
        <v>19906</v>
      </c>
      <c r="B84" s="71" t="n">
        <v>63.8</v>
      </c>
      <c r="C84" s="55" t="n"/>
      <c r="D84" s="55" t="n"/>
      <c r="E84" s="138" t="n">
        <v>53.8</v>
      </c>
      <c r="F84" s="138" t="n">
        <v>57.4</v>
      </c>
      <c r="G84" s="138" t="n"/>
      <c r="H84" s="138" t="n">
        <v>35.7</v>
      </c>
      <c r="I84" s="138" t="n">
        <v>38.1</v>
      </c>
      <c r="J84" s="138" t="n">
        <v>44.4</v>
      </c>
      <c r="K84" s="138" t="n"/>
      <c r="L84" s="138" t="n">
        <v>51.7</v>
      </c>
    </row>
    <row r="85">
      <c r="A85" s="54" t="n">
        <v>19937</v>
      </c>
      <c r="B85" s="71" t="n">
        <v>56.6</v>
      </c>
      <c r="C85" s="55" t="n"/>
      <c r="D85" s="55" t="n"/>
      <c r="E85" s="138" t="n">
        <v>41.7</v>
      </c>
      <c r="F85" s="138" t="n">
        <v>56.2</v>
      </c>
      <c r="G85" s="138" t="n"/>
      <c r="H85" s="138" t="n">
        <v>37.7</v>
      </c>
      <c r="I85" s="138" t="n">
        <v>36.4</v>
      </c>
      <c r="J85" s="138" t="n">
        <v>37.7</v>
      </c>
      <c r="K85" s="138" t="n"/>
      <c r="L85" s="138" t="n">
        <v>54.4</v>
      </c>
    </row>
    <row r="86">
      <c r="A86" s="54" t="n">
        <v>19968</v>
      </c>
      <c r="B86" s="71" t="n">
        <v>62.2</v>
      </c>
      <c r="C86" s="55" t="n"/>
      <c r="D86" s="55" t="n"/>
      <c r="E86" s="138" t="n">
        <v>53</v>
      </c>
      <c r="F86" s="138" t="n">
        <v>57</v>
      </c>
      <c r="G86" s="138" t="n"/>
      <c r="H86" s="138" t="n">
        <v>40.8</v>
      </c>
      <c r="I86" s="138" t="n">
        <v>43.6</v>
      </c>
      <c r="J86" s="138" t="n">
        <v>49.7</v>
      </c>
      <c r="K86" s="138" t="n"/>
      <c r="L86" s="138" t="n">
        <v>53.5</v>
      </c>
    </row>
    <row r="87">
      <c r="A87" s="54" t="n">
        <v>19998</v>
      </c>
      <c r="B87" s="71" t="n">
        <v>66.7</v>
      </c>
      <c r="C87" s="55" t="n"/>
      <c r="D87" s="55" t="n"/>
      <c r="E87" s="138" t="n">
        <v>57.6</v>
      </c>
      <c r="F87" s="138" t="n">
        <v>62.4</v>
      </c>
      <c r="G87" s="138" t="n"/>
      <c r="H87" s="138" t="n">
        <v>40.5</v>
      </c>
      <c r="I87" s="138" t="n">
        <v>49.5</v>
      </c>
      <c r="J87" s="138" t="n">
        <v>55.8</v>
      </c>
      <c r="K87" s="138" t="n"/>
      <c r="L87" s="138" t="n">
        <v>58.2</v>
      </c>
    </row>
    <row r="88">
      <c r="A88" s="54" t="n">
        <v>20029</v>
      </c>
      <c r="B88" s="71" t="n">
        <v>66</v>
      </c>
      <c r="C88" s="55" t="n"/>
      <c r="D88" s="55" t="n"/>
      <c r="E88" s="138" t="n">
        <v>57.8</v>
      </c>
      <c r="F88" s="138" t="n">
        <v>63</v>
      </c>
      <c r="G88" s="138" t="n"/>
      <c r="H88" s="138" t="n">
        <v>44.7</v>
      </c>
      <c r="I88" s="138" t="n">
        <v>51.9</v>
      </c>
      <c r="J88" s="138" t="n">
        <v>55.1</v>
      </c>
      <c r="K88" s="138" t="n"/>
      <c r="L88" s="138" t="n">
        <v>58.8</v>
      </c>
    </row>
    <row r="89">
      <c r="A89" s="54" t="n">
        <v>20059</v>
      </c>
      <c r="B89" s="71" t="n">
        <v>73.59999999999999</v>
      </c>
      <c r="C89" s="55" t="n"/>
      <c r="D89" s="55" t="n"/>
      <c r="E89" s="138" t="n">
        <v>59.1</v>
      </c>
      <c r="F89" s="138" t="n">
        <v>70.5</v>
      </c>
      <c r="G89" s="138" t="n"/>
      <c r="H89" s="138" t="n">
        <v>47.1</v>
      </c>
      <c r="I89" s="138" t="n">
        <v>54.5</v>
      </c>
      <c r="J89" s="138" t="n">
        <v>55.8</v>
      </c>
      <c r="K89" s="138" t="n"/>
      <c r="L89" s="138" t="n">
        <v>63.8</v>
      </c>
    </row>
    <row r="90">
      <c r="A90" s="54" t="n">
        <v>20090</v>
      </c>
      <c r="B90" s="71" t="n">
        <v>66.8</v>
      </c>
      <c r="C90" s="55" t="n"/>
      <c r="D90" s="55" t="n"/>
      <c r="E90" s="138" t="n">
        <v>66.7</v>
      </c>
      <c r="F90" s="138" t="n">
        <v>69.09999999999999</v>
      </c>
      <c r="G90" s="138" t="n"/>
      <c r="H90" s="138" t="n">
        <v>48</v>
      </c>
      <c r="I90" s="138" t="n">
        <v>60.6</v>
      </c>
      <c r="J90" s="138" t="n">
        <v>59</v>
      </c>
      <c r="K90" s="138" t="n"/>
      <c r="L90" s="138" t="n">
        <v>63</v>
      </c>
    </row>
    <row r="91">
      <c r="A91" s="54" t="n">
        <v>20121</v>
      </c>
      <c r="B91" s="71" t="n">
        <v>73.90000000000001</v>
      </c>
      <c r="C91" s="55" t="n"/>
      <c r="D91" s="55" t="n"/>
      <c r="E91" s="138" t="n">
        <v>82</v>
      </c>
      <c r="F91" s="138" t="n">
        <v>70.90000000000001</v>
      </c>
      <c r="G91" s="138" t="n"/>
      <c r="H91" s="138" t="n">
        <v>51.3</v>
      </c>
      <c r="I91" s="138" t="n">
        <v>67.2</v>
      </c>
      <c r="J91" s="138" t="n">
        <v>63.4</v>
      </c>
      <c r="K91" s="138" t="n"/>
      <c r="L91" s="138" t="n">
        <v>67.8</v>
      </c>
    </row>
    <row r="92">
      <c r="A92" s="54" t="n">
        <v>20149</v>
      </c>
      <c r="B92" s="71" t="n">
        <v>71.5</v>
      </c>
      <c r="C92" s="55" t="n"/>
      <c r="D92" s="55" t="n"/>
      <c r="E92" s="138" t="n">
        <v>69.8</v>
      </c>
      <c r="F92" s="138" t="n">
        <v>71</v>
      </c>
      <c r="G92" s="138" t="n"/>
      <c r="H92" s="138" t="n">
        <v>54.4</v>
      </c>
      <c r="I92" s="138" t="n">
        <v>68.5</v>
      </c>
      <c r="J92" s="138" t="n">
        <v>63</v>
      </c>
      <c r="K92" s="138" t="n"/>
      <c r="L92" s="138" t="n">
        <v>67.5</v>
      </c>
    </row>
    <row r="93">
      <c r="A93" s="54" t="n">
        <v>20180</v>
      </c>
      <c r="B93" s="71" t="n">
        <v>70.90000000000001</v>
      </c>
      <c r="C93" s="55" t="n"/>
      <c r="D93" s="55" t="n"/>
      <c r="E93" s="138" t="n">
        <v>75.2</v>
      </c>
      <c r="F93" s="138" t="n">
        <v>73.8</v>
      </c>
      <c r="G93" s="138" t="n"/>
      <c r="H93" s="138" t="n">
        <v>54.2</v>
      </c>
      <c r="I93" s="138" t="n">
        <v>71.90000000000001</v>
      </c>
      <c r="J93" s="138" t="n">
        <v>63.9</v>
      </c>
      <c r="K93" s="138" t="n"/>
      <c r="L93" s="138" t="n">
        <v>68.7</v>
      </c>
    </row>
    <row r="94">
      <c r="A94" s="54" t="n">
        <v>20210</v>
      </c>
      <c r="B94" s="71" t="n">
        <v>72.90000000000001</v>
      </c>
      <c r="C94" s="55" t="n"/>
      <c r="D94" s="55" t="n"/>
      <c r="E94" s="138" t="n">
        <v>81</v>
      </c>
      <c r="F94" s="138" t="n">
        <v>73.5</v>
      </c>
      <c r="G94" s="138" t="n"/>
      <c r="H94" s="138" t="n">
        <v>56.6</v>
      </c>
      <c r="I94" s="138" t="n">
        <v>68.7</v>
      </c>
      <c r="J94" s="138" t="n">
        <v>66.2</v>
      </c>
      <c r="K94" s="138" t="n"/>
      <c r="L94" s="138" t="n">
        <v>69.5</v>
      </c>
    </row>
    <row r="95">
      <c r="A95" s="54" t="n">
        <v>20241</v>
      </c>
      <c r="B95" s="71" t="n">
        <v>60.9</v>
      </c>
      <c r="C95" s="55" t="n"/>
      <c r="D95" s="55" t="n"/>
      <c r="E95" s="138" t="n">
        <v>75.90000000000001</v>
      </c>
      <c r="F95" s="138" t="n">
        <v>65.5</v>
      </c>
      <c r="G95" s="138" t="n"/>
      <c r="H95" s="138" t="n">
        <v>65.2</v>
      </c>
      <c r="I95" s="138" t="n">
        <v>65.7</v>
      </c>
      <c r="J95" s="138" t="n">
        <v>61.2</v>
      </c>
      <c r="K95" s="138" t="n"/>
      <c r="L95" s="138" t="n">
        <v>63.3</v>
      </c>
    </row>
    <row r="96">
      <c r="A96" s="54" t="n">
        <v>20271</v>
      </c>
      <c r="B96" s="71" t="n">
        <v>67.09999999999999</v>
      </c>
      <c r="C96" s="55" t="n"/>
      <c r="D96" s="55" t="n"/>
      <c r="E96" s="138" t="n">
        <v>80.40000000000001</v>
      </c>
      <c r="F96" s="138" t="n">
        <v>72.09999999999999</v>
      </c>
      <c r="G96" s="138" t="n"/>
      <c r="H96" s="138" t="n">
        <v>58.4</v>
      </c>
      <c r="I96" s="138" t="n">
        <v>67</v>
      </c>
      <c r="J96" s="138" t="n">
        <v>60.9</v>
      </c>
      <c r="K96" s="138" t="n"/>
      <c r="L96" s="138" t="n">
        <v>66.2</v>
      </c>
    </row>
    <row r="97">
      <c r="A97" s="54" t="n">
        <v>20302</v>
      </c>
      <c r="B97" s="71" t="n">
        <v>70.40000000000001</v>
      </c>
      <c r="C97" s="55" t="n"/>
      <c r="D97" s="55" t="n"/>
      <c r="E97" s="138" t="n">
        <v>79.5</v>
      </c>
      <c r="F97" s="138" t="n">
        <v>67.09999999999999</v>
      </c>
      <c r="G97" s="138" t="n"/>
      <c r="H97" s="138" t="n">
        <v>54.2</v>
      </c>
      <c r="I97" s="138" t="n">
        <v>64.3</v>
      </c>
      <c r="J97" s="138" t="n">
        <v>59.2</v>
      </c>
      <c r="K97" s="138" t="n"/>
      <c r="L97" s="138" t="n">
        <v>64.8</v>
      </c>
    </row>
    <row r="98">
      <c r="A98" s="54" t="n">
        <v>20333</v>
      </c>
      <c r="B98" s="71" t="n">
        <v>63.7</v>
      </c>
      <c r="C98" s="55" t="n"/>
      <c r="D98" s="55" t="n"/>
      <c r="E98" s="138" t="n">
        <v>82.2</v>
      </c>
      <c r="F98" s="138" t="n">
        <v>64.3</v>
      </c>
      <c r="G98" s="138" t="n"/>
      <c r="H98" s="138" t="n">
        <v>53.5</v>
      </c>
      <c r="I98" s="138" t="n">
        <v>66.3</v>
      </c>
      <c r="J98" s="138" t="n">
        <v>59.7</v>
      </c>
      <c r="K98" s="138" t="n"/>
      <c r="L98" s="138" t="n">
        <v>62.4</v>
      </c>
    </row>
    <row r="99">
      <c r="A99" s="54" t="n">
        <v>20363</v>
      </c>
      <c r="B99" s="71" t="n">
        <v>66.3</v>
      </c>
      <c r="C99" s="55" t="n"/>
      <c r="D99" s="55" t="n"/>
      <c r="E99" s="138" t="n">
        <v>80.5</v>
      </c>
      <c r="F99" s="138" t="n">
        <v>65.09999999999999</v>
      </c>
      <c r="G99" s="138" t="n"/>
      <c r="H99" s="138" t="n">
        <v>53.5</v>
      </c>
      <c r="I99" s="138" t="n">
        <v>66.5</v>
      </c>
      <c r="J99" s="138" t="n">
        <v>60.9</v>
      </c>
      <c r="K99" s="138" t="n"/>
      <c r="L99" s="138" t="n">
        <v>63.7</v>
      </c>
    </row>
    <row r="100">
      <c r="A100" s="54" t="n">
        <v>20394</v>
      </c>
      <c r="B100" s="71" t="n">
        <v>61.5</v>
      </c>
      <c r="C100" s="55" t="n"/>
      <c r="D100" s="55" t="n"/>
      <c r="E100" s="138" t="n">
        <v>77.3</v>
      </c>
      <c r="F100" s="138" t="n">
        <v>63.9</v>
      </c>
      <c r="G100" s="138" t="n"/>
      <c r="H100" s="138" t="n">
        <v>55.5</v>
      </c>
      <c r="I100" s="138" t="n">
        <v>64.90000000000001</v>
      </c>
      <c r="J100" s="138" t="n">
        <v>61.3</v>
      </c>
      <c r="K100" s="138" t="n"/>
      <c r="L100" s="138" t="n">
        <v>62</v>
      </c>
    </row>
    <row r="101">
      <c r="A101" s="54" t="n">
        <v>20424</v>
      </c>
      <c r="B101" s="71" t="n">
        <v>66.59999999999999</v>
      </c>
      <c r="C101" s="55" t="n"/>
      <c r="D101" s="55" t="n"/>
      <c r="E101" s="138" t="n">
        <v>80</v>
      </c>
      <c r="F101" s="138" t="n">
        <v>72.40000000000001</v>
      </c>
      <c r="G101" s="138" t="n"/>
      <c r="H101" s="138" t="n">
        <v>55.4</v>
      </c>
      <c r="I101" s="138" t="n">
        <v>61.4</v>
      </c>
      <c r="J101" s="138" t="n">
        <v>63.9</v>
      </c>
      <c r="K101" s="138" t="n"/>
      <c r="L101" s="138" t="n">
        <v>65.59999999999999</v>
      </c>
    </row>
    <row r="102">
      <c r="A102" s="54" t="n">
        <v>20455</v>
      </c>
      <c r="B102" s="71" t="n">
        <v>61.8</v>
      </c>
      <c r="C102" s="55" t="n"/>
      <c r="D102" s="55" t="n"/>
      <c r="E102" s="138" t="n">
        <v>82.7</v>
      </c>
      <c r="F102" s="138" t="n">
        <v>64</v>
      </c>
      <c r="G102" s="138" t="n"/>
      <c r="H102" s="138" t="n">
        <v>52.2</v>
      </c>
      <c r="I102" s="138" t="n">
        <v>53.5</v>
      </c>
      <c r="J102" s="138" t="n">
        <v>62.3</v>
      </c>
      <c r="K102" s="138" t="n"/>
      <c r="L102" s="138" t="n">
        <v>60.2</v>
      </c>
    </row>
    <row r="103">
      <c r="A103" s="54" t="n">
        <v>20486</v>
      </c>
      <c r="B103" s="71" t="n">
        <v>56.2</v>
      </c>
      <c r="C103" s="55" t="n"/>
      <c r="D103" s="55" t="n"/>
      <c r="E103" s="138" t="n">
        <v>83.5</v>
      </c>
      <c r="F103" s="138" t="n">
        <v>63.5</v>
      </c>
      <c r="G103" s="138" t="n"/>
      <c r="H103" s="138" t="n">
        <v>56.1</v>
      </c>
      <c r="I103" s="138" t="n">
        <v>51.3</v>
      </c>
      <c r="J103" s="138" t="n">
        <v>61</v>
      </c>
      <c r="K103" s="138" t="n"/>
      <c r="L103" s="138" t="n">
        <v>58.2</v>
      </c>
    </row>
    <row r="104">
      <c r="A104" s="54" t="n">
        <v>20515</v>
      </c>
      <c r="B104" s="71" t="n">
        <v>57.3</v>
      </c>
      <c r="C104" s="55" t="n"/>
      <c r="D104" s="55" t="n"/>
      <c r="E104" s="138" t="n">
        <v>87.7</v>
      </c>
      <c r="F104" s="138" t="n">
        <v>61</v>
      </c>
      <c r="G104" s="138" t="n"/>
      <c r="H104" s="138" t="n">
        <v>57.2</v>
      </c>
      <c r="I104" s="138" t="n">
        <v>51</v>
      </c>
      <c r="J104" s="138" t="n">
        <v>56.9</v>
      </c>
      <c r="K104" s="138" t="n"/>
      <c r="L104" s="138" t="n">
        <v>57.2</v>
      </c>
    </row>
    <row r="105">
      <c r="A105" s="54" t="n">
        <v>20546</v>
      </c>
      <c r="B105" s="71" t="n">
        <v>55.9</v>
      </c>
      <c r="C105" s="55" t="n"/>
      <c r="D105" s="55" t="n"/>
      <c r="E105" s="138" t="n">
        <v>87.5</v>
      </c>
      <c r="F105" s="138" t="n">
        <v>58.9</v>
      </c>
      <c r="G105" s="138" t="n"/>
      <c r="H105" s="138" t="n">
        <v>57.5</v>
      </c>
      <c r="I105" s="138" t="n">
        <v>51</v>
      </c>
      <c r="J105" s="138" t="n">
        <v>54.8</v>
      </c>
      <c r="K105" s="138" t="n"/>
      <c r="L105" s="138" t="n">
        <v>55.9</v>
      </c>
    </row>
    <row r="106">
      <c r="A106" s="54" t="n">
        <v>20576</v>
      </c>
      <c r="B106" s="71" t="n">
        <v>53</v>
      </c>
      <c r="C106" s="55" t="n"/>
      <c r="D106" s="55" t="n"/>
      <c r="E106" s="138" t="n">
        <v>81.7</v>
      </c>
      <c r="F106" s="138" t="n">
        <v>52.8</v>
      </c>
      <c r="G106" s="138" t="n"/>
      <c r="H106" s="138" t="n">
        <v>60.3</v>
      </c>
      <c r="I106" s="138" t="n">
        <v>38.6</v>
      </c>
      <c r="J106" s="138" t="n">
        <v>51.4</v>
      </c>
      <c r="K106" s="138" t="n"/>
      <c r="L106" s="138" t="n">
        <v>51.2</v>
      </c>
    </row>
    <row r="107">
      <c r="A107" s="54" t="n">
        <v>20607</v>
      </c>
      <c r="B107" s="71" t="n">
        <v>48.9</v>
      </c>
      <c r="C107" s="55" t="n"/>
      <c r="D107" s="55" t="n"/>
      <c r="E107" s="138" t="n">
        <v>65.7</v>
      </c>
      <c r="F107" s="138" t="n">
        <v>49.2</v>
      </c>
      <c r="G107" s="138" t="n"/>
      <c r="H107" s="138" t="n">
        <v>58.4</v>
      </c>
      <c r="I107" s="138" t="n">
        <v>41</v>
      </c>
      <c r="J107" s="138" t="n">
        <v>43.9</v>
      </c>
      <c r="K107" s="138" t="n"/>
      <c r="L107" s="138" t="n">
        <v>47.7</v>
      </c>
    </row>
    <row r="108">
      <c r="A108" s="54" t="n">
        <v>20637</v>
      </c>
      <c r="B108" s="71" t="n">
        <v>44.4</v>
      </c>
      <c r="C108" s="55" t="n"/>
      <c r="D108" s="55" t="n"/>
      <c r="E108" s="138" t="n">
        <v>74.7</v>
      </c>
      <c r="F108" s="138" t="n">
        <v>38</v>
      </c>
      <c r="G108" s="138" t="n"/>
      <c r="H108" s="138" t="n">
        <v>51.5</v>
      </c>
      <c r="I108" s="138" t="n">
        <v>53.9</v>
      </c>
      <c r="J108" s="138" t="n">
        <v>40.8</v>
      </c>
      <c r="K108" s="138" t="n"/>
      <c r="L108" s="138" t="n">
        <v>44.2</v>
      </c>
    </row>
    <row r="109">
      <c r="A109" s="54" t="n">
        <v>20668</v>
      </c>
      <c r="B109" s="71" t="n">
        <v>54.3</v>
      </c>
      <c r="C109" s="55" t="n"/>
      <c r="D109" s="55" t="n"/>
      <c r="E109" s="138" t="n">
        <v>76.3</v>
      </c>
      <c r="F109" s="138" t="n">
        <v>51.5</v>
      </c>
      <c r="G109" s="138" t="n"/>
      <c r="H109" s="138" t="n">
        <v>52.1</v>
      </c>
      <c r="I109" s="138" t="n">
        <v>46.8</v>
      </c>
      <c r="J109" s="138" t="n">
        <v>50.3</v>
      </c>
      <c r="K109" s="138" t="n"/>
      <c r="L109" s="138" t="n">
        <v>51.5</v>
      </c>
    </row>
    <row r="110">
      <c r="A110" s="54" t="n">
        <v>20699</v>
      </c>
      <c r="B110" s="71" t="n">
        <v>60.5</v>
      </c>
      <c r="C110" s="55" t="n"/>
      <c r="D110" s="55" t="n"/>
      <c r="E110" s="138" t="n">
        <v>79.5</v>
      </c>
      <c r="F110" s="138" t="n">
        <v>60.2</v>
      </c>
      <c r="G110" s="138" t="n"/>
      <c r="H110" s="138" t="n">
        <v>53.1</v>
      </c>
      <c r="I110" s="138" t="n">
        <v>42.8</v>
      </c>
      <c r="J110" s="138" t="n">
        <v>52.9</v>
      </c>
      <c r="K110" s="138" t="n"/>
      <c r="L110" s="138" t="n">
        <v>55.5</v>
      </c>
    </row>
    <row r="111">
      <c r="A111" s="54" t="n">
        <v>20729</v>
      </c>
      <c r="B111" s="71" t="n">
        <v>55.6</v>
      </c>
      <c r="C111" s="55" t="n"/>
      <c r="D111" s="55" t="n"/>
      <c r="E111" s="138" t="n">
        <v>78.09999999999999</v>
      </c>
      <c r="F111" s="138" t="n">
        <v>56.7</v>
      </c>
      <c r="G111" s="138" t="n"/>
      <c r="H111" s="138" t="n">
        <v>53.6</v>
      </c>
      <c r="I111" s="138" t="n">
        <v>40.1</v>
      </c>
      <c r="J111" s="138" t="n">
        <v>52.2</v>
      </c>
      <c r="K111" s="138" t="n"/>
      <c r="L111" s="138" t="n">
        <v>52.7</v>
      </c>
    </row>
    <row r="112">
      <c r="A112" s="54" t="n">
        <v>20760</v>
      </c>
      <c r="B112" s="71" t="n">
        <v>57</v>
      </c>
      <c r="C112" s="55" t="n"/>
      <c r="D112" s="55" t="n"/>
      <c r="E112" s="138" t="n">
        <v>80.09999999999999</v>
      </c>
      <c r="F112" s="138" t="n">
        <v>62.3</v>
      </c>
      <c r="G112" s="138" t="n"/>
      <c r="H112" s="138" t="n">
        <v>44.6</v>
      </c>
      <c r="I112" s="138" t="n">
        <v>44.6</v>
      </c>
      <c r="J112" s="138" t="n">
        <v>56</v>
      </c>
      <c r="K112" s="138" t="n"/>
      <c r="L112" s="138" t="n">
        <v>55</v>
      </c>
    </row>
    <row r="113">
      <c r="A113" s="54" t="n">
        <v>20790</v>
      </c>
      <c r="B113" s="71" t="n">
        <v>52.8</v>
      </c>
      <c r="C113" s="55" t="n"/>
      <c r="D113" s="55" t="n"/>
      <c r="E113" s="138" t="n">
        <v>78.90000000000001</v>
      </c>
      <c r="F113" s="138" t="n">
        <v>57.7</v>
      </c>
      <c r="G113" s="138" t="n"/>
      <c r="H113" s="138" t="n">
        <v>54.3</v>
      </c>
      <c r="I113" s="138" t="n">
        <v>39.5</v>
      </c>
      <c r="J113" s="138" t="n">
        <v>55.4</v>
      </c>
      <c r="K113" s="138" t="n"/>
      <c r="L113" s="138" t="n">
        <v>52.7</v>
      </c>
    </row>
    <row r="114">
      <c r="A114" s="54" t="n">
        <v>20821</v>
      </c>
      <c r="B114" s="71" t="n">
        <v>57.6</v>
      </c>
      <c r="C114" s="55" t="n"/>
      <c r="D114" s="55" t="n"/>
      <c r="E114" s="138" t="n">
        <v>87.09999999999999</v>
      </c>
      <c r="F114" s="138" t="n">
        <v>56.6</v>
      </c>
      <c r="G114" s="138" t="n"/>
      <c r="H114" s="138" t="n">
        <v>53.9</v>
      </c>
      <c r="I114" s="138" t="n">
        <v>36.3</v>
      </c>
      <c r="J114" s="138" t="n">
        <v>56.6</v>
      </c>
      <c r="K114" s="138" t="n"/>
      <c r="L114" s="138" t="n">
        <v>53.6</v>
      </c>
    </row>
    <row r="115">
      <c r="A115" s="54" t="n">
        <v>20852</v>
      </c>
      <c r="B115" s="71" t="n">
        <v>52.5</v>
      </c>
      <c r="C115" s="55" t="n"/>
      <c r="D115" s="55" t="n"/>
      <c r="E115" s="138" t="n">
        <v>76.90000000000001</v>
      </c>
      <c r="F115" s="138" t="n">
        <v>57.9</v>
      </c>
      <c r="G115" s="138" t="n"/>
      <c r="H115" s="138" t="n">
        <v>53.1</v>
      </c>
      <c r="I115" s="138" t="n">
        <v>31.2</v>
      </c>
      <c r="J115" s="138" t="n">
        <v>53.8</v>
      </c>
      <c r="K115" s="138" t="n"/>
      <c r="L115" s="138" t="n">
        <v>51</v>
      </c>
    </row>
    <row r="116">
      <c r="A116" s="54" t="n">
        <v>20880</v>
      </c>
      <c r="B116" s="71" t="n">
        <v>51.1</v>
      </c>
      <c r="C116" s="55" t="n"/>
      <c r="D116" s="55" t="n"/>
      <c r="E116" s="138" t="n">
        <v>65.3</v>
      </c>
      <c r="F116" s="138" t="n">
        <v>52.1</v>
      </c>
      <c r="G116" s="138" t="n"/>
      <c r="H116" s="138" t="n">
        <v>46.6</v>
      </c>
      <c r="I116" s="138" t="n">
        <v>26.3</v>
      </c>
      <c r="J116" s="138" t="n">
        <v>52.5</v>
      </c>
      <c r="K116" s="138" t="n"/>
      <c r="L116" s="138" t="n">
        <v>47.5</v>
      </c>
    </row>
    <row r="117">
      <c r="A117" s="54" t="n">
        <v>20911</v>
      </c>
      <c r="B117" s="71" t="n">
        <v>49.2</v>
      </c>
      <c r="C117" s="55" t="n"/>
      <c r="D117" s="55" t="n"/>
      <c r="E117" s="138" t="n">
        <v>59.2</v>
      </c>
      <c r="F117" s="138" t="n">
        <v>47.9</v>
      </c>
      <c r="G117" s="138" t="n"/>
      <c r="H117" s="138" t="n">
        <v>39.9</v>
      </c>
      <c r="I117" s="138" t="n">
        <v>28.9</v>
      </c>
      <c r="J117" s="138" t="n">
        <v>40.3</v>
      </c>
      <c r="K117" s="138" t="n"/>
      <c r="L117" s="138" t="n">
        <v>43.1</v>
      </c>
    </row>
    <row r="118">
      <c r="A118" s="54" t="n">
        <v>20941</v>
      </c>
      <c r="B118" s="71" t="n">
        <v>46.1</v>
      </c>
      <c r="C118" s="55" t="n"/>
      <c r="D118" s="55" t="n"/>
      <c r="E118" s="138" t="n">
        <v>57.4</v>
      </c>
      <c r="F118" s="138" t="n">
        <v>49.9</v>
      </c>
      <c r="G118" s="138" t="n"/>
      <c r="H118" s="138" t="n">
        <v>41.8</v>
      </c>
      <c r="I118" s="138" t="n">
        <v>30</v>
      </c>
      <c r="J118" s="138" t="n">
        <v>41.9</v>
      </c>
      <c r="K118" s="138" t="n"/>
      <c r="L118" s="138" t="n">
        <v>43.4</v>
      </c>
    </row>
    <row r="119">
      <c r="A119" s="54" t="n">
        <v>20972</v>
      </c>
      <c r="B119" s="71" t="n">
        <v>49.8</v>
      </c>
      <c r="C119" s="55" t="n"/>
      <c r="D119" s="55" t="n"/>
      <c r="E119" s="138" t="n">
        <v>62.9</v>
      </c>
      <c r="F119" s="138" t="n">
        <v>53.6</v>
      </c>
      <c r="G119" s="138" t="n"/>
      <c r="H119" s="138" t="n">
        <v>40.7</v>
      </c>
      <c r="I119" s="138" t="n">
        <v>30</v>
      </c>
      <c r="J119" s="138" t="n">
        <v>45.1</v>
      </c>
      <c r="K119" s="138" t="n"/>
      <c r="L119" s="138" t="n">
        <v>45.9</v>
      </c>
    </row>
    <row r="120">
      <c r="A120" s="54" t="n">
        <v>21002</v>
      </c>
      <c r="B120" s="71" t="n">
        <v>47.6</v>
      </c>
      <c r="C120" s="55" t="n"/>
      <c r="D120" s="55" t="n"/>
      <c r="E120" s="138" t="n">
        <v>78.7</v>
      </c>
      <c r="F120" s="138" t="n">
        <v>49.2</v>
      </c>
      <c r="G120" s="138" t="n"/>
      <c r="H120" s="138" t="n">
        <v>45.3</v>
      </c>
      <c r="I120" s="138" t="n">
        <v>36.8</v>
      </c>
      <c r="J120" s="138" t="n">
        <v>45.5</v>
      </c>
      <c r="K120" s="138" t="n"/>
      <c r="L120" s="138" t="n">
        <v>45.7</v>
      </c>
    </row>
    <row r="121">
      <c r="A121" s="54" t="n">
        <v>21033</v>
      </c>
      <c r="B121" s="71" t="n">
        <v>48.8</v>
      </c>
      <c r="C121" s="55" t="n"/>
      <c r="D121" s="55" t="n"/>
      <c r="E121" s="138" t="n">
        <v>65.7</v>
      </c>
      <c r="F121" s="138" t="n">
        <v>51.3</v>
      </c>
      <c r="G121" s="138" t="n"/>
      <c r="H121" s="138" t="n">
        <v>46</v>
      </c>
      <c r="I121" s="138" t="n">
        <v>30.8</v>
      </c>
      <c r="J121" s="138" t="n">
        <v>43.1</v>
      </c>
      <c r="K121" s="138" t="n"/>
      <c r="L121" s="138" t="n">
        <v>45.3</v>
      </c>
    </row>
    <row r="122">
      <c r="A122" s="54" t="n">
        <v>21064</v>
      </c>
      <c r="B122" s="71" t="n">
        <v>53.8</v>
      </c>
      <c r="C122" s="55" t="n"/>
      <c r="D122" s="55" t="n"/>
      <c r="E122" s="138" t="n">
        <v>63</v>
      </c>
      <c r="F122" s="138" t="n">
        <v>50.6</v>
      </c>
      <c r="G122" s="138" t="n"/>
      <c r="H122" s="138" t="n">
        <v>42.6</v>
      </c>
      <c r="I122" s="138" t="n">
        <v>28.8</v>
      </c>
      <c r="J122" s="138" t="n">
        <v>42.1</v>
      </c>
      <c r="K122" s="138" t="n"/>
      <c r="L122" s="138" t="n">
        <v>45.8</v>
      </c>
    </row>
    <row r="123">
      <c r="A123" s="54" t="n">
        <v>21094</v>
      </c>
      <c r="B123" s="71" t="n">
        <v>46.4</v>
      </c>
      <c r="C123" s="55" t="n"/>
      <c r="D123" s="55" t="n"/>
      <c r="E123" s="138" t="n">
        <v>60.5</v>
      </c>
      <c r="F123" s="138" t="n">
        <v>42.9</v>
      </c>
      <c r="G123" s="138" t="n"/>
      <c r="H123" s="138" t="n">
        <v>42.7</v>
      </c>
      <c r="I123" s="138" t="n">
        <v>32.6</v>
      </c>
      <c r="J123" s="138" t="n">
        <v>36.6</v>
      </c>
      <c r="K123" s="138" t="n"/>
      <c r="L123" s="138" t="n">
        <v>41.1</v>
      </c>
    </row>
    <row r="124">
      <c r="A124" s="54" t="n">
        <v>21125</v>
      </c>
      <c r="B124" s="71" t="n">
        <v>47.2</v>
      </c>
      <c r="C124" s="55" t="n"/>
      <c r="D124" s="55" t="n"/>
      <c r="E124" s="138" t="n">
        <v>54.8</v>
      </c>
      <c r="F124" s="138" t="n">
        <v>44.4</v>
      </c>
      <c r="G124" s="138" t="n"/>
      <c r="H124" s="138" t="n">
        <v>39.7</v>
      </c>
      <c r="I124" s="138" t="n">
        <v>27.8</v>
      </c>
      <c r="J124" s="138" t="n">
        <v>34.8</v>
      </c>
      <c r="K124" s="138" t="n"/>
      <c r="L124" s="138" t="n">
        <v>40.4</v>
      </c>
    </row>
    <row r="125">
      <c r="A125" s="54" t="n">
        <v>21155</v>
      </c>
      <c r="B125" s="71" t="n">
        <v>42.8</v>
      </c>
      <c r="C125" s="55" t="n"/>
      <c r="D125" s="55" t="n"/>
      <c r="E125" s="138" t="n">
        <v>55.5</v>
      </c>
      <c r="F125" s="138" t="n">
        <v>40</v>
      </c>
      <c r="G125" s="138" t="n"/>
      <c r="H125" s="138" t="n">
        <v>38</v>
      </c>
      <c r="I125" s="138" t="n">
        <v>27.3</v>
      </c>
      <c r="J125" s="138" t="n">
        <v>30.4</v>
      </c>
      <c r="K125" s="138" t="n"/>
      <c r="L125" s="138" t="n">
        <v>36.8</v>
      </c>
    </row>
    <row r="126">
      <c r="A126" s="54" t="n">
        <v>21186</v>
      </c>
      <c r="B126" s="71" t="n">
        <v>35.2</v>
      </c>
      <c r="C126" s="55" t="n"/>
      <c r="D126" s="55" t="n"/>
      <c r="E126" s="138" t="n">
        <v>50.8</v>
      </c>
      <c r="F126" s="138" t="n">
        <v>34.9</v>
      </c>
      <c r="G126" s="138" t="n"/>
      <c r="H126" s="138" t="n">
        <v>35.8</v>
      </c>
      <c r="I126" s="138" t="n">
        <v>30.3</v>
      </c>
      <c r="J126" s="138" t="n">
        <v>29.7</v>
      </c>
      <c r="K126" s="138" t="n"/>
      <c r="L126" s="138" t="n">
        <v>33.4</v>
      </c>
    </row>
    <row r="127">
      <c r="A127" s="54" t="n">
        <v>21217</v>
      </c>
      <c r="B127" s="71" t="n">
        <v>47.3</v>
      </c>
      <c r="C127" s="55" t="n"/>
      <c r="D127" s="55" t="n"/>
      <c r="E127" s="138" t="n">
        <v>46.5</v>
      </c>
      <c r="F127" s="138" t="n">
        <v>37.8</v>
      </c>
      <c r="G127" s="138" t="n"/>
      <c r="H127" s="138" t="n">
        <v>33.1</v>
      </c>
      <c r="I127" s="138" t="n">
        <v>31</v>
      </c>
      <c r="J127" s="138" t="n">
        <v>27.9</v>
      </c>
      <c r="K127" s="138" t="n"/>
      <c r="L127" s="138" t="n">
        <v>37.2</v>
      </c>
    </row>
    <row r="128">
      <c r="A128" s="54" t="n">
        <v>21245</v>
      </c>
      <c r="B128" s="71" t="n">
        <v>45.3</v>
      </c>
      <c r="C128" s="55" t="n"/>
      <c r="D128" s="55" t="n"/>
      <c r="E128" s="138" t="n">
        <v>47.6</v>
      </c>
      <c r="F128" s="138" t="n">
        <v>45.1</v>
      </c>
      <c r="G128" s="138" t="n"/>
      <c r="H128" s="138" t="n">
        <v>31.3</v>
      </c>
      <c r="I128" s="138" t="n">
        <v>34</v>
      </c>
      <c r="J128" s="138" t="n">
        <v>33.4</v>
      </c>
      <c r="K128" s="138" t="n"/>
      <c r="L128" s="138" t="n">
        <v>39.8</v>
      </c>
    </row>
    <row r="129">
      <c r="A129" s="54" t="n">
        <v>21276</v>
      </c>
      <c r="B129" s="71" t="n">
        <v>47.2</v>
      </c>
      <c r="C129" s="55" t="n"/>
      <c r="D129" s="55" t="n"/>
      <c r="E129" s="138" t="n">
        <v>42.5</v>
      </c>
      <c r="F129" s="138" t="n">
        <v>41</v>
      </c>
      <c r="G129" s="138" t="n"/>
      <c r="H129" s="138" t="n">
        <v>30.8</v>
      </c>
      <c r="I129" s="138" t="n">
        <v>35.5</v>
      </c>
      <c r="J129" s="138" t="n">
        <v>31.5</v>
      </c>
      <c r="K129" s="138" t="n"/>
      <c r="L129" s="138" t="n">
        <v>39.1</v>
      </c>
    </row>
    <row r="130">
      <c r="A130" s="54" t="n">
        <v>21306</v>
      </c>
      <c r="B130" s="71" t="n">
        <v>56.7</v>
      </c>
      <c r="C130" s="55" t="n"/>
      <c r="D130" s="55" t="n"/>
      <c r="E130" s="138" t="n">
        <v>45.8</v>
      </c>
      <c r="F130" s="138" t="n">
        <v>52.6</v>
      </c>
      <c r="G130" s="138" t="n"/>
      <c r="H130" s="138" t="n">
        <v>27.7</v>
      </c>
      <c r="I130" s="138" t="n">
        <v>38.5</v>
      </c>
      <c r="J130" s="138" t="n">
        <v>39.7</v>
      </c>
      <c r="K130" s="138" t="n"/>
      <c r="L130" s="138" t="n">
        <v>46.6</v>
      </c>
    </row>
    <row r="131">
      <c r="A131" s="54" t="n">
        <v>21337</v>
      </c>
      <c r="B131" s="71" t="n">
        <v>60.8</v>
      </c>
      <c r="C131" s="55" t="n"/>
      <c r="D131" s="55" t="n"/>
      <c r="E131" s="138" t="n">
        <v>49.6</v>
      </c>
      <c r="F131" s="138" t="n">
        <v>58.9</v>
      </c>
      <c r="G131" s="138" t="n"/>
      <c r="H131" s="138" t="n">
        <v>32.2</v>
      </c>
      <c r="I131" s="138" t="n">
        <v>39.2</v>
      </c>
      <c r="J131" s="138" t="n">
        <v>46.7</v>
      </c>
      <c r="K131" s="138" t="n"/>
      <c r="L131" s="138" t="n">
        <v>51.4</v>
      </c>
    </row>
    <row r="132">
      <c r="A132" s="54" t="n">
        <v>21367</v>
      </c>
      <c r="B132" s="71" t="n">
        <v>66.5</v>
      </c>
      <c r="C132" s="55" t="n"/>
      <c r="D132" s="55" t="n"/>
      <c r="E132" s="138" t="n">
        <v>52.3</v>
      </c>
      <c r="F132" s="138" t="n">
        <v>61.2</v>
      </c>
      <c r="G132" s="138" t="n"/>
      <c r="H132" s="138" t="n">
        <v>34.6</v>
      </c>
      <c r="I132" s="138" t="n">
        <v>43</v>
      </c>
      <c r="J132" s="138" t="n">
        <v>47.6</v>
      </c>
      <c r="K132" s="138" t="n"/>
      <c r="L132" s="138" t="n">
        <v>54.7</v>
      </c>
    </row>
    <row r="133">
      <c r="A133" s="54" t="n">
        <v>21398</v>
      </c>
      <c r="B133" s="71" t="n">
        <v>65.2</v>
      </c>
      <c r="C133" s="55" t="n"/>
      <c r="D133" s="55" t="n"/>
      <c r="E133" s="138" t="n">
        <v>65.2</v>
      </c>
      <c r="F133" s="138" t="n">
        <v>64.5</v>
      </c>
      <c r="G133" s="138" t="n"/>
      <c r="H133" s="138" t="n">
        <v>44.8</v>
      </c>
      <c r="I133" s="138" t="n">
        <v>44.7</v>
      </c>
      <c r="J133" s="138" t="n">
        <v>52.1</v>
      </c>
      <c r="K133" s="138" t="n"/>
      <c r="L133" s="138" t="n">
        <v>57.3</v>
      </c>
    </row>
    <row r="134">
      <c r="A134" s="54" t="n">
        <v>21429</v>
      </c>
      <c r="B134" s="71" t="n">
        <v>67</v>
      </c>
      <c r="C134" s="55" t="n"/>
      <c r="D134" s="55" t="n"/>
      <c r="E134" s="138" t="n">
        <v>62.6</v>
      </c>
      <c r="F134" s="138" t="n">
        <v>66.8</v>
      </c>
      <c r="G134" s="138" t="n"/>
      <c r="H134" s="138" t="n">
        <v>42.5</v>
      </c>
      <c r="I134" s="138" t="n">
        <v>51.1</v>
      </c>
      <c r="J134" s="138" t="n">
        <v>55.5</v>
      </c>
      <c r="K134" s="138" t="n"/>
      <c r="L134" s="138" t="n">
        <v>59.8</v>
      </c>
    </row>
    <row r="135">
      <c r="A135" s="54" t="n">
        <v>21459</v>
      </c>
      <c r="B135" s="71" t="n">
        <v>67.90000000000001</v>
      </c>
      <c r="C135" s="55" t="n"/>
      <c r="D135" s="55" t="n"/>
      <c r="E135" s="138" t="n">
        <v>73.3</v>
      </c>
      <c r="F135" s="138" t="n">
        <v>70</v>
      </c>
      <c r="G135" s="138" t="n"/>
      <c r="H135" s="138" t="n">
        <v>46.4</v>
      </c>
      <c r="I135" s="138" t="n">
        <v>52.4</v>
      </c>
      <c r="J135" s="138" t="n">
        <v>59.6</v>
      </c>
      <c r="K135" s="138" t="n"/>
      <c r="L135" s="138" t="n">
        <v>62.3</v>
      </c>
    </row>
    <row r="136">
      <c r="A136" s="54" t="n">
        <v>21490</v>
      </c>
      <c r="B136" s="71" t="n">
        <v>68.5</v>
      </c>
      <c r="C136" s="55" t="n"/>
      <c r="D136" s="55" t="n"/>
      <c r="E136" s="138" t="n">
        <v>66.3</v>
      </c>
      <c r="F136" s="138" t="n">
        <v>68.3</v>
      </c>
      <c r="G136" s="138" t="n"/>
      <c r="H136" s="138" t="n">
        <v>51</v>
      </c>
      <c r="I136" s="138" t="n">
        <v>55.8</v>
      </c>
      <c r="J136" s="138" t="n">
        <v>58</v>
      </c>
      <c r="K136" s="138" t="n"/>
      <c r="L136" s="138" t="n">
        <v>62.7</v>
      </c>
    </row>
    <row r="137">
      <c r="A137" s="54" t="n">
        <v>21520</v>
      </c>
      <c r="B137" s="71" t="n">
        <v>64.7</v>
      </c>
      <c r="C137" s="55" t="n"/>
      <c r="D137" s="55" t="n"/>
      <c r="E137" s="138" t="n">
        <v>63.2</v>
      </c>
      <c r="F137" s="138" t="n">
        <v>63.9</v>
      </c>
      <c r="G137" s="138" t="n"/>
      <c r="H137" s="138" t="n">
        <v>49</v>
      </c>
      <c r="I137" s="138" t="n">
        <v>56.4</v>
      </c>
      <c r="J137" s="138" t="n">
        <v>59</v>
      </c>
      <c r="K137" s="138" t="n"/>
      <c r="L137" s="138" t="n">
        <v>60.5</v>
      </c>
    </row>
    <row r="138">
      <c r="A138" s="54" t="n">
        <v>21551</v>
      </c>
      <c r="B138" s="71" t="n">
        <v>69</v>
      </c>
      <c r="C138" s="55" t="n"/>
      <c r="D138" s="55" t="n"/>
      <c r="E138" s="138" t="n">
        <v>59.1</v>
      </c>
      <c r="F138" s="138" t="n">
        <v>70.7</v>
      </c>
      <c r="G138" s="138" t="n"/>
      <c r="H138" s="138" t="n">
        <v>45.5</v>
      </c>
      <c r="I138" s="138" t="n">
        <v>61.8</v>
      </c>
      <c r="J138" s="138" t="n">
        <v>60.8</v>
      </c>
      <c r="K138" s="138" t="n"/>
      <c r="L138" s="138" t="n">
        <v>64.40000000000001</v>
      </c>
    </row>
    <row r="139">
      <c r="A139" s="54" t="n">
        <v>21582</v>
      </c>
      <c r="B139" s="71" t="n">
        <v>70.5</v>
      </c>
      <c r="C139" s="55" t="n"/>
      <c r="D139" s="55" t="n"/>
      <c r="E139" s="138" t="n">
        <v>66.59999999999999</v>
      </c>
      <c r="F139" s="138" t="n">
        <v>70.3</v>
      </c>
      <c r="G139" s="138" t="n"/>
      <c r="H139" s="138" t="n">
        <v>55.5</v>
      </c>
      <c r="I139" s="138" t="n">
        <v>67.3</v>
      </c>
      <c r="J139" s="138" t="n">
        <v>62.5</v>
      </c>
      <c r="K139" s="138" t="n"/>
      <c r="L139" s="138" t="n">
        <v>66.90000000000001</v>
      </c>
    </row>
    <row r="140">
      <c r="A140" s="54" t="n">
        <v>21610</v>
      </c>
      <c r="B140" s="71" t="n">
        <v>70.2</v>
      </c>
      <c r="C140" s="55" t="n"/>
      <c r="D140" s="55" t="n"/>
      <c r="E140" s="138" t="n">
        <v>68.90000000000001</v>
      </c>
      <c r="F140" s="138" t="n">
        <v>71.2</v>
      </c>
      <c r="G140" s="138" t="n"/>
      <c r="H140" s="138" t="n">
        <v>58.4</v>
      </c>
      <c r="I140" s="138" t="n">
        <v>66.3</v>
      </c>
      <c r="J140" s="138" t="n">
        <v>62.3</v>
      </c>
      <c r="K140" s="138" t="n"/>
      <c r="L140" s="138" t="n">
        <v>67.09999999999999</v>
      </c>
    </row>
    <row r="141">
      <c r="A141" s="54" t="n">
        <v>21641</v>
      </c>
      <c r="B141" s="71" t="n">
        <v>66.90000000000001</v>
      </c>
      <c r="C141" s="55" t="n"/>
      <c r="D141" s="55" t="n"/>
      <c r="E141" s="138" t="n">
        <v>63.6</v>
      </c>
      <c r="F141" s="138" t="n">
        <v>72.09999999999999</v>
      </c>
      <c r="G141" s="138" t="n"/>
      <c r="H141" s="138" t="n">
        <v>63.4</v>
      </c>
      <c r="I141" s="138" t="n">
        <v>64.8</v>
      </c>
      <c r="J141" s="138" t="n">
        <v>63.6</v>
      </c>
      <c r="K141" s="138" t="n"/>
      <c r="L141" s="138" t="n">
        <v>66.90000000000001</v>
      </c>
    </row>
    <row r="142">
      <c r="A142" s="54" t="n">
        <v>21671</v>
      </c>
      <c r="B142" s="71" t="n">
        <v>69.90000000000001</v>
      </c>
      <c r="C142" s="55" t="n"/>
      <c r="D142" s="55" t="n"/>
      <c r="E142" s="138" t="n">
        <v>65.09999999999999</v>
      </c>
      <c r="F142" s="138" t="n">
        <v>73.90000000000001</v>
      </c>
      <c r="G142" s="138" t="n"/>
      <c r="H142" s="138" t="n">
        <v>63.8</v>
      </c>
      <c r="I142" s="138" t="n">
        <v>63</v>
      </c>
      <c r="J142" s="138" t="n">
        <v>64.8</v>
      </c>
      <c r="K142" s="138" t="n"/>
      <c r="L142" s="138" t="n">
        <v>68.2</v>
      </c>
    </row>
    <row r="143">
      <c r="A143" s="54" t="n">
        <v>21702</v>
      </c>
      <c r="B143" s="71" t="n">
        <v>64.2</v>
      </c>
      <c r="C143" s="55" t="n"/>
      <c r="D143" s="55" t="n"/>
      <c r="E143" s="138" t="n">
        <v>69.5</v>
      </c>
      <c r="F143" s="138" t="n">
        <v>66.3</v>
      </c>
      <c r="G143" s="138" t="n"/>
      <c r="H143" s="138" t="n">
        <v>65.59999999999999</v>
      </c>
      <c r="I143" s="138" t="n">
        <v>63.7</v>
      </c>
      <c r="J143" s="138" t="n">
        <v>62.2</v>
      </c>
      <c r="K143" s="138" t="n"/>
      <c r="L143" s="138" t="n">
        <v>64.40000000000001</v>
      </c>
    </row>
    <row r="144">
      <c r="A144" s="54" t="n">
        <v>21732</v>
      </c>
      <c r="B144" s="71" t="n">
        <v>61.3</v>
      </c>
      <c r="C144" s="55" t="n"/>
      <c r="D144" s="55" t="n"/>
      <c r="E144" s="138" t="n">
        <v>63.9</v>
      </c>
      <c r="F144" s="138" t="n">
        <v>64.8</v>
      </c>
      <c r="G144" s="138" t="n"/>
      <c r="H144" s="138" t="n">
        <v>62</v>
      </c>
      <c r="I144" s="138" t="n">
        <v>59.1</v>
      </c>
      <c r="J144" s="138" t="n">
        <v>59</v>
      </c>
      <c r="K144" s="138" t="n"/>
      <c r="L144" s="138" t="n">
        <v>61.5</v>
      </c>
    </row>
    <row r="145">
      <c r="A145" s="54" t="n">
        <v>21763</v>
      </c>
      <c r="B145" s="71" t="n">
        <v>54.4</v>
      </c>
      <c r="C145" s="55" t="n"/>
      <c r="D145" s="55" t="n"/>
      <c r="E145" s="138" t="n">
        <v>57.6</v>
      </c>
      <c r="F145" s="138" t="n">
        <v>57.4</v>
      </c>
      <c r="G145" s="138" t="n"/>
      <c r="H145" s="138" t="n">
        <v>50.9</v>
      </c>
      <c r="I145" s="138" t="n">
        <v>57.4</v>
      </c>
      <c r="J145" s="138" t="n">
        <v>53.6</v>
      </c>
      <c r="K145" s="138" t="n"/>
      <c r="L145" s="138" t="n">
        <v>55.1</v>
      </c>
    </row>
    <row r="146">
      <c r="A146" s="54" t="n">
        <v>21794</v>
      </c>
      <c r="B146" s="71" t="n">
        <v>43.7</v>
      </c>
      <c r="C146" s="55" t="n"/>
      <c r="D146" s="55" t="n"/>
      <c r="E146" s="138" t="n">
        <v>61.6</v>
      </c>
      <c r="F146" s="138" t="n">
        <v>50.9</v>
      </c>
      <c r="G146" s="138" t="n"/>
      <c r="H146" s="138" t="n">
        <v>42.3</v>
      </c>
      <c r="I146" s="138" t="n">
        <v>57.5</v>
      </c>
      <c r="J146" s="138" t="n">
        <v>48</v>
      </c>
      <c r="K146" s="138" t="n"/>
      <c r="L146" s="138" t="n">
        <v>48.3</v>
      </c>
    </row>
    <row r="147">
      <c r="A147" s="54" t="n">
        <v>21824</v>
      </c>
      <c r="B147" s="71" t="n">
        <v>50</v>
      </c>
      <c r="C147" s="55" t="n"/>
      <c r="D147" s="55" t="n"/>
      <c r="E147" s="138" t="n">
        <v>63.1</v>
      </c>
      <c r="F147" s="138" t="n">
        <v>50.4</v>
      </c>
      <c r="G147" s="138" t="n"/>
      <c r="H147" s="138" t="n">
        <v>39.1</v>
      </c>
      <c r="I147" s="138" t="n">
        <v>58.5</v>
      </c>
      <c r="J147" s="138" t="n">
        <v>47.3</v>
      </c>
      <c r="K147" s="138" t="n"/>
      <c r="L147" s="138" t="n">
        <v>49.7</v>
      </c>
    </row>
    <row r="148">
      <c r="A148" s="54" t="n">
        <v>21855</v>
      </c>
      <c r="B148" s="71" t="n">
        <v>51.1</v>
      </c>
      <c r="C148" s="55" t="n"/>
      <c r="D148" s="55" t="n"/>
      <c r="E148" s="138" t="n">
        <v>65.09999999999999</v>
      </c>
      <c r="F148" s="138" t="n">
        <v>51.9</v>
      </c>
      <c r="G148" s="138" t="n"/>
      <c r="H148" s="138" t="n">
        <v>43.4</v>
      </c>
      <c r="I148" s="138" t="n">
        <v>54.6</v>
      </c>
      <c r="J148" s="138" t="n">
        <v>48.8</v>
      </c>
      <c r="K148" s="138" t="n"/>
      <c r="L148" s="138" t="n">
        <v>50.6</v>
      </c>
    </row>
    <row r="149">
      <c r="A149" s="54" t="n">
        <v>21885</v>
      </c>
      <c r="B149" s="71" t="n">
        <v>62.8</v>
      </c>
      <c r="C149" s="55" t="n"/>
      <c r="D149" s="55" t="n"/>
      <c r="E149" s="138" t="n">
        <v>63.6</v>
      </c>
      <c r="F149" s="138" t="n">
        <v>61.7</v>
      </c>
      <c r="G149" s="138" t="n"/>
      <c r="H149" s="138" t="n">
        <v>49.1</v>
      </c>
      <c r="I149" s="138" t="n">
        <v>53.7</v>
      </c>
      <c r="J149" s="138" t="n">
        <v>54.8</v>
      </c>
      <c r="K149" s="138" t="n"/>
      <c r="L149" s="138" t="n">
        <v>58.2</v>
      </c>
    </row>
    <row r="150">
      <c r="A150" s="54" t="n">
        <v>21916</v>
      </c>
      <c r="B150" s="71" t="n">
        <v>65.40000000000001</v>
      </c>
      <c r="C150" s="55" t="n"/>
      <c r="D150" s="55" t="n"/>
      <c r="E150" s="138" t="n">
        <v>63.8</v>
      </c>
      <c r="F150" s="138" t="n">
        <v>71.90000000000001</v>
      </c>
      <c r="G150" s="138" t="n"/>
      <c r="H150" s="138" t="n">
        <v>48.3</v>
      </c>
      <c r="I150" s="138" t="n">
        <v>46.2</v>
      </c>
      <c r="J150" s="138" t="n">
        <v>60.8</v>
      </c>
      <c r="K150" s="138" t="n"/>
      <c r="L150" s="138" t="n">
        <v>61.5</v>
      </c>
    </row>
    <row r="151">
      <c r="A151" s="54" t="n">
        <v>21947</v>
      </c>
      <c r="B151" s="71" t="n">
        <v>52.5</v>
      </c>
      <c r="C151" s="55" t="n"/>
      <c r="D151" s="55" t="n"/>
      <c r="E151" s="138" t="n">
        <v>60.9</v>
      </c>
      <c r="F151" s="138" t="n">
        <v>58.6</v>
      </c>
      <c r="G151" s="138" t="n"/>
      <c r="H151" s="138" t="n">
        <v>56.6</v>
      </c>
      <c r="I151" s="138" t="n">
        <v>31.7</v>
      </c>
      <c r="J151" s="138" t="n">
        <v>57.2</v>
      </c>
      <c r="K151" s="138" t="n"/>
      <c r="L151" s="138" t="n">
        <v>52.3</v>
      </c>
    </row>
    <row r="152">
      <c r="A152" s="54" t="n">
        <v>21976</v>
      </c>
      <c r="B152" s="71" t="n">
        <v>52.2</v>
      </c>
      <c r="C152" s="55" t="n"/>
      <c r="D152" s="55" t="n"/>
      <c r="E152" s="138" t="n">
        <v>57.3</v>
      </c>
      <c r="F152" s="138" t="n">
        <v>52.4</v>
      </c>
      <c r="G152" s="138" t="n"/>
      <c r="H152" s="138" t="n">
        <v>50.7</v>
      </c>
      <c r="I152" s="138" t="n">
        <v>28.8</v>
      </c>
      <c r="J152" s="138" t="n">
        <v>48</v>
      </c>
      <c r="K152" s="138" t="n"/>
      <c r="L152" s="138" t="n">
        <v>47.8</v>
      </c>
    </row>
    <row r="153">
      <c r="A153" s="54" t="n">
        <v>22007</v>
      </c>
      <c r="B153" s="71" t="n">
        <v>52</v>
      </c>
      <c r="C153" s="55" t="n"/>
      <c r="D153" s="55" t="n"/>
      <c r="E153" s="138" t="n">
        <v>60.4</v>
      </c>
      <c r="F153" s="138" t="n">
        <v>49.8</v>
      </c>
      <c r="G153" s="138" t="n"/>
      <c r="H153" s="138" t="n">
        <v>45.5</v>
      </c>
      <c r="I153" s="138" t="n">
        <v>28.9</v>
      </c>
      <c r="J153" s="138" t="n">
        <v>42</v>
      </c>
      <c r="K153" s="138" t="n"/>
      <c r="L153" s="138" t="n">
        <v>45.3</v>
      </c>
    </row>
    <row r="154">
      <c r="A154" s="54" t="n">
        <v>22037</v>
      </c>
      <c r="B154" s="71" t="n">
        <v>45.8</v>
      </c>
      <c r="C154" s="55" t="n"/>
      <c r="D154" s="55" t="n"/>
      <c r="E154" s="138" t="n">
        <v>57</v>
      </c>
      <c r="F154" s="138" t="n">
        <v>45</v>
      </c>
      <c r="G154" s="138" t="n"/>
      <c r="H154" s="138" t="n">
        <v>42.5</v>
      </c>
      <c r="I154" s="138" t="n">
        <v>32.3</v>
      </c>
      <c r="J154" s="138" t="n">
        <v>42.5</v>
      </c>
      <c r="K154" s="138" t="n"/>
      <c r="L154" s="138" t="n">
        <v>42.6</v>
      </c>
    </row>
    <row r="155">
      <c r="A155" s="54" t="n">
        <v>22068</v>
      </c>
      <c r="B155" s="71" t="n">
        <v>49.2</v>
      </c>
      <c r="C155" s="55" t="n"/>
      <c r="D155" s="55" t="n"/>
      <c r="E155" s="138" t="n">
        <v>52.6</v>
      </c>
      <c r="F155" s="138" t="n">
        <v>48.5</v>
      </c>
      <c r="G155" s="138" t="n"/>
      <c r="H155" s="138" t="n">
        <v>43.9</v>
      </c>
      <c r="I155" s="138" t="n">
        <v>34.8</v>
      </c>
      <c r="J155" s="138" t="n">
        <v>39.7</v>
      </c>
      <c r="K155" s="138" t="n"/>
      <c r="L155" s="138" t="n">
        <v>44.4</v>
      </c>
    </row>
    <row r="156">
      <c r="A156" s="54" t="n">
        <v>22098</v>
      </c>
      <c r="B156" s="71" t="n">
        <v>45.7</v>
      </c>
      <c r="C156" s="55" t="n"/>
      <c r="D156" s="55" t="n"/>
      <c r="E156" s="138" t="n">
        <v>49.9</v>
      </c>
      <c r="F156" s="138" t="n">
        <v>48.2</v>
      </c>
      <c r="G156" s="138" t="n"/>
      <c r="H156" s="138" t="n">
        <v>41.9</v>
      </c>
      <c r="I156" s="138" t="n">
        <v>35.8</v>
      </c>
      <c r="J156" s="138" t="n">
        <v>42.1</v>
      </c>
      <c r="K156" s="138" t="n"/>
      <c r="L156" s="138" t="n">
        <v>43.7</v>
      </c>
    </row>
    <row r="157">
      <c r="A157" s="54" t="n">
        <v>22129</v>
      </c>
      <c r="B157" s="71" t="n">
        <v>55.6</v>
      </c>
      <c r="C157" s="55" t="n"/>
      <c r="D157" s="55" t="n"/>
      <c r="E157" s="138" t="n">
        <v>50.6</v>
      </c>
      <c r="F157" s="138" t="n">
        <v>50.3</v>
      </c>
      <c r="G157" s="138" t="n"/>
      <c r="H157" s="138" t="n">
        <v>39.1</v>
      </c>
      <c r="I157" s="138" t="n">
        <v>38</v>
      </c>
      <c r="J157" s="138" t="n">
        <v>43.6</v>
      </c>
      <c r="K157" s="138" t="n"/>
      <c r="L157" s="138" t="n">
        <v>47.6</v>
      </c>
    </row>
    <row r="158">
      <c r="A158" s="54" t="n">
        <v>22160</v>
      </c>
      <c r="B158" s="71" t="n">
        <v>50.5</v>
      </c>
      <c r="C158" s="55" t="n"/>
      <c r="D158" s="55" t="n"/>
      <c r="E158" s="138" t="n">
        <v>48.4</v>
      </c>
      <c r="F158" s="138" t="n">
        <v>50</v>
      </c>
      <c r="G158" s="138" t="n"/>
      <c r="H158" s="138" t="n">
        <v>40.8</v>
      </c>
      <c r="I158" s="138" t="n">
        <v>37.3</v>
      </c>
      <c r="J158" s="138" t="n">
        <v>40.2</v>
      </c>
      <c r="K158" s="138" t="n"/>
      <c r="L158" s="138" t="n">
        <v>45.4</v>
      </c>
    </row>
    <row r="159">
      <c r="A159" s="54" t="n">
        <v>22190</v>
      </c>
      <c r="B159" s="71" t="n">
        <v>50.1</v>
      </c>
      <c r="C159" s="55" t="n"/>
      <c r="D159" s="55" t="n"/>
      <c r="E159" s="138" t="n">
        <v>45</v>
      </c>
      <c r="F159" s="138" t="n">
        <v>51.2</v>
      </c>
      <c r="G159" s="138" t="n"/>
      <c r="H159" s="138" t="n">
        <v>39.7</v>
      </c>
      <c r="I159" s="138" t="n">
        <v>36.2</v>
      </c>
      <c r="J159" s="138" t="n">
        <v>43.7</v>
      </c>
      <c r="K159" s="138" t="n"/>
      <c r="L159" s="138" t="n">
        <v>46</v>
      </c>
    </row>
    <row r="160">
      <c r="A160" s="54" t="n">
        <v>22221</v>
      </c>
      <c r="B160" s="71" t="n">
        <v>48.2</v>
      </c>
      <c r="C160" s="55" t="n"/>
      <c r="D160" s="55" t="n"/>
      <c r="E160" s="138" t="n">
        <v>46.9</v>
      </c>
      <c r="F160" s="138" t="n">
        <v>45.6</v>
      </c>
      <c r="G160" s="138" t="n"/>
      <c r="H160" s="138" t="n">
        <v>41.7</v>
      </c>
      <c r="I160" s="138" t="n">
        <v>37.6</v>
      </c>
      <c r="J160" s="138" t="n">
        <v>43</v>
      </c>
      <c r="K160" s="138" t="n"/>
      <c r="L160" s="138" t="n">
        <v>44.3</v>
      </c>
    </row>
    <row r="161">
      <c r="A161" s="54" t="n">
        <v>22251</v>
      </c>
      <c r="B161" s="71" t="n">
        <v>47.5</v>
      </c>
      <c r="C161" s="55" t="n"/>
      <c r="D161" s="55" t="n"/>
      <c r="E161" s="138" t="n">
        <v>46.6</v>
      </c>
      <c r="F161" s="138" t="n">
        <v>47.5</v>
      </c>
      <c r="G161" s="138" t="n"/>
      <c r="H161" s="138" t="n">
        <v>39.3</v>
      </c>
      <c r="I161" s="138" t="n">
        <v>40.4</v>
      </c>
      <c r="J161" s="138" t="n">
        <v>40.7</v>
      </c>
      <c r="K161" s="138" t="n"/>
      <c r="L161" s="138" t="n">
        <v>44.3</v>
      </c>
    </row>
    <row r="162">
      <c r="A162" s="54" t="n">
        <v>22282</v>
      </c>
      <c r="B162" s="71" t="n">
        <v>47.2</v>
      </c>
      <c r="C162" s="55" t="n"/>
      <c r="D162" s="55" t="n"/>
      <c r="E162" s="138" t="n">
        <v>49.1</v>
      </c>
      <c r="F162" s="138" t="n">
        <v>47.3</v>
      </c>
      <c r="G162" s="138" t="n"/>
      <c r="H162" s="138" t="n">
        <v>40.5</v>
      </c>
      <c r="I162" s="138" t="n">
        <v>39.2</v>
      </c>
      <c r="J162" s="138" t="n">
        <v>39.7</v>
      </c>
      <c r="K162" s="138" t="n"/>
      <c r="L162" s="138" t="n">
        <v>43.9</v>
      </c>
    </row>
    <row r="163">
      <c r="A163" s="54" t="n">
        <v>22313</v>
      </c>
      <c r="B163" s="71" t="n">
        <v>48.7</v>
      </c>
      <c r="C163" s="55" t="n"/>
      <c r="D163" s="55" t="n"/>
      <c r="E163" s="138" t="n">
        <v>50.3</v>
      </c>
      <c r="F163" s="138" t="n">
        <v>49.2</v>
      </c>
      <c r="G163" s="138" t="n"/>
      <c r="H163" s="138" t="n">
        <v>36.6</v>
      </c>
      <c r="I163" s="138" t="n">
        <v>41.1</v>
      </c>
      <c r="J163" s="138" t="n">
        <v>34.2</v>
      </c>
      <c r="K163" s="138" t="n"/>
      <c r="L163" s="138" t="n">
        <v>43.6</v>
      </c>
    </row>
    <row r="164">
      <c r="A164" s="54" t="n">
        <v>22341</v>
      </c>
      <c r="B164" s="71" t="n">
        <v>55.2</v>
      </c>
      <c r="C164" s="55" t="n"/>
      <c r="D164" s="55" t="n"/>
      <c r="E164" s="138" t="n">
        <v>50.2</v>
      </c>
      <c r="F164" s="138" t="n">
        <v>55.4</v>
      </c>
      <c r="G164" s="138" t="n"/>
      <c r="H164" s="138" t="n">
        <v>38.9</v>
      </c>
      <c r="I164" s="138" t="n">
        <v>42.1</v>
      </c>
      <c r="J164" s="138" t="n">
        <v>42.2</v>
      </c>
      <c r="K164" s="138" t="n"/>
      <c r="L164" s="138" t="n">
        <v>49.1</v>
      </c>
    </row>
    <row r="165">
      <c r="A165" s="54" t="n">
        <v>22372</v>
      </c>
      <c r="B165" s="71" t="n">
        <v>67.7</v>
      </c>
      <c r="C165" s="55" t="n"/>
      <c r="D165" s="55" t="n"/>
      <c r="E165" s="138" t="n">
        <v>51.8</v>
      </c>
      <c r="F165" s="138" t="n">
        <v>61.7</v>
      </c>
      <c r="G165" s="138" t="n"/>
      <c r="H165" s="138" t="n">
        <v>41.3</v>
      </c>
      <c r="I165" s="138" t="n">
        <v>47.5</v>
      </c>
      <c r="J165" s="138" t="n">
        <v>53.2</v>
      </c>
      <c r="K165" s="138" t="n"/>
      <c r="L165" s="138" t="n">
        <v>57.6</v>
      </c>
    </row>
    <row r="166">
      <c r="A166" s="54" t="n">
        <v>22402</v>
      </c>
      <c r="B166" s="71" t="n">
        <v>64.8</v>
      </c>
      <c r="C166" s="55" t="n"/>
      <c r="D166" s="55" t="n"/>
      <c r="E166" s="138" t="n">
        <v>55</v>
      </c>
      <c r="F166" s="138" t="n">
        <v>66.59999999999999</v>
      </c>
      <c r="G166" s="138" t="n"/>
      <c r="H166" s="138" t="n">
        <v>44</v>
      </c>
      <c r="I166" s="138" t="n">
        <v>47.9</v>
      </c>
      <c r="J166" s="138" t="n">
        <v>56.3</v>
      </c>
      <c r="K166" s="138" t="n"/>
      <c r="L166" s="138" t="n">
        <v>58.9</v>
      </c>
    </row>
    <row r="167">
      <c r="A167" s="54" t="n">
        <v>22433</v>
      </c>
      <c r="B167" s="71" t="n">
        <v>64</v>
      </c>
      <c r="C167" s="55" t="n"/>
      <c r="D167" s="55" t="n"/>
      <c r="E167" s="138" t="n">
        <v>50</v>
      </c>
      <c r="F167" s="138" t="n">
        <v>65.3</v>
      </c>
      <c r="G167" s="138" t="n"/>
      <c r="H167" s="138" t="n">
        <v>42</v>
      </c>
      <c r="I167" s="138" t="n">
        <v>49.3</v>
      </c>
      <c r="J167" s="138" t="n">
        <v>55.1</v>
      </c>
      <c r="K167" s="138" t="n"/>
      <c r="L167" s="138" t="n">
        <v>58.1</v>
      </c>
    </row>
    <row r="168">
      <c r="A168" s="54" t="n">
        <v>22463</v>
      </c>
      <c r="B168" s="71" t="n">
        <v>64.5</v>
      </c>
      <c r="C168" s="55" t="n"/>
      <c r="D168" s="55" t="n"/>
      <c r="E168" s="138" t="n">
        <v>50.9</v>
      </c>
      <c r="F168" s="138" t="n">
        <v>64.3</v>
      </c>
      <c r="G168" s="138" t="n"/>
      <c r="H168" s="138" t="n">
        <v>45.3</v>
      </c>
      <c r="I168" s="138" t="n">
        <v>49.4</v>
      </c>
      <c r="J168" s="138" t="n">
        <v>54.1</v>
      </c>
      <c r="K168" s="138" t="n"/>
      <c r="L168" s="138" t="n">
        <v>58.2</v>
      </c>
    </row>
    <row r="169">
      <c r="A169" s="54" t="n">
        <v>22494</v>
      </c>
      <c r="B169" s="71" t="n">
        <v>62.9</v>
      </c>
      <c r="C169" s="55" t="n"/>
      <c r="D169" s="55" t="n"/>
      <c r="E169" s="138" t="n">
        <v>52.2</v>
      </c>
      <c r="F169" s="138" t="n">
        <v>68.40000000000001</v>
      </c>
      <c r="G169" s="138" t="n"/>
      <c r="H169" s="138" t="n">
        <v>54.5</v>
      </c>
      <c r="I169" s="138" t="n">
        <v>50.6</v>
      </c>
      <c r="J169" s="138" t="n">
        <v>58.3</v>
      </c>
      <c r="K169" s="138" t="n"/>
      <c r="L169" s="138" t="n">
        <v>60.7</v>
      </c>
    </row>
    <row r="170">
      <c r="A170" s="54" t="n">
        <v>22525</v>
      </c>
      <c r="B170" s="71" t="n">
        <v>69.5</v>
      </c>
      <c r="C170" s="55" t="n"/>
      <c r="D170" s="55" t="n"/>
      <c r="E170" s="138" t="n">
        <v>53.9</v>
      </c>
      <c r="F170" s="138" t="n">
        <v>66.8</v>
      </c>
      <c r="G170" s="138" t="n"/>
      <c r="H170" s="138" t="n">
        <v>56.3</v>
      </c>
      <c r="I170" s="138" t="n">
        <v>50.7</v>
      </c>
      <c r="J170" s="138" t="n">
        <v>61.1</v>
      </c>
      <c r="K170" s="138" t="n"/>
      <c r="L170" s="138" t="n">
        <v>63</v>
      </c>
    </row>
    <row r="171">
      <c r="A171" s="54" t="n">
        <v>22555</v>
      </c>
      <c r="B171" s="71" t="n">
        <v>68.3</v>
      </c>
      <c r="C171" s="55" t="n"/>
      <c r="D171" s="55" t="n"/>
      <c r="E171" s="138" t="n">
        <v>55.5</v>
      </c>
      <c r="F171" s="138" t="n">
        <v>66.3</v>
      </c>
      <c r="G171" s="138" t="n"/>
      <c r="H171" s="138" t="n">
        <v>56.7</v>
      </c>
      <c r="I171" s="138" t="n">
        <v>52.4</v>
      </c>
      <c r="J171" s="138" t="n">
        <v>58.2</v>
      </c>
      <c r="K171" s="138" t="n"/>
      <c r="L171" s="138" t="n">
        <v>62.2</v>
      </c>
    </row>
    <row r="172">
      <c r="A172" s="54" t="n">
        <v>22586</v>
      </c>
      <c r="B172" s="71" t="n">
        <v>65.09999999999999</v>
      </c>
      <c r="C172" s="55" t="n"/>
      <c r="D172" s="55" t="n"/>
      <c r="E172" s="138" t="n">
        <v>51.9</v>
      </c>
      <c r="F172" s="138" t="n">
        <v>58.3</v>
      </c>
      <c r="G172" s="138" t="n"/>
      <c r="H172" s="138" t="n">
        <v>54.6</v>
      </c>
      <c r="I172" s="138" t="n">
        <v>51.1</v>
      </c>
      <c r="J172" s="138" t="n">
        <v>59</v>
      </c>
      <c r="K172" s="138" t="n"/>
      <c r="L172" s="138" t="n">
        <v>59</v>
      </c>
    </row>
    <row r="173">
      <c r="A173" s="54" t="n">
        <v>22616</v>
      </c>
      <c r="B173" s="71" t="n">
        <v>73.40000000000001</v>
      </c>
      <c r="C173" s="55" t="n"/>
      <c r="D173" s="55" t="n"/>
      <c r="E173" s="138" t="n">
        <v>56.3</v>
      </c>
      <c r="F173" s="138" t="n">
        <v>66.09999999999999</v>
      </c>
      <c r="G173" s="138" t="n"/>
      <c r="H173" s="138" t="n">
        <v>56.1</v>
      </c>
      <c r="I173" s="138" t="n">
        <v>55.8</v>
      </c>
      <c r="J173" s="138" t="n">
        <v>58.6</v>
      </c>
      <c r="K173" s="138" t="n"/>
      <c r="L173" s="138" t="n">
        <v>64.2</v>
      </c>
    </row>
    <row r="174">
      <c r="A174" s="54" t="n">
        <v>22647</v>
      </c>
      <c r="B174" s="71" t="n">
        <v>59.4</v>
      </c>
      <c r="C174" s="55" t="n"/>
      <c r="D174" s="55" t="n"/>
      <c r="E174" s="138" t="n">
        <v>57.1</v>
      </c>
      <c r="F174" s="138" t="n">
        <v>66.40000000000001</v>
      </c>
      <c r="G174" s="138" t="n"/>
      <c r="H174" s="138" t="n">
        <v>59</v>
      </c>
      <c r="I174" s="138" t="n">
        <v>57.1</v>
      </c>
      <c r="J174" s="138" t="n">
        <v>60.3</v>
      </c>
      <c r="K174" s="138" t="n"/>
      <c r="L174" s="138" t="n">
        <v>60.9</v>
      </c>
    </row>
    <row r="175">
      <c r="A175" s="54" t="n">
        <v>22678</v>
      </c>
      <c r="B175" s="71" t="n">
        <v>61.8</v>
      </c>
      <c r="C175" s="55" t="n"/>
      <c r="D175" s="55" t="n"/>
      <c r="E175" s="138" t="n">
        <v>54.7</v>
      </c>
      <c r="F175" s="138" t="n">
        <v>64.7</v>
      </c>
      <c r="G175" s="138" t="n"/>
      <c r="H175" s="138" t="n">
        <v>58.6</v>
      </c>
      <c r="I175" s="138" t="n">
        <v>56.2</v>
      </c>
      <c r="J175" s="138" t="n">
        <v>60.5</v>
      </c>
      <c r="K175" s="138" t="n"/>
      <c r="L175" s="138" t="n">
        <v>61.1</v>
      </c>
    </row>
    <row r="176">
      <c r="A176" s="54" t="n">
        <v>22706</v>
      </c>
      <c r="B176" s="71" t="n">
        <v>60.1</v>
      </c>
      <c r="C176" s="55" t="n"/>
      <c r="D176" s="55" t="n"/>
      <c r="E176" s="138" t="n">
        <v>56.8</v>
      </c>
      <c r="F176" s="138" t="n">
        <v>66.90000000000001</v>
      </c>
      <c r="G176" s="138" t="n"/>
      <c r="H176" s="138" t="n">
        <v>57.5</v>
      </c>
      <c r="I176" s="138" t="n">
        <v>57</v>
      </c>
      <c r="J176" s="138" t="n">
        <v>57.6</v>
      </c>
      <c r="K176" s="138" t="n"/>
      <c r="L176" s="138" t="n">
        <v>60.6</v>
      </c>
    </row>
    <row r="177">
      <c r="A177" s="54" t="n">
        <v>22737</v>
      </c>
      <c r="B177" s="71" t="n">
        <v>57.3</v>
      </c>
      <c r="C177" s="55" t="n"/>
      <c r="D177" s="55" t="n"/>
      <c r="E177" s="138" t="n">
        <v>53.6</v>
      </c>
      <c r="F177" s="138" t="n">
        <v>57.4</v>
      </c>
      <c r="G177" s="138" t="n"/>
      <c r="H177" s="138" t="n">
        <v>53.5</v>
      </c>
      <c r="I177" s="138" t="n">
        <v>47.4</v>
      </c>
      <c r="J177" s="138" t="n">
        <v>55.6</v>
      </c>
      <c r="K177" s="138" t="n"/>
      <c r="L177" s="138" t="n">
        <v>55.1</v>
      </c>
    </row>
    <row r="178">
      <c r="A178" s="54" t="n">
        <v>22767</v>
      </c>
      <c r="B178" s="71" t="n">
        <v>53.6</v>
      </c>
      <c r="C178" s="55" t="n"/>
      <c r="D178" s="55" t="n"/>
      <c r="E178" s="138" t="n">
        <v>52</v>
      </c>
      <c r="F178" s="138" t="n">
        <v>55.3</v>
      </c>
      <c r="G178" s="138" t="n"/>
      <c r="H178" s="138" t="n">
        <v>50.3</v>
      </c>
      <c r="I178" s="138" t="n">
        <v>45.2</v>
      </c>
      <c r="J178" s="138" t="n">
        <v>52.3</v>
      </c>
      <c r="K178" s="138" t="n"/>
      <c r="L178" s="138" t="n">
        <v>52.2</v>
      </c>
    </row>
    <row r="179">
      <c r="A179" s="54" t="n">
        <v>22798</v>
      </c>
      <c r="B179" s="71" t="n">
        <v>52.5</v>
      </c>
      <c r="C179" s="55" t="n"/>
      <c r="D179" s="55" t="n"/>
      <c r="E179" s="138" t="n">
        <v>51.7</v>
      </c>
      <c r="F179" s="138" t="n">
        <v>54.8</v>
      </c>
      <c r="G179" s="138" t="n"/>
      <c r="H179" s="138" t="n">
        <v>46.4</v>
      </c>
      <c r="I179" s="138" t="n">
        <v>43.3</v>
      </c>
      <c r="J179" s="138" t="n">
        <v>51.6</v>
      </c>
      <c r="K179" s="138" t="n"/>
      <c r="L179" s="138" t="n">
        <v>50.8</v>
      </c>
    </row>
    <row r="180">
      <c r="A180" s="54" t="n">
        <v>22828</v>
      </c>
      <c r="B180" s="71" t="n">
        <v>53.2</v>
      </c>
      <c r="C180" s="55" t="n"/>
      <c r="D180" s="55" t="n"/>
      <c r="E180" s="138" t="n">
        <v>51.6</v>
      </c>
      <c r="F180" s="138" t="n">
        <v>54.7</v>
      </c>
      <c r="G180" s="138" t="n"/>
      <c r="H180" s="138" t="n">
        <v>43.8</v>
      </c>
      <c r="I180" s="138" t="n">
        <v>45.1</v>
      </c>
      <c r="J180" s="138" t="n">
        <v>51.2</v>
      </c>
      <c r="K180" s="138" t="n"/>
      <c r="L180" s="138" t="n">
        <v>51</v>
      </c>
    </row>
    <row r="181">
      <c r="A181" s="54" t="n">
        <v>22859</v>
      </c>
      <c r="B181" s="71" t="n">
        <v>52.9</v>
      </c>
      <c r="C181" s="55" t="n"/>
      <c r="D181" s="55" t="n"/>
      <c r="E181" s="138" t="n">
        <v>47.7</v>
      </c>
      <c r="F181" s="138" t="n">
        <v>52.5</v>
      </c>
      <c r="G181" s="138" t="n"/>
      <c r="H181" s="138" t="n">
        <v>45.2</v>
      </c>
      <c r="I181" s="138" t="n">
        <v>43.7</v>
      </c>
      <c r="J181" s="138" t="n">
        <v>47</v>
      </c>
      <c r="K181" s="138" t="n"/>
      <c r="L181" s="138" t="n">
        <v>49.5</v>
      </c>
    </row>
    <row r="182">
      <c r="A182" s="54" t="n">
        <v>22890</v>
      </c>
      <c r="B182" s="71" t="n">
        <v>53</v>
      </c>
      <c r="C182" s="55" t="n"/>
      <c r="D182" s="55" t="n"/>
      <c r="E182" s="138" t="n">
        <v>45.4</v>
      </c>
      <c r="F182" s="138" t="n">
        <v>52.4</v>
      </c>
      <c r="G182" s="138" t="n"/>
      <c r="H182" s="138" t="n">
        <v>42.5</v>
      </c>
      <c r="I182" s="138" t="n">
        <v>45.1</v>
      </c>
      <c r="J182" s="138" t="n">
        <v>49.7</v>
      </c>
      <c r="K182" s="138" t="n"/>
      <c r="L182" s="138" t="n">
        <v>50</v>
      </c>
    </row>
    <row r="183">
      <c r="A183" s="54" t="n">
        <v>22920</v>
      </c>
      <c r="B183" s="71" t="n">
        <v>53.6</v>
      </c>
      <c r="C183" s="55" t="n"/>
      <c r="D183" s="55" t="n"/>
      <c r="E183" s="138" t="n">
        <v>43.9</v>
      </c>
      <c r="F183" s="138" t="n">
        <v>54</v>
      </c>
      <c r="G183" s="138" t="n"/>
      <c r="H183" s="138" t="n">
        <v>46.2</v>
      </c>
      <c r="I183" s="138" t="n">
        <v>46.7</v>
      </c>
      <c r="J183" s="138" t="n">
        <v>49.9</v>
      </c>
      <c r="K183" s="138" t="n"/>
      <c r="L183" s="138" t="n">
        <v>51.2</v>
      </c>
    </row>
    <row r="184">
      <c r="A184" s="54" t="n">
        <v>22951</v>
      </c>
      <c r="B184" s="71" t="n">
        <v>57.8</v>
      </c>
      <c r="C184" s="55" t="n"/>
      <c r="D184" s="55" t="n"/>
      <c r="E184" s="138" t="n">
        <v>47.1</v>
      </c>
      <c r="F184" s="138" t="n">
        <v>56.9</v>
      </c>
      <c r="G184" s="138" t="n"/>
      <c r="H184" s="138" t="n">
        <v>51.5</v>
      </c>
      <c r="I184" s="138" t="n">
        <v>48.7</v>
      </c>
      <c r="J184" s="138" t="n">
        <v>48.7</v>
      </c>
      <c r="K184" s="138" t="n"/>
      <c r="L184" s="138" t="n">
        <v>53.8</v>
      </c>
    </row>
    <row r="185">
      <c r="A185" s="54" t="n">
        <v>22981</v>
      </c>
      <c r="B185" s="71" t="n">
        <v>59.7</v>
      </c>
      <c r="C185" s="55" t="n"/>
      <c r="D185" s="55" t="n"/>
      <c r="E185" s="138" t="n">
        <v>47.3</v>
      </c>
      <c r="F185" s="138" t="n">
        <v>63.3</v>
      </c>
      <c r="G185" s="138" t="n"/>
      <c r="H185" s="138" t="n">
        <v>50.1</v>
      </c>
      <c r="I185" s="138" t="n">
        <v>50.1</v>
      </c>
      <c r="J185" s="138" t="n">
        <v>54.6</v>
      </c>
      <c r="K185" s="138" t="n"/>
      <c r="L185" s="138" t="n">
        <v>57.2</v>
      </c>
    </row>
    <row r="186">
      <c r="A186" s="54" t="n">
        <v>23012</v>
      </c>
      <c r="B186" s="71" t="n">
        <v>60.9</v>
      </c>
      <c r="C186" s="55" t="n"/>
      <c r="D186" s="55" t="n"/>
      <c r="E186" s="138" t="n">
        <v>48.5</v>
      </c>
      <c r="F186" s="138" t="n">
        <v>56.5</v>
      </c>
      <c r="G186" s="138" t="n"/>
      <c r="H186" s="138" t="n">
        <v>47.4</v>
      </c>
      <c r="I186" s="138" t="n">
        <v>50.4</v>
      </c>
      <c r="J186" s="138" t="n">
        <v>52.5</v>
      </c>
      <c r="K186" s="138" t="n"/>
      <c r="L186" s="138" t="n">
        <v>55.2</v>
      </c>
    </row>
    <row r="187">
      <c r="A187" s="54" t="n">
        <v>23043</v>
      </c>
      <c r="B187" s="71" t="n">
        <v>60.4</v>
      </c>
      <c r="C187" s="55" t="n"/>
      <c r="D187" s="55" t="n"/>
      <c r="E187" s="138" t="n">
        <v>51.7</v>
      </c>
      <c r="F187" s="138" t="n">
        <v>57.7</v>
      </c>
      <c r="G187" s="138" t="n"/>
      <c r="H187" s="138" t="n">
        <v>48.3</v>
      </c>
      <c r="I187" s="138" t="n">
        <v>51</v>
      </c>
      <c r="J187" s="138" t="n">
        <v>50.2</v>
      </c>
      <c r="K187" s="138" t="n"/>
      <c r="L187" s="138" t="n">
        <v>55.1</v>
      </c>
    </row>
    <row r="188">
      <c r="A188" s="54" t="n">
        <v>23071</v>
      </c>
      <c r="B188" s="71" t="n">
        <v>57.5</v>
      </c>
      <c r="C188" s="55" t="n"/>
      <c r="D188" s="55" t="n"/>
      <c r="E188" s="138" t="n">
        <v>47.5</v>
      </c>
      <c r="F188" s="138" t="n">
        <v>56.3</v>
      </c>
      <c r="G188" s="138" t="n"/>
      <c r="H188" s="138" t="n">
        <v>46.8</v>
      </c>
      <c r="I188" s="138" t="n">
        <v>54.9</v>
      </c>
      <c r="J188" s="138" t="n">
        <v>52.4</v>
      </c>
      <c r="K188" s="138" t="n"/>
      <c r="L188" s="138" t="n">
        <v>54.7</v>
      </c>
    </row>
    <row r="189">
      <c r="A189" s="54" t="n">
        <v>23102</v>
      </c>
      <c r="B189" s="71" t="n">
        <v>60.6</v>
      </c>
      <c r="C189" s="55" t="n"/>
      <c r="D189" s="55" t="n"/>
      <c r="E189" s="138" t="n">
        <v>55</v>
      </c>
      <c r="F189" s="138" t="n">
        <v>61</v>
      </c>
      <c r="G189" s="138" t="n"/>
      <c r="H189" s="138" t="n">
        <v>48.6</v>
      </c>
      <c r="I189" s="138" t="n">
        <v>58.2</v>
      </c>
      <c r="J189" s="138" t="n">
        <v>52.7</v>
      </c>
      <c r="K189" s="138" t="n"/>
      <c r="L189" s="138" t="n">
        <v>57.6</v>
      </c>
    </row>
    <row r="190">
      <c r="A190" s="54" t="n">
        <v>23132</v>
      </c>
      <c r="B190" s="71" t="n">
        <v>66.90000000000001</v>
      </c>
      <c r="C190" s="55" t="n"/>
      <c r="D190" s="55" t="n"/>
      <c r="E190" s="138" t="n">
        <v>67.09999999999999</v>
      </c>
      <c r="F190" s="138" t="n">
        <v>60.4</v>
      </c>
      <c r="G190" s="138" t="n"/>
      <c r="H190" s="138" t="n">
        <v>54.2</v>
      </c>
      <c r="I190" s="138" t="n">
        <v>56.4</v>
      </c>
      <c r="J190" s="138" t="n">
        <v>53.5</v>
      </c>
      <c r="K190" s="138" t="n"/>
      <c r="L190" s="138" t="n">
        <v>59.8</v>
      </c>
    </row>
    <row r="191">
      <c r="A191" s="54" t="n">
        <v>23163</v>
      </c>
      <c r="B191" s="71" t="n">
        <v>61.9</v>
      </c>
      <c r="C191" s="55" t="n"/>
      <c r="D191" s="55" t="n"/>
      <c r="E191" s="138" t="n">
        <v>58.7</v>
      </c>
      <c r="F191" s="138" t="n">
        <v>60.6</v>
      </c>
      <c r="G191" s="138" t="n"/>
      <c r="H191" s="138" t="n">
        <v>55</v>
      </c>
      <c r="I191" s="138" t="n">
        <v>56.3</v>
      </c>
      <c r="J191" s="138" t="n">
        <v>52.6</v>
      </c>
      <c r="K191" s="138" t="n"/>
      <c r="L191" s="138" t="n">
        <v>58.2</v>
      </c>
    </row>
    <row r="192">
      <c r="A192" s="54" t="n">
        <v>23193</v>
      </c>
      <c r="B192" s="71" t="n">
        <v>60.1</v>
      </c>
      <c r="C192" s="55" t="n"/>
      <c r="D192" s="55" t="n"/>
      <c r="E192" s="138" t="n">
        <v>61</v>
      </c>
      <c r="F192" s="138" t="n">
        <v>60.4</v>
      </c>
      <c r="G192" s="138" t="n"/>
      <c r="H192" s="138" t="n">
        <v>54</v>
      </c>
      <c r="I192" s="138" t="n">
        <v>43.6</v>
      </c>
      <c r="J192" s="138" t="n">
        <v>52</v>
      </c>
      <c r="K192" s="138" t="n"/>
      <c r="L192" s="138" t="n">
        <v>55.5</v>
      </c>
    </row>
    <row r="193">
      <c r="A193" s="54" t="n">
        <v>23224</v>
      </c>
      <c r="B193" s="71" t="n">
        <v>62</v>
      </c>
      <c r="C193" s="55" t="n"/>
      <c r="D193" s="55" t="n"/>
      <c r="E193" s="138" t="n">
        <v>59.8</v>
      </c>
      <c r="F193" s="138" t="n">
        <v>56.8</v>
      </c>
      <c r="G193" s="138" t="n"/>
      <c r="H193" s="138" t="n">
        <v>48.1</v>
      </c>
      <c r="I193" s="138" t="n">
        <v>48.5</v>
      </c>
      <c r="J193" s="138" t="n">
        <v>51.1</v>
      </c>
      <c r="K193" s="138" t="n"/>
      <c r="L193" s="138" t="n">
        <v>55.1</v>
      </c>
    </row>
    <row r="194">
      <c r="A194" s="54" t="n">
        <v>23255</v>
      </c>
      <c r="B194" s="71" t="n">
        <v>59.8</v>
      </c>
      <c r="C194" s="55" t="n"/>
      <c r="D194" s="55" t="n"/>
      <c r="E194" s="138" t="n">
        <v>57.8</v>
      </c>
      <c r="F194" s="138" t="n">
        <v>63.2</v>
      </c>
      <c r="G194" s="138" t="n"/>
      <c r="H194" s="138" t="n">
        <v>47.9</v>
      </c>
      <c r="I194" s="138" t="n">
        <v>49.7</v>
      </c>
      <c r="J194" s="138" t="n">
        <v>54.8</v>
      </c>
      <c r="K194" s="138" t="n"/>
      <c r="L194" s="138" t="n">
        <v>56.9</v>
      </c>
    </row>
    <row r="195">
      <c r="A195" s="54" t="n">
        <v>23285</v>
      </c>
      <c r="B195" s="71" t="n">
        <v>64</v>
      </c>
      <c r="C195" s="55" t="n"/>
      <c r="D195" s="55" t="n"/>
      <c r="E195" s="138" t="n">
        <v>76.90000000000001</v>
      </c>
      <c r="F195" s="138" t="n">
        <v>63.3</v>
      </c>
      <c r="G195" s="138" t="n"/>
      <c r="H195" s="138" t="n">
        <v>46.4</v>
      </c>
      <c r="I195" s="138" t="n">
        <v>47.4</v>
      </c>
      <c r="J195" s="138" t="n">
        <v>54.5</v>
      </c>
      <c r="K195" s="138" t="n"/>
      <c r="L195" s="138" t="n">
        <v>57.7</v>
      </c>
    </row>
    <row r="196">
      <c r="A196" s="54" t="n">
        <v>23316</v>
      </c>
      <c r="B196" s="71" t="n">
        <v>63.7</v>
      </c>
      <c r="C196" s="55" t="n"/>
      <c r="D196" s="55" t="n"/>
      <c r="E196" s="138" t="n">
        <v>66.2</v>
      </c>
      <c r="F196" s="138" t="n">
        <v>64.09999999999999</v>
      </c>
      <c r="G196" s="138" t="n"/>
      <c r="H196" s="138" t="n">
        <v>43.7</v>
      </c>
      <c r="I196" s="138" t="n">
        <v>48.7</v>
      </c>
      <c r="J196" s="138" t="n">
        <v>53.5</v>
      </c>
      <c r="K196" s="138" t="n"/>
      <c r="L196" s="138" t="n">
        <v>57.5</v>
      </c>
    </row>
    <row r="197">
      <c r="A197" s="54" t="n">
        <v>23346</v>
      </c>
      <c r="B197" s="71" t="n">
        <v>58.6</v>
      </c>
      <c r="C197" s="55" t="n"/>
      <c r="D197" s="55" t="n"/>
      <c r="E197" s="138" t="n">
        <v>64.40000000000001</v>
      </c>
      <c r="F197" s="138" t="n">
        <v>60.7</v>
      </c>
      <c r="G197" s="138" t="n"/>
      <c r="H197" s="138" t="n">
        <v>44.2</v>
      </c>
      <c r="I197" s="138" t="n">
        <v>47.6</v>
      </c>
      <c r="J197" s="138" t="n">
        <v>48.4</v>
      </c>
      <c r="K197" s="138" t="n"/>
      <c r="L197" s="138" t="n">
        <v>54</v>
      </c>
    </row>
    <row r="198">
      <c r="A198" s="54" t="n">
        <v>23377</v>
      </c>
      <c r="B198" s="71" t="n">
        <v>61.3</v>
      </c>
      <c r="C198" s="55" t="n"/>
      <c r="D198" s="55" t="n"/>
      <c r="E198" s="138" t="n">
        <v>60</v>
      </c>
      <c r="F198" s="138" t="n">
        <v>63.3</v>
      </c>
      <c r="G198" s="138" t="n"/>
      <c r="H198" s="138" t="n">
        <v>42.9</v>
      </c>
      <c r="I198" s="138" t="n">
        <v>55.3</v>
      </c>
      <c r="J198" s="138" t="n">
        <v>51.4</v>
      </c>
      <c r="K198" s="138" t="n"/>
      <c r="L198" s="138" t="n">
        <v>57.1</v>
      </c>
    </row>
    <row r="199">
      <c r="A199" s="54" t="n">
        <v>23408</v>
      </c>
      <c r="B199" s="71" t="n">
        <v>61.8</v>
      </c>
      <c r="C199" s="55" t="n"/>
      <c r="D199" s="55" t="n"/>
      <c r="E199" s="138" t="n">
        <v>60.1</v>
      </c>
      <c r="F199" s="138" t="n">
        <v>64</v>
      </c>
      <c r="G199" s="138" t="n"/>
      <c r="H199" s="138" t="n">
        <v>50.4</v>
      </c>
      <c r="I199" s="138" t="n">
        <v>51.9</v>
      </c>
      <c r="J199" s="138" t="n">
        <v>52.7</v>
      </c>
      <c r="K199" s="138" t="n"/>
      <c r="L199" s="138" t="n">
        <v>57.9</v>
      </c>
    </row>
    <row r="200">
      <c r="A200" s="54" t="n">
        <v>23437</v>
      </c>
      <c r="B200" s="71" t="n">
        <v>61.7</v>
      </c>
      <c r="C200" s="55" t="n"/>
      <c r="D200" s="55" t="n"/>
      <c r="E200" s="138" t="n">
        <v>60.6</v>
      </c>
      <c r="F200" s="138" t="n">
        <v>64.40000000000001</v>
      </c>
      <c r="G200" s="138" t="n"/>
      <c r="H200" s="138" t="n">
        <v>54.6</v>
      </c>
      <c r="I200" s="138" t="n">
        <v>60.3</v>
      </c>
      <c r="J200" s="138" t="n">
        <v>55.2</v>
      </c>
      <c r="K200" s="138" t="n"/>
      <c r="L200" s="138" t="n">
        <v>60.2</v>
      </c>
    </row>
    <row r="201">
      <c r="A201" s="54" t="n">
        <v>23468</v>
      </c>
      <c r="B201" s="71" t="n">
        <v>63.6</v>
      </c>
      <c r="C201" s="55" t="n"/>
      <c r="D201" s="55" t="n"/>
      <c r="E201" s="138" t="n">
        <v>65.40000000000001</v>
      </c>
      <c r="F201" s="138" t="n">
        <v>60.6</v>
      </c>
      <c r="G201" s="138" t="n"/>
      <c r="H201" s="138" t="n">
        <v>53.1</v>
      </c>
      <c r="I201" s="138" t="n">
        <v>57.7</v>
      </c>
      <c r="J201" s="138" t="n">
        <v>55.2</v>
      </c>
      <c r="K201" s="138" t="n"/>
      <c r="L201" s="138" t="n">
        <v>59.2</v>
      </c>
    </row>
    <row r="202">
      <c r="A202" s="54" t="n">
        <v>23498</v>
      </c>
      <c r="B202" s="71" t="n">
        <v>59.9</v>
      </c>
      <c r="C202" s="55" t="n"/>
      <c r="D202" s="55" t="n"/>
      <c r="E202" s="138" t="n">
        <v>60.3</v>
      </c>
      <c r="F202" s="138" t="n">
        <v>61</v>
      </c>
      <c r="G202" s="138" t="n"/>
      <c r="H202" s="138" t="n">
        <v>50.3</v>
      </c>
      <c r="I202" s="138" t="n">
        <v>61.4</v>
      </c>
      <c r="J202" s="138" t="n">
        <v>56</v>
      </c>
      <c r="K202" s="138" t="n"/>
      <c r="L202" s="138" t="n">
        <v>58.7</v>
      </c>
    </row>
    <row r="203">
      <c r="A203" s="54" t="n">
        <v>23529</v>
      </c>
      <c r="B203" s="71" t="n">
        <v>64.7</v>
      </c>
      <c r="C203" s="55" t="n"/>
      <c r="D203" s="55" t="n"/>
      <c r="E203" s="138" t="n">
        <v>58.9</v>
      </c>
      <c r="F203" s="138" t="n">
        <v>62.1</v>
      </c>
      <c r="G203" s="138" t="n"/>
      <c r="H203" s="138" t="n">
        <v>53.5</v>
      </c>
      <c r="I203" s="138" t="n">
        <v>57.6</v>
      </c>
      <c r="J203" s="138" t="n">
        <v>55.7</v>
      </c>
      <c r="K203" s="138" t="n"/>
      <c r="L203" s="138" t="n">
        <v>60.1</v>
      </c>
    </row>
    <row r="204">
      <c r="A204" s="54" t="n">
        <v>23559</v>
      </c>
      <c r="B204" s="71" t="n">
        <v>69.90000000000001</v>
      </c>
      <c r="C204" s="55" t="n"/>
      <c r="D204" s="55" t="n"/>
      <c r="E204" s="138" t="n">
        <v>60.9</v>
      </c>
      <c r="F204" s="138" t="n">
        <v>63.7</v>
      </c>
      <c r="G204" s="138" t="n"/>
      <c r="H204" s="138" t="n">
        <v>55.5</v>
      </c>
      <c r="I204" s="138" t="n">
        <v>61.8</v>
      </c>
      <c r="J204" s="138" t="n">
        <v>56.3</v>
      </c>
      <c r="K204" s="138" t="n"/>
      <c r="L204" s="138" t="n">
        <v>62.9</v>
      </c>
    </row>
    <row r="205">
      <c r="A205" s="54" t="n">
        <v>23590</v>
      </c>
      <c r="B205" s="71" t="n">
        <v>68</v>
      </c>
      <c r="C205" s="55" t="n"/>
      <c r="D205" s="55" t="n"/>
      <c r="E205" s="138" t="n">
        <v>61.7</v>
      </c>
      <c r="F205" s="138" t="n">
        <v>63.9</v>
      </c>
      <c r="G205" s="138" t="n"/>
      <c r="H205" s="138" t="n">
        <v>53.5</v>
      </c>
      <c r="I205" s="138" t="n">
        <v>66.2</v>
      </c>
      <c r="J205" s="138" t="n">
        <v>58</v>
      </c>
      <c r="K205" s="138" t="n"/>
      <c r="L205" s="138" t="n">
        <v>63.3</v>
      </c>
    </row>
    <row r="206">
      <c r="A206" s="54" t="n">
        <v>23621</v>
      </c>
      <c r="B206" s="71" t="n">
        <v>63.3</v>
      </c>
      <c r="C206" s="55" t="n"/>
      <c r="D206" s="55" t="n"/>
      <c r="E206" s="138" t="n">
        <v>64.8</v>
      </c>
      <c r="F206" s="138" t="n">
        <v>64.90000000000001</v>
      </c>
      <c r="G206" s="138" t="n"/>
      <c r="H206" s="138" t="n">
        <v>59</v>
      </c>
      <c r="I206" s="138" t="n">
        <v>71.90000000000001</v>
      </c>
      <c r="J206" s="138" t="n">
        <v>56.8</v>
      </c>
      <c r="K206" s="138" t="n"/>
      <c r="L206" s="138" t="n">
        <v>63.3</v>
      </c>
    </row>
    <row r="207">
      <c r="A207" s="54" t="n">
        <v>23651</v>
      </c>
      <c r="B207" s="71" t="n">
        <v>58.9</v>
      </c>
      <c r="C207" s="55" t="n"/>
      <c r="D207" s="55" t="n"/>
      <c r="E207" s="138" t="n">
        <v>68.8</v>
      </c>
      <c r="F207" s="138" t="n">
        <v>61.8</v>
      </c>
      <c r="G207" s="138" t="n"/>
      <c r="H207" s="138" t="n">
        <v>59.1</v>
      </c>
      <c r="I207" s="138" t="n">
        <v>71.2</v>
      </c>
      <c r="J207" s="138" t="n">
        <v>55</v>
      </c>
      <c r="K207" s="138" t="n"/>
      <c r="L207" s="138" t="n">
        <v>60.7</v>
      </c>
    </row>
    <row r="208">
      <c r="A208" s="54" t="n">
        <v>23682</v>
      </c>
      <c r="B208" s="71" t="n">
        <v>60.7</v>
      </c>
      <c r="C208" s="55" t="n"/>
      <c r="D208" s="55" t="n"/>
      <c r="E208" s="138" t="n">
        <v>68.5</v>
      </c>
      <c r="F208" s="138" t="n">
        <v>62.1</v>
      </c>
      <c r="G208" s="138" t="n"/>
      <c r="H208" s="138" t="n">
        <v>61</v>
      </c>
      <c r="I208" s="138" t="n">
        <v>70.3</v>
      </c>
      <c r="J208" s="138" t="n">
        <v>57.3</v>
      </c>
      <c r="K208" s="138" t="n"/>
      <c r="L208" s="138" t="n">
        <v>61.8</v>
      </c>
    </row>
    <row r="209">
      <c r="A209" s="54" t="n">
        <v>23712</v>
      </c>
      <c r="B209" s="71" t="n">
        <v>64.40000000000001</v>
      </c>
      <c r="C209" s="55" t="n"/>
      <c r="D209" s="55" t="n"/>
      <c r="E209" s="138" t="n">
        <v>69.59999999999999</v>
      </c>
      <c r="F209" s="138" t="n">
        <v>63.5</v>
      </c>
      <c r="G209" s="138" t="n"/>
      <c r="H209" s="138" t="n">
        <v>59.5</v>
      </c>
      <c r="I209" s="138" t="n">
        <v>67.8</v>
      </c>
      <c r="J209" s="138" t="n">
        <v>55.2</v>
      </c>
      <c r="K209" s="138" t="n"/>
      <c r="L209" s="138" t="n">
        <v>62.4</v>
      </c>
    </row>
    <row r="210">
      <c r="A210" s="54" t="n">
        <v>23743</v>
      </c>
      <c r="B210" s="71" t="n">
        <v>62.3</v>
      </c>
      <c r="C210" s="55" t="n"/>
      <c r="D210" s="55" t="n"/>
      <c r="E210" s="138" t="n">
        <v>70.7</v>
      </c>
      <c r="F210" s="138" t="n">
        <v>58.2</v>
      </c>
      <c r="G210" s="138" t="n"/>
      <c r="H210" s="138" t="n">
        <v>61.4</v>
      </c>
      <c r="I210" s="138" t="n">
        <v>68.5</v>
      </c>
      <c r="J210" s="138" t="n">
        <v>56.7</v>
      </c>
      <c r="K210" s="138" t="n"/>
      <c r="L210" s="138" t="n">
        <v>61</v>
      </c>
    </row>
    <row r="211">
      <c r="A211" s="54" t="n">
        <v>23774</v>
      </c>
      <c r="B211" s="71" t="n">
        <v>63.2</v>
      </c>
      <c r="C211" s="55" t="n"/>
      <c r="D211" s="55" t="n"/>
      <c r="E211" s="138" t="n">
        <v>64.8</v>
      </c>
      <c r="F211" s="138" t="n">
        <v>59.8</v>
      </c>
      <c r="G211" s="138" t="n"/>
      <c r="H211" s="138" t="n">
        <v>63.2</v>
      </c>
      <c r="I211" s="138" t="n">
        <v>68.09999999999999</v>
      </c>
      <c r="J211" s="138" t="n">
        <v>58.3</v>
      </c>
      <c r="K211" s="138" t="n"/>
      <c r="L211" s="138" t="n">
        <v>62.1</v>
      </c>
    </row>
    <row r="212">
      <c r="A212" s="54" t="n">
        <v>23802</v>
      </c>
      <c r="B212" s="71" t="n">
        <v>68.7</v>
      </c>
      <c r="C212" s="55" t="n"/>
      <c r="D212" s="55" t="n"/>
      <c r="E212" s="138" t="n">
        <v>64.5</v>
      </c>
      <c r="F212" s="138" t="n">
        <v>65.7</v>
      </c>
      <c r="G212" s="138" t="n"/>
      <c r="H212" s="138" t="n">
        <v>57.8</v>
      </c>
      <c r="I212" s="138" t="n">
        <v>65.90000000000001</v>
      </c>
      <c r="J212" s="138" t="n">
        <v>61.2</v>
      </c>
      <c r="K212" s="138" t="n"/>
      <c r="L212" s="138" t="n">
        <v>64.90000000000001</v>
      </c>
    </row>
    <row r="213">
      <c r="A213" s="54" t="n">
        <v>23833</v>
      </c>
      <c r="B213" s="71" t="n">
        <v>59.8</v>
      </c>
      <c r="C213" s="138" t="n"/>
      <c r="D213" s="55" t="n"/>
      <c r="E213" s="138" t="n">
        <v>68.7</v>
      </c>
      <c r="F213" s="138" t="n">
        <v>62.6</v>
      </c>
      <c r="G213" s="138" t="n"/>
      <c r="H213" s="138" t="n">
        <v>61.9</v>
      </c>
      <c r="I213" s="138" t="n">
        <v>69.40000000000001</v>
      </c>
      <c r="J213" s="138" t="n">
        <v>59.2</v>
      </c>
      <c r="K213" s="138" t="n"/>
      <c r="L213" s="138" t="n">
        <v>62</v>
      </c>
    </row>
    <row r="214">
      <c r="A214" s="54" t="n">
        <v>23863</v>
      </c>
      <c r="B214" s="71" t="n">
        <v>60.2</v>
      </c>
      <c r="C214" s="138" t="n"/>
      <c r="D214" s="55" t="n"/>
      <c r="E214" s="138" t="n">
        <v>70</v>
      </c>
      <c r="F214" s="138" t="n">
        <v>62.4</v>
      </c>
      <c r="G214" s="138" t="n"/>
      <c r="H214" s="138" t="n">
        <v>60.6</v>
      </c>
      <c r="I214" s="138" t="n">
        <v>68.90000000000001</v>
      </c>
      <c r="J214" s="138" t="n">
        <v>56.4</v>
      </c>
      <c r="K214" s="138" t="n"/>
      <c r="L214" s="138" t="n">
        <v>61.3</v>
      </c>
    </row>
    <row r="215">
      <c r="A215" s="54" t="n">
        <v>23894</v>
      </c>
      <c r="B215" s="71" t="n">
        <v>57.4</v>
      </c>
      <c r="C215" s="138" t="n"/>
      <c r="D215" s="55" t="n"/>
      <c r="E215" s="138" t="n">
        <v>73.2</v>
      </c>
      <c r="F215" s="138" t="n">
        <v>57.5</v>
      </c>
      <c r="G215" s="138" t="n"/>
      <c r="H215" s="138" t="n">
        <v>55.8</v>
      </c>
      <c r="I215" s="138" t="n">
        <v>69.3</v>
      </c>
      <c r="J215" s="138" t="n">
        <v>55.4</v>
      </c>
      <c r="K215" s="138" t="n"/>
      <c r="L215" s="138" t="n">
        <v>58.7</v>
      </c>
    </row>
    <row r="216">
      <c r="A216" s="54" t="n">
        <v>23924</v>
      </c>
      <c r="B216" s="71" t="n">
        <v>56.6</v>
      </c>
      <c r="C216" s="138" t="n"/>
      <c r="D216" s="55" t="n"/>
      <c r="E216" s="138" t="n">
        <v>71.8</v>
      </c>
      <c r="F216" s="138" t="n">
        <v>59</v>
      </c>
      <c r="G216" s="138" t="n"/>
      <c r="H216" s="138" t="n">
        <v>53.8</v>
      </c>
      <c r="I216" s="138" t="n">
        <v>65.09999999999999</v>
      </c>
      <c r="J216" s="138" t="n">
        <v>56.2</v>
      </c>
      <c r="K216" s="138" t="n"/>
      <c r="L216" s="138" t="n">
        <v>58.1</v>
      </c>
    </row>
    <row r="217">
      <c r="A217" s="54" t="n">
        <v>23955</v>
      </c>
      <c r="B217" s="71" t="n">
        <v>56</v>
      </c>
      <c r="C217" s="138" t="n"/>
      <c r="D217" s="55" t="n"/>
      <c r="E217" s="138" t="n">
        <v>70.5</v>
      </c>
      <c r="F217" s="138" t="n">
        <v>56.6</v>
      </c>
      <c r="G217" s="138" t="n"/>
      <c r="H217" s="138" t="n">
        <v>57.2</v>
      </c>
      <c r="I217" s="138" t="n">
        <v>65.40000000000001</v>
      </c>
      <c r="J217" s="138" t="n">
        <v>58</v>
      </c>
      <c r="K217" s="138" t="n"/>
      <c r="L217" s="138" t="n">
        <v>58.1</v>
      </c>
    </row>
    <row r="218">
      <c r="A218" s="54" t="n">
        <v>23986</v>
      </c>
      <c r="B218" s="71" t="n">
        <v>63.6</v>
      </c>
      <c r="C218" s="138" t="n"/>
      <c r="D218" s="55" t="n"/>
      <c r="E218" s="138" t="n">
        <v>66.3</v>
      </c>
      <c r="F218" s="138" t="n">
        <v>63.8</v>
      </c>
      <c r="G218" s="138" t="n"/>
      <c r="H218" s="138" t="n">
        <v>55.7</v>
      </c>
      <c r="I218" s="138" t="n">
        <v>61.2</v>
      </c>
      <c r="J218" s="138" t="n">
        <v>56.2</v>
      </c>
      <c r="K218" s="138" t="n"/>
      <c r="L218" s="138" t="n">
        <v>61</v>
      </c>
    </row>
    <row r="219">
      <c r="A219" s="54" t="n">
        <v>24016</v>
      </c>
      <c r="B219" s="71" t="n">
        <v>62</v>
      </c>
      <c r="C219" s="138" t="n"/>
      <c r="D219" s="55" t="n"/>
      <c r="E219" s="138" t="n">
        <v>68.59999999999999</v>
      </c>
      <c r="F219" s="138" t="n">
        <v>60.5</v>
      </c>
      <c r="G219" s="138" t="n"/>
      <c r="H219" s="138" t="n">
        <v>46.5</v>
      </c>
      <c r="I219" s="138" t="n">
        <v>59.1</v>
      </c>
      <c r="J219" s="138" t="n">
        <v>56.9</v>
      </c>
      <c r="K219" s="138" t="n"/>
      <c r="L219" s="138" t="n">
        <v>58.6</v>
      </c>
    </row>
    <row r="220">
      <c r="A220" s="54" t="n">
        <v>24047</v>
      </c>
      <c r="B220" s="71" t="n">
        <v>61.9</v>
      </c>
      <c r="C220" s="138" t="n"/>
      <c r="D220" s="55" t="n"/>
      <c r="E220" s="138" t="n">
        <v>70.59999999999999</v>
      </c>
      <c r="F220" s="138" t="n">
        <v>60.9</v>
      </c>
      <c r="G220" s="138" t="n"/>
      <c r="H220" s="138" t="n">
        <v>48.7</v>
      </c>
      <c r="I220" s="138" t="n">
        <v>65.09999999999999</v>
      </c>
      <c r="J220" s="138" t="n">
        <v>54.7</v>
      </c>
      <c r="K220" s="138" t="n"/>
      <c r="L220" s="138" t="n">
        <v>59.4</v>
      </c>
    </row>
    <row r="221">
      <c r="A221" s="54" t="n">
        <v>24077</v>
      </c>
      <c r="B221" s="71" t="n">
        <v>62.9</v>
      </c>
      <c r="C221" s="138" t="n"/>
      <c r="D221" s="55" t="n"/>
      <c r="E221" s="138" t="n">
        <v>67</v>
      </c>
      <c r="F221" s="138" t="n">
        <v>64.40000000000001</v>
      </c>
      <c r="G221" s="138" t="n"/>
      <c r="H221" s="138" t="n">
        <v>47.4</v>
      </c>
      <c r="I221" s="138" t="n">
        <v>73.5</v>
      </c>
      <c r="J221" s="138" t="n">
        <v>60.2</v>
      </c>
      <c r="K221" s="138" t="n"/>
      <c r="L221" s="138" t="n">
        <v>62.8</v>
      </c>
    </row>
    <row r="222">
      <c r="A222" s="54" t="n">
        <v>24108</v>
      </c>
      <c r="B222" s="71" t="n">
        <v>66.5</v>
      </c>
      <c r="C222" s="138" t="n"/>
      <c r="D222" s="55" t="n"/>
      <c r="E222" s="138" t="n">
        <v>75.90000000000001</v>
      </c>
      <c r="F222" s="138" t="n">
        <v>68.40000000000001</v>
      </c>
      <c r="G222" s="138" t="n"/>
      <c r="H222" s="138" t="n">
        <v>49.7</v>
      </c>
      <c r="I222" s="138" t="n">
        <v>74.90000000000001</v>
      </c>
      <c r="J222" s="138" t="n">
        <v>62.6</v>
      </c>
      <c r="K222" s="138" t="n"/>
      <c r="L222" s="138" t="n">
        <v>65.8</v>
      </c>
    </row>
    <row r="223">
      <c r="A223" s="54" t="n">
        <v>24139</v>
      </c>
      <c r="B223" s="71" t="n">
        <v>66.09999999999999</v>
      </c>
      <c r="C223" s="138" t="n"/>
      <c r="D223" s="55" t="n"/>
      <c r="E223" s="138" t="n">
        <v>80.90000000000001</v>
      </c>
      <c r="F223" s="138" t="n">
        <v>66.09999999999999</v>
      </c>
      <c r="G223" s="138" t="n"/>
      <c r="H223" s="138" t="n">
        <v>48.7</v>
      </c>
      <c r="I223" s="138" t="n">
        <v>80.09999999999999</v>
      </c>
      <c r="J223" s="138" t="n">
        <v>61.2</v>
      </c>
      <c r="K223" s="138" t="n"/>
      <c r="L223" s="138" t="n">
        <v>65.5</v>
      </c>
    </row>
    <row r="224">
      <c r="A224" s="54" t="n">
        <v>24167</v>
      </c>
      <c r="B224" s="71" t="n">
        <v>64.3</v>
      </c>
      <c r="C224" s="138" t="n"/>
      <c r="D224" s="55" t="n"/>
      <c r="E224" s="138" t="n">
        <v>85.7</v>
      </c>
      <c r="F224" s="138" t="n">
        <v>63.8</v>
      </c>
      <c r="G224" s="138" t="n"/>
      <c r="H224" s="138" t="n">
        <v>52.3</v>
      </c>
      <c r="I224" s="138" t="n">
        <v>86.40000000000001</v>
      </c>
      <c r="J224" s="138" t="n">
        <v>61.5</v>
      </c>
      <c r="K224" s="138" t="n"/>
      <c r="L224" s="138" t="n">
        <v>65.7</v>
      </c>
    </row>
    <row r="225">
      <c r="A225" s="54" t="n">
        <v>24198</v>
      </c>
      <c r="B225" s="71" t="n">
        <v>64.3</v>
      </c>
      <c r="C225" s="138" t="n"/>
      <c r="D225" s="55" t="n"/>
      <c r="E225" s="138" t="n">
        <v>83.90000000000001</v>
      </c>
      <c r="F225" s="138" t="n">
        <v>63.1</v>
      </c>
      <c r="G225" s="138" t="n"/>
      <c r="H225" s="138" t="n">
        <v>53</v>
      </c>
      <c r="I225" s="138" t="n">
        <v>79.3</v>
      </c>
      <c r="J225" s="138" t="n">
        <v>59.9</v>
      </c>
      <c r="K225" s="138" t="n"/>
      <c r="L225" s="138" t="n">
        <v>64.2</v>
      </c>
    </row>
    <row r="226">
      <c r="A226" s="54" t="n">
        <v>24228</v>
      </c>
      <c r="B226" s="71" t="n">
        <v>52.7</v>
      </c>
      <c r="C226" s="138" t="n"/>
      <c r="D226" s="55" t="n"/>
      <c r="E226" s="138" t="n">
        <v>83.3</v>
      </c>
      <c r="F226" s="138" t="n">
        <v>55.5</v>
      </c>
      <c r="G226" s="138" t="n"/>
      <c r="H226" s="138" t="n">
        <v>53.8</v>
      </c>
      <c r="I226" s="138" t="n">
        <v>74.59999999999999</v>
      </c>
      <c r="J226" s="138" t="n">
        <v>57</v>
      </c>
      <c r="K226" s="138" t="n"/>
      <c r="L226" s="138" t="n">
        <v>57.7</v>
      </c>
    </row>
    <row r="227">
      <c r="A227" s="54" t="n">
        <v>24259</v>
      </c>
      <c r="B227" s="71" t="n">
        <v>55.9</v>
      </c>
      <c r="C227" s="138" t="n"/>
      <c r="D227" s="55" t="n"/>
      <c r="E227" s="138" t="n">
        <v>81.5</v>
      </c>
      <c r="F227" s="138" t="n">
        <v>57.6</v>
      </c>
      <c r="G227" s="138" t="n"/>
      <c r="H227" s="138" t="n">
        <v>53.3</v>
      </c>
      <c r="I227" s="138" t="n">
        <v>71.59999999999999</v>
      </c>
      <c r="J227" s="138" t="n">
        <v>58.8</v>
      </c>
      <c r="K227" s="138" t="n"/>
      <c r="L227" s="138" t="n">
        <v>59</v>
      </c>
    </row>
    <row r="228">
      <c r="A228" s="54" t="n">
        <v>24289</v>
      </c>
      <c r="B228" s="71" t="n">
        <v>56.3</v>
      </c>
      <c r="C228" s="138" t="n"/>
      <c r="D228" s="55" t="n"/>
      <c r="E228" s="138" t="n">
        <v>79.7</v>
      </c>
      <c r="F228" s="138" t="n">
        <v>59.3</v>
      </c>
      <c r="G228" s="138" t="n"/>
      <c r="H228" s="138" t="n">
        <v>57.9</v>
      </c>
      <c r="I228" s="138" t="n">
        <v>73.09999999999999</v>
      </c>
      <c r="J228" s="138" t="n">
        <v>58.9</v>
      </c>
      <c r="K228" s="138" t="n"/>
      <c r="L228" s="138" t="n">
        <v>60.3</v>
      </c>
    </row>
    <row r="229">
      <c r="A229" s="54" t="n">
        <v>24320</v>
      </c>
      <c r="B229" s="71" t="n">
        <v>53.3</v>
      </c>
      <c r="C229" s="138" t="n"/>
      <c r="D229" s="55" t="n"/>
      <c r="E229" s="138" t="n">
        <v>79.5</v>
      </c>
      <c r="F229" s="138" t="n">
        <v>57.7</v>
      </c>
      <c r="G229" s="138" t="n"/>
      <c r="H229" s="138" t="n">
        <v>57</v>
      </c>
      <c r="I229" s="138" t="n">
        <v>74.3</v>
      </c>
      <c r="J229" s="138" t="n">
        <v>56.4</v>
      </c>
      <c r="K229" s="138" t="n"/>
      <c r="L229" s="138" t="n">
        <v>58.5</v>
      </c>
    </row>
    <row r="230">
      <c r="A230" s="54" t="n">
        <v>24351</v>
      </c>
      <c r="B230" s="71" t="n">
        <v>55.2</v>
      </c>
      <c r="C230" s="138" t="n"/>
      <c r="D230" s="55" t="n"/>
      <c r="E230" s="138" t="n">
        <v>73.7</v>
      </c>
      <c r="F230" s="138" t="n">
        <v>57.9</v>
      </c>
      <c r="G230" s="138" t="n"/>
      <c r="H230" s="138" t="n">
        <v>54.8</v>
      </c>
      <c r="I230" s="138" t="n">
        <v>72.40000000000001</v>
      </c>
      <c r="J230" s="138" t="n">
        <v>56.5</v>
      </c>
      <c r="K230" s="138" t="n"/>
      <c r="L230" s="138" t="n">
        <v>58.7</v>
      </c>
    </row>
    <row r="231">
      <c r="A231" s="54" t="n">
        <v>24381</v>
      </c>
      <c r="B231" s="71" t="n">
        <v>51.6</v>
      </c>
      <c r="C231" s="138" t="n"/>
      <c r="D231" s="55" t="n"/>
      <c r="E231" s="138" t="n">
        <v>70.3</v>
      </c>
      <c r="F231" s="138" t="n">
        <v>57</v>
      </c>
      <c r="G231" s="138" t="n"/>
      <c r="H231" s="138" t="n">
        <v>58.2</v>
      </c>
      <c r="I231" s="138" t="n">
        <v>68.7</v>
      </c>
      <c r="J231" s="138" t="n">
        <v>56.9</v>
      </c>
      <c r="K231" s="138" t="n"/>
      <c r="L231" s="138" t="n">
        <v>57.2</v>
      </c>
    </row>
    <row r="232">
      <c r="A232" s="54" t="n">
        <v>24412</v>
      </c>
      <c r="B232" s="71" t="n">
        <v>46.8</v>
      </c>
      <c r="C232" s="138" t="n"/>
      <c r="D232" s="55" t="n"/>
      <c r="E232" s="138" t="n">
        <v>71.90000000000001</v>
      </c>
      <c r="F232" s="138" t="n">
        <v>54.2</v>
      </c>
      <c r="G232" s="138" t="n"/>
      <c r="H232" s="138" t="n">
        <v>55.6</v>
      </c>
      <c r="I232" s="138" t="n">
        <v>62.6</v>
      </c>
      <c r="J232" s="138" t="n">
        <v>55.6</v>
      </c>
      <c r="K232" s="138" t="n"/>
      <c r="L232" s="138" t="n">
        <v>53.7</v>
      </c>
    </row>
    <row r="233">
      <c r="A233" s="54" t="n">
        <v>24442</v>
      </c>
      <c r="B233" s="71" t="n">
        <v>48.8</v>
      </c>
      <c r="C233" s="138" t="n"/>
      <c r="D233" s="55" t="n"/>
      <c r="E233" s="138" t="n">
        <v>67.59999999999999</v>
      </c>
      <c r="F233" s="138" t="n">
        <v>54.1</v>
      </c>
      <c r="G233" s="138" t="n"/>
      <c r="H233" s="138" t="n">
        <v>53.7</v>
      </c>
      <c r="I233" s="138" t="n">
        <v>57.9</v>
      </c>
      <c r="J233" s="138" t="n">
        <v>50.7</v>
      </c>
      <c r="K233" s="138" t="n"/>
      <c r="L233" s="138" t="n">
        <v>52.4</v>
      </c>
    </row>
    <row r="234">
      <c r="A234" s="54" t="n">
        <v>24473</v>
      </c>
      <c r="B234" s="71" t="n">
        <v>46.2</v>
      </c>
      <c r="C234" s="138" t="n"/>
      <c r="D234" s="55" t="n"/>
      <c r="E234" s="138" t="n">
        <v>72.90000000000001</v>
      </c>
      <c r="F234" s="138" t="n">
        <v>54.1</v>
      </c>
      <c r="G234" s="138" t="n"/>
      <c r="H234" s="138" t="n">
        <v>48.2</v>
      </c>
      <c r="I234" s="138" t="n">
        <v>48.2</v>
      </c>
      <c r="J234" s="138" t="n">
        <v>48.3</v>
      </c>
      <c r="K234" s="138" t="n"/>
      <c r="L234" s="138" t="n">
        <v>49.1</v>
      </c>
    </row>
    <row r="235">
      <c r="A235" s="54" t="n">
        <v>24504</v>
      </c>
      <c r="B235" s="71" t="n">
        <v>45.1</v>
      </c>
      <c r="C235" s="138" t="n"/>
      <c r="D235" s="55" t="n"/>
      <c r="E235" s="138" t="n">
        <v>61.8</v>
      </c>
      <c r="F235" s="138" t="n">
        <v>50.4</v>
      </c>
      <c r="G235" s="138" t="n"/>
      <c r="H235" s="138" t="n">
        <v>45.3</v>
      </c>
      <c r="I235" s="138" t="n">
        <v>49.9</v>
      </c>
      <c r="J235" s="138" t="n">
        <v>47.6</v>
      </c>
      <c r="K235" s="138" t="n"/>
      <c r="L235" s="138" t="n">
        <v>47.6</v>
      </c>
    </row>
    <row r="236">
      <c r="A236" s="54" t="n">
        <v>24532</v>
      </c>
      <c r="B236" s="71" t="n">
        <v>45.3</v>
      </c>
      <c r="C236" s="138" t="n"/>
      <c r="D236" s="55" t="n"/>
      <c r="E236" s="138" t="n">
        <v>54</v>
      </c>
      <c r="F236" s="138" t="n">
        <v>48.7</v>
      </c>
      <c r="G236" s="138" t="n"/>
      <c r="H236" s="138" t="n">
        <v>45.6</v>
      </c>
      <c r="I236" s="138" t="n">
        <v>38</v>
      </c>
      <c r="J236" s="138" t="n">
        <v>46.3</v>
      </c>
      <c r="K236" s="138" t="n"/>
      <c r="L236" s="138" t="n">
        <v>45.3</v>
      </c>
    </row>
    <row r="237">
      <c r="A237" s="54" t="n">
        <v>24563</v>
      </c>
      <c r="B237" s="71" t="n">
        <v>46.4</v>
      </c>
      <c r="C237" s="138" t="n"/>
      <c r="D237" s="55" t="n"/>
      <c r="E237" s="138" t="n">
        <v>56.3</v>
      </c>
      <c r="F237" s="138" t="n">
        <v>44.3</v>
      </c>
      <c r="G237" s="138" t="n"/>
      <c r="H237" s="138" t="n">
        <v>39.4</v>
      </c>
      <c r="I237" s="138" t="n">
        <v>36.9</v>
      </c>
      <c r="J237" s="138" t="n">
        <v>41.8</v>
      </c>
      <c r="K237" s="138" t="n"/>
      <c r="L237" s="138" t="n">
        <v>42.8</v>
      </c>
    </row>
    <row r="238">
      <c r="A238" s="54" t="n">
        <v>24593</v>
      </c>
      <c r="B238" s="71" t="n">
        <v>47.6</v>
      </c>
      <c r="C238" s="138" t="n"/>
      <c r="D238" s="55" t="n"/>
      <c r="E238" s="138" t="n">
        <v>56.1</v>
      </c>
      <c r="F238" s="138" t="n">
        <v>48</v>
      </c>
      <c r="G238" s="138" t="n"/>
      <c r="H238" s="138" t="n">
        <v>39.7</v>
      </c>
      <c r="I238" s="138" t="n">
        <v>34.4</v>
      </c>
      <c r="J238" s="138" t="n">
        <v>45.5</v>
      </c>
      <c r="K238" s="138" t="n"/>
      <c r="L238" s="138" t="n">
        <v>44.5</v>
      </c>
    </row>
    <row r="239">
      <c r="A239" s="54" t="n">
        <v>24624</v>
      </c>
      <c r="B239" s="71" t="n">
        <v>51.8</v>
      </c>
      <c r="C239" s="138" t="n"/>
      <c r="D239" s="55" t="n"/>
      <c r="E239" s="138" t="n">
        <v>58.4</v>
      </c>
      <c r="F239" s="138" t="n">
        <v>50.7</v>
      </c>
      <c r="G239" s="138" t="n"/>
      <c r="H239" s="138" t="n">
        <v>39.6</v>
      </c>
      <c r="I239" s="138" t="n">
        <v>36.5</v>
      </c>
      <c r="J239" s="138" t="n">
        <v>45.8</v>
      </c>
      <c r="K239" s="138" t="n"/>
      <c r="L239" s="138" t="n">
        <v>46.8</v>
      </c>
    </row>
    <row r="240">
      <c r="A240" s="54" t="n">
        <v>24654</v>
      </c>
      <c r="B240" s="71" t="n">
        <v>53.7</v>
      </c>
      <c r="C240" s="138" t="n"/>
      <c r="D240" s="55" t="n"/>
      <c r="E240" s="138" t="n">
        <v>63.9</v>
      </c>
      <c r="F240" s="138" t="n">
        <v>53.4</v>
      </c>
      <c r="G240" s="138" t="n"/>
      <c r="H240" s="138" t="n">
        <v>38.1</v>
      </c>
      <c r="I240" s="138" t="n">
        <v>40.9</v>
      </c>
      <c r="J240" s="138" t="n">
        <v>50.2</v>
      </c>
      <c r="K240" s="138" t="n"/>
      <c r="L240" s="138" t="n">
        <v>49.5</v>
      </c>
    </row>
    <row r="241">
      <c r="A241" s="54" t="n">
        <v>24685</v>
      </c>
      <c r="B241" s="71" t="n">
        <v>55.4</v>
      </c>
      <c r="C241" s="138" t="n"/>
      <c r="D241" s="55" t="n"/>
      <c r="E241" s="138" t="n">
        <v>67.5</v>
      </c>
      <c r="F241" s="138" t="n">
        <v>56.4</v>
      </c>
      <c r="G241" s="138" t="n"/>
      <c r="H241" s="138" t="n">
        <v>41.7</v>
      </c>
      <c r="I241" s="138" t="n">
        <v>44.8</v>
      </c>
      <c r="J241" s="138" t="n">
        <v>52.9</v>
      </c>
      <c r="K241" s="138" t="n"/>
      <c r="L241" s="138" t="n">
        <v>52.2</v>
      </c>
    </row>
    <row r="242">
      <c r="A242" s="54" t="n">
        <v>24716</v>
      </c>
      <c r="B242" s="71" t="n">
        <v>62</v>
      </c>
      <c r="C242" s="138" t="n"/>
      <c r="D242" s="55" t="n"/>
      <c r="E242" s="138" t="n">
        <v>75.2</v>
      </c>
      <c r="F242" s="138" t="n">
        <v>57.4</v>
      </c>
      <c r="G242" s="138" t="n"/>
      <c r="H242" s="138" t="n">
        <v>46.8</v>
      </c>
      <c r="I242" s="138" t="n">
        <v>46.5</v>
      </c>
      <c r="J242" s="138" t="n">
        <v>51.6</v>
      </c>
      <c r="K242" s="138" t="n"/>
      <c r="L242" s="138" t="n">
        <v>54.9</v>
      </c>
    </row>
    <row r="243">
      <c r="A243" s="54" t="n">
        <v>24746</v>
      </c>
      <c r="B243" s="71" t="n">
        <v>55.8</v>
      </c>
      <c r="C243" s="138" t="n"/>
      <c r="D243" s="55" t="n"/>
      <c r="E243" s="138" t="n">
        <v>78.7</v>
      </c>
      <c r="F243" s="138" t="n">
        <v>57.7</v>
      </c>
      <c r="G243" s="138" t="n"/>
      <c r="H243" s="138" t="n">
        <v>48</v>
      </c>
      <c r="I243" s="138" t="n">
        <v>51.1</v>
      </c>
      <c r="J243" s="138" t="n">
        <v>52.4</v>
      </c>
      <c r="K243" s="138" t="n"/>
      <c r="L243" s="138" t="n">
        <v>54.1</v>
      </c>
    </row>
    <row r="244">
      <c r="A244" s="54" t="n">
        <v>24777</v>
      </c>
      <c r="B244" s="71" t="n">
        <v>57</v>
      </c>
      <c r="C244" s="138" t="n"/>
      <c r="D244" s="55" t="n"/>
      <c r="E244" s="138" t="n">
        <v>83.8</v>
      </c>
      <c r="F244" s="138" t="n">
        <v>58.6</v>
      </c>
      <c r="G244" s="138" t="n"/>
      <c r="H244" s="138" t="n">
        <v>44.4</v>
      </c>
      <c r="I244" s="138" t="n">
        <v>51.4</v>
      </c>
      <c r="J244" s="138" t="n">
        <v>51.5</v>
      </c>
      <c r="K244" s="138" t="n"/>
      <c r="L244" s="138" t="n">
        <v>54.2</v>
      </c>
    </row>
    <row r="245">
      <c r="A245" s="54" t="n">
        <v>24807</v>
      </c>
      <c r="B245" s="71" t="n">
        <v>59.4</v>
      </c>
      <c r="C245" s="138" t="n"/>
      <c r="D245" s="55" t="n"/>
      <c r="E245" s="138" t="n">
        <v>79.59999999999999</v>
      </c>
      <c r="F245" s="138" t="n">
        <v>58.7</v>
      </c>
      <c r="G245" s="138" t="n"/>
      <c r="H245" s="138" t="n">
        <v>53.8</v>
      </c>
      <c r="I245" s="138" t="n">
        <v>49.9</v>
      </c>
      <c r="J245" s="138" t="n">
        <v>51.5</v>
      </c>
      <c r="K245" s="138" t="n"/>
      <c r="L245" s="138" t="n">
        <v>55.6</v>
      </c>
    </row>
    <row r="246">
      <c r="A246" s="54" t="n">
        <v>24838</v>
      </c>
      <c r="B246" s="71" t="n">
        <v>60.1</v>
      </c>
      <c r="C246" s="138" t="n"/>
      <c r="D246" s="55" t="n"/>
      <c r="E246" s="138" t="n">
        <v>78</v>
      </c>
      <c r="F246" s="138" t="n">
        <v>59.3</v>
      </c>
      <c r="G246" s="138" t="n"/>
      <c r="H246" s="138" t="n">
        <v>54.8</v>
      </c>
      <c r="I246" s="138" t="n">
        <v>50.6</v>
      </c>
      <c r="J246" s="138" t="n">
        <v>53.2</v>
      </c>
      <c r="K246" s="138" t="n"/>
      <c r="L246" s="138" t="n">
        <v>56.6</v>
      </c>
    </row>
    <row r="247">
      <c r="A247" s="54" t="n">
        <v>24869</v>
      </c>
      <c r="B247" s="71" t="n">
        <v>56.6</v>
      </c>
      <c r="C247" s="138" t="n"/>
      <c r="D247" s="55" t="n"/>
      <c r="E247" s="138" t="n">
        <v>76.3</v>
      </c>
      <c r="F247" s="138" t="n">
        <v>58.1</v>
      </c>
      <c r="G247" s="138" t="n"/>
      <c r="H247" s="138" t="n">
        <v>53.7</v>
      </c>
      <c r="I247" s="138" t="n">
        <v>53.9</v>
      </c>
      <c r="J247" s="138" t="n">
        <v>50.3</v>
      </c>
      <c r="K247" s="138" t="n"/>
      <c r="L247" s="138" t="n">
        <v>55</v>
      </c>
    </row>
    <row r="248">
      <c r="A248" s="54" t="n">
        <v>24898</v>
      </c>
      <c r="B248" s="71" t="n">
        <v>55.7</v>
      </c>
      <c r="C248" s="138" t="n"/>
      <c r="D248" s="55" t="n"/>
      <c r="E248" s="138" t="n">
        <v>76.09999999999999</v>
      </c>
      <c r="F248" s="138" t="n">
        <v>55.8</v>
      </c>
      <c r="G248" s="138" t="n"/>
      <c r="H248" s="138" t="n">
        <v>50.7</v>
      </c>
      <c r="I248" s="138" t="n">
        <v>54</v>
      </c>
      <c r="J248" s="138" t="n">
        <v>50.1</v>
      </c>
      <c r="K248" s="138" t="n"/>
      <c r="L248" s="138" t="n">
        <v>53.8</v>
      </c>
    </row>
    <row r="249">
      <c r="A249" s="54" t="n">
        <v>24929</v>
      </c>
      <c r="B249" s="71" t="n">
        <v>64.5</v>
      </c>
      <c r="C249" s="138" t="n"/>
      <c r="D249" s="55" t="n"/>
      <c r="E249" s="138" t="n">
        <v>71.5</v>
      </c>
      <c r="F249" s="138" t="n">
        <v>60.1</v>
      </c>
      <c r="G249" s="138" t="n"/>
      <c r="H249" s="138" t="n">
        <v>54.9</v>
      </c>
      <c r="I249" s="138" t="n">
        <v>49</v>
      </c>
      <c r="J249" s="138" t="n">
        <v>53.5</v>
      </c>
      <c r="K249" s="138" t="n"/>
      <c r="L249" s="138" t="n">
        <v>58</v>
      </c>
    </row>
    <row r="250">
      <c r="A250" s="54" t="n">
        <v>24959</v>
      </c>
      <c r="B250" s="71" t="n">
        <v>56.2</v>
      </c>
      <c r="C250" s="138" t="n"/>
      <c r="D250" s="55" t="n"/>
      <c r="E250" s="138" t="n">
        <v>69.2</v>
      </c>
      <c r="F250" s="138" t="n">
        <v>60</v>
      </c>
      <c r="G250" s="138" t="n"/>
      <c r="H250" s="138" t="n">
        <v>54</v>
      </c>
      <c r="I250" s="138" t="n">
        <v>49.4</v>
      </c>
      <c r="J250" s="138" t="n">
        <v>53.1</v>
      </c>
      <c r="K250" s="138" t="n"/>
      <c r="L250" s="138" t="n">
        <v>55.3</v>
      </c>
    </row>
    <row r="251">
      <c r="A251" s="54" t="n">
        <v>24990</v>
      </c>
      <c r="B251" s="71" t="n">
        <v>54.3</v>
      </c>
      <c r="C251" s="138" t="n"/>
      <c r="D251" s="55" t="n"/>
      <c r="E251" s="138" t="n">
        <v>70.40000000000001</v>
      </c>
      <c r="F251" s="138" t="n">
        <v>54.9</v>
      </c>
      <c r="G251" s="138" t="n"/>
      <c r="H251" s="138" t="n">
        <v>55</v>
      </c>
      <c r="I251" s="138" t="n">
        <v>49.9</v>
      </c>
      <c r="J251" s="138" t="n">
        <v>52.6</v>
      </c>
      <c r="K251" s="138" t="n"/>
      <c r="L251" s="138" t="n">
        <v>53.5</v>
      </c>
    </row>
    <row r="252">
      <c r="A252" s="54" t="n">
        <v>25020</v>
      </c>
      <c r="B252" s="71" t="n">
        <v>54.5</v>
      </c>
      <c r="C252" s="138" t="n"/>
      <c r="D252" s="55" t="n"/>
      <c r="E252" s="138" t="n">
        <v>67.09999999999999</v>
      </c>
      <c r="F252" s="138" t="n">
        <v>56.5</v>
      </c>
      <c r="G252" s="138" t="n"/>
      <c r="H252" s="138" t="n">
        <v>55.8</v>
      </c>
      <c r="I252" s="138" t="n">
        <v>55.9</v>
      </c>
      <c r="J252" s="138" t="n">
        <v>48.2</v>
      </c>
      <c r="K252" s="138" t="n"/>
      <c r="L252" s="138" t="n">
        <v>54.1</v>
      </c>
    </row>
    <row r="253">
      <c r="A253" s="54" t="n">
        <v>25051</v>
      </c>
      <c r="B253" s="71" t="n">
        <v>53.8</v>
      </c>
      <c r="C253" s="138" t="n"/>
      <c r="D253" s="55" t="n"/>
      <c r="E253" s="138" t="n">
        <v>74.3</v>
      </c>
      <c r="F253" s="138" t="n">
        <v>56.1</v>
      </c>
      <c r="G253" s="138" t="n"/>
      <c r="H253" s="138" t="n">
        <v>54.2</v>
      </c>
      <c r="I253" s="138" t="n">
        <v>47.8</v>
      </c>
      <c r="J253" s="138" t="n">
        <v>49.5</v>
      </c>
      <c r="K253" s="138" t="n"/>
      <c r="L253" s="138" t="n">
        <v>52.7</v>
      </c>
    </row>
    <row r="254">
      <c r="A254" s="54" t="n">
        <v>25082</v>
      </c>
      <c r="B254" s="71" t="n">
        <v>55.4</v>
      </c>
      <c r="C254" s="138" t="n"/>
      <c r="D254" s="55" t="n"/>
      <c r="E254" s="138" t="n">
        <v>72.40000000000001</v>
      </c>
      <c r="F254" s="138" t="n">
        <v>57</v>
      </c>
      <c r="G254" s="138" t="n"/>
      <c r="H254" s="138" t="n">
        <v>42.4</v>
      </c>
      <c r="I254" s="138" t="n">
        <v>48.4</v>
      </c>
      <c r="J254" s="138" t="n">
        <v>47.1</v>
      </c>
      <c r="K254" s="138" t="n"/>
      <c r="L254" s="138" t="n">
        <v>51.8</v>
      </c>
    </row>
    <row r="255">
      <c r="A255" s="54" t="n">
        <v>25112</v>
      </c>
      <c r="B255" s="71" t="n">
        <v>58.5</v>
      </c>
      <c r="C255" s="138" t="n"/>
      <c r="D255" s="55" t="n"/>
      <c r="E255" s="138" t="n">
        <v>70.8</v>
      </c>
      <c r="F255" s="138" t="n">
        <v>61.1</v>
      </c>
      <c r="G255" s="138" t="n"/>
      <c r="H255" s="138" t="n">
        <v>44.3</v>
      </c>
      <c r="I255" s="138" t="n">
        <v>53.3</v>
      </c>
      <c r="J255" s="138" t="n">
        <v>52.6</v>
      </c>
      <c r="K255" s="138" t="n"/>
      <c r="L255" s="138" t="n">
        <v>55.8</v>
      </c>
    </row>
    <row r="256">
      <c r="A256" s="54" t="n">
        <v>25143</v>
      </c>
      <c r="B256" s="71" t="n">
        <v>61.3</v>
      </c>
      <c r="C256" s="138" t="n"/>
      <c r="D256" s="55" t="n"/>
      <c r="E256" s="138" t="n">
        <v>69.5</v>
      </c>
      <c r="F256" s="138" t="n">
        <v>59.8</v>
      </c>
      <c r="G256" s="138" t="n"/>
      <c r="H256" s="138" t="n">
        <v>43.5</v>
      </c>
      <c r="I256" s="138" t="n">
        <v>61</v>
      </c>
      <c r="J256" s="138" t="n">
        <v>56.4</v>
      </c>
      <c r="K256" s="138" t="n"/>
      <c r="L256" s="138" t="n">
        <v>58.1</v>
      </c>
    </row>
    <row r="257">
      <c r="A257" s="54" t="n">
        <v>25173</v>
      </c>
      <c r="B257" s="71" t="n">
        <v>56.7</v>
      </c>
      <c r="C257" s="138" t="n"/>
      <c r="D257" s="55" t="n"/>
      <c r="E257" s="138" t="n">
        <v>76.8</v>
      </c>
      <c r="F257" s="138" t="n">
        <v>60.6</v>
      </c>
      <c r="G257" s="138" t="n"/>
      <c r="H257" s="138" t="n">
        <v>46.3</v>
      </c>
      <c r="I257" s="138" t="n">
        <v>58.3</v>
      </c>
      <c r="J257" s="138" t="n">
        <v>52.8</v>
      </c>
      <c r="K257" s="138" t="n"/>
      <c r="L257" s="138" t="n">
        <v>56.1</v>
      </c>
    </row>
    <row r="258">
      <c r="A258" s="54" t="n">
        <v>25204</v>
      </c>
      <c r="B258" s="71" t="n">
        <v>54.4</v>
      </c>
      <c r="C258" s="138" t="n"/>
      <c r="D258" s="55" t="n"/>
      <c r="E258" s="138" t="n">
        <v>77.09999999999999</v>
      </c>
      <c r="F258" s="138" t="n">
        <v>57.1</v>
      </c>
      <c r="G258" s="138" t="n"/>
      <c r="H258" s="138" t="n">
        <v>44.2</v>
      </c>
      <c r="I258" s="138" t="n">
        <v>63.6</v>
      </c>
      <c r="J258" s="138" t="n">
        <v>51.9</v>
      </c>
      <c r="K258" s="138" t="n"/>
      <c r="L258" s="138" t="n">
        <v>54.9</v>
      </c>
    </row>
    <row r="259">
      <c r="A259" s="54" t="n">
        <v>25235</v>
      </c>
      <c r="B259" s="71" t="n">
        <v>57.9</v>
      </c>
      <c r="C259" s="138" t="n"/>
      <c r="D259" s="55" t="n"/>
      <c r="E259" s="138" t="n">
        <v>79.59999999999999</v>
      </c>
      <c r="F259" s="138" t="n">
        <v>59.1</v>
      </c>
      <c r="G259" s="138" t="n"/>
      <c r="H259" s="138" t="n">
        <v>46.3</v>
      </c>
      <c r="I259" s="138" t="n">
        <v>60.1</v>
      </c>
      <c r="J259" s="138" t="n">
        <v>56.1</v>
      </c>
      <c r="K259" s="138" t="n"/>
      <c r="L259" s="138" t="n">
        <v>57</v>
      </c>
    </row>
    <row r="260">
      <c r="A260" s="54" t="n">
        <v>25263</v>
      </c>
      <c r="B260" s="71" t="n">
        <v>59.3</v>
      </c>
      <c r="C260" s="138" t="n"/>
      <c r="D260" s="55" t="n"/>
      <c r="E260" s="138" t="n">
        <v>79.40000000000001</v>
      </c>
      <c r="F260" s="138" t="n">
        <v>58.8</v>
      </c>
      <c r="G260" s="138" t="n"/>
      <c r="H260" s="138" t="n">
        <v>47.6</v>
      </c>
      <c r="I260" s="138" t="n">
        <v>60.5</v>
      </c>
      <c r="J260" s="138" t="n">
        <v>53.8</v>
      </c>
      <c r="K260" s="138" t="n"/>
      <c r="L260" s="138" t="n">
        <v>57.1</v>
      </c>
    </row>
    <row r="261">
      <c r="A261" s="54" t="n">
        <v>25294</v>
      </c>
      <c r="B261" s="71" t="n">
        <v>54.4</v>
      </c>
      <c r="C261" s="138" t="n"/>
      <c r="D261" s="55" t="n"/>
      <c r="E261" s="138" t="n">
        <v>78.8</v>
      </c>
      <c r="F261" s="138" t="n">
        <v>55.1</v>
      </c>
      <c r="G261" s="138" t="n"/>
      <c r="H261" s="138" t="n">
        <v>49.2</v>
      </c>
      <c r="I261" s="138" t="n">
        <v>63.9</v>
      </c>
      <c r="J261" s="138" t="n">
        <v>52.7</v>
      </c>
      <c r="K261" s="138" t="n"/>
      <c r="L261" s="138" t="n">
        <v>55.2</v>
      </c>
    </row>
    <row r="262">
      <c r="A262" s="54" t="n">
        <v>25324</v>
      </c>
      <c r="B262" s="71" t="n">
        <v>57.6</v>
      </c>
      <c r="C262" s="138" t="n"/>
      <c r="D262" s="55" t="n"/>
      <c r="E262" s="138" t="n">
        <v>79.3</v>
      </c>
      <c r="F262" s="138" t="n">
        <v>56.3</v>
      </c>
      <c r="G262" s="138" t="n"/>
      <c r="H262" s="138" t="n">
        <v>50.7</v>
      </c>
      <c r="I262" s="138" t="n">
        <v>64.90000000000001</v>
      </c>
      <c r="J262" s="138" t="n">
        <v>52.8</v>
      </c>
      <c r="K262" s="138" t="n"/>
      <c r="L262" s="138" t="n">
        <v>56.7</v>
      </c>
    </row>
    <row r="263">
      <c r="A263" s="54" t="n">
        <v>25355</v>
      </c>
      <c r="B263" s="71" t="n">
        <v>52.7</v>
      </c>
      <c r="C263" s="138" t="n"/>
      <c r="D263" s="55" t="n"/>
      <c r="E263" s="138" t="n">
        <v>80.90000000000001</v>
      </c>
      <c r="F263" s="138" t="n">
        <v>56.9</v>
      </c>
      <c r="G263" s="138" t="n"/>
      <c r="H263" s="138" t="n">
        <v>47.8</v>
      </c>
      <c r="I263" s="138" t="n">
        <v>67</v>
      </c>
      <c r="J263" s="138" t="n">
        <v>53.1</v>
      </c>
      <c r="K263" s="138" t="n"/>
      <c r="L263" s="138" t="n">
        <v>55.5</v>
      </c>
    </row>
    <row r="264">
      <c r="A264" s="54" t="n">
        <v>25385</v>
      </c>
      <c r="B264" s="71" t="n">
        <v>49.8</v>
      </c>
      <c r="C264" s="138" t="n"/>
      <c r="D264" s="55" t="n"/>
      <c r="E264" s="138" t="n">
        <v>80.90000000000001</v>
      </c>
      <c r="F264" s="138" t="n">
        <v>51.2</v>
      </c>
      <c r="G264" s="138" t="n"/>
      <c r="H264" s="138" t="n">
        <v>49.3</v>
      </c>
      <c r="I264" s="138" t="n">
        <v>65.7</v>
      </c>
      <c r="J264" s="138" t="n">
        <v>53</v>
      </c>
      <c r="K264" s="138" t="n"/>
      <c r="L264" s="138" t="n">
        <v>53.1</v>
      </c>
    </row>
    <row r="265">
      <c r="A265" s="54" t="n">
        <v>25416</v>
      </c>
      <c r="B265" s="71" t="n">
        <v>51.5</v>
      </c>
      <c r="C265" s="138" t="n"/>
      <c r="D265" s="55" t="n"/>
      <c r="E265" s="138" t="n">
        <v>84.40000000000001</v>
      </c>
      <c r="F265" s="138" t="n">
        <v>54.1</v>
      </c>
      <c r="G265" s="138" t="n"/>
      <c r="H265" s="138" t="n">
        <v>50.9</v>
      </c>
      <c r="I265" s="138" t="n">
        <v>70.3</v>
      </c>
      <c r="J265" s="138" t="n">
        <v>51.2</v>
      </c>
      <c r="K265" s="138" t="n"/>
      <c r="L265" s="138" t="n">
        <v>54.8</v>
      </c>
    </row>
    <row r="266">
      <c r="A266" s="54" t="n">
        <v>25447</v>
      </c>
      <c r="B266" s="71" t="n">
        <v>50.4</v>
      </c>
      <c r="C266" s="138" t="n"/>
      <c r="D266" s="55" t="n"/>
      <c r="E266" s="138" t="n">
        <v>83.2</v>
      </c>
      <c r="F266" s="138" t="n">
        <v>54.8</v>
      </c>
      <c r="G266" s="138" t="n"/>
      <c r="H266" s="138" t="n">
        <v>49.4</v>
      </c>
      <c r="I266" s="138" t="n">
        <v>68.90000000000001</v>
      </c>
      <c r="J266" s="138" t="n">
        <v>50.3</v>
      </c>
      <c r="K266" s="138" t="n"/>
      <c r="L266" s="138" t="n">
        <v>54.1</v>
      </c>
    </row>
    <row r="267">
      <c r="A267" s="54" t="n">
        <v>25477</v>
      </c>
      <c r="B267" s="71" t="n">
        <v>51.9</v>
      </c>
      <c r="C267" s="138" t="n"/>
      <c r="D267" s="55" t="n"/>
      <c r="E267" s="138" t="n">
        <v>85.3</v>
      </c>
      <c r="F267" s="138" t="n">
        <v>53.2</v>
      </c>
      <c r="G267" s="138" t="n"/>
      <c r="H267" s="138" t="n">
        <v>54.2</v>
      </c>
      <c r="I267" s="138" t="n">
        <v>66.8</v>
      </c>
      <c r="J267" s="138" t="n">
        <v>51.3</v>
      </c>
      <c r="K267" s="138" t="n"/>
      <c r="L267" s="138" t="n">
        <v>54.6</v>
      </c>
    </row>
    <row r="268">
      <c r="A268" s="54" t="n">
        <v>25508</v>
      </c>
      <c r="B268" s="71" t="n">
        <v>50.6</v>
      </c>
      <c r="C268" s="138" t="n"/>
      <c r="D268" s="55" t="n"/>
      <c r="E268" s="138" t="n">
        <v>81.8</v>
      </c>
      <c r="F268" s="138" t="n">
        <v>51.2</v>
      </c>
      <c r="G268" s="138" t="n"/>
      <c r="H268" s="138" t="n">
        <v>55.6</v>
      </c>
      <c r="I268" s="138" t="n">
        <v>64.09999999999999</v>
      </c>
      <c r="J268" s="138" t="n">
        <v>50.4</v>
      </c>
      <c r="K268" s="138" t="n"/>
      <c r="L268" s="138" t="n">
        <v>53.2</v>
      </c>
    </row>
    <row r="269">
      <c r="A269" s="54" t="n">
        <v>25538</v>
      </c>
      <c r="B269" s="71" t="n">
        <v>48</v>
      </c>
      <c r="C269" s="138" t="n"/>
      <c r="D269" s="55" t="n"/>
      <c r="E269" s="138" t="n">
        <v>82.2</v>
      </c>
      <c r="F269" s="138" t="n">
        <v>50.3</v>
      </c>
      <c r="G269" s="138" t="n"/>
      <c r="H269" s="138" t="n">
        <v>51.5</v>
      </c>
      <c r="I269" s="138" t="n">
        <v>66.8</v>
      </c>
      <c r="J269" s="138" t="n">
        <v>49.6</v>
      </c>
      <c r="K269" s="138" t="n"/>
      <c r="L269" s="138" t="n">
        <v>52</v>
      </c>
    </row>
    <row r="270">
      <c r="A270" s="54" t="n">
        <v>25569</v>
      </c>
      <c r="B270" s="71" t="n">
        <v>45.8</v>
      </c>
      <c r="C270" s="138" t="n"/>
      <c r="D270" s="55" t="n"/>
      <c r="E270" s="138" t="n">
        <v>80.59999999999999</v>
      </c>
      <c r="F270" s="138" t="n">
        <v>48.1</v>
      </c>
      <c r="G270" s="138" t="n"/>
      <c r="H270" s="138" t="n">
        <v>50.2</v>
      </c>
      <c r="I270" s="138" t="n">
        <v>57.9</v>
      </c>
      <c r="J270" s="138" t="n">
        <v>46.3</v>
      </c>
      <c r="K270" s="138" t="n"/>
      <c r="L270" s="138" t="n">
        <v>48.7</v>
      </c>
    </row>
    <row r="271">
      <c r="A271" s="54" t="n">
        <v>25600</v>
      </c>
      <c r="B271" s="71" t="n">
        <v>45.8</v>
      </c>
      <c r="C271" s="138" t="n"/>
      <c r="D271" s="55" t="n"/>
      <c r="E271" s="138" t="n">
        <v>74.5</v>
      </c>
      <c r="F271" s="138" t="n">
        <v>45.9</v>
      </c>
      <c r="G271" s="138" t="n"/>
      <c r="H271" s="138" t="n">
        <v>48.6</v>
      </c>
      <c r="I271" s="138" t="n">
        <v>57.7</v>
      </c>
      <c r="J271" s="138" t="n">
        <v>43.3</v>
      </c>
      <c r="K271" s="138" t="n"/>
      <c r="L271" s="138" t="n">
        <v>47.4</v>
      </c>
    </row>
    <row r="272">
      <c r="A272" s="54" t="n">
        <v>25628</v>
      </c>
      <c r="B272" s="71" t="n">
        <v>45.2</v>
      </c>
      <c r="C272" s="138" t="n"/>
      <c r="D272" s="55" t="n"/>
      <c r="E272" s="138" t="n">
        <v>67.8</v>
      </c>
      <c r="F272" s="138" t="n">
        <v>47.3</v>
      </c>
      <c r="G272" s="138" t="n"/>
      <c r="H272" s="138" t="n">
        <v>51.4</v>
      </c>
      <c r="I272" s="138" t="n">
        <v>49.3</v>
      </c>
      <c r="J272" s="138" t="n">
        <v>44.8</v>
      </c>
      <c r="K272" s="138" t="n"/>
      <c r="L272" s="138" t="n">
        <v>46.9</v>
      </c>
    </row>
    <row r="273">
      <c r="A273" s="54" t="n">
        <v>25659</v>
      </c>
      <c r="B273" s="71" t="n">
        <v>45.7</v>
      </c>
      <c r="C273" s="138" t="n"/>
      <c r="D273" s="55" t="n"/>
      <c r="E273" s="138" t="n">
        <v>75.09999999999999</v>
      </c>
      <c r="F273" s="138" t="n">
        <v>45.5</v>
      </c>
      <c r="G273" s="138" t="n"/>
      <c r="H273" s="138" t="n">
        <v>44.3</v>
      </c>
      <c r="I273" s="138" t="n">
        <v>48.7</v>
      </c>
      <c r="J273" s="138" t="n">
        <v>40.7</v>
      </c>
      <c r="K273" s="138" t="n"/>
      <c r="L273" s="138" t="n">
        <v>45</v>
      </c>
    </row>
    <row r="274">
      <c r="A274" s="54" t="n">
        <v>25689</v>
      </c>
      <c r="B274" s="71" t="n">
        <v>45.3</v>
      </c>
      <c r="C274" s="138" t="n"/>
      <c r="D274" s="55" t="n"/>
      <c r="E274" s="138" t="n">
        <v>78.3</v>
      </c>
      <c r="F274" s="138" t="n">
        <v>45.2</v>
      </c>
      <c r="G274" s="138" t="n"/>
      <c r="H274" s="138" t="n">
        <v>40.4</v>
      </c>
      <c r="I274" s="138" t="n">
        <v>67.2</v>
      </c>
      <c r="J274" s="138" t="n">
        <v>40.8</v>
      </c>
      <c r="K274" s="138" t="n"/>
      <c r="L274" s="138" t="n">
        <v>47.2</v>
      </c>
    </row>
    <row r="275">
      <c r="A275" s="54" t="n">
        <v>25720</v>
      </c>
      <c r="B275" s="71" t="n">
        <v>53.2</v>
      </c>
      <c r="C275" s="138" t="n"/>
      <c r="D275" s="55" t="n"/>
      <c r="E275" s="138" t="n">
        <v>73.8</v>
      </c>
      <c r="F275" s="138" t="n">
        <v>49.7</v>
      </c>
      <c r="G275" s="138" t="n"/>
      <c r="H275" s="138" t="n">
        <v>45.3</v>
      </c>
      <c r="I275" s="138" t="n">
        <v>66.09999999999999</v>
      </c>
      <c r="J275" s="138" t="n">
        <v>41.4</v>
      </c>
      <c r="K275" s="138" t="n"/>
      <c r="L275" s="138" t="n">
        <v>51.1</v>
      </c>
    </row>
    <row r="276">
      <c r="A276" s="54" t="n">
        <v>25750</v>
      </c>
      <c r="B276" s="71" t="n">
        <v>52.5</v>
      </c>
      <c r="C276" s="138" t="n"/>
      <c r="D276" s="55" t="n"/>
      <c r="E276" s="138" t="n">
        <v>72.40000000000001</v>
      </c>
      <c r="F276" s="138" t="n">
        <v>54.5</v>
      </c>
      <c r="G276" s="138" t="n"/>
      <c r="H276" s="138" t="n">
        <v>45.4</v>
      </c>
      <c r="I276" s="138" t="n">
        <v>49.8</v>
      </c>
      <c r="J276" s="138" t="n">
        <v>40.6</v>
      </c>
      <c r="K276" s="138" t="n"/>
      <c r="L276" s="138" t="n">
        <v>49.5</v>
      </c>
    </row>
    <row r="277">
      <c r="A277" s="54" t="n">
        <v>25781</v>
      </c>
      <c r="B277" s="71" t="n">
        <v>51.8</v>
      </c>
      <c r="C277" s="138" t="n"/>
      <c r="D277" s="55" t="n"/>
      <c r="E277" s="138" t="n">
        <v>68.59999999999999</v>
      </c>
      <c r="F277" s="138" t="n">
        <v>49.7</v>
      </c>
      <c r="G277" s="138" t="n"/>
      <c r="H277" s="138" t="n">
        <v>43.8</v>
      </c>
      <c r="I277" s="138" t="n">
        <v>46.1</v>
      </c>
      <c r="J277" s="138" t="n">
        <v>40.1</v>
      </c>
      <c r="K277" s="138" t="n"/>
      <c r="L277" s="138" t="n">
        <v>47.3</v>
      </c>
    </row>
    <row r="278">
      <c r="A278" s="54" t="n">
        <v>25812</v>
      </c>
      <c r="B278" s="71" t="n">
        <v>44.2</v>
      </c>
      <c r="C278" s="138" t="n"/>
      <c r="D278" s="55" t="n"/>
      <c r="E278" s="138" t="n">
        <v>70.59999999999999</v>
      </c>
      <c r="F278" s="138" t="n">
        <v>45.1</v>
      </c>
      <c r="G278" s="138" t="n"/>
      <c r="H278" s="138" t="n">
        <v>47.2</v>
      </c>
      <c r="I278" s="138" t="n">
        <v>46.5</v>
      </c>
      <c r="J278" s="138" t="n">
        <v>39.5</v>
      </c>
      <c r="K278" s="138" t="n"/>
      <c r="L278" s="138" t="n">
        <v>44.1</v>
      </c>
    </row>
    <row r="279">
      <c r="A279" s="54" t="n">
        <v>25842</v>
      </c>
      <c r="B279" s="71" t="n">
        <v>44.7</v>
      </c>
      <c r="C279" s="138" t="n"/>
      <c r="D279" s="55" t="n"/>
      <c r="E279" s="138" t="n">
        <v>67.8</v>
      </c>
      <c r="F279" s="138" t="n">
        <v>44.1</v>
      </c>
      <c r="G279" s="138" t="n"/>
      <c r="H279" s="138" t="n">
        <v>45.7</v>
      </c>
      <c r="I279" s="138" t="n">
        <v>39</v>
      </c>
      <c r="J279" s="138" t="n">
        <v>37.6</v>
      </c>
      <c r="K279" s="138" t="n"/>
      <c r="L279" s="138" t="n">
        <v>42.4</v>
      </c>
    </row>
    <row r="280">
      <c r="A280" s="54" t="n">
        <v>25873</v>
      </c>
      <c r="B280" s="71" t="n">
        <v>43.3</v>
      </c>
      <c r="C280" s="138" t="n"/>
      <c r="D280" s="55" t="n"/>
      <c r="E280" s="138" t="n">
        <v>68.09999999999999</v>
      </c>
      <c r="F280" s="138" t="n">
        <v>38.5</v>
      </c>
      <c r="G280" s="138" t="n"/>
      <c r="H280" s="138" t="n">
        <v>46.3</v>
      </c>
      <c r="I280" s="138" t="n">
        <v>37.8</v>
      </c>
      <c r="J280" s="138" t="n">
        <v>33.8</v>
      </c>
      <c r="K280" s="138" t="n"/>
      <c r="L280" s="138" t="n">
        <v>39.7</v>
      </c>
    </row>
    <row r="281">
      <c r="A281" s="54" t="n">
        <v>25903</v>
      </c>
      <c r="B281" s="71" t="n">
        <v>51.2</v>
      </c>
      <c r="C281" s="138" t="n"/>
      <c r="D281" s="55" t="n"/>
      <c r="E281" s="138" t="n">
        <v>64.5</v>
      </c>
      <c r="F281" s="138" t="n">
        <v>46.8</v>
      </c>
      <c r="G281" s="138" t="n"/>
      <c r="H281" s="138" t="n">
        <v>44.4</v>
      </c>
      <c r="I281" s="138" t="n">
        <v>37.5</v>
      </c>
      <c r="J281" s="138" t="n">
        <v>41.4</v>
      </c>
      <c r="K281" s="138" t="n"/>
      <c r="L281" s="138" t="n">
        <v>45.4</v>
      </c>
    </row>
    <row r="282">
      <c r="A282" s="54" t="n">
        <v>25934</v>
      </c>
      <c r="B282" s="71" t="n">
        <v>55.4</v>
      </c>
      <c r="C282" s="138" t="n"/>
      <c r="D282" s="55" t="n"/>
      <c r="E282" s="138" t="n">
        <v>65.09999999999999</v>
      </c>
      <c r="F282" s="138" t="n">
        <v>50.5</v>
      </c>
      <c r="G282" s="138" t="n"/>
      <c r="H282" s="138" t="n">
        <v>47.4</v>
      </c>
      <c r="I282" s="138" t="n">
        <v>39.8</v>
      </c>
      <c r="J282" s="138" t="n">
        <v>40</v>
      </c>
      <c r="K282" s="138" t="n"/>
      <c r="L282" s="138" t="n">
        <v>47.9</v>
      </c>
    </row>
    <row r="283">
      <c r="A283" s="54" t="n">
        <v>25965</v>
      </c>
      <c r="B283" s="71" t="n">
        <v>62.8</v>
      </c>
      <c r="C283" s="138" t="n"/>
      <c r="D283" s="55" t="n"/>
      <c r="E283" s="138" t="n">
        <v>64.59999999999999</v>
      </c>
      <c r="F283" s="138" t="n">
        <v>60</v>
      </c>
      <c r="G283" s="138" t="n"/>
      <c r="H283" s="138" t="n">
        <v>48</v>
      </c>
      <c r="I283" s="138" t="n">
        <v>44.2</v>
      </c>
      <c r="J283" s="138" t="n">
        <v>47.7</v>
      </c>
      <c r="K283" s="138" t="n"/>
      <c r="L283" s="138" t="n">
        <v>54.8</v>
      </c>
    </row>
    <row r="284">
      <c r="A284" s="54" t="n">
        <v>25993</v>
      </c>
      <c r="B284" s="71" t="n">
        <v>56.2</v>
      </c>
      <c r="C284" s="138" t="n"/>
      <c r="D284" s="55" t="n"/>
      <c r="E284" s="138" t="n">
        <v>67</v>
      </c>
      <c r="F284" s="138" t="n">
        <v>54.4</v>
      </c>
      <c r="G284" s="138" t="n"/>
      <c r="H284" s="138" t="n">
        <v>51.2</v>
      </c>
      <c r="I284" s="138" t="n">
        <v>45</v>
      </c>
      <c r="J284" s="138" t="n">
        <v>44.3</v>
      </c>
      <c r="K284" s="138" t="n"/>
      <c r="L284" s="138" t="n">
        <v>51.2</v>
      </c>
    </row>
    <row r="285">
      <c r="A285" s="54" t="n">
        <v>26024</v>
      </c>
      <c r="B285" s="71" t="n">
        <v>59.6</v>
      </c>
      <c r="C285" s="138" t="n"/>
      <c r="D285" s="55" t="n"/>
      <c r="E285" s="138" t="n">
        <v>70.8</v>
      </c>
      <c r="F285" s="138" t="n">
        <v>58.1</v>
      </c>
      <c r="G285" s="138" t="n"/>
      <c r="H285" s="138" t="n">
        <v>55.5</v>
      </c>
      <c r="I285" s="138" t="n">
        <v>48.9</v>
      </c>
      <c r="J285" s="138" t="n">
        <v>45.7</v>
      </c>
      <c r="K285" s="138" t="n"/>
      <c r="L285" s="138" t="n">
        <v>54.5</v>
      </c>
    </row>
    <row r="286">
      <c r="A286" s="54" t="n">
        <v>26054</v>
      </c>
      <c r="B286" s="71" t="n">
        <v>57</v>
      </c>
      <c r="C286" s="138" t="n"/>
      <c r="D286" s="55" t="n"/>
      <c r="E286" s="138" t="n">
        <v>71.59999999999999</v>
      </c>
      <c r="F286" s="138" t="n">
        <v>58.9</v>
      </c>
      <c r="G286" s="138" t="n"/>
      <c r="H286" s="138" t="n">
        <v>55.1</v>
      </c>
      <c r="I286" s="138" t="n">
        <v>49.4</v>
      </c>
      <c r="J286" s="138" t="n">
        <v>47.4</v>
      </c>
      <c r="K286" s="138" t="n"/>
      <c r="L286" s="138" t="n">
        <v>54.2</v>
      </c>
    </row>
    <row r="287">
      <c r="A287" s="54" t="n">
        <v>26085</v>
      </c>
      <c r="B287" s="71" t="n">
        <v>57.9</v>
      </c>
      <c r="C287" s="138" t="n"/>
      <c r="D287" s="55" t="n"/>
      <c r="E287" s="138" t="n">
        <v>78.09999999999999</v>
      </c>
      <c r="F287" s="138" t="n">
        <v>55.4</v>
      </c>
      <c r="G287" s="138" t="n"/>
      <c r="H287" s="138" t="n">
        <v>59</v>
      </c>
      <c r="I287" s="138" t="n">
        <v>47.9</v>
      </c>
      <c r="J287" s="138" t="n">
        <v>47.5</v>
      </c>
      <c r="K287" s="138" t="n"/>
      <c r="L287" s="138" t="n">
        <v>53.8</v>
      </c>
    </row>
    <row r="288">
      <c r="A288" s="54" t="n">
        <v>26115</v>
      </c>
      <c r="B288" s="71" t="n">
        <v>57.8</v>
      </c>
      <c r="C288" s="138" t="n"/>
      <c r="D288" s="55" t="n"/>
      <c r="E288" s="138" t="n">
        <v>72.59999999999999</v>
      </c>
      <c r="F288" s="138" t="n">
        <v>56.8</v>
      </c>
      <c r="G288" s="138" t="n"/>
      <c r="H288" s="138" t="n">
        <v>58.9</v>
      </c>
      <c r="I288" s="138" t="n">
        <v>47.4</v>
      </c>
      <c r="J288" s="138" t="n">
        <v>49.5</v>
      </c>
      <c r="K288" s="138" t="n"/>
      <c r="L288" s="138" t="n">
        <v>54.4</v>
      </c>
    </row>
    <row r="289">
      <c r="A289" s="54" t="n">
        <v>26146</v>
      </c>
      <c r="B289" s="71" t="n">
        <v>58.4</v>
      </c>
      <c r="C289" s="138" t="n"/>
      <c r="D289" s="55" t="n"/>
      <c r="E289" s="138" t="n">
        <v>72.40000000000001</v>
      </c>
      <c r="F289" s="138" t="n">
        <v>55.6</v>
      </c>
      <c r="G289" s="138" t="n"/>
      <c r="H289" s="138" t="n">
        <v>50.9</v>
      </c>
      <c r="I289" s="138" t="n">
        <v>49.7</v>
      </c>
      <c r="J289" s="138" t="n">
        <v>48.4</v>
      </c>
      <c r="K289" s="138" t="n"/>
      <c r="L289" s="138" t="n">
        <v>53.6</v>
      </c>
    </row>
    <row r="290">
      <c r="A290" s="54" t="n">
        <v>26177</v>
      </c>
      <c r="B290" s="71" t="n">
        <v>61</v>
      </c>
      <c r="C290" s="138" t="n"/>
      <c r="D290" s="55" t="n"/>
      <c r="E290" s="138" t="n">
        <v>52.3</v>
      </c>
      <c r="F290" s="138" t="n">
        <v>59.3</v>
      </c>
      <c r="G290" s="138" t="n"/>
      <c r="H290" s="138" t="n">
        <v>40.2</v>
      </c>
      <c r="I290" s="138" t="n">
        <v>48.9</v>
      </c>
      <c r="J290" s="138" t="n">
        <v>53</v>
      </c>
      <c r="K290" s="138" t="n"/>
      <c r="L290" s="138" t="n">
        <v>55.1</v>
      </c>
    </row>
    <row r="291">
      <c r="A291" s="54" t="n">
        <v>26207</v>
      </c>
      <c r="B291" s="71" t="n">
        <v>61.4</v>
      </c>
      <c r="C291" s="138" t="n"/>
      <c r="D291" s="55" t="n"/>
      <c r="E291" s="138" t="n">
        <v>51.7</v>
      </c>
      <c r="F291" s="138" t="n">
        <v>60.8</v>
      </c>
      <c r="G291" s="138" t="n"/>
      <c r="H291" s="138" t="n">
        <v>38.1</v>
      </c>
      <c r="I291" s="138" t="n">
        <v>50.9</v>
      </c>
      <c r="J291" s="138" t="n">
        <v>49.8</v>
      </c>
      <c r="K291" s="138" t="n"/>
      <c r="L291" s="138" t="n">
        <v>55</v>
      </c>
    </row>
    <row r="292">
      <c r="A292" s="54" t="n">
        <v>26238</v>
      </c>
      <c r="B292" s="71" t="n">
        <v>55.4</v>
      </c>
      <c r="C292" s="138" t="n"/>
      <c r="D292" s="55" t="n"/>
      <c r="E292" s="138" t="n">
        <v>53.9</v>
      </c>
      <c r="F292" s="138" t="n">
        <v>56.1</v>
      </c>
      <c r="G292" s="138" t="n"/>
      <c r="H292" s="138" t="n">
        <v>41.6</v>
      </c>
      <c r="I292" s="138" t="n">
        <v>50.9</v>
      </c>
      <c r="J292" s="138" t="n">
        <v>49.3</v>
      </c>
      <c r="K292" s="138" t="n"/>
      <c r="L292" s="138" t="n">
        <v>52.3</v>
      </c>
    </row>
    <row r="293">
      <c r="A293" s="54" t="n">
        <v>26268</v>
      </c>
      <c r="B293" s="71" t="n">
        <v>63.5</v>
      </c>
      <c r="C293" s="138" t="n"/>
      <c r="D293" s="55" t="n"/>
      <c r="E293" s="138" t="n">
        <v>65.09999999999999</v>
      </c>
      <c r="F293" s="138" t="n">
        <v>63.9</v>
      </c>
      <c r="G293" s="138" t="n"/>
      <c r="H293" s="138" t="n">
        <v>47.7</v>
      </c>
      <c r="I293" s="138" t="n">
        <v>53.3</v>
      </c>
      <c r="J293" s="138" t="n">
        <v>49</v>
      </c>
      <c r="K293" s="138" t="n"/>
      <c r="L293" s="138" t="n">
        <v>57.6</v>
      </c>
    </row>
    <row r="294">
      <c r="A294" s="54" t="n">
        <v>26299</v>
      </c>
      <c r="B294" s="71" t="n">
        <v>64.8</v>
      </c>
      <c r="C294" s="138" t="n"/>
      <c r="D294" s="55" t="n"/>
      <c r="E294" s="138" t="n">
        <v>79.3</v>
      </c>
      <c r="F294" s="138" t="n">
        <v>65.59999999999999</v>
      </c>
      <c r="G294" s="138" t="n"/>
      <c r="H294" s="138" t="n">
        <v>48.4</v>
      </c>
      <c r="I294" s="138" t="n">
        <v>55.2</v>
      </c>
      <c r="J294" s="138" t="n">
        <v>53.3</v>
      </c>
      <c r="K294" s="138" t="n"/>
      <c r="L294" s="138" t="n">
        <v>59.6</v>
      </c>
    </row>
    <row r="295">
      <c r="A295" s="54" t="n">
        <v>26330</v>
      </c>
      <c r="B295" s="71" t="n">
        <v>66</v>
      </c>
      <c r="C295" s="138" t="n"/>
      <c r="D295" s="55" t="n"/>
      <c r="E295" s="138" t="n">
        <v>74.09999999999999</v>
      </c>
      <c r="F295" s="138" t="n">
        <v>67.7</v>
      </c>
      <c r="G295" s="138" t="n"/>
      <c r="H295" s="138" t="n">
        <v>51.7</v>
      </c>
      <c r="I295" s="138" t="n">
        <v>52.6</v>
      </c>
      <c r="J295" s="138" t="n">
        <v>54.4</v>
      </c>
      <c r="K295" s="138" t="n"/>
      <c r="L295" s="138" t="n">
        <v>60.6</v>
      </c>
    </row>
    <row r="296">
      <c r="A296" s="54" t="n">
        <v>26359</v>
      </c>
      <c r="B296" s="71" t="n">
        <v>64.59999999999999</v>
      </c>
      <c r="C296" s="138" t="n"/>
      <c r="D296" s="55" t="n"/>
      <c r="E296" s="138" t="n">
        <v>73.90000000000001</v>
      </c>
      <c r="F296" s="138" t="n">
        <v>63.5</v>
      </c>
      <c r="G296" s="138" t="n"/>
      <c r="H296" s="138" t="n">
        <v>51.5</v>
      </c>
      <c r="I296" s="138" t="n">
        <v>57.1</v>
      </c>
      <c r="J296" s="138" t="n">
        <v>53.9</v>
      </c>
      <c r="K296" s="138" t="n"/>
      <c r="L296" s="138" t="n">
        <v>59.8</v>
      </c>
    </row>
    <row r="297">
      <c r="A297" s="54" t="n">
        <v>26390</v>
      </c>
      <c r="B297" s="71" t="n">
        <v>63</v>
      </c>
      <c r="C297" s="138" t="n"/>
      <c r="D297" s="55" t="n"/>
      <c r="E297" s="138" t="n">
        <v>73.40000000000001</v>
      </c>
      <c r="F297" s="138" t="n">
        <v>62.6</v>
      </c>
      <c r="G297" s="138" t="n"/>
      <c r="H297" s="138" t="n">
        <v>52.3</v>
      </c>
      <c r="I297" s="138" t="n">
        <v>55</v>
      </c>
      <c r="J297" s="138" t="n">
        <v>55.9</v>
      </c>
      <c r="K297" s="138" t="n"/>
      <c r="L297" s="138" t="n">
        <v>59.3</v>
      </c>
    </row>
    <row r="298">
      <c r="A298" s="54" t="n">
        <v>26420</v>
      </c>
      <c r="B298" s="71" t="n">
        <v>66.90000000000001</v>
      </c>
      <c r="C298" s="138" t="n"/>
      <c r="D298" s="55" t="n"/>
      <c r="E298" s="138" t="n">
        <v>71.40000000000001</v>
      </c>
      <c r="F298" s="138" t="n">
        <v>65.7</v>
      </c>
      <c r="G298" s="138" t="n"/>
      <c r="H298" s="138" t="n">
        <v>53.1</v>
      </c>
      <c r="I298" s="138" t="n">
        <v>56.1</v>
      </c>
      <c r="J298" s="138" t="n">
        <v>56</v>
      </c>
      <c r="K298" s="138" t="n"/>
      <c r="L298" s="138" t="n">
        <v>61.4</v>
      </c>
    </row>
    <row r="299">
      <c r="A299" s="54" t="n">
        <v>26451</v>
      </c>
      <c r="B299" s="71" t="n">
        <v>62.1</v>
      </c>
      <c r="C299" s="138" t="n"/>
      <c r="D299" s="55" t="n"/>
      <c r="E299" s="138" t="n">
        <v>70.2</v>
      </c>
      <c r="F299" s="138" t="n">
        <v>62.2</v>
      </c>
      <c r="G299" s="138" t="n"/>
      <c r="H299" s="138" t="n">
        <v>49.6</v>
      </c>
      <c r="I299" s="138" t="n">
        <v>57.7</v>
      </c>
      <c r="J299" s="138" t="n">
        <v>53.9</v>
      </c>
      <c r="K299" s="138" t="n"/>
      <c r="L299" s="138" t="n">
        <v>58.6</v>
      </c>
    </row>
    <row r="300">
      <c r="A300" s="54" t="n">
        <v>26481</v>
      </c>
      <c r="B300" s="71" t="n">
        <v>64.7</v>
      </c>
      <c r="C300" s="138" t="n"/>
      <c r="D300" s="55" t="n"/>
      <c r="E300" s="138" t="n">
        <v>70.59999999999999</v>
      </c>
      <c r="F300" s="138" t="n">
        <v>65.3</v>
      </c>
      <c r="G300" s="138" t="n"/>
      <c r="H300" s="138" t="n">
        <v>46.7</v>
      </c>
      <c r="I300" s="138" t="n">
        <v>61.7</v>
      </c>
      <c r="J300" s="138" t="n">
        <v>52.1</v>
      </c>
      <c r="K300" s="138" t="n"/>
      <c r="L300" s="138" t="n">
        <v>60.1</v>
      </c>
    </row>
    <row r="301">
      <c r="A301" s="54" t="n">
        <v>26512</v>
      </c>
      <c r="B301" s="71" t="n">
        <v>65.09999999999999</v>
      </c>
      <c r="C301" s="138" t="n"/>
      <c r="D301" s="55" t="n"/>
      <c r="E301" s="138" t="n">
        <v>70.09999999999999</v>
      </c>
      <c r="F301" s="138" t="n">
        <v>63.2</v>
      </c>
      <c r="G301" s="138" t="n"/>
      <c r="H301" s="138" t="n">
        <v>55.5</v>
      </c>
      <c r="I301" s="138" t="n">
        <v>62.9</v>
      </c>
      <c r="J301" s="138" t="n">
        <v>57.1</v>
      </c>
      <c r="K301" s="138" t="n"/>
      <c r="L301" s="138" t="n">
        <v>61.7</v>
      </c>
    </row>
    <row r="302">
      <c r="A302" s="54" t="n">
        <v>26543</v>
      </c>
      <c r="B302" s="71" t="n">
        <v>69.3</v>
      </c>
      <c r="C302" s="138" t="n"/>
      <c r="D302" s="55" t="n"/>
      <c r="E302" s="138" t="n">
        <v>67.8</v>
      </c>
      <c r="F302" s="138" t="n">
        <v>68.3</v>
      </c>
      <c r="G302" s="138" t="n"/>
      <c r="H302" s="138" t="n">
        <v>56.8</v>
      </c>
      <c r="I302" s="138" t="n">
        <v>65.5</v>
      </c>
      <c r="J302" s="138" t="n">
        <v>58.6</v>
      </c>
      <c r="K302" s="138" t="n"/>
      <c r="L302" s="138" t="n">
        <v>65.09999999999999</v>
      </c>
    </row>
    <row r="303">
      <c r="A303" s="54" t="n">
        <v>26573</v>
      </c>
      <c r="B303" s="71" t="n">
        <v>70.8</v>
      </c>
      <c r="C303" s="138" t="n"/>
      <c r="D303" s="55" t="n"/>
      <c r="E303" s="138" t="n">
        <v>72</v>
      </c>
      <c r="F303" s="138" t="n">
        <v>66.90000000000001</v>
      </c>
      <c r="G303" s="138" t="n"/>
      <c r="H303" s="138" t="n">
        <v>63</v>
      </c>
      <c r="I303" s="138" t="n">
        <v>73</v>
      </c>
      <c r="J303" s="138" t="n">
        <v>59</v>
      </c>
      <c r="K303" s="138" t="n"/>
      <c r="L303" s="138" t="n">
        <v>67</v>
      </c>
    </row>
    <row r="304">
      <c r="A304" s="54" t="n">
        <v>26604</v>
      </c>
      <c r="B304" s="71" t="n">
        <v>73</v>
      </c>
      <c r="C304" s="138" t="n"/>
      <c r="D304" s="55" t="n"/>
      <c r="E304" s="138" t="n">
        <v>74.5</v>
      </c>
      <c r="F304" s="138" t="n">
        <v>72.7</v>
      </c>
      <c r="G304" s="138" t="n"/>
      <c r="H304" s="138" t="n">
        <v>63.4</v>
      </c>
      <c r="I304" s="138" t="n">
        <v>74.5</v>
      </c>
      <c r="J304" s="138" t="n">
        <v>61.7</v>
      </c>
      <c r="K304" s="138" t="n"/>
      <c r="L304" s="138" t="n">
        <v>69.90000000000001</v>
      </c>
    </row>
    <row r="305">
      <c r="A305" s="54" t="n">
        <v>26634</v>
      </c>
      <c r="B305" s="71" t="n">
        <v>71.90000000000001</v>
      </c>
      <c r="C305" s="138" t="n"/>
      <c r="D305" s="55" t="n"/>
      <c r="E305" s="138" t="n">
        <v>78</v>
      </c>
      <c r="F305" s="138" t="n">
        <v>71.8</v>
      </c>
      <c r="G305" s="138" t="n"/>
      <c r="H305" s="138" t="n">
        <v>62.5</v>
      </c>
      <c r="I305" s="138" t="n">
        <v>80.7</v>
      </c>
      <c r="J305" s="138" t="n">
        <v>63.2</v>
      </c>
      <c r="K305" s="138" t="n"/>
      <c r="L305" s="138" t="n">
        <v>70.5</v>
      </c>
    </row>
    <row r="306">
      <c r="A306" s="54" t="n">
        <v>26665</v>
      </c>
      <c r="B306" s="71" t="n">
        <v>73.8</v>
      </c>
      <c r="C306" s="138" t="n"/>
      <c r="D306" s="55" t="n"/>
      <c r="E306" s="138" t="n">
        <v>82.90000000000001</v>
      </c>
      <c r="F306" s="138" t="n">
        <v>71.09999999999999</v>
      </c>
      <c r="G306" s="138" t="n"/>
      <c r="H306" s="138" t="n">
        <v>61</v>
      </c>
      <c r="I306" s="138" t="n">
        <v>83.7</v>
      </c>
      <c r="J306" s="138" t="n">
        <v>67.8</v>
      </c>
      <c r="K306" s="138" t="n"/>
      <c r="L306" s="138" t="n">
        <v>72.09999999999999</v>
      </c>
    </row>
    <row r="307">
      <c r="A307" s="54" t="n">
        <v>26696</v>
      </c>
      <c r="B307" s="71" t="n">
        <v>69</v>
      </c>
      <c r="C307" s="138" t="n"/>
      <c r="D307" s="55" t="n"/>
      <c r="E307" s="138" t="n">
        <v>87.8</v>
      </c>
      <c r="F307" s="138" t="n">
        <v>68.5</v>
      </c>
      <c r="G307" s="138" t="n"/>
      <c r="H307" s="138" t="n">
        <v>63.6</v>
      </c>
      <c r="I307" s="138" t="n">
        <v>85.2</v>
      </c>
      <c r="J307" s="138" t="n">
        <v>63.2</v>
      </c>
      <c r="K307" s="138" t="n"/>
      <c r="L307" s="138" t="n">
        <v>69.59999999999999</v>
      </c>
    </row>
    <row r="308">
      <c r="A308" s="54" t="n">
        <v>26724</v>
      </c>
      <c r="B308" s="71" t="n">
        <v>68.8</v>
      </c>
      <c r="C308" s="138" t="n"/>
      <c r="D308" s="55" t="n"/>
      <c r="E308" s="138" t="n">
        <v>90</v>
      </c>
      <c r="F308" s="138" t="n">
        <v>67.7</v>
      </c>
      <c r="G308" s="138" t="n"/>
      <c r="H308" s="138" t="n">
        <v>61.9</v>
      </c>
      <c r="I308" s="138" t="n">
        <v>87.5</v>
      </c>
      <c r="J308" s="138" t="n">
        <v>63.6</v>
      </c>
      <c r="K308" s="138" t="n"/>
      <c r="L308" s="138" t="n">
        <v>69.59999999999999</v>
      </c>
    </row>
    <row r="309">
      <c r="A309" s="54" t="n">
        <v>26755</v>
      </c>
      <c r="B309" s="71" t="n">
        <v>65.90000000000001</v>
      </c>
      <c r="C309" s="138" t="n"/>
      <c r="D309" s="55" t="n"/>
      <c r="E309" s="138" t="n">
        <v>88.3</v>
      </c>
      <c r="F309" s="138" t="n">
        <v>65.59999999999999</v>
      </c>
      <c r="G309" s="138" t="n"/>
      <c r="H309" s="138" t="n">
        <v>59.2</v>
      </c>
      <c r="I309" s="138" t="n">
        <v>86.7</v>
      </c>
      <c r="J309" s="138" t="n">
        <v>62.6</v>
      </c>
      <c r="K309" s="138" t="n"/>
      <c r="L309" s="138" t="n">
        <v>67.7</v>
      </c>
    </row>
    <row r="310">
      <c r="A310" s="54" t="n">
        <v>26785</v>
      </c>
      <c r="B310" s="71" t="n">
        <v>63.5</v>
      </c>
      <c r="C310" s="138" t="n"/>
      <c r="D310" s="55" t="n"/>
      <c r="E310" s="138" t="n">
        <v>89.3</v>
      </c>
      <c r="F310" s="138" t="n">
        <v>59.2</v>
      </c>
      <c r="G310" s="138" t="n"/>
      <c r="H310" s="138" t="n">
        <v>59.2</v>
      </c>
      <c r="I310" s="138" t="n">
        <v>86.59999999999999</v>
      </c>
      <c r="J310" s="138" t="n">
        <v>60.2</v>
      </c>
      <c r="K310" s="138" t="n"/>
      <c r="L310" s="138" t="n">
        <v>64.8</v>
      </c>
    </row>
    <row r="311">
      <c r="A311" s="54" t="n">
        <v>26816</v>
      </c>
      <c r="B311" s="71" t="n">
        <v>61</v>
      </c>
      <c r="C311" s="138" t="n"/>
      <c r="D311" s="55" t="n"/>
      <c r="E311" s="138" t="n">
        <v>87.59999999999999</v>
      </c>
      <c r="F311" s="138" t="n">
        <v>62.7</v>
      </c>
      <c r="G311" s="138" t="n"/>
      <c r="H311" s="138" t="n">
        <v>62.5</v>
      </c>
      <c r="I311" s="138" t="n">
        <v>85.59999999999999</v>
      </c>
      <c r="J311" s="138" t="n">
        <v>59.7</v>
      </c>
      <c r="K311" s="138" t="n"/>
      <c r="L311" s="138" t="n">
        <v>65</v>
      </c>
    </row>
    <row r="312">
      <c r="A312" s="54" t="n">
        <v>26846</v>
      </c>
      <c r="B312" s="71" t="n">
        <v>49.2</v>
      </c>
      <c r="C312" s="138" t="n"/>
      <c r="D312" s="55" t="n"/>
      <c r="E312" s="138" t="n">
        <v>69.59999999999999</v>
      </c>
      <c r="F312" s="138" t="n">
        <v>50.4</v>
      </c>
      <c r="G312" s="138" t="n"/>
      <c r="H312" s="138" t="n">
        <v>64</v>
      </c>
      <c r="I312" s="138" t="n">
        <v>85.2</v>
      </c>
      <c r="J312" s="138" t="n">
        <v>56.4</v>
      </c>
      <c r="K312" s="138" t="n"/>
      <c r="L312" s="138" t="n">
        <v>57.8</v>
      </c>
    </row>
    <row r="313">
      <c r="A313" s="54" t="n">
        <v>26877</v>
      </c>
      <c r="B313" s="71" t="n">
        <v>59.1</v>
      </c>
      <c r="C313" s="138" t="n"/>
      <c r="D313" s="55" t="n"/>
      <c r="E313" s="138" t="n">
        <v>86.09999999999999</v>
      </c>
      <c r="F313" s="138" t="n">
        <v>59</v>
      </c>
      <c r="G313" s="138" t="n"/>
      <c r="H313" s="138" t="n">
        <v>62.1</v>
      </c>
      <c r="I313" s="138" t="n">
        <v>86.7</v>
      </c>
      <c r="J313" s="138" t="n">
        <v>54.9</v>
      </c>
      <c r="K313" s="138" t="n"/>
      <c r="L313" s="138" t="n">
        <v>62.7</v>
      </c>
    </row>
    <row r="314">
      <c r="A314" s="54" t="n">
        <v>26908</v>
      </c>
      <c r="B314" s="71" t="n">
        <v>60</v>
      </c>
      <c r="C314" s="138" t="n"/>
      <c r="D314" s="55" t="n"/>
      <c r="E314" s="138" t="n">
        <v>92.09999999999999</v>
      </c>
      <c r="F314" s="138" t="n">
        <v>58.2</v>
      </c>
      <c r="G314" s="138" t="n"/>
      <c r="H314" s="138" t="n">
        <v>62.3</v>
      </c>
      <c r="I314" s="138" t="n">
        <v>90.09999999999999</v>
      </c>
      <c r="J314" s="138" t="n">
        <v>56.1</v>
      </c>
      <c r="K314" s="138" t="n"/>
      <c r="L314" s="138" t="n">
        <v>63.5</v>
      </c>
    </row>
    <row r="315">
      <c r="A315" s="54" t="n">
        <v>26938</v>
      </c>
      <c r="B315" s="71" t="n">
        <v>65.40000000000001</v>
      </c>
      <c r="C315" s="138" t="n"/>
      <c r="D315" s="55" t="n"/>
      <c r="E315" s="138" t="n">
        <v>92.90000000000001</v>
      </c>
      <c r="F315" s="138" t="n">
        <v>58.4</v>
      </c>
      <c r="G315" s="138" t="n"/>
      <c r="H315" s="138" t="n">
        <v>66.5</v>
      </c>
      <c r="I315" s="138" t="n">
        <v>88.7</v>
      </c>
      <c r="J315" s="138" t="n">
        <v>60.4</v>
      </c>
      <c r="K315" s="138" t="n"/>
      <c r="L315" s="138" t="n">
        <v>66.2</v>
      </c>
    </row>
    <row r="316">
      <c r="A316" s="54" t="n">
        <v>26969</v>
      </c>
      <c r="B316" s="71" t="n">
        <v>65.2</v>
      </c>
      <c r="C316" s="138" t="n"/>
      <c r="D316" s="55" t="n"/>
      <c r="E316" s="138" t="n">
        <v>97.59999999999999</v>
      </c>
      <c r="F316" s="138" t="n">
        <v>62</v>
      </c>
      <c r="G316" s="138" t="n"/>
      <c r="H316" s="138" t="n">
        <v>63.8</v>
      </c>
      <c r="I316" s="138" t="n">
        <v>96.8</v>
      </c>
      <c r="J316" s="138" t="n">
        <v>60.8</v>
      </c>
      <c r="K316" s="138" t="n"/>
      <c r="L316" s="138" t="n">
        <v>68.09999999999999</v>
      </c>
    </row>
    <row r="317">
      <c r="A317" s="54" t="n">
        <v>26999</v>
      </c>
      <c r="B317" s="71" t="n">
        <v>59</v>
      </c>
      <c r="C317" s="138" t="n"/>
      <c r="D317" s="55" t="n"/>
      <c r="E317" s="138" t="n">
        <v>94.2</v>
      </c>
      <c r="F317" s="138" t="n">
        <v>56</v>
      </c>
      <c r="G317" s="138" t="n"/>
      <c r="H317" s="138" t="n">
        <v>63.8</v>
      </c>
      <c r="I317" s="138" t="n">
        <v>92.8</v>
      </c>
      <c r="J317" s="138" t="n">
        <v>58</v>
      </c>
      <c r="K317" s="138" t="n"/>
      <c r="L317" s="138" t="n">
        <v>63.6</v>
      </c>
    </row>
    <row r="318">
      <c r="A318" s="54" t="n">
        <v>27030</v>
      </c>
      <c r="B318" s="71" t="n">
        <v>55.7</v>
      </c>
      <c r="C318" s="138" t="n"/>
      <c r="D318" s="55" t="n"/>
      <c r="E318" s="138" t="n">
        <v>95.3</v>
      </c>
      <c r="F318" s="138" t="n">
        <v>55.9</v>
      </c>
      <c r="G318" s="138" t="n"/>
      <c r="H318" s="138" t="n">
        <v>62</v>
      </c>
      <c r="I318" s="138" t="n">
        <v>91.8</v>
      </c>
      <c r="J318" s="138" t="n">
        <v>57.3</v>
      </c>
      <c r="K318" s="138" t="n"/>
      <c r="L318" s="138" t="n">
        <v>62.1</v>
      </c>
    </row>
    <row r="319">
      <c r="A319" s="54" t="n">
        <v>27061</v>
      </c>
      <c r="B319" s="71" t="n">
        <v>56</v>
      </c>
      <c r="C319" s="138" t="n"/>
      <c r="D319" s="55" t="n"/>
      <c r="E319" s="138" t="n">
        <v>93.59999999999999</v>
      </c>
      <c r="F319" s="138" t="n">
        <v>49.7</v>
      </c>
      <c r="G319" s="138" t="n"/>
      <c r="H319" s="138" t="n">
        <v>58.8</v>
      </c>
      <c r="I319" s="138" t="n">
        <v>88.8</v>
      </c>
      <c r="J319" s="138" t="n">
        <v>51</v>
      </c>
      <c r="K319" s="138" t="n"/>
      <c r="L319" s="138" t="n">
        <v>58.6</v>
      </c>
    </row>
    <row r="320">
      <c r="A320" s="54" t="n">
        <v>27089</v>
      </c>
      <c r="B320" s="71" t="n">
        <v>58</v>
      </c>
      <c r="C320" s="138" t="n"/>
      <c r="D320" s="55" t="n"/>
      <c r="E320" s="138" t="n">
        <v>94</v>
      </c>
      <c r="F320" s="138" t="n">
        <v>55.8</v>
      </c>
      <c r="G320" s="138" t="n"/>
      <c r="H320" s="138" t="n">
        <v>59.1</v>
      </c>
      <c r="I320" s="138" t="n">
        <v>88.90000000000001</v>
      </c>
      <c r="J320" s="138" t="n">
        <v>56.3</v>
      </c>
      <c r="K320" s="138" t="n"/>
      <c r="L320" s="138" t="n">
        <v>61.8</v>
      </c>
    </row>
    <row r="321">
      <c r="A321" s="54" t="n">
        <v>27120</v>
      </c>
      <c r="B321" s="71" t="n">
        <v>56.4</v>
      </c>
      <c r="C321" s="138" t="n"/>
      <c r="D321" s="55" t="n"/>
      <c r="E321" s="138" t="n">
        <v>93.5</v>
      </c>
      <c r="F321" s="138" t="n">
        <v>54.5</v>
      </c>
      <c r="G321" s="138" t="n"/>
      <c r="H321" s="138" t="n">
        <v>62.5</v>
      </c>
      <c r="I321" s="138" t="n">
        <v>82.09999999999999</v>
      </c>
      <c r="J321" s="138" t="n">
        <v>53.9</v>
      </c>
      <c r="K321" s="138" t="n"/>
      <c r="L321" s="138" t="n">
        <v>59.9</v>
      </c>
    </row>
    <row r="322">
      <c r="A322" s="54" t="n">
        <v>27150</v>
      </c>
      <c r="B322" s="71" t="n">
        <v>51.6</v>
      </c>
      <c r="C322" s="138" t="n"/>
      <c r="D322" s="55" t="n"/>
      <c r="E322" s="138" t="n">
        <v>92.3</v>
      </c>
      <c r="F322" s="138" t="n">
        <v>51.6</v>
      </c>
      <c r="G322" s="138" t="n"/>
      <c r="H322" s="138" t="n">
        <v>59.3</v>
      </c>
      <c r="I322" s="138" t="n">
        <v>74.5</v>
      </c>
      <c r="J322" s="138" t="n">
        <v>51.1</v>
      </c>
      <c r="K322" s="138" t="n"/>
      <c r="L322" s="138" t="n">
        <v>55.7</v>
      </c>
    </row>
    <row r="323">
      <c r="A323" s="54" t="n">
        <v>27181</v>
      </c>
      <c r="B323" s="71" t="n">
        <v>51.9</v>
      </c>
      <c r="C323" s="138" t="n"/>
      <c r="D323" s="55" t="n"/>
      <c r="E323" s="138" t="n">
        <v>88.59999999999999</v>
      </c>
      <c r="F323" s="138" t="n">
        <v>50.4</v>
      </c>
      <c r="G323" s="138" t="n"/>
      <c r="H323" s="138" t="n">
        <v>55.9</v>
      </c>
      <c r="I323" s="138" t="n">
        <v>73.09999999999999</v>
      </c>
      <c r="J323" s="138" t="n">
        <v>49.9</v>
      </c>
      <c r="K323" s="138" t="n"/>
      <c r="L323" s="138" t="n">
        <v>54.7</v>
      </c>
    </row>
    <row r="324">
      <c r="A324" s="54" t="n">
        <v>27211</v>
      </c>
      <c r="B324" s="71" t="n">
        <v>52.6</v>
      </c>
      <c r="C324" s="138" t="n"/>
      <c r="D324" s="55" t="n"/>
      <c r="E324" s="138" t="n">
        <v>90.40000000000001</v>
      </c>
      <c r="F324" s="138" t="n">
        <v>52</v>
      </c>
      <c r="G324" s="138" t="n"/>
      <c r="H324" s="138" t="n">
        <v>54.8</v>
      </c>
      <c r="I324" s="138" t="n">
        <v>69.2</v>
      </c>
      <c r="J324" s="138" t="n">
        <v>50.3</v>
      </c>
      <c r="K324" s="138" t="n"/>
      <c r="L324" s="138" t="n">
        <v>54.8</v>
      </c>
    </row>
    <row r="325">
      <c r="A325" s="54" t="n">
        <v>27242</v>
      </c>
      <c r="B325" s="71" t="n">
        <v>50.2</v>
      </c>
      <c r="C325" s="138" t="n"/>
      <c r="D325" s="55" t="n"/>
      <c r="E325" s="138" t="n">
        <v>86.09999999999999</v>
      </c>
      <c r="F325" s="138" t="n">
        <v>49.6</v>
      </c>
      <c r="G325" s="138" t="n"/>
      <c r="H325" s="138" t="n">
        <v>57</v>
      </c>
      <c r="I325" s="138" t="n">
        <v>66.3</v>
      </c>
      <c r="J325" s="138" t="n">
        <v>49.2</v>
      </c>
      <c r="K325" s="138" t="n"/>
      <c r="L325" s="138" t="n">
        <v>52.9</v>
      </c>
    </row>
    <row r="326">
      <c r="A326" s="54" t="n">
        <v>27273</v>
      </c>
      <c r="B326" s="71" t="n">
        <v>41.2</v>
      </c>
      <c r="C326" s="138" t="n"/>
      <c r="D326" s="55" t="n"/>
      <c r="E326" s="138" t="n">
        <v>81</v>
      </c>
      <c r="F326" s="138" t="n">
        <v>46.3</v>
      </c>
      <c r="G326" s="138" t="n"/>
      <c r="H326" s="138" t="n">
        <v>54.8</v>
      </c>
      <c r="I326" s="138" t="n">
        <v>51.8</v>
      </c>
      <c r="J326" s="138" t="n">
        <v>44.9</v>
      </c>
      <c r="K326" s="138" t="n"/>
      <c r="L326" s="138" t="n">
        <v>46.2</v>
      </c>
    </row>
    <row r="327">
      <c r="A327" s="54" t="n">
        <v>27303</v>
      </c>
      <c r="B327" s="71" t="n">
        <v>36.5</v>
      </c>
      <c r="C327" s="138" t="n"/>
      <c r="D327" s="55" t="n"/>
      <c r="E327" s="138" t="n">
        <v>75.7</v>
      </c>
      <c r="F327" s="138" t="n">
        <v>44.3</v>
      </c>
      <c r="G327" s="138" t="n"/>
      <c r="H327" s="138" t="n">
        <v>47.9</v>
      </c>
      <c r="I327" s="138" t="n">
        <v>45.3</v>
      </c>
      <c r="J327" s="138" t="n">
        <v>45.4</v>
      </c>
      <c r="K327" s="138" t="n"/>
      <c r="L327" s="138" t="n">
        <v>42.7</v>
      </c>
    </row>
    <row r="328">
      <c r="A328" s="54" t="n">
        <v>27334</v>
      </c>
      <c r="B328" s="71" t="n">
        <v>33.1</v>
      </c>
      <c r="C328" s="138" t="n"/>
      <c r="D328" s="55" t="n"/>
      <c r="E328" s="138" t="n">
        <v>71</v>
      </c>
      <c r="F328" s="138" t="n">
        <v>40.9</v>
      </c>
      <c r="G328" s="138" t="n"/>
      <c r="H328" s="138" t="n">
        <v>47.2</v>
      </c>
      <c r="I328" s="138" t="n">
        <v>34</v>
      </c>
      <c r="J328" s="138" t="n">
        <v>39.6</v>
      </c>
      <c r="K328" s="138" t="n"/>
      <c r="L328" s="138" t="n">
        <v>37.9</v>
      </c>
    </row>
    <row r="329">
      <c r="A329" s="54" t="n">
        <v>27364</v>
      </c>
      <c r="B329" s="71" t="n">
        <v>27.9</v>
      </c>
      <c r="C329" s="138" t="n"/>
      <c r="D329" s="55" t="n"/>
      <c r="E329" s="138" t="n">
        <v>64.7</v>
      </c>
      <c r="F329" s="138" t="n">
        <v>33.4</v>
      </c>
      <c r="G329" s="138" t="n"/>
      <c r="H329" s="138" t="n">
        <v>40.6</v>
      </c>
      <c r="I329" s="138" t="n">
        <v>23.2</v>
      </c>
      <c r="J329" s="138" t="n">
        <v>33.3</v>
      </c>
      <c r="K329" s="138" t="n"/>
      <c r="L329" s="138" t="n">
        <v>30.9</v>
      </c>
    </row>
    <row r="330">
      <c r="A330" s="54" t="n">
        <v>27395</v>
      </c>
      <c r="B330" s="71" t="n">
        <v>32.8</v>
      </c>
      <c r="C330" s="138" t="n"/>
      <c r="D330" s="55" t="n"/>
      <c r="E330" s="138" t="n">
        <v>54.1</v>
      </c>
      <c r="F330" s="138" t="n">
        <v>33.4</v>
      </c>
      <c r="G330" s="138" t="n"/>
      <c r="H330" s="138" t="n">
        <v>36.6</v>
      </c>
      <c r="I330" s="138" t="n">
        <v>19.5</v>
      </c>
      <c r="J330" s="138" t="n">
        <v>29.7</v>
      </c>
      <c r="K330" s="138" t="n"/>
      <c r="L330" s="138" t="n">
        <v>30.7</v>
      </c>
    </row>
    <row r="331">
      <c r="A331" s="54" t="n">
        <v>27426</v>
      </c>
      <c r="B331" s="71" t="n">
        <v>40</v>
      </c>
      <c r="C331" s="138" t="n"/>
      <c r="D331" s="55" t="n"/>
      <c r="E331" s="138" t="n">
        <v>48.8</v>
      </c>
      <c r="F331" s="138" t="n">
        <v>41.5</v>
      </c>
      <c r="G331" s="138" t="n"/>
      <c r="H331" s="138" t="n">
        <v>30.6</v>
      </c>
      <c r="I331" s="138" t="n">
        <v>15.9</v>
      </c>
      <c r="J331" s="138" t="n">
        <v>33.1</v>
      </c>
      <c r="K331" s="138" t="n"/>
      <c r="L331" s="138" t="n">
        <v>34.4</v>
      </c>
    </row>
    <row r="332">
      <c r="A332" s="54" t="n">
        <v>27454</v>
      </c>
      <c r="B332" s="71" t="n">
        <v>37</v>
      </c>
      <c r="C332" s="138" t="n"/>
      <c r="D332" s="55" t="n"/>
      <c r="E332" s="138" t="n">
        <v>42.7</v>
      </c>
      <c r="F332" s="138" t="n">
        <v>33.1</v>
      </c>
      <c r="G332" s="138" t="n"/>
      <c r="H332" s="138" t="n">
        <v>30.9</v>
      </c>
      <c r="I332" s="138" t="n">
        <v>17.3</v>
      </c>
      <c r="J332" s="138" t="n">
        <v>32.8</v>
      </c>
      <c r="K332" s="138" t="n"/>
      <c r="L332" s="138" t="n">
        <v>31.6</v>
      </c>
    </row>
    <row r="333">
      <c r="A333" s="54" t="n">
        <v>27485</v>
      </c>
      <c r="B333" s="71" t="n">
        <v>42.6</v>
      </c>
      <c r="C333" s="138" t="n"/>
      <c r="D333" s="55" t="n"/>
      <c r="E333" s="138" t="n">
        <v>42.6</v>
      </c>
      <c r="F333" s="138" t="n">
        <v>45.5</v>
      </c>
      <c r="G333" s="138" t="n"/>
      <c r="H333" s="138" t="n">
        <v>26.9</v>
      </c>
      <c r="I333" s="138" t="n">
        <v>21.7</v>
      </c>
      <c r="J333" s="138" t="n">
        <v>36.9</v>
      </c>
      <c r="K333" s="138" t="n"/>
      <c r="L333" s="138" t="n">
        <v>37.5</v>
      </c>
    </row>
    <row r="334">
      <c r="A334" s="54" t="n">
        <v>27515</v>
      </c>
      <c r="B334" s="71" t="n">
        <v>47.2</v>
      </c>
      <c r="C334" s="138" t="n"/>
      <c r="D334" s="55" t="n"/>
      <c r="E334" s="138" t="n">
        <v>45.4</v>
      </c>
      <c r="F334" s="138" t="n">
        <v>50.5</v>
      </c>
      <c r="G334" s="138" t="n"/>
      <c r="H334" s="138" t="n">
        <v>31</v>
      </c>
      <c r="I334" s="138" t="n">
        <v>22.7</v>
      </c>
      <c r="J334" s="138" t="n">
        <v>39.6</v>
      </c>
      <c r="K334" s="138" t="n"/>
      <c r="L334" s="138" t="n">
        <v>41.2</v>
      </c>
    </row>
    <row r="335">
      <c r="A335" s="54" t="n">
        <v>27546</v>
      </c>
      <c r="B335" s="71" t="n">
        <v>54.9</v>
      </c>
      <c r="C335" s="138" t="n"/>
      <c r="D335" s="55" t="n"/>
      <c r="E335" s="138" t="n">
        <v>44</v>
      </c>
      <c r="F335" s="138" t="n">
        <v>53.1</v>
      </c>
      <c r="G335" s="138" t="n"/>
      <c r="H335" s="138" t="n">
        <v>28.7</v>
      </c>
      <c r="I335" s="138" t="n">
        <v>24.9</v>
      </c>
      <c r="J335" s="138" t="n">
        <v>43.9</v>
      </c>
      <c r="K335" s="138" t="n"/>
      <c r="L335" s="138" t="n">
        <v>45.1</v>
      </c>
    </row>
    <row r="336">
      <c r="A336" s="54" t="n">
        <v>27576</v>
      </c>
      <c r="B336" s="71" t="n">
        <v>58.4</v>
      </c>
      <c r="C336" s="138" t="n"/>
      <c r="D336" s="55" t="n"/>
      <c r="E336" s="138" t="n">
        <v>53</v>
      </c>
      <c r="F336" s="138" t="n">
        <v>55.8</v>
      </c>
      <c r="G336" s="138" t="n"/>
      <c r="H336" s="138" t="n">
        <v>24.6</v>
      </c>
      <c r="I336" s="138" t="n">
        <v>28.7</v>
      </c>
      <c r="J336" s="138" t="n">
        <v>44.3</v>
      </c>
      <c r="K336" s="138" t="n"/>
      <c r="L336" s="138" t="n">
        <v>47.2</v>
      </c>
    </row>
    <row r="337">
      <c r="A337" s="54" t="n">
        <v>27607</v>
      </c>
      <c r="B337" s="71" t="n">
        <v>60.3</v>
      </c>
      <c r="C337" s="138" t="n"/>
      <c r="D337" s="55" t="n"/>
      <c r="E337" s="138" t="n">
        <v>68.8</v>
      </c>
      <c r="F337" s="138" t="n">
        <v>61.1</v>
      </c>
      <c r="G337" s="138" t="n"/>
      <c r="H337" s="138" t="n">
        <v>28.1</v>
      </c>
      <c r="I337" s="138" t="n">
        <v>35.1</v>
      </c>
      <c r="J337" s="138" t="n">
        <v>49.7</v>
      </c>
      <c r="K337" s="138" t="n"/>
      <c r="L337" s="138" t="n">
        <v>51.4</v>
      </c>
    </row>
    <row r="338">
      <c r="A338" s="54" t="n">
        <v>27638</v>
      </c>
      <c r="B338" s="71" t="n">
        <v>60.4</v>
      </c>
      <c r="C338" s="138" t="n"/>
      <c r="D338" s="55" t="n"/>
      <c r="E338" s="138" t="n">
        <v>73.59999999999999</v>
      </c>
      <c r="F338" s="138" t="n">
        <v>62.3</v>
      </c>
      <c r="G338" s="138" t="n"/>
      <c r="H338" s="138" t="n">
        <v>34.2</v>
      </c>
      <c r="I338" s="138" t="n">
        <v>43.8</v>
      </c>
      <c r="J338" s="138" t="n">
        <v>53.5</v>
      </c>
      <c r="K338" s="138" t="n"/>
      <c r="L338" s="138" t="n">
        <v>54.4</v>
      </c>
    </row>
    <row r="339">
      <c r="A339" s="54" t="n">
        <v>27668</v>
      </c>
      <c r="B339" s="71" t="n">
        <v>64.2</v>
      </c>
      <c r="C339" s="138" t="n"/>
      <c r="D339" s="55" t="n"/>
      <c r="E339" s="138" t="n">
        <v>75.3</v>
      </c>
      <c r="F339" s="138" t="n">
        <v>62.3</v>
      </c>
      <c r="G339" s="138" t="n"/>
      <c r="H339" s="138" t="n">
        <v>41.9</v>
      </c>
      <c r="I339" s="138" t="n">
        <v>44.8</v>
      </c>
      <c r="J339" s="138" t="n">
        <v>48.9</v>
      </c>
      <c r="K339" s="138" t="n"/>
      <c r="L339" s="138" t="n">
        <v>55.5</v>
      </c>
    </row>
    <row r="340">
      <c r="A340" s="54" t="n">
        <v>27699</v>
      </c>
      <c r="B340" s="71" t="n">
        <v>62.2</v>
      </c>
      <c r="C340" s="138" t="n"/>
      <c r="D340" s="55" t="n"/>
      <c r="E340" s="138" t="n">
        <v>70.8</v>
      </c>
      <c r="F340" s="138" t="n">
        <v>60</v>
      </c>
      <c r="G340" s="138" t="n"/>
      <c r="H340" s="138" t="n">
        <v>38.8</v>
      </c>
      <c r="I340" s="138" t="n">
        <v>46.8</v>
      </c>
      <c r="J340" s="138" t="n">
        <v>49.8</v>
      </c>
      <c r="K340" s="138" t="n"/>
      <c r="L340" s="138" t="n">
        <v>54.5</v>
      </c>
    </row>
    <row r="341">
      <c r="A341" s="54" t="n">
        <v>27729</v>
      </c>
      <c r="B341" s="71" t="n">
        <v>63.1</v>
      </c>
      <c r="C341" s="138" t="n"/>
      <c r="D341" s="55" t="n"/>
      <c r="E341" s="138" t="n">
        <v>64.40000000000001</v>
      </c>
      <c r="F341" s="138" t="n">
        <v>62.4</v>
      </c>
      <c r="G341" s="138" t="n"/>
      <c r="H341" s="138" t="n">
        <v>40.2</v>
      </c>
      <c r="I341" s="138" t="n">
        <v>41.2</v>
      </c>
      <c r="J341" s="138" t="n">
        <v>50.8</v>
      </c>
      <c r="K341" s="138" t="n"/>
      <c r="L341" s="138" t="n">
        <v>54.9</v>
      </c>
    </row>
    <row r="342">
      <c r="A342" s="54" t="n">
        <v>27760</v>
      </c>
      <c r="B342" s="71" t="n">
        <v>63.8</v>
      </c>
      <c r="C342" s="138" t="n"/>
      <c r="D342" s="55" t="n"/>
      <c r="E342" s="138" t="n">
        <v>70.2</v>
      </c>
      <c r="F342" s="138" t="n">
        <v>65.59999999999999</v>
      </c>
      <c r="G342" s="138" t="n"/>
      <c r="H342" s="138" t="n">
        <v>45.3</v>
      </c>
      <c r="I342" s="138" t="n">
        <v>54</v>
      </c>
      <c r="J342" s="138" t="n">
        <v>53.1</v>
      </c>
      <c r="K342" s="138" t="n"/>
      <c r="L342" s="138" t="n">
        <v>58.8</v>
      </c>
    </row>
    <row r="343">
      <c r="A343" s="54" t="n">
        <v>27791</v>
      </c>
      <c r="B343" s="71" t="n">
        <v>68.7</v>
      </c>
      <c r="C343" s="138" t="n"/>
      <c r="D343" s="55" t="n"/>
      <c r="E343" s="138" t="n">
        <v>73.2</v>
      </c>
      <c r="F343" s="138" t="n">
        <v>64.8</v>
      </c>
      <c r="G343" s="138" t="n"/>
      <c r="H343" s="138" t="n">
        <v>48.2</v>
      </c>
      <c r="I343" s="138" t="n">
        <v>56.1</v>
      </c>
      <c r="J343" s="138" t="n">
        <v>57.3</v>
      </c>
      <c r="K343" s="138" t="n"/>
      <c r="L343" s="138" t="n">
        <v>61.5</v>
      </c>
    </row>
    <row r="344">
      <c r="A344" s="54" t="n">
        <v>27820</v>
      </c>
      <c r="B344" s="71" t="n">
        <v>61.6</v>
      </c>
      <c r="C344" s="138" t="n"/>
      <c r="D344" s="55" t="n"/>
      <c r="E344" s="138" t="n">
        <v>74.3</v>
      </c>
      <c r="F344" s="138" t="n">
        <v>63.3</v>
      </c>
      <c r="G344" s="138" t="n"/>
      <c r="H344" s="138" t="n">
        <v>46.7</v>
      </c>
      <c r="I344" s="138" t="n">
        <v>56.7</v>
      </c>
      <c r="J344" s="138" t="n">
        <v>54.9</v>
      </c>
      <c r="K344" s="138" t="n"/>
      <c r="L344" s="138" t="n">
        <v>58.4</v>
      </c>
    </row>
    <row r="345">
      <c r="A345" s="54" t="n">
        <v>27851</v>
      </c>
      <c r="B345" s="71" t="n">
        <v>65.2</v>
      </c>
      <c r="C345" s="138" t="n"/>
      <c r="D345" s="55" t="n"/>
      <c r="E345" s="138" t="n">
        <v>75.90000000000001</v>
      </c>
      <c r="F345" s="138" t="n">
        <v>64.09999999999999</v>
      </c>
      <c r="G345" s="138" t="n"/>
      <c r="H345" s="138" t="n">
        <v>51.4</v>
      </c>
      <c r="I345" s="138" t="n">
        <v>57.3</v>
      </c>
      <c r="J345" s="138" t="n">
        <v>56.4</v>
      </c>
      <c r="K345" s="138" t="n"/>
      <c r="L345" s="138" t="n">
        <v>60.6</v>
      </c>
    </row>
    <row r="346">
      <c r="A346" s="54" t="n">
        <v>27881</v>
      </c>
      <c r="B346" s="71" t="n">
        <v>62.3</v>
      </c>
      <c r="C346" s="138" t="n"/>
      <c r="D346" s="55" t="n"/>
      <c r="E346" s="138" t="n">
        <v>78</v>
      </c>
      <c r="F346" s="138" t="n">
        <v>60.5</v>
      </c>
      <c r="G346" s="138" t="n"/>
      <c r="H346" s="138" t="n">
        <v>51.6</v>
      </c>
      <c r="I346" s="138" t="n">
        <v>58.3</v>
      </c>
      <c r="J346" s="138" t="n">
        <v>55.4</v>
      </c>
      <c r="K346" s="138" t="n"/>
      <c r="L346" s="138" t="n">
        <v>58.8</v>
      </c>
    </row>
    <row r="347">
      <c r="A347" s="54" t="n">
        <v>27912</v>
      </c>
      <c r="B347" s="71" t="n">
        <v>60.6</v>
      </c>
      <c r="C347" s="138" t="n"/>
      <c r="D347" s="55" t="n"/>
      <c r="E347" s="138" t="n">
        <v>80.09999999999999</v>
      </c>
      <c r="F347" s="138" t="n">
        <v>60.5</v>
      </c>
      <c r="G347" s="138" t="n"/>
      <c r="H347" s="138" t="n">
        <v>52.6</v>
      </c>
      <c r="I347" s="138" t="n">
        <v>58.6</v>
      </c>
      <c r="J347" s="138" t="n">
        <v>54.3</v>
      </c>
      <c r="K347" s="138" t="n"/>
      <c r="L347" s="138" t="n">
        <v>58.2</v>
      </c>
    </row>
    <row r="348">
      <c r="A348" s="54" t="n">
        <v>27942</v>
      </c>
      <c r="B348" s="71" t="n">
        <v>58</v>
      </c>
      <c r="C348" s="138" t="n"/>
      <c r="D348" s="55" t="n"/>
      <c r="E348" s="138" t="n">
        <v>84.2</v>
      </c>
      <c r="F348" s="138" t="n">
        <v>56.7</v>
      </c>
      <c r="G348" s="138" t="n"/>
      <c r="H348" s="138" t="n">
        <v>50.5</v>
      </c>
      <c r="I348" s="138" t="n">
        <v>54</v>
      </c>
      <c r="J348" s="138" t="n">
        <v>55.1</v>
      </c>
      <c r="K348" s="138" t="n"/>
      <c r="L348" s="138" t="n">
        <v>55.9</v>
      </c>
    </row>
    <row r="349">
      <c r="A349" s="54" t="n">
        <v>27973</v>
      </c>
      <c r="B349" s="71" t="n">
        <v>57.7</v>
      </c>
      <c r="C349" s="138" t="n"/>
      <c r="D349" s="55" t="n"/>
      <c r="E349" s="138" t="n">
        <v>73.3</v>
      </c>
      <c r="F349" s="138" t="n">
        <v>52.9</v>
      </c>
      <c r="G349" s="138" t="n"/>
      <c r="H349" s="138" t="n">
        <v>52.4</v>
      </c>
      <c r="I349" s="138" t="n">
        <v>55.2</v>
      </c>
      <c r="J349" s="138" t="n">
        <v>52.1</v>
      </c>
      <c r="K349" s="138" t="n"/>
      <c r="L349" s="138" t="n">
        <v>54.5</v>
      </c>
    </row>
    <row r="350">
      <c r="A350" s="54" t="n">
        <v>28004</v>
      </c>
      <c r="B350" s="71" t="n">
        <v>55.3</v>
      </c>
      <c r="C350" s="138" t="n"/>
      <c r="D350" s="55" t="n"/>
      <c r="E350" s="138" t="n">
        <v>70.59999999999999</v>
      </c>
      <c r="F350" s="138" t="n">
        <v>53.2</v>
      </c>
      <c r="G350" s="138" t="n"/>
      <c r="H350" s="138" t="n">
        <v>49.5</v>
      </c>
      <c r="I350" s="138" t="n">
        <v>52.6</v>
      </c>
      <c r="J350" s="138" t="n">
        <v>54.2</v>
      </c>
      <c r="K350" s="138" t="n"/>
      <c r="L350" s="138" t="n">
        <v>53.6</v>
      </c>
    </row>
    <row r="351">
      <c r="A351" s="54" t="n">
        <v>28034</v>
      </c>
      <c r="B351" s="71" t="n">
        <v>57</v>
      </c>
      <c r="C351" s="138" t="n"/>
      <c r="D351" s="55" t="n"/>
      <c r="E351" s="138" t="n">
        <v>67.09999999999999</v>
      </c>
      <c r="F351" s="138" t="n">
        <v>56.1</v>
      </c>
      <c r="G351" s="138" t="n"/>
      <c r="H351" s="138" t="n">
        <v>50</v>
      </c>
      <c r="I351" s="138" t="n">
        <v>49</v>
      </c>
      <c r="J351" s="138" t="n">
        <v>50.2</v>
      </c>
      <c r="K351" s="138" t="n"/>
      <c r="L351" s="138" t="n">
        <v>53.5</v>
      </c>
    </row>
    <row r="352">
      <c r="A352" s="54" t="n">
        <v>28065</v>
      </c>
      <c r="B352" s="71" t="n">
        <v>55.7</v>
      </c>
      <c r="C352" s="138" t="n"/>
      <c r="D352" s="55" t="n"/>
      <c r="E352" s="138" t="n">
        <v>69.7</v>
      </c>
      <c r="F352" s="138" t="n">
        <v>54.4</v>
      </c>
      <c r="G352" s="138" t="n"/>
      <c r="H352" s="138" t="n">
        <v>42.4</v>
      </c>
      <c r="I352" s="138" t="n">
        <v>47.2</v>
      </c>
      <c r="J352" s="138" t="n">
        <v>50.5</v>
      </c>
      <c r="K352" s="138" t="n"/>
      <c r="L352" s="138" t="n">
        <v>51.7</v>
      </c>
    </row>
    <row r="353">
      <c r="A353" s="54" t="n">
        <v>28095</v>
      </c>
      <c r="B353" s="71" t="n">
        <v>58.9</v>
      </c>
      <c r="C353" s="138" t="n"/>
      <c r="D353" s="55" t="n"/>
      <c r="E353" s="138" t="n">
        <v>75.8</v>
      </c>
      <c r="F353" s="138" t="n">
        <v>59.6</v>
      </c>
      <c r="G353" s="138" t="n"/>
      <c r="H353" s="138" t="n">
        <v>52.8</v>
      </c>
      <c r="I353" s="138" t="n">
        <v>53.3</v>
      </c>
      <c r="J353" s="138" t="n">
        <v>53.8</v>
      </c>
      <c r="K353" s="138" t="n"/>
      <c r="L353" s="138" t="n">
        <v>56.6</v>
      </c>
    </row>
    <row r="354">
      <c r="A354" s="54" t="n">
        <v>28126</v>
      </c>
      <c r="B354" s="71" t="n">
        <v>57.2</v>
      </c>
      <c r="C354" s="138" t="n"/>
      <c r="D354" s="55" t="n"/>
      <c r="E354" s="138" t="n">
        <v>78.40000000000001</v>
      </c>
      <c r="F354" s="138" t="n">
        <v>56.9</v>
      </c>
      <c r="G354" s="138" t="n"/>
      <c r="H354" s="138" t="n">
        <v>51.4</v>
      </c>
      <c r="I354" s="138" t="n">
        <v>55.3</v>
      </c>
      <c r="J354" s="138" t="n">
        <v>49.9</v>
      </c>
      <c r="K354" s="138" t="n"/>
      <c r="L354" s="138" t="n">
        <v>54.8</v>
      </c>
    </row>
    <row r="355">
      <c r="A355" s="54" t="n">
        <v>28157</v>
      </c>
      <c r="B355" s="71" t="n">
        <v>56.8</v>
      </c>
      <c r="C355" s="138" t="n"/>
      <c r="D355" s="55" t="n"/>
      <c r="E355" s="138" t="n">
        <v>76.8</v>
      </c>
      <c r="F355" s="138" t="n">
        <v>50.8</v>
      </c>
      <c r="G355" s="138" t="n"/>
      <c r="H355" s="138" t="n">
        <v>51.9</v>
      </c>
      <c r="I355" s="138" t="n">
        <v>65.09999999999999</v>
      </c>
      <c r="J355" s="138" t="n">
        <v>51.5</v>
      </c>
      <c r="K355" s="138" t="n"/>
      <c r="L355" s="138" t="n">
        <v>55</v>
      </c>
    </row>
    <row r="356">
      <c r="A356" s="54" t="n">
        <v>28185</v>
      </c>
      <c r="B356" s="71" t="n">
        <v>63.5</v>
      </c>
      <c r="C356" s="138" t="n"/>
      <c r="D356" s="55" t="n"/>
      <c r="E356" s="138" t="n">
        <v>80.90000000000001</v>
      </c>
      <c r="F356" s="138" t="n">
        <v>62.5</v>
      </c>
      <c r="G356" s="138" t="n"/>
      <c r="H356" s="138" t="n">
        <v>54.7</v>
      </c>
      <c r="I356" s="138" t="n">
        <v>49.6</v>
      </c>
      <c r="J356" s="138" t="n">
        <v>54.3</v>
      </c>
      <c r="K356" s="138" t="n"/>
      <c r="L356" s="138" t="n">
        <v>58.4</v>
      </c>
    </row>
    <row r="357">
      <c r="A357" s="54" t="n">
        <v>28216</v>
      </c>
      <c r="B357" s="71" t="n">
        <v>60.3</v>
      </c>
      <c r="C357" s="138" t="n"/>
      <c r="D357" s="55" t="n"/>
      <c r="E357" s="138" t="n">
        <v>78.8</v>
      </c>
      <c r="F357" s="138" t="n">
        <v>59.2</v>
      </c>
      <c r="G357" s="138" t="n"/>
      <c r="H357" s="138" t="n">
        <v>54.4</v>
      </c>
      <c r="I357" s="138" t="n">
        <v>54.6</v>
      </c>
      <c r="J357" s="138" t="n">
        <v>51.9</v>
      </c>
      <c r="K357" s="138" t="n"/>
      <c r="L357" s="138" t="n">
        <v>56.9</v>
      </c>
    </row>
    <row r="358">
      <c r="A358" s="54" t="n">
        <v>28246</v>
      </c>
      <c r="B358" s="71" t="n">
        <v>64.5</v>
      </c>
      <c r="C358" s="138" t="n"/>
      <c r="D358" s="55" t="n"/>
      <c r="E358" s="138" t="n">
        <v>75.7</v>
      </c>
      <c r="F358" s="138" t="n">
        <v>63</v>
      </c>
      <c r="G358" s="138" t="n"/>
      <c r="H358" s="138" t="n">
        <v>53.2</v>
      </c>
      <c r="I358" s="138" t="n">
        <v>55.4</v>
      </c>
      <c r="J358" s="138" t="n">
        <v>54.8</v>
      </c>
      <c r="K358" s="138" t="n"/>
      <c r="L358" s="138" t="n">
        <v>59.7</v>
      </c>
    </row>
    <row r="359">
      <c r="A359" s="54" t="n">
        <v>28277</v>
      </c>
      <c r="B359" s="71" t="n">
        <v>58.1</v>
      </c>
      <c r="C359" s="138" t="n"/>
      <c r="D359" s="55" t="n"/>
      <c r="E359" s="138" t="n">
        <v>71.90000000000001</v>
      </c>
      <c r="F359" s="138" t="n">
        <v>62.5</v>
      </c>
      <c r="G359" s="138" t="n"/>
      <c r="H359" s="138" t="n">
        <v>52.6</v>
      </c>
      <c r="I359" s="138" t="n">
        <v>53.3</v>
      </c>
      <c r="J359" s="138" t="n">
        <v>52.5</v>
      </c>
      <c r="K359" s="138" t="n"/>
      <c r="L359" s="138" t="n">
        <v>56.8</v>
      </c>
    </row>
    <row r="360">
      <c r="A360" s="54" t="n">
        <v>28307</v>
      </c>
      <c r="B360" s="71" t="n">
        <v>58.9</v>
      </c>
      <c r="C360" s="138" t="n"/>
      <c r="D360" s="55" t="n"/>
      <c r="E360" s="138" t="n">
        <v>69</v>
      </c>
      <c r="F360" s="138" t="n">
        <v>60.6</v>
      </c>
      <c r="G360" s="138" t="n"/>
      <c r="H360" s="138" t="n">
        <v>52</v>
      </c>
      <c r="I360" s="138" t="n">
        <v>58.3</v>
      </c>
      <c r="J360" s="138" t="n">
        <v>54.5</v>
      </c>
      <c r="K360" s="138" t="n"/>
      <c r="L360" s="138" t="n">
        <v>57.7</v>
      </c>
    </row>
    <row r="361">
      <c r="A361" s="54" t="n">
        <v>28338</v>
      </c>
      <c r="B361" s="71" t="n">
        <v>58.8</v>
      </c>
      <c r="C361" s="138" t="n"/>
      <c r="D361" s="55" t="n"/>
      <c r="E361" s="138" t="n">
        <v>70.40000000000001</v>
      </c>
      <c r="F361" s="138" t="n">
        <v>53.9</v>
      </c>
      <c r="G361" s="138" t="n"/>
      <c r="H361" s="138" t="n">
        <v>50</v>
      </c>
      <c r="I361" s="138" t="n">
        <v>53.5</v>
      </c>
      <c r="J361" s="138" t="n">
        <v>53.6</v>
      </c>
      <c r="K361" s="138" t="n"/>
      <c r="L361" s="138" t="n">
        <v>54.9</v>
      </c>
    </row>
    <row r="362">
      <c r="A362" s="54" t="n">
        <v>28369</v>
      </c>
      <c r="B362" s="71" t="n">
        <v>57</v>
      </c>
      <c r="C362" s="138" t="n"/>
      <c r="D362" s="55" t="n"/>
      <c r="E362" s="138" t="n">
        <v>65.40000000000001</v>
      </c>
      <c r="F362" s="138" t="n">
        <v>54.9</v>
      </c>
      <c r="G362" s="138" t="n"/>
      <c r="H362" s="138" t="n">
        <v>44.8</v>
      </c>
      <c r="I362" s="138" t="n">
        <v>56.7</v>
      </c>
      <c r="J362" s="138" t="n">
        <v>50.4</v>
      </c>
      <c r="K362" s="138" t="n"/>
      <c r="L362" s="138" t="n">
        <v>53.9</v>
      </c>
    </row>
    <row r="363">
      <c r="A363" s="54" t="n">
        <v>28399</v>
      </c>
      <c r="B363" s="71" t="n">
        <v>57.1</v>
      </c>
      <c r="C363" s="138" t="n"/>
      <c r="D363" s="55" t="n"/>
      <c r="E363" s="138" t="n">
        <v>64.5</v>
      </c>
      <c r="F363" s="138" t="n">
        <v>57</v>
      </c>
      <c r="G363" s="138" t="n"/>
      <c r="H363" s="138" t="n">
        <v>47.9</v>
      </c>
      <c r="I363" s="138" t="n">
        <v>53.6</v>
      </c>
      <c r="J363" s="138" t="n">
        <v>56</v>
      </c>
      <c r="K363" s="138" t="n"/>
      <c r="L363" s="138" t="n">
        <v>55.4</v>
      </c>
    </row>
    <row r="364">
      <c r="A364" s="54" t="n">
        <v>28430</v>
      </c>
      <c r="B364" s="71" t="n">
        <v>59.2</v>
      </c>
      <c r="C364" s="138" t="n"/>
      <c r="D364" s="55" t="n"/>
      <c r="E364" s="138" t="n">
        <v>62</v>
      </c>
      <c r="F364" s="138" t="n">
        <v>58.7</v>
      </c>
      <c r="G364" s="138" t="n"/>
      <c r="H364" s="138" t="n">
        <v>48</v>
      </c>
      <c r="I364" s="138" t="n">
        <v>56.3</v>
      </c>
      <c r="J364" s="138" t="n">
        <v>51.8</v>
      </c>
      <c r="K364" s="138" t="n"/>
      <c r="L364" s="138" t="n">
        <v>56.1</v>
      </c>
    </row>
    <row r="365">
      <c r="A365" s="54" t="n">
        <v>28460</v>
      </c>
      <c r="B365" s="71" t="n">
        <v>60.7</v>
      </c>
      <c r="C365" s="138" t="n"/>
      <c r="D365" s="55" t="n"/>
      <c r="E365" s="138" t="n">
        <v>67.2</v>
      </c>
      <c r="F365" s="138" t="n">
        <v>64.7</v>
      </c>
      <c r="G365" s="138" t="n"/>
      <c r="H365" s="138" t="n">
        <v>48.9</v>
      </c>
      <c r="I365" s="138" t="n">
        <v>57.1</v>
      </c>
      <c r="J365" s="138" t="n">
        <v>59.8</v>
      </c>
      <c r="K365" s="138" t="n"/>
      <c r="L365" s="138" t="n">
        <v>59.8</v>
      </c>
    </row>
    <row r="366">
      <c r="A366" s="54" t="n">
        <v>28491</v>
      </c>
      <c r="B366" s="71" t="n">
        <v>60.6</v>
      </c>
      <c r="C366" s="138" t="n"/>
      <c r="D366" s="55" t="n"/>
      <c r="E366" s="138" t="n">
        <v>71.09999999999999</v>
      </c>
      <c r="F366" s="138" t="n">
        <v>57.7</v>
      </c>
      <c r="G366" s="138" t="n"/>
      <c r="H366" s="138" t="n">
        <v>54</v>
      </c>
      <c r="I366" s="138" t="n">
        <v>55.6</v>
      </c>
      <c r="J366" s="138" t="n">
        <v>55.1</v>
      </c>
      <c r="K366" s="138" t="n"/>
      <c r="L366" s="138" t="n">
        <v>57.4</v>
      </c>
    </row>
    <row r="367">
      <c r="A367" s="54" t="n">
        <v>28522</v>
      </c>
      <c r="B367" s="71" t="n">
        <v>56.2</v>
      </c>
      <c r="C367" s="138" t="n"/>
      <c r="D367" s="55" t="n"/>
      <c r="E367" s="138" t="n">
        <v>74.40000000000001</v>
      </c>
      <c r="F367" s="138" t="n">
        <v>54.6</v>
      </c>
      <c r="G367" s="138" t="n"/>
      <c r="H367" s="138" t="n">
        <v>54</v>
      </c>
      <c r="I367" s="138" t="n">
        <v>63.4</v>
      </c>
      <c r="J367" s="138" t="n">
        <v>52.8</v>
      </c>
      <c r="K367" s="138" t="n"/>
      <c r="L367" s="138" t="n">
        <v>55.9</v>
      </c>
    </row>
    <row r="368">
      <c r="A368" s="54" t="n">
        <v>28550</v>
      </c>
      <c r="B368" s="71" t="n">
        <v>56.6</v>
      </c>
      <c r="C368" s="138" t="n"/>
      <c r="D368" s="55" t="n"/>
      <c r="E368" s="138" t="n">
        <v>72.3</v>
      </c>
      <c r="F368" s="138" t="n">
        <v>57</v>
      </c>
      <c r="G368" s="138" t="n"/>
      <c r="H368" s="138" t="n">
        <v>44</v>
      </c>
      <c r="I368" s="138" t="n">
        <v>58.9</v>
      </c>
      <c r="J368" s="138" t="n">
        <v>52.9</v>
      </c>
      <c r="K368" s="138" t="n"/>
      <c r="L368" s="138" t="n">
        <v>55</v>
      </c>
    </row>
    <row r="369">
      <c r="A369" s="54" t="n">
        <v>28581</v>
      </c>
      <c r="B369" s="71" t="n">
        <v>60.2</v>
      </c>
      <c r="C369" s="138" t="n"/>
      <c r="D369" s="55" t="n"/>
      <c r="E369" s="138" t="n">
        <v>78.7</v>
      </c>
      <c r="F369" s="138" t="n">
        <v>60.3</v>
      </c>
      <c r="G369" s="138" t="n"/>
      <c r="H369" s="138" t="n">
        <v>52.4</v>
      </c>
      <c r="I369" s="138" t="n">
        <v>57.1</v>
      </c>
      <c r="J369" s="138" t="n">
        <v>53.8</v>
      </c>
      <c r="K369" s="138" t="n"/>
      <c r="L369" s="138" t="n">
        <v>57.7</v>
      </c>
    </row>
    <row r="370">
      <c r="A370" s="54" t="n">
        <v>28611</v>
      </c>
      <c r="B370" s="71" t="n">
        <v>63.9</v>
      </c>
      <c r="C370" s="138" t="n"/>
      <c r="D370" s="55" t="n"/>
      <c r="E370" s="138" t="n">
        <v>81.8</v>
      </c>
      <c r="F370" s="138" t="n">
        <v>62.3</v>
      </c>
      <c r="G370" s="138" t="n"/>
      <c r="H370" s="138" t="n">
        <v>54.5</v>
      </c>
      <c r="I370" s="138" t="n">
        <v>57.4</v>
      </c>
      <c r="J370" s="138" t="n">
        <v>57</v>
      </c>
      <c r="K370" s="138" t="n"/>
      <c r="L370" s="138" t="n">
        <v>60.2</v>
      </c>
    </row>
    <row r="371">
      <c r="A371" s="54" t="n">
        <v>28642</v>
      </c>
      <c r="B371" s="71" t="n">
        <v>63.6</v>
      </c>
      <c r="C371" s="138" t="n"/>
      <c r="D371" s="55" t="n"/>
      <c r="E371" s="138" t="n">
        <v>82.3</v>
      </c>
      <c r="F371" s="138" t="n">
        <v>61.7</v>
      </c>
      <c r="G371" s="138" t="n"/>
      <c r="H371" s="138" t="n">
        <v>54.2</v>
      </c>
      <c r="I371" s="138" t="n">
        <v>61.1</v>
      </c>
      <c r="J371" s="138" t="n">
        <v>57.2</v>
      </c>
      <c r="K371" s="138" t="n"/>
      <c r="L371" s="138" t="n">
        <v>60.5</v>
      </c>
    </row>
    <row r="372">
      <c r="A372" s="54" t="n">
        <v>28672</v>
      </c>
      <c r="B372" s="71" t="n">
        <v>64.7</v>
      </c>
      <c r="C372" s="138" t="n"/>
      <c r="D372" s="55" t="n"/>
      <c r="E372" s="138" t="n">
        <v>83</v>
      </c>
      <c r="F372" s="138" t="n">
        <v>65.09999999999999</v>
      </c>
      <c r="G372" s="138" t="n"/>
      <c r="H372" s="138" t="n">
        <v>57.7</v>
      </c>
      <c r="I372" s="138" t="n">
        <v>59.4</v>
      </c>
      <c r="J372" s="138" t="n">
        <v>58.8</v>
      </c>
      <c r="K372" s="138" t="n"/>
      <c r="L372" s="138" t="n">
        <v>62.2</v>
      </c>
    </row>
    <row r="373">
      <c r="A373" s="54" t="n">
        <v>28703</v>
      </c>
      <c r="B373" s="71" t="n">
        <v>61.3</v>
      </c>
      <c r="C373" s="138" t="n"/>
      <c r="D373" s="55" t="n"/>
      <c r="E373" s="138" t="n">
        <v>85.40000000000001</v>
      </c>
      <c r="F373" s="138" t="n">
        <v>64.90000000000001</v>
      </c>
      <c r="G373" s="138" t="n"/>
      <c r="H373" s="138" t="n">
        <v>55.4</v>
      </c>
      <c r="I373" s="138" t="n">
        <v>60.6</v>
      </c>
      <c r="J373" s="138" t="n">
        <v>55.3</v>
      </c>
      <c r="K373" s="138" t="n"/>
      <c r="L373" s="138" t="n">
        <v>60.3</v>
      </c>
    </row>
    <row r="374">
      <c r="A374" s="54" t="n">
        <v>28734</v>
      </c>
      <c r="B374" s="71" t="n">
        <v>61.3</v>
      </c>
      <c r="C374" s="138" t="n"/>
      <c r="D374" s="55" t="n"/>
      <c r="E374" s="138" t="n">
        <v>86.8</v>
      </c>
      <c r="F374" s="138" t="n">
        <v>65</v>
      </c>
      <c r="G374" s="138" t="n"/>
      <c r="H374" s="138" t="n">
        <v>54.5</v>
      </c>
      <c r="I374" s="138" t="n">
        <v>60</v>
      </c>
      <c r="J374" s="138" t="n">
        <v>57.2</v>
      </c>
      <c r="K374" s="138" t="n"/>
      <c r="L374" s="138" t="n">
        <v>60.5</v>
      </c>
    </row>
    <row r="375">
      <c r="A375" s="54" t="n">
        <v>28764</v>
      </c>
      <c r="B375" s="71" t="n">
        <v>58.8</v>
      </c>
      <c r="C375" s="138" t="n"/>
      <c r="D375" s="55" t="n"/>
      <c r="E375" s="138" t="n">
        <v>86.8</v>
      </c>
      <c r="F375" s="138" t="n">
        <v>62</v>
      </c>
      <c r="G375" s="138" t="n"/>
      <c r="H375" s="138" t="n">
        <v>56.1</v>
      </c>
      <c r="I375" s="138" t="n">
        <v>64.7</v>
      </c>
      <c r="J375" s="138" t="n">
        <v>57.9</v>
      </c>
      <c r="K375" s="138" t="n"/>
      <c r="L375" s="138" t="n">
        <v>60.1</v>
      </c>
    </row>
    <row r="376">
      <c r="A376" s="54" t="n">
        <v>28795</v>
      </c>
      <c r="B376" s="71" t="n">
        <v>61.9</v>
      </c>
      <c r="C376" s="138" t="n"/>
      <c r="D376" s="55" t="n"/>
      <c r="E376" s="138" t="n">
        <v>84.09999999999999</v>
      </c>
      <c r="F376" s="138" t="n">
        <v>61.3</v>
      </c>
      <c r="G376" s="138" t="n"/>
      <c r="H376" s="138" t="n">
        <v>56.7</v>
      </c>
      <c r="I376" s="138" t="n">
        <v>64.5</v>
      </c>
      <c r="J376" s="138" t="n">
        <v>60.4</v>
      </c>
      <c r="K376" s="138" t="n"/>
      <c r="L376" s="138" t="n">
        <v>61.3</v>
      </c>
    </row>
    <row r="377">
      <c r="A377" s="54" t="n">
        <v>28825</v>
      </c>
      <c r="B377" s="71" t="n">
        <v>59.9</v>
      </c>
      <c r="C377" s="138" t="n"/>
      <c r="D377" s="55" t="n"/>
      <c r="E377" s="138" t="n">
        <v>84.5</v>
      </c>
      <c r="F377" s="138" t="n">
        <v>60.4</v>
      </c>
      <c r="G377" s="138" t="n"/>
      <c r="H377" s="138" t="n">
        <v>53.9</v>
      </c>
      <c r="I377" s="138" t="n">
        <v>63.5</v>
      </c>
      <c r="J377" s="138" t="n">
        <v>56.9</v>
      </c>
      <c r="K377" s="138" t="n"/>
      <c r="L377" s="138" t="n">
        <v>59.4</v>
      </c>
    </row>
    <row r="378">
      <c r="A378" s="54" t="n">
        <v>28856</v>
      </c>
      <c r="B378" s="71" t="n">
        <v>57.3</v>
      </c>
      <c r="C378" s="138" t="n"/>
      <c r="D378" s="55" t="n"/>
      <c r="E378" s="138" t="n">
        <v>85.8</v>
      </c>
      <c r="F378" s="138" t="n">
        <v>58.8</v>
      </c>
      <c r="G378" s="138" t="n"/>
      <c r="H378" s="138" t="n">
        <v>52.3</v>
      </c>
      <c r="I378" s="138" t="n">
        <v>66.40000000000001</v>
      </c>
      <c r="J378" s="138" t="n">
        <v>57.3</v>
      </c>
      <c r="K378" s="138" t="n"/>
      <c r="L378" s="138" t="n">
        <v>58.5</v>
      </c>
    </row>
    <row r="379">
      <c r="A379" s="54" t="n">
        <v>28887</v>
      </c>
      <c r="B379" s="71" t="n">
        <v>58.6</v>
      </c>
      <c r="C379" s="138" t="n"/>
      <c r="D379" s="55" t="n"/>
      <c r="E379" s="138" t="n">
        <v>86.5</v>
      </c>
      <c r="F379" s="138" t="n">
        <v>59</v>
      </c>
      <c r="G379" s="138" t="n"/>
      <c r="H379" s="138" t="n">
        <v>51.4</v>
      </c>
      <c r="I379" s="138" t="n">
        <v>64</v>
      </c>
      <c r="J379" s="138" t="n">
        <v>55.6</v>
      </c>
      <c r="K379" s="138" t="n"/>
      <c r="L379" s="138" t="n">
        <v>58.2</v>
      </c>
    </row>
    <row r="380">
      <c r="A380" s="54" t="n">
        <v>28915</v>
      </c>
      <c r="B380" s="71" t="n">
        <v>56.7</v>
      </c>
      <c r="C380" s="138" t="n"/>
      <c r="D380" s="55" t="n"/>
      <c r="E380" s="138" t="n">
        <v>87.7</v>
      </c>
      <c r="F380" s="138" t="n">
        <v>57.4</v>
      </c>
      <c r="G380" s="138" t="n"/>
      <c r="H380" s="138" t="n">
        <v>54.1</v>
      </c>
      <c r="I380" s="138" t="n">
        <v>66.7</v>
      </c>
      <c r="J380" s="138" t="n">
        <v>54.8</v>
      </c>
      <c r="K380" s="138" t="n"/>
      <c r="L380" s="138" t="n">
        <v>57.7</v>
      </c>
    </row>
    <row r="381">
      <c r="A381" s="54" t="n">
        <v>28946</v>
      </c>
      <c r="B381" s="71" t="n">
        <v>55.1</v>
      </c>
      <c r="C381" s="138" t="n"/>
      <c r="D381" s="55" t="n"/>
      <c r="E381" s="138" t="n">
        <v>86.3</v>
      </c>
      <c r="F381" s="138" t="n">
        <v>55.5</v>
      </c>
      <c r="G381" s="138" t="n"/>
      <c r="H381" s="138" t="n">
        <v>50.9</v>
      </c>
      <c r="I381" s="138" t="n">
        <v>75.59999999999999</v>
      </c>
      <c r="J381" s="138" t="n">
        <v>46.9</v>
      </c>
      <c r="K381" s="138" t="n"/>
      <c r="L381" s="138" t="n">
        <v>56.2</v>
      </c>
    </row>
    <row r="382">
      <c r="A382" s="54" t="n">
        <v>28976</v>
      </c>
      <c r="B382" s="71" t="n">
        <v>52.1</v>
      </c>
      <c r="C382" s="138" t="n"/>
      <c r="D382" s="55" t="n"/>
      <c r="E382" s="138" t="n">
        <v>86.90000000000001</v>
      </c>
      <c r="F382" s="138" t="n">
        <v>52.1</v>
      </c>
      <c r="G382" s="138" t="n"/>
      <c r="H382" s="138" t="n">
        <v>53.3</v>
      </c>
      <c r="I382" s="138" t="n">
        <v>63.7</v>
      </c>
      <c r="J382" s="138" t="n">
        <v>54.5</v>
      </c>
      <c r="K382" s="138" t="n"/>
      <c r="L382" s="138" t="n">
        <v>54.4</v>
      </c>
    </row>
    <row r="383">
      <c r="A383" s="54" t="n">
        <v>29007</v>
      </c>
      <c r="B383" s="71" t="n">
        <v>49.4</v>
      </c>
      <c r="C383" s="138" t="n"/>
      <c r="D383" s="55" t="n"/>
      <c r="E383" s="138" t="n">
        <v>88.7</v>
      </c>
      <c r="F383" s="138" t="n">
        <v>50.2</v>
      </c>
      <c r="G383" s="138" t="n"/>
      <c r="H383" s="138" t="n">
        <v>53.8</v>
      </c>
      <c r="I383" s="138" t="n">
        <v>61.4</v>
      </c>
      <c r="J383" s="138" t="n">
        <v>53.8</v>
      </c>
      <c r="K383" s="138" t="n"/>
      <c r="L383" s="138" t="n">
        <v>52.7</v>
      </c>
    </row>
    <row r="384">
      <c r="A384" s="54" t="n">
        <v>29037</v>
      </c>
      <c r="B384" s="71" t="n">
        <v>49.8</v>
      </c>
      <c r="C384" s="138" t="n"/>
      <c r="D384" s="55" t="n"/>
      <c r="E384" s="138" t="n">
        <v>93.09999999999999</v>
      </c>
      <c r="F384" s="138" t="n">
        <v>49.4</v>
      </c>
      <c r="G384" s="138" t="n"/>
      <c r="H384" s="138" t="n">
        <v>53.6</v>
      </c>
      <c r="I384" s="138" t="n">
        <v>57.4</v>
      </c>
      <c r="J384" s="138" t="n">
        <v>50.2</v>
      </c>
      <c r="K384" s="138" t="n"/>
      <c r="L384" s="138" t="n">
        <v>51.3</v>
      </c>
    </row>
    <row r="385">
      <c r="A385" s="54" t="n">
        <v>29068</v>
      </c>
      <c r="B385" s="71" t="n">
        <v>46.9</v>
      </c>
      <c r="C385" s="138" t="n"/>
      <c r="D385" s="55" t="n"/>
      <c r="E385" s="138" t="n">
        <v>85.59999999999999</v>
      </c>
      <c r="F385" s="138" t="n">
        <v>49</v>
      </c>
      <c r="G385" s="138" t="n"/>
      <c r="H385" s="138" t="n">
        <v>51.6</v>
      </c>
      <c r="I385" s="138" t="n">
        <v>52.9</v>
      </c>
      <c r="J385" s="138" t="n">
        <v>50.5</v>
      </c>
      <c r="K385" s="138" t="n"/>
      <c r="L385" s="138" t="n">
        <v>49.5</v>
      </c>
    </row>
    <row r="386">
      <c r="A386" s="54" t="n">
        <v>29099</v>
      </c>
      <c r="B386" s="71" t="n">
        <v>48.7</v>
      </c>
      <c r="C386" s="138" t="n"/>
      <c r="D386" s="55" t="n"/>
      <c r="E386" s="138" t="n">
        <v>85</v>
      </c>
      <c r="F386" s="138" t="n">
        <v>48.3</v>
      </c>
      <c r="G386" s="138" t="n"/>
      <c r="H386" s="138" t="n">
        <v>52.3</v>
      </c>
      <c r="I386" s="138" t="n">
        <v>50.7</v>
      </c>
      <c r="J386" s="138" t="n">
        <v>50.3</v>
      </c>
      <c r="K386" s="138" t="n"/>
      <c r="L386" s="138" t="n">
        <v>49.6</v>
      </c>
    </row>
    <row r="387">
      <c r="A387" s="54" t="n">
        <v>29129</v>
      </c>
      <c r="B387" s="71" t="n">
        <v>47.3</v>
      </c>
      <c r="C387" s="138" t="n"/>
      <c r="D387" s="55" t="n"/>
      <c r="E387" s="138" t="n">
        <v>85.59999999999999</v>
      </c>
      <c r="F387" s="138" t="n">
        <v>49</v>
      </c>
      <c r="G387" s="138" t="n"/>
      <c r="H387" s="138" t="n">
        <v>46</v>
      </c>
      <c r="I387" s="138" t="n">
        <v>46.9</v>
      </c>
      <c r="J387" s="138" t="n">
        <v>54.6</v>
      </c>
      <c r="K387" s="138" t="n"/>
      <c r="L387" s="138" t="n">
        <v>49</v>
      </c>
    </row>
    <row r="388">
      <c r="A388" s="54" t="n">
        <v>29160</v>
      </c>
      <c r="B388" s="71" t="n">
        <v>46.5</v>
      </c>
      <c r="C388" s="138" t="n"/>
      <c r="D388" s="55" t="n"/>
      <c r="E388" s="138" t="n">
        <v>89.2</v>
      </c>
      <c r="F388" s="138" t="n">
        <v>52.6</v>
      </c>
      <c r="G388" s="138" t="n"/>
      <c r="H388" s="138" t="n">
        <v>44.3</v>
      </c>
      <c r="I388" s="138" t="n">
        <v>46.8</v>
      </c>
      <c r="J388" s="138" t="n">
        <v>47.3</v>
      </c>
      <c r="K388" s="138" t="n"/>
      <c r="L388" s="138" t="n">
        <v>48</v>
      </c>
    </row>
    <row r="389">
      <c r="A389" s="54" t="n">
        <v>29190</v>
      </c>
      <c r="B389" s="71" t="n">
        <v>44.3</v>
      </c>
      <c r="C389" s="138" t="n"/>
      <c r="D389" s="55" t="n"/>
      <c r="E389" s="138" t="n">
        <v>84.40000000000001</v>
      </c>
      <c r="F389" s="138" t="n">
        <v>48.2</v>
      </c>
      <c r="G389" s="138" t="n"/>
      <c r="H389" s="138" t="n">
        <v>43.5</v>
      </c>
      <c r="I389" s="138" t="n">
        <v>42.2</v>
      </c>
      <c r="J389" s="138" t="n">
        <v>44.1</v>
      </c>
      <c r="K389" s="138" t="n"/>
      <c r="L389" s="138" t="n">
        <v>44.8</v>
      </c>
    </row>
    <row r="390">
      <c r="A390" s="54" t="n">
        <v>29221</v>
      </c>
      <c r="B390" s="71" t="n">
        <v>47.1</v>
      </c>
      <c r="C390" s="138" t="n"/>
      <c r="D390" s="55" t="n"/>
      <c r="E390" s="138" t="n">
        <v>83</v>
      </c>
      <c r="F390" s="138" t="n">
        <v>48.4</v>
      </c>
      <c r="G390" s="138" t="n"/>
      <c r="H390" s="138" t="n">
        <v>44.5</v>
      </c>
      <c r="I390" s="138" t="n">
        <v>42.1</v>
      </c>
      <c r="J390" s="138" t="n">
        <v>46.2</v>
      </c>
      <c r="K390" s="138" t="n"/>
      <c r="L390" s="138" t="n">
        <v>46.2</v>
      </c>
    </row>
    <row r="391">
      <c r="A391" s="54" t="n">
        <v>29252</v>
      </c>
      <c r="B391" s="71" t="n">
        <v>51.6</v>
      </c>
      <c r="C391" s="138" t="n"/>
      <c r="D391" s="55" t="n"/>
      <c r="E391" s="138" t="n">
        <v>84.5</v>
      </c>
      <c r="F391" s="138" t="n">
        <v>53.1</v>
      </c>
      <c r="G391" s="138" t="n"/>
      <c r="H391" s="138" t="n">
        <v>46.5</v>
      </c>
      <c r="I391" s="138" t="n">
        <v>46</v>
      </c>
      <c r="J391" s="138" t="n">
        <v>49.7</v>
      </c>
      <c r="K391" s="138" t="n"/>
      <c r="L391" s="138" t="n">
        <v>50.2</v>
      </c>
    </row>
    <row r="392">
      <c r="A392" s="54" t="n">
        <v>29281</v>
      </c>
      <c r="B392" s="71" t="n">
        <v>43.8</v>
      </c>
      <c r="C392" s="138" t="n"/>
      <c r="D392" s="55" t="n"/>
      <c r="E392" s="138" t="n">
        <v>84</v>
      </c>
      <c r="F392" s="138" t="n">
        <v>46.7</v>
      </c>
      <c r="G392" s="138" t="n"/>
      <c r="H392" s="138" t="n">
        <v>43</v>
      </c>
      <c r="I392" s="138" t="n">
        <v>39.1</v>
      </c>
      <c r="J392" s="138" t="n">
        <v>43.2</v>
      </c>
      <c r="K392" s="138" t="n"/>
      <c r="L392" s="138" t="n">
        <v>43.6</v>
      </c>
    </row>
    <row r="393">
      <c r="A393" s="54" t="n">
        <v>29312</v>
      </c>
      <c r="B393" s="71" t="n">
        <v>32</v>
      </c>
      <c r="C393" s="138" t="n"/>
      <c r="D393" s="55" t="n"/>
      <c r="E393" s="138" t="n">
        <v>77.5</v>
      </c>
      <c r="F393" s="138" t="n">
        <v>37.9</v>
      </c>
      <c r="G393" s="138" t="n"/>
      <c r="H393" s="138" t="n">
        <v>45.3</v>
      </c>
      <c r="I393" s="138" t="n">
        <v>36.9</v>
      </c>
      <c r="J393" s="138" t="n">
        <v>41.2</v>
      </c>
      <c r="K393" s="138" t="n"/>
      <c r="L393" s="138" t="n">
        <v>37.4</v>
      </c>
    </row>
    <row r="394">
      <c r="A394" s="54" t="n">
        <v>29342</v>
      </c>
      <c r="B394" s="71" t="n">
        <v>25.6</v>
      </c>
      <c r="C394" s="138" t="n"/>
      <c r="D394" s="55" t="n"/>
      <c r="E394" s="138" t="n">
        <v>70.8</v>
      </c>
      <c r="F394" s="138" t="n">
        <v>28.1</v>
      </c>
      <c r="G394" s="138" t="n"/>
      <c r="H394" s="138" t="n">
        <v>33.3</v>
      </c>
      <c r="I394" s="138" t="n">
        <v>29.8</v>
      </c>
      <c r="J394" s="138" t="n">
        <v>34.3</v>
      </c>
      <c r="K394" s="138" t="n"/>
      <c r="L394" s="138" t="n">
        <v>29.4</v>
      </c>
    </row>
    <row r="395">
      <c r="A395" s="54" t="n">
        <v>29373</v>
      </c>
      <c r="B395" s="71" t="n">
        <v>24.2</v>
      </c>
      <c r="C395" s="138" t="n"/>
      <c r="D395" s="55" t="n"/>
      <c r="E395" s="138" t="n">
        <v>63.4</v>
      </c>
      <c r="F395" s="138" t="n">
        <v>31.5</v>
      </c>
      <c r="G395" s="138" t="n"/>
      <c r="H395" s="138" t="n">
        <v>37.3</v>
      </c>
      <c r="I395" s="138" t="n">
        <v>32.4</v>
      </c>
      <c r="J395" s="138" t="n">
        <v>32.8</v>
      </c>
      <c r="K395" s="138" t="n"/>
      <c r="L395" s="138" t="n">
        <v>30.3</v>
      </c>
    </row>
    <row r="396">
      <c r="A396" s="54" t="n">
        <v>29403</v>
      </c>
      <c r="B396" s="71" t="n">
        <v>36.1</v>
      </c>
      <c r="C396" s="138" t="n"/>
      <c r="D396" s="55" t="n"/>
      <c r="E396" s="138" t="n">
        <v>59.3</v>
      </c>
      <c r="F396" s="138" t="n">
        <v>35.1</v>
      </c>
      <c r="G396" s="138" t="n"/>
      <c r="H396" s="138" t="n">
        <v>29.5</v>
      </c>
      <c r="I396" s="138" t="n">
        <v>36.3</v>
      </c>
      <c r="J396" s="138" t="n">
        <v>35</v>
      </c>
      <c r="K396" s="138" t="n"/>
      <c r="L396" s="138" t="n">
        <v>35</v>
      </c>
    </row>
    <row r="397">
      <c r="A397" s="54" t="n">
        <v>29434</v>
      </c>
      <c r="B397" s="71" t="n">
        <v>54.1</v>
      </c>
      <c r="C397" s="138" t="n"/>
      <c r="D397" s="55" t="n"/>
      <c r="E397" s="138" t="n">
        <v>67</v>
      </c>
      <c r="F397" s="138" t="n">
        <v>46.9</v>
      </c>
      <c r="G397" s="138" t="n"/>
      <c r="H397" s="138" t="n">
        <v>37.6</v>
      </c>
      <c r="I397" s="138" t="n">
        <v>40.1</v>
      </c>
      <c r="J397" s="138" t="n">
        <v>38.7</v>
      </c>
      <c r="K397" s="138" t="n"/>
      <c r="L397" s="138" t="n">
        <v>45.5</v>
      </c>
    </row>
    <row r="398">
      <c r="A398" s="54" t="n">
        <v>29465</v>
      </c>
      <c r="B398" s="71" t="n">
        <v>53.9</v>
      </c>
      <c r="C398" s="138" t="n"/>
      <c r="D398" s="55" t="n"/>
      <c r="E398" s="138" t="n">
        <v>68</v>
      </c>
      <c r="F398" s="138" t="n">
        <v>55.1</v>
      </c>
      <c r="G398" s="138" t="n"/>
      <c r="H398" s="138" t="n">
        <v>45.3</v>
      </c>
      <c r="I398" s="138" t="n">
        <v>41.2</v>
      </c>
      <c r="J398" s="138" t="n">
        <v>47</v>
      </c>
      <c r="K398" s="138" t="n"/>
      <c r="L398" s="138" t="n">
        <v>50.1</v>
      </c>
    </row>
    <row r="399">
      <c r="A399" s="54" t="n">
        <v>29495</v>
      </c>
      <c r="B399" s="71" t="n">
        <v>63.7</v>
      </c>
      <c r="C399" s="138" t="n"/>
      <c r="D399" s="55" t="n"/>
      <c r="E399" s="138" t="n">
        <v>75.2</v>
      </c>
      <c r="F399" s="138" t="n">
        <v>60.7</v>
      </c>
      <c r="G399" s="138" t="n"/>
      <c r="H399" s="138" t="n">
        <v>43.9</v>
      </c>
      <c r="I399" s="138" t="n">
        <v>46.5</v>
      </c>
      <c r="J399" s="138" t="n">
        <v>49.4</v>
      </c>
      <c r="K399" s="138" t="n"/>
      <c r="L399" s="138" t="n">
        <v>55.5</v>
      </c>
    </row>
    <row r="400">
      <c r="A400" s="54" t="n">
        <v>29526</v>
      </c>
      <c r="B400" s="71" t="n">
        <v>65.3</v>
      </c>
      <c r="C400" s="138" t="n"/>
      <c r="D400" s="55" t="n"/>
      <c r="E400" s="138" t="n">
        <v>76.7</v>
      </c>
      <c r="F400" s="138" t="n">
        <v>66.8</v>
      </c>
      <c r="G400" s="138" t="n"/>
      <c r="H400" s="138" t="n">
        <v>42.2</v>
      </c>
      <c r="I400" s="138" t="n">
        <v>46.8</v>
      </c>
      <c r="J400" s="138" t="n">
        <v>53.3</v>
      </c>
      <c r="K400" s="138" t="n"/>
      <c r="L400" s="138" t="n">
        <v>58.2</v>
      </c>
    </row>
    <row r="401">
      <c r="A401" s="54" t="n">
        <v>29556</v>
      </c>
      <c r="B401" s="71" t="n">
        <v>51.2</v>
      </c>
      <c r="C401" s="138" t="n"/>
      <c r="D401" s="55" t="n"/>
      <c r="E401" s="138" t="n">
        <v>74.59999999999999</v>
      </c>
      <c r="F401" s="138" t="n">
        <v>57.2</v>
      </c>
      <c r="G401" s="138" t="n"/>
      <c r="H401" s="138" t="n">
        <v>51.4</v>
      </c>
      <c r="I401" s="138" t="n">
        <v>50.1</v>
      </c>
      <c r="J401" s="138" t="n">
        <v>53.2</v>
      </c>
      <c r="K401" s="138" t="n"/>
      <c r="L401" s="138" t="n">
        <v>53</v>
      </c>
    </row>
    <row r="402">
      <c r="A402" s="54" t="n">
        <v>29587</v>
      </c>
      <c r="B402" s="71" t="n">
        <v>48.7</v>
      </c>
      <c r="C402" s="138" t="n"/>
      <c r="D402" s="55" t="n"/>
      <c r="E402" s="138" t="n">
        <v>76.3</v>
      </c>
      <c r="F402" s="138" t="n">
        <v>51.8</v>
      </c>
      <c r="G402" s="138" t="n"/>
      <c r="H402" s="138" t="n">
        <v>44.6</v>
      </c>
      <c r="I402" s="138" t="n">
        <v>49.7</v>
      </c>
      <c r="J402" s="138" t="n">
        <v>48.7</v>
      </c>
      <c r="K402" s="138" t="n"/>
      <c r="L402" s="138" t="n">
        <v>49.2</v>
      </c>
    </row>
    <row r="403">
      <c r="A403" s="54" t="n">
        <v>29618</v>
      </c>
      <c r="B403" s="71" t="n">
        <v>51.1</v>
      </c>
      <c r="C403" s="138" t="n"/>
      <c r="D403" s="55" t="n"/>
      <c r="E403" s="138" t="n">
        <v>70.90000000000001</v>
      </c>
      <c r="F403" s="138" t="n">
        <v>50.9</v>
      </c>
      <c r="G403" s="138" t="n"/>
      <c r="H403" s="138" t="n">
        <v>42.1</v>
      </c>
      <c r="I403" s="138" t="n">
        <v>48.5</v>
      </c>
      <c r="J403" s="138" t="n">
        <v>46.3</v>
      </c>
      <c r="K403" s="138" t="n"/>
      <c r="L403" s="138" t="n">
        <v>48.8</v>
      </c>
    </row>
    <row r="404">
      <c r="A404" s="54" t="n">
        <v>29646</v>
      </c>
      <c r="B404" s="71" t="n">
        <v>50.2</v>
      </c>
      <c r="C404" s="138" t="n"/>
      <c r="D404" s="55" t="n"/>
      <c r="E404" s="138" t="n">
        <v>72.59999999999999</v>
      </c>
      <c r="F404" s="138" t="n">
        <v>52.8</v>
      </c>
      <c r="G404" s="138" t="n"/>
      <c r="H404" s="138" t="n">
        <v>44.7</v>
      </c>
      <c r="I404" s="138" t="n">
        <v>48.7</v>
      </c>
      <c r="J404" s="138" t="n">
        <v>48.1</v>
      </c>
      <c r="K404" s="138" t="n"/>
      <c r="L404" s="138" t="n">
        <v>49.6</v>
      </c>
    </row>
    <row r="405">
      <c r="A405" s="54" t="n">
        <v>29677</v>
      </c>
      <c r="B405" s="71" t="n">
        <v>53.1</v>
      </c>
      <c r="C405" s="138" t="n"/>
      <c r="D405" s="55" t="n"/>
      <c r="E405" s="138" t="n">
        <v>70.2</v>
      </c>
      <c r="F405" s="138" t="n">
        <v>55</v>
      </c>
      <c r="G405" s="138" t="n"/>
      <c r="H405" s="138" t="n">
        <v>44.4</v>
      </c>
      <c r="I405" s="138" t="n">
        <v>51.2</v>
      </c>
      <c r="J405" s="138" t="n">
        <v>49.2</v>
      </c>
      <c r="K405" s="138" t="n"/>
      <c r="L405" s="138" t="n">
        <v>51.6</v>
      </c>
    </row>
    <row r="406">
      <c r="A406" s="54" t="n">
        <v>29707</v>
      </c>
      <c r="B406" s="71" t="n">
        <v>55.7</v>
      </c>
      <c r="C406" s="138" t="n"/>
      <c r="D406" s="55" t="n"/>
      <c r="E406" s="138" t="n">
        <v>66.2</v>
      </c>
      <c r="F406" s="138" t="n">
        <v>59</v>
      </c>
      <c r="G406" s="138" t="n"/>
      <c r="H406" s="138" t="n">
        <v>48.7</v>
      </c>
      <c r="I406" s="138" t="n">
        <v>50.2</v>
      </c>
      <c r="J406" s="138" t="n">
        <v>48.3</v>
      </c>
      <c r="K406" s="138" t="n"/>
      <c r="L406" s="138" t="n">
        <v>53.5</v>
      </c>
    </row>
    <row r="407">
      <c r="A407" s="54" t="n">
        <v>29738</v>
      </c>
      <c r="B407" s="71" t="n">
        <v>51</v>
      </c>
      <c r="C407" s="138" t="n"/>
      <c r="D407" s="55" t="n"/>
      <c r="E407" s="138" t="n">
        <v>70.8</v>
      </c>
      <c r="F407" s="138" t="n">
        <v>53.9</v>
      </c>
      <c r="G407" s="138" t="n"/>
      <c r="H407" s="138" t="n">
        <v>49.4</v>
      </c>
      <c r="I407" s="138" t="n">
        <v>47.9</v>
      </c>
      <c r="J407" s="138" t="n">
        <v>48.8</v>
      </c>
      <c r="K407" s="138" t="n"/>
      <c r="L407" s="138" t="n">
        <v>50.7</v>
      </c>
    </row>
    <row r="408">
      <c r="A408" s="54" t="n">
        <v>29768</v>
      </c>
      <c r="B408" s="71" t="n">
        <v>47.6</v>
      </c>
      <c r="C408" s="138" t="n"/>
      <c r="D408" s="55" t="n"/>
      <c r="E408" s="138" t="n">
        <v>66.90000000000001</v>
      </c>
      <c r="F408" s="138" t="n">
        <v>47.6</v>
      </c>
      <c r="G408" s="138" t="n"/>
      <c r="H408" s="138" t="n">
        <v>44.4</v>
      </c>
      <c r="I408" s="138" t="n">
        <v>44.9</v>
      </c>
      <c r="J408" s="138" t="n">
        <v>46.6</v>
      </c>
      <c r="K408" s="138" t="n"/>
      <c r="L408" s="138" t="n">
        <v>46.7</v>
      </c>
    </row>
    <row r="409">
      <c r="A409" s="54" t="n">
        <v>29799</v>
      </c>
      <c r="B409" s="71" t="n">
        <v>47.2</v>
      </c>
      <c r="C409" s="138" t="n"/>
      <c r="D409" s="55" t="n"/>
      <c r="E409" s="138" t="n">
        <v>65.59999999999999</v>
      </c>
      <c r="F409" s="138" t="n">
        <v>49.5</v>
      </c>
      <c r="G409" s="138" t="n"/>
      <c r="H409" s="138" t="n">
        <v>47.3</v>
      </c>
      <c r="I409" s="138" t="n">
        <v>49.6</v>
      </c>
      <c r="J409" s="138" t="n">
        <v>47.8</v>
      </c>
      <c r="K409" s="138" t="n"/>
      <c r="L409" s="138" t="n">
        <v>48.3</v>
      </c>
    </row>
    <row r="410">
      <c r="A410" s="54" t="n">
        <v>29830</v>
      </c>
      <c r="B410" s="71" t="n">
        <v>42.2</v>
      </c>
      <c r="C410" s="138" t="n"/>
      <c r="D410" s="55" t="n"/>
      <c r="E410" s="138" t="n">
        <v>65.8</v>
      </c>
      <c r="F410" s="138" t="n">
        <v>43.8</v>
      </c>
      <c r="G410" s="138" t="n"/>
      <c r="H410" s="138" t="n">
        <v>41.9</v>
      </c>
      <c r="I410" s="138" t="n">
        <v>45.9</v>
      </c>
      <c r="J410" s="138" t="n">
        <v>39.2</v>
      </c>
      <c r="K410" s="138" t="n"/>
      <c r="L410" s="138" t="n">
        <v>42.5</v>
      </c>
    </row>
    <row r="411">
      <c r="A411" s="54" t="n">
        <v>29860</v>
      </c>
      <c r="B411" s="71" t="n">
        <v>40.2</v>
      </c>
      <c r="C411" s="138" t="n"/>
      <c r="D411" s="55" t="n"/>
      <c r="E411" s="138" t="n">
        <v>57.5</v>
      </c>
      <c r="F411" s="138" t="n">
        <v>39.4</v>
      </c>
      <c r="G411" s="138" t="n"/>
      <c r="H411" s="138" t="n">
        <v>48.9</v>
      </c>
      <c r="I411" s="138" t="n">
        <v>37.7</v>
      </c>
      <c r="J411" s="138" t="n">
        <v>37.9</v>
      </c>
      <c r="K411" s="138" t="n"/>
      <c r="L411" s="138" t="n">
        <v>40</v>
      </c>
    </row>
    <row r="412">
      <c r="A412" s="54" t="n">
        <v>29891</v>
      </c>
      <c r="B412" s="71" t="n">
        <v>32.8</v>
      </c>
      <c r="C412" s="138" t="n"/>
      <c r="D412" s="55" t="n"/>
      <c r="E412" s="138" t="n">
        <v>58.4</v>
      </c>
      <c r="F412" s="138" t="n">
        <v>36.1</v>
      </c>
      <c r="G412" s="138" t="n"/>
      <c r="H412" s="138" t="n">
        <v>42.3</v>
      </c>
      <c r="I412" s="138" t="n">
        <v>40.5</v>
      </c>
      <c r="J412" s="138" t="n">
        <v>34.8</v>
      </c>
      <c r="K412" s="138" t="n"/>
      <c r="L412" s="138" t="n">
        <v>36.1</v>
      </c>
    </row>
    <row r="413">
      <c r="A413" s="54" t="n">
        <v>29921</v>
      </c>
      <c r="B413" s="71" t="n">
        <v>39.1</v>
      </c>
      <c r="C413" s="138" t="n"/>
      <c r="D413" s="55" t="n"/>
      <c r="E413" s="138" t="n">
        <v>54.7</v>
      </c>
      <c r="F413" s="138" t="n">
        <v>37.3</v>
      </c>
      <c r="G413" s="138" t="n"/>
      <c r="H413" s="138" t="n">
        <v>37.2</v>
      </c>
      <c r="I413" s="138" t="n">
        <v>41.2</v>
      </c>
      <c r="J413" s="138" t="n">
        <v>34</v>
      </c>
      <c r="K413" s="138" t="n"/>
      <c r="L413" s="138" t="n">
        <v>37.8</v>
      </c>
    </row>
    <row r="414">
      <c r="A414" s="54" t="n">
        <v>29952</v>
      </c>
      <c r="B414" s="71" t="n">
        <v>39.9</v>
      </c>
      <c r="C414" s="138" t="n"/>
      <c r="D414" s="55" t="n"/>
      <c r="E414" s="138" t="n">
        <v>48.8</v>
      </c>
      <c r="F414" s="138" t="n">
        <v>39</v>
      </c>
      <c r="G414" s="138" t="n"/>
      <c r="H414" s="138" t="n">
        <v>35.8</v>
      </c>
      <c r="I414" s="138" t="n">
        <v>40.1</v>
      </c>
      <c r="J414" s="138" t="n">
        <v>34.5</v>
      </c>
      <c r="K414" s="138" t="n"/>
      <c r="L414" s="138" t="n">
        <v>38.2</v>
      </c>
    </row>
    <row r="415">
      <c r="A415" s="54" t="n">
        <v>29983</v>
      </c>
      <c r="B415" s="71" t="n">
        <v>38.6</v>
      </c>
      <c r="C415" s="138" t="n"/>
      <c r="D415" s="55" t="n"/>
      <c r="E415" s="138" t="n">
        <v>45.3</v>
      </c>
      <c r="F415" s="138" t="n">
        <v>40.1</v>
      </c>
      <c r="G415" s="138" t="n"/>
      <c r="H415" s="138" t="n">
        <v>34.7</v>
      </c>
      <c r="I415" s="138" t="n">
        <v>40.8</v>
      </c>
      <c r="J415" s="138" t="n">
        <v>35.5</v>
      </c>
      <c r="K415" s="138" t="n"/>
      <c r="L415" s="138" t="n">
        <v>38.3</v>
      </c>
    </row>
    <row r="416">
      <c r="A416" s="54" t="n">
        <v>30011</v>
      </c>
      <c r="B416" s="71" t="n">
        <v>40.4</v>
      </c>
      <c r="C416" s="138" t="n"/>
      <c r="D416" s="55" t="n"/>
      <c r="E416" s="138" t="n">
        <v>35.4</v>
      </c>
      <c r="F416" s="138" t="n">
        <v>38</v>
      </c>
      <c r="G416" s="138" t="n"/>
      <c r="H416" s="138" t="n">
        <v>31.2</v>
      </c>
      <c r="I416" s="138" t="n">
        <v>36.4</v>
      </c>
      <c r="J416" s="138" t="n">
        <v>33.1</v>
      </c>
      <c r="K416" s="138" t="n"/>
      <c r="L416" s="138" t="n">
        <v>36.8</v>
      </c>
    </row>
    <row r="417">
      <c r="A417" s="54" t="n">
        <v>30042</v>
      </c>
      <c r="B417" s="71" t="n">
        <v>40.9</v>
      </c>
      <c r="C417" s="138" t="n"/>
      <c r="D417" s="55" t="n"/>
      <c r="E417" s="138" t="n">
        <v>35.7</v>
      </c>
      <c r="F417" s="138" t="n">
        <v>41.3</v>
      </c>
      <c r="G417" s="138" t="n"/>
      <c r="H417" s="138" t="n">
        <v>31.5</v>
      </c>
      <c r="I417" s="138" t="n">
        <v>38.2</v>
      </c>
      <c r="J417" s="138" t="n">
        <v>31.7</v>
      </c>
      <c r="K417" s="138" t="n"/>
      <c r="L417" s="138" t="n">
        <v>37.8</v>
      </c>
    </row>
    <row r="418">
      <c r="A418" s="54" t="n">
        <v>30072</v>
      </c>
      <c r="B418" s="71" t="n">
        <v>38.1</v>
      </c>
      <c r="C418" s="138" t="n"/>
      <c r="D418" s="55" t="n"/>
      <c r="E418" s="138" t="n">
        <v>41.4</v>
      </c>
      <c r="F418" s="138" t="n">
        <v>37.2</v>
      </c>
      <c r="G418" s="138" t="n"/>
      <c r="H418" s="138" t="n">
        <v>28.8</v>
      </c>
      <c r="I418" s="138" t="n">
        <v>42.1</v>
      </c>
      <c r="J418" s="138" t="n">
        <v>27.8</v>
      </c>
      <c r="K418" s="138" t="n"/>
      <c r="L418" s="138" t="n">
        <v>35.5</v>
      </c>
    </row>
    <row r="419">
      <c r="A419" s="54" t="n">
        <v>30103</v>
      </c>
      <c r="B419" s="71" t="n">
        <v>42</v>
      </c>
      <c r="C419" s="138" t="n"/>
      <c r="D419" s="55" t="n"/>
      <c r="E419" s="138" t="n">
        <v>39.6</v>
      </c>
      <c r="F419" s="138" t="n">
        <v>39.4</v>
      </c>
      <c r="G419" s="138" t="n"/>
      <c r="H419" s="138" t="n">
        <v>29.4</v>
      </c>
      <c r="I419" s="138" t="n">
        <v>45.2</v>
      </c>
      <c r="J419" s="138" t="n">
        <v>30.8</v>
      </c>
      <c r="K419" s="138" t="n"/>
      <c r="L419" s="138" t="n">
        <v>38.3</v>
      </c>
    </row>
    <row r="420">
      <c r="A420" s="54" t="n">
        <v>30133</v>
      </c>
      <c r="B420" s="71" t="n">
        <v>40.7</v>
      </c>
      <c r="C420" s="138" t="n"/>
      <c r="D420" s="55" t="n"/>
      <c r="E420" s="138" t="n">
        <v>40.8</v>
      </c>
      <c r="F420" s="138" t="n">
        <v>41.1</v>
      </c>
      <c r="G420" s="138" t="n"/>
      <c r="H420" s="138" t="n">
        <v>29.5</v>
      </c>
      <c r="I420" s="138" t="n">
        <v>45.8</v>
      </c>
      <c r="J420" s="138" t="n">
        <v>30.5</v>
      </c>
      <c r="K420" s="138" t="n"/>
      <c r="L420" s="138" t="n">
        <v>38.4</v>
      </c>
    </row>
    <row r="421">
      <c r="A421" s="54" t="n">
        <v>30164</v>
      </c>
      <c r="B421" s="71" t="n">
        <v>40.1</v>
      </c>
      <c r="C421" s="138" t="n"/>
      <c r="D421" s="55" t="n"/>
      <c r="E421" s="138" t="n">
        <v>39.2</v>
      </c>
      <c r="F421" s="138" t="n">
        <v>39.9</v>
      </c>
      <c r="G421" s="138" t="n"/>
      <c r="H421" s="138" t="n">
        <v>31.6</v>
      </c>
      <c r="I421" s="138" t="n">
        <v>45.3</v>
      </c>
      <c r="J421" s="138" t="n">
        <v>31.8</v>
      </c>
      <c r="K421" s="138" t="n"/>
      <c r="L421" s="138" t="n">
        <v>38.3</v>
      </c>
    </row>
    <row r="422">
      <c r="A422" s="54" t="n">
        <v>30195</v>
      </c>
      <c r="B422" s="71" t="n">
        <v>40.4</v>
      </c>
      <c r="C422" s="138" t="n"/>
      <c r="D422" s="55" t="n"/>
      <c r="E422" s="138" t="n">
        <v>41.2</v>
      </c>
      <c r="F422" s="138" t="n">
        <v>41.3</v>
      </c>
      <c r="G422" s="138" t="n"/>
      <c r="H422" s="138" t="n">
        <v>33.6</v>
      </c>
      <c r="I422" s="138" t="n">
        <v>45.9</v>
      </c>
      <c r="J422" s="138" t="n">
        <v>30.6</v>
      </c>
      <c r="K422" s="138" t="n"/>
      <c r="L422" s="138" t="n">
        <v>38.8</v>
      </c>
    </row>
    <row r="423">
      <c r="A423" s="54" t="n">
        <v>30225</v>
      </c>
      <c r="B423" s="71" t="n">
        <v>41.9</v>
      </c>
      <c r="C423" s="138" t="n"/>
      <c r="D423" s="55" t="n"/>
      <c r="E423" s="138" t="n">
        <v>41</v>
      </c>
      <c r="F423" s="138" t="n">
        <v>42</v>
      </c>
      <c r="G423" s="138" t="n"/>
      <c r="H423" s="138" t="n">
        <v>32.5</v>
      </c>
      <c r="I423" s="138" t="n">
        <v>46.5</v>
      </c>
      <c r="J423" s="138" t="n">
        <v>30.6</v>
      </c>
      <c r="K423" s="138" t="n"/>
      <c r="L423" s="138" t="n">
        <v>39.4</v>
      </c>
    </row>
    <row r="424">
      <c r="A424" s="54" t="n">
        <v>30256</v>
      </c>
      <c r="B424" s="71" t="n">
        <v>41.5</v>
      </c>
      <c r="C424" s="138" t="n"/>
      <c r="D424" s="55" t="n"/>
      <c r="E424" s="138" t="n">
        <v>37.3</v>
      </c>
      <c r="F424" s="138" t="n">
        <v>42.6</v>
      </c>
      <c r="G424" s="138" t="n"/>
      <c r="H424" s="138" t="n">
        <v>33.6</v>
      </c>
      <c r="I424" s="138" t="n">
        <v>46.9</v>
      </c>
      <c r="J424" s="138" t="n">
        <v>28.2</v>
      </c>
      <c r="K424" s="138" t="n"/>
      <c r="L424" s="138" t="n">
        <v>39.2</v>
      </c>
    </row>
    <row r="425">
      <c r="A425" s="54" t="n">
        <v>30286</v>
      </c>
      <c r="B425" s="71" t="n">
        <v>46</v>
      </c>
      <c r="C425" s="138" t="n"/>
      <c r="D425" s="55" t="n"/>
      <c r="E425" s="138" t="n">
        <v>39.1</v>
      </c>
      <c r="F425" s="138" t="n">
        <v>44</v>
      </c>
      <c r="G425" s="138" t="n"/>
      <c r="H425" s="138" t="n">
        <v>34.7</v>
      </c>
      <c r="I425" s="138" t="n">
        <v>48.6</v>
      </c>
      <c r="J425" s="138" t="n">
        <v>36.3</v>
      </c>
      <c r="K425" s="138" t="n"/>
      <c r="L425" s="138" t="n">
        <v>42.8</v>
      </c>
    </row>
    <row r="426">
      <c r="A426" s="54" t="n">
        <v>30317</v>
      </c>
      <c r="B426" s="71" t="n">
        <v>50.3</v>
      </c>
      <c r="C426" s="138" t="n"/>
      <c r="D426" s="55" t="n"/>
      <c r="E426" s="138" t="n">
        <v>43.7</v>
      </c>
      <c r="F426" s="138" t="n">
        <v>50.8</v>
      </c>
      <c r="G426" s="138" t="n"/>
      <c r="H426" s="138" t="n">
        <v>36.3</v>
      </c>
      <c r="I426" s="138" t="n">
        <v>46.7</v>
      </c>
      <c r="J426" s="138" t="n">
        <v>37.7</v>
      </c>
      <c r="K426" s="138" t="n"/>
      <c r="L426" s="138" t="n">
        <v>46</v>
      </c>
    </row>
    <row r="427">
      <c r="A427" s="54" t="n">
        <v>30348</v>
      </c>
      <c r="B427" s="71" t="n">
        <v>60.6</v>
      </c>
      <c r="C427" s="138" t="n"/>
      <c r="D427" s="55" t="n"/>
      <c r="E427" s="138" t="n">
        <v>48.7</v>
      </c>
      <c r="F427" s="138" t="n">
        <v>61.1</v>
      </c>
      <c r="G427" s="138" t="n"/>
      <c r="H427" s="138" t="n">
        <v>40.1</v>
      </c>
      <c r="I427" s="138" t="n">
        <v>49.9</v>
      </c>
      <c r="J427" s="138" t="n">
        <v>47.4</v>
      </c>
      <c r="K427" s="138" t="n"/>
      <c r="L427" s="138" t="n">
        <v>54.4</v>
      </c>
    </row>
    <row r="428">
      <c r="A428" s="54" t="n">
        <v>30376</v>
      </c>
      <c r="B428" s="71" t="n">
        <v>60.8</v>
      </c>
      <c r="C428" s="138" t="n"/>
      <c r="D428" s="55" t="n"/>
      <c r="E428" s="138" t="n">
        <v>47.9</v>
      </c>
      <c r="F428" s="138" t="n">
        <v>58.4</v>
      </c>
      <c r="G428" s="138" t="n"/>
      <c r="H428" s="138" t="n">
        <v>44.2</v>
      </c>
      <c r="I428" s="138" t="n">
        <v>50.8</v>
      </c>
      <c r="J428" s="138" t="n">
        <v>45.1</v>
      </c>
      <c r="K428" s="138" t="n"/>
      <c r="L428" s="138" t="n">
        <v>53.9</v>
      </c>
    </row>
    <row r="429">
      <c r="A429" s="54" t="n">
        <v>30407</v>
      </c>
      <c r="B429" s="71" t="n">
        <v>59.4</v>
      </c>
      <c r="C429" s="138" t="n"/>
      <c r="D429" s="55" t="n"/>
      <c r="E429" s="138" t="n">
        <v>55.6</v>
      </c>
      <c r="F429" s="138" t="n">
        <v>58.2</v>
      </c>
      <c r="G429" s="138" t="n"/>
      <c r="H429" s="138" t="n">
        <v>46</v>
      </c>
      <c r="I429" s="138" t="n">
        <v>52.7</v>
      </c>
      <c r="J429" s="138" t="n">
        <v>46.4</v>
      </c>
      <c r="K429" s="138" t="n"/>
      <c r="L429" s="138" t="n">
        <v>54.2</v>
      </c>
    </row>
    <row r="430">
      <c r="A430" s="54" t="n">
        <v>30437</v>
      </c>
      <c r="B430" s="71" t="n">
        <v>61.8</v>
      </c>
      <c r="C430" s="138" t="n"/>
      <c r="D430" s="55" t="n"/>
      <c r="E430" s="138" t="n">
        <v>60.3</v>
      </c>
      <c r="F430" s="138" t="n">
        <v>61.5</v>
      </c>
      <c r="G430" s="138" t="n"/>
      <c r="H430" s="138" t="n">
        <v>45.7</v>
      </c>
      <c r="I430" s="138" t="n">
        <v>51.9</v>
      </c>
      <c r="J430" s="138" t="n">
        <v>49.2</v>
      </c>
      <c r="K430" s="138" t="n"/>
      <c r="L430" s="138" t="n">
        <v>56.1</v>
      </c>
    </row>
    <row r="431">
      <c r="A431" s="54" t="n">
        <v>30468</v>
      </c>
      <c r="B431" s="71" t="n">
        <v>62.3</v>
      </c>
      <c r="C431" s="138" t="n"/>
      <c r="D431" s="55" t="n"/>
      <c r="E431" s="138" t="n">
        <v>61.5</v>
      </c>
      <c r="F431" s="138" t="n">
        <v>63.2</v>
      </c>
      <c r="G431" s="138" t="n"/>
      <c r="H431" s="138" t="n">
        <v>45.7</v>
      </c>
      <c r="I431" s="138" t="n">
        <v>56.8</v>
      </c>
      <c r="J431" s="138" t="n">
        <v>49.7</v>
      </c>
      <c r="K431" s="138" t="n"/>
      <c r="L431" s="138" t="n">
        <v>57.5</v>
      </c>
    </row>
    <row r="432">
      <c r="A432" s="54" t="n">
        <v>30498</v>
      </c>
      <c r="B432" s="71" t="n">
        <v>70.3</v>
      </c>
      <c r="C432" s="138" t="n"/>
      <c r="D432" s="55" t="n"/>
      <c r="E432" s="138" t="n">
        <v>63.2</v>
      </c>
      <c r="F432" s="138" t="n">
        <v>71.5</v>
      </c>
      <c r="G432" s="138" t="n"/>
      <c r="H432" s="138" t="n">
        <v>50.8</v>
      </c>
      <c r="I432" s="138" t="n">
        <v>58.9</v>
      </c>
      <c r="J432" s="138" t="n">
        <v>53.7</v>
      </c>
      <c r="K432" s="138" t="n"/>
      <c r="L432" s="138" t="n">
        <v>63.6</v>
      </c>
    </row>
    <row r="433">
      <c r="A433" s="54" t="n">
        <v>30529</v>
      </c>
      <c r="B433" s="71" t="n">
        <v>68.09999999999999</v>
      </c>
      <c r="C433" s="138" t="n"/>
      <c r="D433" s="55" t="n"/>
      <c r="E433" s="138" t="n">
        <v>69.40000000000001</v>
      </c>
      <c r="F433" s="138" t="n">
        <v>69.90000000000001</v>
      </c>
      <c r="G433" s="138" t="n"/>
      <c r="H433" s="138" t="n">
        <v>49.3</v>
      </c>
      <c r="I433" s="138" t="n">
        <v>60.2</v>
      </c>
      <c r="J433" s="138" t="n">
        <v>56</v>
      </c>
      <c r="K433" s="138" t="n"/>
      <c r="L433" s="138" t="n">
        <v>63.1</v>
      </c>
    </row>
    <row r="434">
      <c r="A434" s="54" t="n">
        <v>30560</v>
      </c>
      <c r="B434" s="71" t="n">
        <v>66.90000000000001</v>
      </c>
      <c r="C434" s="138" t="n"/>
      <c r="D434" s="55" t="n"/>
      <c r="E434" s="138" t="n">
        <v>68</v>
      </c>
      <c r="F434" s="138" t="n">
        <v>67.8</v>
      </c>
      <c r="G434" s="138" t="n"/>
      <c r="H434" s="138" t="n">
        <v>48.6</v>
      </c>
      <c r="I434" s="138" t="n">
        <v>60.7</v>
      </c>
      <c r="J434" s="138" t="n">
        <v>57.8</v>
      </c>
      <c r="K434" s="138" t="n"/>
      <c r="L434" s="138" t="n">
        <v>62.5</v>
      </c>
    </row>
    <row r="435">
      <c r="A435" s="54" t="n">
        <v>30590</v>
      </c>
      <c r="B435" s="71" t="n">
        <v>69.5</v>
      </c>
      <c r="C435" s="138" t="n"/>
      <c r="D435" s="55" t="n"/>
      <c r="E435" s="138" t="n">
        <v>69.3</v>
      </c>
      <c r="F435" s="138" t="n">
        <v>69.59999999999999</v>
      </c>
      <c r="G435" s="138" t="n"/>
      <c r="H435" s="138" t="n">
        <v>52.1</v>
      </c>
      <c r="I435" s="138" t="n">
        <v>62.8</v>
      </c>
      <c r="J435" s="138" t="n">
        <v>57.6</v>
      </c>
      <c r="K435" s="138" t="n"/>
      <c r="L435" s="138" t="n">
        <v>64.40000000000001</v>
      </c>
    </row>
    <row r="436">
      <c r="A436" s="54" t="n">
        <v>30621</v>
      </c>
      <c r="B436" s="71" t="n">
        <v>69.2</v>
      </c>
      <c r="C436" s="138" t="n"/>
      <c r="D436" s="55" t="n"/>
      <c r="E436" s="138" t="n">
        <v>68.09999999999999</v>
      </c>
      <c r="F436" s="138" t="n">
        <v>70.7</v>
      </c>
      <c r="G436" s="138" t="n"/>
      <c r="H436" s="138" t="n">
        <v>55</v>
      </c>
      <c r="I436" s="138" t="n">
        <v>67.5</v>
      </c>
      <c r="J436" s="138" t="n">
        <v>59.7</v>
      </c>
      <c r="K436" s="138" t="n"/>
      <c r="L436" s="138" t="n">
        <v>66</v>
      </c>
    </row>
    <row r="437">
      <c r="A437" s="54" t="n">
        <v>30651</v>
      </c>
      <c r="B437" s="71" t="n">
        <v>74.8</v>
      </c>
      <c r="C437" s="138" t="n"/>
      <c r="D437" s="55" t="n"/>
      <c r="E437" s="138" t="n">
        <v>71.40000000000001</v>
      </c>
      <c r="F437" s="138" t="n">
        <v>80.59999999999999</v>
      </c>
      <c r="G437" s="138" t="n"/>
      <c r="H437" s="138" t="n">
        <v>59.6</v>
      </c>
      <c r="I437" s="138" t="n">
        <v>62.1</v>
      </c>
      <c r="J437" s="138" t="n">
        <v>60.4</v>
      </c>
      <c r="K437" s="138" t="n"/>
      <c r="L437" s="138" t="n">
        <v>69.90000000000001</v>
      </c>
    </row>
    <row r="438">
      <c r="A438" s="54" t="n">
        <v>30682</v>
      </c>
      <c r="B438" s="71" t="n">
        <v>63.7</v>
      </c>
      <c r="C438" s="138" t="n"/>
      <c r="D438" s="55" t="n"/>
      <c r="E438" s="138" t="n">
        <v>64.40000000000001</v>
      </c>
      <c r="F438" s="138" t="n">
        <v>59.9</v>
      </c>
      <c r="G438" s="138" t="n"/>
      <c r="H438" s="138" t="n">
        <v>52.7</v>
      </c>
      <c r="I438" s="138" t="n">
        <v>64.40000000000001</v>
      </c>
      <c r="J438" s="138" t="n">
        <v>57.6</v>
      </c>
      <c r="K438" s="138" t="n"/>
      <c r="L438" s="138" t="n">
        <v>60.5</v>
      </c>
    </row>
    <row r="439">
      <c r="A439" s="54" t="n">
        <v>30713</v>
      </c>
      <c r="B439" s="71" t="n">
        <v>64.90000000000001</v>
      </c>
      <c r="C439" s="138" t="n"/>
      <c r="D439" s="55" t="n"/>
      <c r="E439" s="138" t="n">
        <v>71.09999999999999</v>
      </c>
      <c r="F439" s="138" t="n">
        <v>64</v>
      </c>
      <c r="G439" s="138" t="n"/>
      <c r="H439" s="138" t="n">
        <v>52.7</v>
      </c>
      <c r="I439" s="138" t="n">
        <v>61.5</v>
      </c>
      <c r="J439" s="138" t="n">
        <v>56.4</v>
      </c>
      <c r="K439" s="138" t="n"/>
      <c r="L439" s="138" t="n">
        <v>61.3</v>
      </c>
    </row>
    <row r="440">
      <c r="A440" s="54" t="n">
        <v>30742</v>
      </c>
      <c r="B440" s="71" t="n">
        <v>60.9</v>
      </c>
      <c r="C440" s="138" t="n"/>
      <c r="D440" s="55" t="n"/>
      <c r="E440" s="138" t="n">
        <v>73.59999999999999</v>
      </c>
      <c r="F440" s="138" t="n">
        <v>61.5</v>
      </c>
      <c r="G440" s="138" t="n"/>
      <c r="H440" s="138" t="n">
        <v>52.7</v>
      </c>
      <c r="I440" s="138" t="n">
        <v>65.5</v>
      </c>
      <c r="J440" s="138" t="n">
        <v>51.1</v>
      </c>
      <c r="K440" s="138" t="n"/>
      <c r="L440" s="138" t="n">
        <v>58.9</v>
      </c>
    </row>
    <row r="441">
      <c r="A441" s="54" t="n">
        <v>30773</v>
      </c>
      <c r="B441" s="71" t="n">
        <v>63.2</v>
      </c>
      <c r="C441" s="138" t="n"/>
      <c r="D441" s="55" t="n"/>
      <c r="E441" s="138" t="n">
        <v>71.90000000000001</v>
      </c>
      <c r="F441" s="138" t="n">
        <v>62.3</v>
      </c>
      <c r="G441" s="138" t="n"/>
      <c r="H441" s="138" t="n">
        <v>54</v>
      </c>
      <c r="I441" s="138" t="n">
        <v>64.59999999999999</v>
      </c>
      <c r="J441" s="138" t="n">
        <v>56.8</v>
      </c>
      <c r="K441" s="138" t="n"/>
      <c r="L441" s="138" t="n">
        <v>61</v>
      </c>
    </row>
    <row r="442">
      <c r="A442" s="54" t="n">
        <v>30803</v>
      </c>
      <c r="B442" s="71" t="n">
        <v>59.2</v>
      </c>
      <c r="C442" s="138" t="n"/>
      <c r="D442" s="55" t="n"/>
      <c r="E442" s="138" t="n">
        <v>62.5</v>
      </c>
      <c r="F442" s="138" t="n">
        <v>59.3</v>
      </c>
      <c r="G442" s="138" t="n"/>
      <c r="H442" s="138" t="n">
        <v>54.1</v>
      </c>
      <c r="I442" s="138" t="n">
        <v>62.5</v>
      </c>
      <c r="J442" s="138" t="n">
        <v>56.2</v>
      </c>
      <c r="K442" s="138" t="n"/>
      <c r="L442" s="138" t="n">
        <v>58.6</v>
      </c>
    </row>
    <row r="443">
      <c r="A443" s="54" t="n">
        <v>30834</v>
      </c>
      <c r="B443" s="71" t="n">
        <v>60.5</v>
      </c>
      <c r="C443" s="138" t="n"/>
      <c r="D443" s="55" t="n"/>
      <c r="E443" s="138" t="n">
        <v>64</v>
      </c>
      <c r="F443" s="138" t="n">
        <v>62.3</v>
      </c>
      <c r="G443" s="138" t="n"/>
      <c r="H443" s="138" t="n">
        <v>56.3</v>
      </c>
      <c r="I443" s="138" t="n">
        <v>56.2</v>
      </c>
      <c r="J443" s="138" t="n">
        <v>51.7</v>
      </c>
      <c r="K443" s="138" t="n"/>
      <c r="L443" s="138" t="n">
        <v>58.1</v>
      </c>
    </row>
    <row r="444">
      <c r="A444" s="54" t="n">
        <v>30864</v>
      </c>
      <c r="B444" s="71" t="n">
        <v>54.1</v>
      </c>
      <c r="C444" s="138" t="n"/>
      <c r="D444" s="55" t="n"/>
      <c r="E444" s="138" t="n">
        <v>61.3</v>
      </c>
      <c r="F444" s="138" t="n">
        <v>58.2</v>
      </c>
      <c r="G444" s="138" t="n"/>
      <c r="H444" s="138" t="n">
        <v>57.8</v>
      </c>
      <c r="I444" s="138" t="n">
        <v>59.1</v>
      </c>
      <c r="J444" s="138" t="n">
        <v>53.5</v>
      </c>
      <c r="K444" s="138" t="n"/>
      <c r="L444" s="138" t="n">
        <v>56.1</v>
      </c>
    </row>
    <row r="445">
      <c r="A445" s="54" t="n">
        <v>30895</v>
      </c>
      <c r="B445" s="71" t="n">
        <v>54</v>
      </c>
      <c r="C445" s="138" t="n"/>
      <c r="D445" s="55" t="n"/>
      <c r="E445" s="138" t="n">
        <v>58.7</v>
      </c>
      <c r="F445" s="138" t="n">
        <v>54.3</v>
      </c>
      <c r="G445" s="138" t="n"/>
      <c r="H445" s="138" t="n">
        <v>49.1</v>
      </c>
      <c r="I445" s="138" t="n">
        <v>55.2</v>
      </c>
      <c r="J445" s="138" t="n">
        <v>50.4</v>
      </c>
      <c r="K445" s="138" t="n"/>
      <c r="L445" s="138" t="n">
        <v>53</v>
      </c>
    </row>
    <row r="446">
      <c r="A446" s="54" t="n">
        <v>30926</v>
      </c>
      <c r="B446" s="71" t="n">
        <v>47.2</v>
      </c>
      <c r="C446" s="138" t="n"/>
      <c r="D446" s="55" t="n"/>
      <c r="E446" s="138" t="n">
        <v>53.4</v>
      </c>
      <c r="F446" s="138" t="n">
        <v>52.2</v>
      </c>
      <c r="G446" s="138" t="n"/>
      <c r="H446" s="138" t="n">
        <v>46.8</v>
      </c>
      <c r="I446" s="138" t="n">
        <v>52.8</v>
      </c>
      <c r="J446" s="138" t="n">
        <v>51.1</v>
      </c>
      <c r="K446" s="138" t="n"/>
      <c r="L446" s="138" t="n">
        <v>50</v>
      </c>
    </row>
    <row r="447">
      <c r="A447" s="54" t="n">
        <v>30956</v>
      </c>
      <c r="B447" s="71" t="n">
        <v>52.9</v>
      </c>
      <c r="C447" s="138" t="n"/>
      <c r="D447" s="55" t="n"/>
      <c r="E447" s="138" t="n">
        <v>51.7</v>
      </c>
      <c r="F447" s="138" t="n">
        <v>53.4</v>
      </c>
      <c r="G447" s="138" t="n"/>
      <c r="H447" s="138" t="n">
        <v>45.6</v>
      </c>
      <c r="I447" s="138" t="n">
        <v>49.3</v>
      </c>
      <c r="J447" s="138" t="n">
        <v>48.1</v>
      </c>
      <c r="K447" s="138" t="n"/>
      <c r="L447" s="138" t="n">
        <v>50.8</v>
      </c>
    </row>
    <row r="448">
      <c r="A448" s="54" t="n">
        <v>30987</v>
      </c>
      <c r="B448" s="71" t="n">
        <v>52</v>
      </c>
      <c r="C448" s="138" t="n"/>
      <c r="D448" s="55" t="n"/>
      <c r="E448" s="138" t="n">
        <v>55</v>
      </c>
      <c r="F448" s="138" t="n">
        <v>53.8</v>
      </c>
      <c r="G448" s="138" t="n"/>
      <c r="H448" s="138" t="n">
        <v>45.7</v>
      </c>
      <c r="I448" s="138" t="n">
        <v>48.1</v>
      </c>
      <c r="J448" s="138" t="n">
        <v>47.4</v>
      </c>
      <c r="K448" s="138" t="n"/>
      <c r="L448" s="138" t="n">
        <v>50.3</v>
      </c>
    </row>
    <row r="449">
      <c r="A449" s="54" t="n">
        <v>31017</v>
      </c>
      <c r="B449" s="71" t="n">
        <v>52.8</v>
      </c>
      <c r="C449" s="138" t="n"/>
      <c r="D449" s="55" t="n"/>
      <c r="E449" s="138" t="n">
        <v>50.7</v>
      </c>
      <c r="F449" s="138" t="n">
        <v>54.9</v>
      </c>
      <c r="G449" s="138" t="n"/>
      <c r="H449" s="138" t="n">
        <v>47.3</v>
      </c>
      <c r="I449" s="138" t="n">
        <v>48.8</v>
      </c>
      <c r="J449" s="138" t="n">
        <v>45.2</v>
      </c>
      <c r="K449" s="138" t="n"/>
      <c r="L449" s="138" t="n">
        <v>50.6</v>
      </c>
    </row>
    <row r="450">
      <c r="A450" s="54" t="n">
        <v>31048</v>
      </c>
      <c r="B450" s="71" t="n">
        <v>51.8</v>
      </c>
      <c r="C450" s="138" t="n"/>
      <c r="D450" s="55" t="n"/>
      <c r="E450" s="138" t="n">
        <v>47.6</v>
      </c>
      <c r="F450" s="138" t="n">
        <v>54.9</v>
      </c>
      <c r="G450" s="138" t="n"/>
      <c r="H450" s="138" t="n">
        <v>45.9</v>
      </c>
      <c r="I450" s="138" t="n">
        <v>50.4</v>
      </c>
      <c r="J450" s="138" t="n">
        <v>44.4</v>
      </c>
      <c r="K450" s="138" t="n"/>
      <c r="L450" s="138" t="n">
        <v>50.3</v>
      </c>
    </row>
    <row r="451">
      <c r="A451" s="54" t="n">
        <v>31079</v>
      </c>
      <c r="B451" s="71" t="n">
        <v>51.8</v>
      </c>
      <c r="C451" s="138" t="n"/>
      <c r="D451" s="55" t="n"/>
      <c r="E451" s="138" t="n">
        <v>44.8</v>
      </c>
      <c r="F451" s="138" t="n">
        <v>54.2</v>
      </c>
      <c r="G451" s="138" t="n"/>
      <c r="H451" s="138" t="n">
        <v>44.8</v>
      </c>
      <c r="I451" s="138" t="n">
        <v>48.6</v>
      </c>
      <c r="J451" s="138" t="n">
        <v>45.2</v>
      </c>
      <c r="K451" s="138" t="n"/>
      <c r="L451" s="138" t="n">
        <v>49.9</v>
      </c>
    </row>
    <row r="452">
      <c r="A452" s="54" t="n">
        <v>31107</v>
      </c>
      <c r="B452" s="71" t="n">
        <v>49.1</v>
      </c>
      <c r="C452" s="138" t="n"/>
      <c r="D452" s="55" t="n"/>
      <c r="E452" s="138" t="n">
        <v>46.2</v>
      </c>
      <c r="F452" s="138" t="n">
        <v>51.2</v>
      </c>
      <c r="G452" s="138" t="n"/>
      <c r="H452" s="138" t="n">
        <v>44</v>
      </c>
      <c r="I452" s="138" t="n">
        <v>46.7</v>
      </c>
      <c r="J452" s="138" t="n">
        <v>44.2</v>
      </c>
      <c r="K452" s="138" t="n"/>
      <c r="L452" s="138" t="n">
        <v>47.8</v>
      </c>
    </row>
    <row r="453">
      <c r="A453" s="54" t="n">
        <v>31138</v>
      </c>
      <c r="B453" s="71" t="n">
        <v>51.3</v>
      </c>
      <c r="C453" s="138" t="n"/>
      <c r="D453" s="55" t="n"/>
      <c r="E453" s="138" t="n">
        <v>44.1</v>
      </c>
      <c r="F453" s="138" t="n">
        <v>51.6</v>
      </c>
      <c r="G453" s="138" t="n"/>
      <c r="H453" s="138" t="n">
        <v>43.8</v>
      </c>
      <c r="I453" s="138" t="n">
        <v>46.1</v>
      </c>
      <c r="J453" s="138" t="n">
        <v>43.2</v>
      </c>
      <c r="K453" s="138" t="n"/>
      <c r="L453" s="138" t="n">
        <v>48.2</v>
      </c>
    </row>
    <row r="454">
      <c r="A454" s="54" t="n">
        <v>31168</v>
      </c>
      <c r="B454" s="71" t="n">
        <v>49.5</v>
      </c>
      <c r="C454" s="138" t="n"/>
      <c r="D454" s="55" t="n"/>
      <c r="E454" s="138" t="n">
        <v>48.7</v>
      </c>
      <c r="F454" s="138" t="n">
        <v>51.9</v>
      </c>
      <c r="G454" s="138" t="n"/>
      <c r="H454" s="138" t="n">
        <v>40.4</v>
      </c>
      <c r="I454" s="138" t="n">
        <v>48</v>
      </c>
      <c r="J454" s="138" t="n">
        <v>40.4</v>
      </c>
      <c r="K454" s="138" t="n"/>
      <c r="L454" s="138" t="n">
        <v>47.1</v>
      </c>
    </row>
    <row r="455">
      <c r="A455" s="54" t="n">
        <v>31199</v>
      </c>
      <c r="B455" s="71" t="n">
        <v>50.7</v>
      </c>
      <c r="C455" s="138" t="n"/>
      <c r="D455" s="55" t="n"/>
      <c r="E455" s="138" t="n">
        <v>42.4</v>
      </c>
      <c r="F455" s="138" t="n">
        <v>50.5</v>
      </c>
      <c r="G455" s="138" t="n"/>
      <c r="H455" s="138" t="n">
        <v>40.2</v>
      </c>
      <c r="I455" s="138" t="n">
        <v>47.1</v>
      </c>
      <c r="J455" s="138" t="n">
        <v>44.5</v>
      </c>
      <c r="K455" s="138" t="n"/>
      <c r="L455" s="138" t="n">
        <v>47.8</v>
      </c>
    </row>
    <row r="456">
      <c r="A456" s="54" t="n">
        <v>31229</v>
      </c>
      <c r="B456" s="71" t="n">
        <v>52.5</v>
      </c>
      <c r="C456" s="138" t="n"/>
      <c r="D456" s="55" t="n"/>
      <c r="E456" s="138" t="n">
        <v>45.6</v>
      </c>
      <c r="F456" s="138" t="n">
        <v>48.2</v>
      </c>
      <c r="G456" s="138" t="n"/>
      <c r="H456" s="138" t="n">
        <v>41.8</v>
      </c>
      <c r="I456" s="138" t="n">
        <v>45.7</v>
      </c>
      <c r="J456" s="138" t="n">
        <v>45.2</v>
      </c>
      <c r="K456" s="138" t="n"/>
      <c r="L456" s="138" t="n">
        <v>47.9</v>
      </c>
    </row>
    <row r="457">
      <c r="A457" s="54" t="n">
        <v>31260</v>
      </c>
      <c r="B457" s="71" t="n">
        <v>51.8</v>
      </c>
      <c r="C457" s="138" t="n"/>
      <c r="D457" s="55" t="n"/>
      <c r="E457" s="138" t="n">
        <v>44</v>
      </c>
      <c r="F457" s="138" t="n">
        <v>50.6</v>
      </c>
      <c r="G457" s="138" t="n"/>
      <c r="H457" s="138" t="n">
        <v>43</v>
      </c>
      <c r="I457" s="138" t="n">
        <v>46.6</v>
      </c>
      <c r="J457" s="138" t="n">
        <v>41.1</v>
      </c>
      <c r="K457" s="138" t="n"/>
      <c r="L457" s="138" t="n">
        <v>47.7</v>
      </c>
    </row>
    <row r="458">
      <c r="A458" s="54" t="n">
        <v>31291</v>
      </c>
      <c r="B458" s="71" t="n">
        <v>54.6</v>
      </c>
      <c r="C458" s="138" t="n"/>
      <c r="D458" s="55" t="n"/>
      <c r="E458" s="138" t="n">
        <v>44.3</v>
      </c>
      <c r="F458" s="138" t="n">
        <v>52.8</v>
      </c>
      <c r="G458" s="138" t="n"/>
      <c r="H458" s="138" t="n">
        <v>45.5</v>
      </c>
      <c r="I458" s="138" t="n">
        <v>49.5</v>
      </c>
      <c r="J458" s="138" t="n">
        <v>41.8</v>
      </c>
      <c r="K458" s="138" t="n"/>
      <c r="L458" s="138" t="n">
        <v>49.9</v>
      </c>
    </row>
    <row r="459">
      <c r="A459" s="54" t="n">
        <v>31321</v>
      </c>
      <c r="B459" s="71" t="n">
        <v>53.4</v>
      </c>
      <c r="C459" s="138" t="n"/>
      <c r="D459" s="55" t="n"/>
      <c r="E459" s="138" t="n">
        <v>46.4</v>
      </c>
      <c r="F459" s="138" t="n">
        <v>54.9</v>
      </c>
      <c r="G459" s="138" t="n"/>
      <c r="H459" s="138" t="n">
        <v>45.9</v>
      </c>
      <c r="I459" s="138" t="n">
        <v>50</v>
      </c>
      <c r="J459" s="138" t="n">
        <v>45.2</v>
      </c>
      <c r="K459" s="138" t="n"/>
      <c r="L459" s="138" t="n">
        <v>50.9</v>
      </c>
    </row>
    <row r="460">
      <c r="A460" s="54" t="n">
        <v>31352</v>
      </c>
      <c r="B460" s="71" t="n">
        <v>57.2</v>
      </c>
      <c r="C460" s="138" t="n"/>
      <c r="D460" s="55" t="n"/>
      <c r="E460" s="138" t="n">
        <v>45.7</v>
      </c>
      <c r="F460" s="138" t="n">
        <v>56.5</v>
      </c>
      <c r="G460" s="138" t="n"/>
      <c r="H460" s="138" t="n">
        <v>45.2</v>
      </c>
      <c r="I460" s="138" t="n">
        <v>48.5</v>
      </c>
      <c r="J460" s="138" t="n">
        <v>44.5</v>
      </c>
      <c r="K460" s="138" t="n"/>
      <c r="L460" s="138" t="n">
        <v>52</v>
      </c>
    </row>
    <row r="461">
      <c r="A461" s="54" t="n">
        <v>31382</v>
      </c>
      <c r="B461" s="71" t="n">
        <v>54.8</v>
      </c>
      <c r="C461" s="138" t="n"/>
      <c r="D461" s="55" t="n"/>
      <c r="E461" s="138" t="n">
        <v>48.7</v>
      </c>
      <c r="F461" s="138" t="n">
        <v>55.3</v>
      </c>
      <c r="G461" s="138" t="n"/>
      <c r="H461" s="138" t="n">
        <v>45.2</v>
      </c>
      <c r="I461" s="138" t="n">
        <v>49.3</v>
      </c>
      <c r="J461" s="138" t="n">
        <v>42.6</v>
      </c>
      <c r="K461" s="138" t="n"/>
      <c r="L461" s="138" t="n">
        <v>50.7</v>
      </c>
    </row>
    <row r="462">
      <c r="A462" s="54" t="n">
        <v>31413</v>
      </c>
      <c r="B462" s="71" t="n">
        <v>56.7</v>
      </c>
      <c r="C462" s="138" t="n"/>
      <c r="D462" s="55" t="n"/>
      <c r="E462" s="138" t="n">
        <v>48.4</v>
      </c>
      <c r="F462" s="138" t="n">
        <v>52.9</v>
      </c>
      <c r="G462" s="138" t="n"/>
      <c r="H462" s="138" t="n">
        <v>44.9</v>
      </c>
      <c r="I462" s="138" t="n">
        <v>50.1</v>
      </c>
      <c r="J462" s="138" t="n">
        <v>45.1</v>
      </c>
      <c r="K462" s="138" t="n"/>
      <c r="L462" s="138" t="n">
        <v>51.2</v>
      </c>
    </row>
    <row r="463">
      <c r="A463" s="54" t="n">
        <v>31444</v>
      </c>
      <c r="B463" s="71" t="n">
        <v>57.1</v>
      </c>
      <c r="C463" s="138" t="n"/>
      <c r="D463" s="55" t="n"/>
      <c r="E463" s="138" t="n">
        <v>49.7</v>
      </c>
      <c r="F463" s="138" t="n">
        <v>53.6</v>
      </c>
      <c r="G463" s="138" t="n"/>
      <c r="H463" s="138" t="n">
        <v>44.7</v>
      </c>
      <c r="I463" s="138" t="n">
        <v>49.8</v>
      </c>
      <c r="J463" s="138" t="n">
        <v>43</v>
      </c>
      <c r="K463" s="138" t="n"/>
      <c r="L463" s="138" t="n">
        <v>51</v>
      </c>
    </row>
    <row r="464">
      <c r="A464" s="54" t="n">
        <v>31472</v>
      </c>
      <c r="B464" s="71" t="n">
        <v>54.5</v>
      </c>
      <c r="C464" s="138" t="n"/>
      <c r="D464" s="55" t="n"/>
      <c r="E464" s="138" t="n">
        <v>49</v>
      </c>
      <c r="F464" s="138" t="n">
        <v>56</v>
      </c>
      <c r="G464" s="138" t="n"/>
      <c r="H464" s="138" t="n">
        <v>43.7</v>
      </c>
      <c r="I464" s="138" t="n">
        <v>50.5</v>
      </c>
      <c r="J464" s="138" t="n">
        <v>43.4</v>
      </c>
      <c r="K464" s="138" t="n"/>
      <c r="L464" s="138" t="n">
        <v>51</v>
      </c>
    </row>
    <row r="465">
      <c r="A465" s="54" t="n">
        <v>31503</v>
      </c>
      <c r="B465" s="71" t="n">
        <v>54.4</v>
      </c>
      <c r="C465" s="138" t="n"/>
      <c r="D465" s="55" t="n"/>
      <c r="E465" s="138" t="n">
        <v>42.8</v>
      </c>
      <c r="F465" s="138" t="n">
        <v>52.5</v>
      </c>
      <c r="G465" s="138" t="n"/>
      <c r="H465" s="138" t="n">
        <v>42.5</v>
      </c>
      <c r="I465" s="138" t="n">
        <v>50.7</v>
      </c>
      <c r="J465" s="138" t="n">
        <v>42.2</v>
      </c>
      <c r="K465" s="138" t="n"/>
      <c r="L465" s="138" t="n">
        <v>49.7</v>
      </c>
    </row>
    <row r="466">
      <c r="A466" s="54" t="n">
        <v>31533</v>
      </c>
      <c r="B466" s="71" t="n">
        <v>61.1</v>
      </c>
      <c r="C466" s="138" t="n"/>
      <c r="D466" s="55" t="n"/>
      <c r="E466" s="138" t="n">
        <v>49.5</v>
      </c>
      <c r="F466" s="138" t="n">
        <v>55.1</v>
      </c>
      <c r="G466" s="138" t="n"/>
      <c r="H466" s="138" t="n">
        <v>46.9</v>
      </c>
      <c r="I466" s="138" t="n">
        <v>50.2</v>
      </c>
      <c r="J466" s="138" t="n">
        <v>45.4</v>
      </c>
      <c r="K466" s="138" t="n"/>
      <c r="L466" s="138" t="n">
        <v>53.4</v>
      </c>
    </row>
    <row r="467">
      <c r="A467" s="54" t="n">
        <v>31564</v>
      </c>
      <c r="B467" s="71" t="n">
        <v>55.3</v>
      </c>
      <c r="C467" s="138" t="n"/>
      <c r="D467" s="55" t="n"/>
      <c r="E467" s="138" t="n">
        <v>51.3</v>
      </c>
      <c r="F467" s="138" t="n">
        <v>53.5</v>
      </c>
      <c r="G467" s="138" t="n"/>
      <c r="H467" s="138" t="n">
        <v>44.4</v>
      </c>
      <c r="I467" s="138" t="n">
        <v>49.9</v>
      </c>
      <c r="J467" s="138" t="n">
        <v>43.3</v>
      </c>
      <c r="K467" s="138" t="n"/>
      <c r="L467" s="138" t="n">
        <v>50.5</v>
      </c>
    </row>
    <row r="468">
      <c r="A468" s="54" t="n">
        <v>31594</v>
      </c>
      <c r="B468" s="71" t="n">
        <v>51.2</v>
      </c>
      <c r="C468" s="138" t="n"/>
      <c r="D468" s="55" t="n"/>
      <c r="E468" s="138" t="n">
        <v>49.3</v>
      </c>
      <c r="F468" s="138" t="n">
        <v>49.3</v>
      </c>
      <c r="G468" s="138" t="n"/>
      <c r="H468" s="138" t="n">
        <v>43.9</v>
      </c>
      <c r="I468" s="138" t="n">
        <v>49.9</v>
      </c>
      <c r="J468" s="138" t="n">
        <v>41.9</v>
      </c>
      <c r="K468" s="138" t="n"/>
      <c r="L468" s="138" t="n">
        <v>48</v>
      </c>
    </row>
    <row r="469">
      <c r="A469" s="54" t="n">
        <v>31625</v>
      </c>
      <c r="B469" s="71" t="n">
        <v>58.4</v>
      </c>
      <c r="C469" s="138" t="n"/>
      <c r="D469" s="55" t="n"/>
      <c r="E469" s="138" t="n">
        <v>51.5</v>
      </c>
      <c r="F469" s="138" t="n">
        <v>56</v>
      </c>
      <c r="G469" s="138" t="n"/>
      <c r="H469" s="138" t="n">
        <v>45.9</v>
      </c>
      <c r="I469" s="138" t="n">
        <v>50.8</v>
      </c>
      <c r="J469" s="138" t="n">
        <v>44.5</v>
      </c>
      <c r="K469" s="138" t="n"/>
      <c r="L469" s="138" t="n">
        <v>52.6</v>
      </c>
    </row>
    <row r="470">
      <c r="A470" s="54" t="n">
        <v>31656</v>
      </c>
      <c r="B470" s="71" t="n">
        <v>57.3</v>
      </c>
      <c r="C470" s="138" t="n"/>
      <c r="D470" s="55" t="n"/>
      <c r="E470" s="138" t="n">
        <v>57.1</v>
      </c>
      <c r="F470" s="138" t="n">
        <v>56.5</v>
      </c>
      <c r="G470" s="138" t="n"/>
      <c r="H470" s="138" t="n">
        <v>48.2</v>
      </c>
      <c r="I470" s="138" t="n">
        <v>49.6</v>
      </c>
      <c r="J470" s="138" t="n">
        <v>43.9</v>
      </c>
      <c r="K470" s="138" t="n"/>
      <c r="L470" s="138" t="n">
        <v>52.4</v>
      </c>
    </row>
    <row r="471">
      <c r="A471" s="54" t="n">
        <v>31686</v>
      </c>
      <c r="B471" s="71" t="n">
        <v>54.5</v>
      </c>
      <c r="C471" s="138" t="n"/>
      <c r="D471" s="55" t="n"/>
      <c r="E471" s="138" t="n">
        <v>56.9</v>
      </c>
      <c r="F471" s="138" t="n">
        <v>54.2</v>
      </c>
      <c r="G471" s="138" t="n"/>
      <c r="H471" s="138" t="n">
        <v>48.2</v>
      </c>
      <c r="I471" s="138" t="n">
        <v>51.3</v>
      </c>
      <c r="J471" s="138" t="n">
        <v>43.7</v>
      </c>
      <c r="K471" s="138" t="n"/>
      <c r="L471" s="138" t="n">
        <v>51.2</v>
      </c>
    </row>
    <row r="472">
      <c r="A472" s="54" t="n">
        <v>31717</v>
      </c>
      <c r="B472" s="71" t="n">
        <v>57</v>
      </c>
      <c r="C472" s="138" t="n"/>
      <c r="D472" s="55" t="n"/>
      <c r="E472" s="138" t="n">
        <v>57.1</v>
      </c>
      <c r="F472" s="138" t="n">
        <v>54.7</v>
      </c>
      <c r="G472" s="138" t="n"/>
      <c r="H472" s="138" t="n">
        <v>42.2</v>
      </c>
      <c r="I472" s="138" t="n">
        <v>52</v>
      </c>
      <c r="J472" s="138" t="n">
        <v>42.2</v>
      </c>
      <c r="K472" s="138" t="n"/>
      <c r="L472" s="138" t="n">
        <v>51.2</v>
      </c>
    </row>
    <row r="473">
      <c r="A473" s="54" t="n">
        <v>31747</v>
      </c>
      <c r="B473" s="71" t="n">
        <v>55.4</v>
      </c>
      <c r="C473" s="138" t="n"/>
      <c r="D473" s="55" t="n"/>
      <c r="E473" s="138" t="n">
        <v>57</v>
      </c>
      <c r="F473" s="138" t="n">
        <v>53</v>
      </c>
      <c r="G473" s="138" t="n"/>
      <c r="H473" s="138" t="n">
        <v>38.4</v>
      </c>
      <c r="I473" s="138" t="n">
        <v>52.8</v>
      </c>
      <c r="J473" s="138" t="n">
        <v>44.5</v>
      </c>
      <c r="K473" s="138" t="n"/>
      <c r="L473" s="138" t="n">
        <v>50.5</v>
      </c>
    </row>
    <row r="474">
      <c r="A474" s="54" t="n">
        <v>31778</v>
      </c>
      <c r="B474" s="71" t="n">
        <v>59.8</v>
      </c>
      <c r="C474" s="138" t="n"/>
      <c r="D474" s="55" t="n"/>
      <c r="E474" s="138" t="n">
        <v>61.1</v>
      </c>
      <c r="F474" s="138" t="n">
        <v>60.7</v>
      </c>
      <c r="G474" s="138" t="n"/>
      <c r="H474" s="138" t="n">
        <v>46.3</v>
      </c>
      <c r="I474" s="138" t="n">
        <v>51.5</v>
      </c>
      <c r="J474" s="138" t="n">
        <v>47.3</v>
      </c>
      <c r="K474" s="138" t="n"/>
      <c r="L474" s="138" t="n">
        <v>54.9</v>
      </c>
    </row>
    <row r="475">
      <c r="A475" s="54" t="n">
        <v>31809</v>
      </c>
      <c r="B475" s="71" t="n">
        <v>55.4</v>
      </c>
      <c r="C475" s="138" t="n"/>
      <c r="D475" s="55" t="n"/>
      <c r="E475" s="138" t="n">
        <v>62.5</v>
      </c>
      <c r="F475" s="138" t="n">
        <v>57.3</v>
      </c>
      <c r="G475" s="138" t="n"/>
      <c r="H475" s="138" t="n">
        <v>46.7</v>
      </c>
      <c r="I475" s="138" t="n">
        <v>51.2</v>
      </c>
      <c r="J475" s="138" t="n">
        <v>46.6</v>
      </c>
      <c r="K475" s="138" t="n"/>
      <c r="L475" s="138" t="n">
        <v>52.6</v>
      </c>
    </row>
    <row r="476">
      <c r="A476" s="54" t="n">
        <v>31837</v>
      </c>
      <c r="B476" s="71" t="n">
        <v>61.6</v>
      </c>
      <c r="C476" s="138" t="n"/>
      <c r="D476" s="55" t="n"/>
      <c r="E476" s="138" t="n">
        <v>62.7</v>
      </c>
      <c r="F476" s="138" t="n">
        <v>57.6</v>
      </c>
      <c r="G476" s="138" t="n"/>
      <c r="H476" s="138" t="n">
        <v>46.5</v>
      </c>
      <c r="I476" s="138" t="n">
        <v>51.9</v>
      </c>
      <c r="J476" s="138" t="n">
        <v>48.3</v>
      </c>
      <c r="K476" s="138" t="n"/>
      <c r="L476" s="138" t="n">
        <v>55</v>
      </c>
    </row>
    <row r="477">
      <c r="A477" s="54" t="n">
        <v>31868</v>
      </c>
      <c r="B477" s="71" t="n">
        <v>59.8</v>
      </c>
      <c r="C477" s="138" t="n"/>
      <c r="D477" s="55" t="n"/>
      <c r="E477" s="138" t="n">
        <v>65.59999999999999</v>
      </c>
      <c r="F477" s="138" t="n">
        <v>59.3</v>
      </c>
      <c r="G477" s="138" t="n"/>
      <c r="H477" s="138" t="n">
        <v>45.9</v>
      </c>
      <c r="I477" s="138" t="n">
        <v>52.8</v>
      </c>
      <c r="J477" s="138" t="n">
        <v>51.3</v>
      </c>
      <c r="K477" s="138" t="n"/>
      <c r="L477" s="138" t="n">
        <v>55.5</v>
      </c>
    </row>
    <row r="478">
      <c r="A478" s="54" t="n">
        <v>31898</v>
      </c>
      <c r="B478" s="71" t="n">
        <v>63.4</v>
      </c>
      <c r="C478" s="138" t="n"/>
      <c r="D478" s="55" t="n"/>
      <c r="E478" s="138" t="n">
        <v>67.59999999999999</v>
      </c>
      <c r="F478" s="138" t="n">
        <v>60.6</v>
      </c>
      <c r="G478" s="138" t="n"/>
      <c r="H478" s="138" t="n">
        <v>47.5</v>
      </c>
      <c r="I478" s="138" t="n">
        <v>54</v>
      </c>
      <c r="J478" s="138" t="n">
        <v>50.9</v>
      </c>
      <c r="K478" s="138" t="n"/>
      <c r="L478" s="138" t="n">
        <v>57.2</v>
      </c>
    </row>
    <row r="479">
      <c r="A479" s="54" t="n">
        <v>31929</v>
      </c>
      <c r="B479" s="71" t="n">
        <v>61.2</v>
      </c>
      <c r="C479" s="138" t="n"/>
      <c r="D479" s="55" t="n"/>
      <c r="E479" s="138" t="n">
        <v>72.59999999999999</v>
      </c>
      <c r="F479" s="138" t="n">
        <v>60.1</v>
      </c>
      <c r="G479" s="138" t="n"/>
      <c r="H479" s="138" t="n">
        <v>52.4</v>
      </c>
      <c r="I479" s="138" t="n">
        <v>56.8</v>
      </c>
      <c r="J479" s="138" t="n">
        <v>51.4</v>
      </c>
      <c r="K479" s="138" t="n"/>
      <c r="L479" s="138" t="n">
        <v>57.4</v>
      </c>
    </row>
    <row r="480">
      <c r="A480" s="54" t="n">
        <v>31959</v>
      </c>
      <c r="B480" s="71" t="n">
        <v>64</v>
      </c>
      <c r="C480" s="138" t="n"/>
      <c r="D480" s="55" t="n"/>
      <c r="E480" s="138" t="n">
        <v>74.3</v>
      </c>
      <c r="F480" s="138" t="n">
        <v>62.5</v>
      </c>
      <c r="G480" s="138" t="n"/>
      <c r="H480" s="138" t="n">
        <v>44.7</v>
      </c>
      <c r="I480" s="138" t="n">
        <v>58.9</v>
      </c>
      <c r="J480" s="138" t="n">
        <v>46.6</v>
      </c>
      <c r="K480" s="138" t="n"/>
      <c r="L480" s="138" t="n">
        <v>57.5</v>
      </c>
    </row>
    <row r="481">
      <c r="A481" s="54" t="n">
        <v>31990</v>
      </c>
      <c r="B481" s="71" t="n">
        <v>62.7</v>
      </c>
      <c r="C481" s="138" t="n"/>
      <c r="D481" s="55" t="n"/>
      <c r="E481" s="138" t="n">
        <v>77.40000000000001</v>
      </c>
      <c r="F481" s="138" t="n">
        <v>64.2</v>
      </c>
      <c r="G481" s="138" t="n"/>
      <c r="H481" s="138" t="n">
        <v>49.3</v>
      </c>
      <c r="I481" s="138" t="n">
        <v>60.3</v>
      </c>
      <c r="J481" s="138" t="n">
        <v>52.4</v>
      </c>
      <c r="K481" s="138" t="n"/>
      <c r="L481" s="138" t="n">
        <v>59.3</v>
      </c>
    </row>
    <row r="482">
      <c r="A482" s="54" t="n">
        <v>32021</v>
      </c>
      <c r="B482" s="71" t="n">
        <v>62.1</v>
      </c>
      <c r="C482" s="138" t="n"/>
      <c r="D482" s="55" t="n"/>
      <c r="E482" s="138" t="n">
        <v>77.3</v>
      </c>
      <c r="F482" s="138" t="n">
        <v>65.5</v>
      </c>
      <c r="G482" s="138" t="n"/>
      <c r="H482" s="138" t="n">
        <v>49.2</v>
      </c>
      <c r="I482" s="138" t="n">
        <v>61.5</v>
      </c>
      <c r="J482" s="138" t="n">
        <v>54.5</v>
      </c>
      <c r="K482" s="138" t="n"/>
      <c r="L482" s="138" t="n">
        <v>60</v>
      </c>
    </row>
    <row r="483">
      <c r="A483" s="54" t="n">
        <v>32051</v>
      </c>
      <c r="B483" s="71" t="n">
        <v>65.3</v>
      </c>
      <c r="C483" s="138" t="n"/>
      <c r="D483" s="55" t="n"/>
      <c r="E483" s="138" t="n">
        <v>78.09999999999999</v>
      </c>
      <c r="F483" s="138" t="n">
        <v>63.2</v>
      </c>
      <c r="G483" s="138" t="n"/>
      <c r="H483" s="138" t="n">
        <v>50.7</v>
      </c>
      <c r="I483" s="138" t="n">
        <v>62.2</v>
      </c>
      <c r="J483" s="138" t="n">
        <v>54.6</v>
      </c>
      <c r="K483" s="138" t="n"/>
      <c r="L483" s="138" t="n">
        <v>60.7</v>
      </c>
    </row>
    <row r="484">
      <c r="A484" s="54" t="n">
        <v>32082</v>
      </c>
      <c r="B484" s="71" t="n">
        <v>59.3</v>
      </c>
      <c r="C484" s="138" t="n"/>
      <c r="D484" s="55" t="n"/>
      <c r="E484" s="138" t="n">
        <v>79.2</v>
      </c>
      <c r="F484" s="138" t="n">
        <v>61.9</v>
      </c>
      <c r="G484" s="138" t="n"/>
      <c r="H484" s="138" t="n">
        <v>51.2</v>
      </c>
      <c r="I484" s="138" t="n">
        <v>64.90000000000001</v>
      </c>
      <c r="J484" s="138" t="n">
        <v>53.7</v>
      </c>
      <c r="K484" s="138" t="n"/>
      <c r="L484" s="138" t="n">
        <v>58.8</v>
      </c>
    </row>
    <row r="485">
      <c r="A485" s="54" t="n">
        <v>32112</v>
      </c>
      <c r="B485" s="71" t="n">
        <v>61.5</v>
      </c>
      <c r="C485" s="138" t="n"/>
      <c r="D485" s="55" t="n"/>
      <c r="E485" s="138" t="n">
        <v>80.2</v>
      </c>
      <c r="F485" s="138" t="n">
        <v>65.09999999999999</v>
      </c>
      <c r="G485" s="138" t="n"/>
      <c r="H485" s="138" t="n">
        <v>50.8</v>
      </c>
      <c r="I485" s="138" t="n">
        <v>62.7</v>
      </c>
      <c r="J485" s="138" t="n">
        <v>59.1</v>
      </c>
      <c r="K485" s="138" t="n"/>
      <c r="L485" s="138" t="n">
        <v>61</v>
      </c>
    </row>
    <row r="486">
      <c r="A486" s="54" t="n">
        <v>32143</v>
      </c>
      <c r="B486" s="71" t="n">
        <v>60.3</v>
      </c>
      <c r="C486" s="138" t="n"/>
      <c r="D486" s="55" t="n"/>
      <c r="E486" s="138" t="n">
        <v>78.7</v>
      </c>
      <c r="F486" s="138" t="n">
        <v>59.3</v>
      </c>
      <c r="G486" s="138" t="n"/>
      <c r="H486" s="138" t="n">
        <v>50.7</v>
      </c>
      <c r="I486" s="138" t="n">
        <v>62</v>
      </c>
      <c r="J486" s="138" t="n">
        <v>51.2</v>
      </c>
      <c r="K486" s="138" t="n">
        <v>66</v>
      </c>
      <c r="L486" s="138" t="n">
        <v>57.5</v>
      </c>
    </row>
    <row r="487">
      <c r="A487" s="54" t="n">
        <v>32174</v>
      </c>
      <c r="B487" s="71" t="n">
        <v>57</v>
      </c>
      <c r="C487" s="138" t="n"/>
      <c r="D487" s="55" t="n"/>
      <c r="E487" s="138" t="n">
        <v>81.2</v>
      </c>
      <c r="F487" s="138" t="n">
        <v>58.6</v>
      </c>
      <c r="G487" s="138" t="n"/>
      <c r="H487" s="138" t="n">
        <v>48.1</v>
      </c>
      <c r="I487" s="138" t="n">
        <v>61.2</v>
      </c>
      <c r="J487" s="138" t="n">
        <v>52.5</v>
      </c>
      <c r="K487" s="138" t="n">
        <v>65.7</v>
      </c>
      <c r="L487" s="138" t="n">
        <v>56.2</v>
      </c>
    </row>
    <row r="488">
      <c r="A488" s="54" t="n">
        <v>32203</v>
      </c>
      <c r="B488" s="71" t="n">
        <v>57.9</v>
      </c>
      <c r="C488" s="138" t="n"/>
      <c r="D488" s="55" t="n"/>
      <c r="E488" s="138" t="n">
        <v>74.5</v>
      </c>
      <c r="F488" s="138" t="n">
        <v>57.7</v>
      </c>
      <c r="G488" s="138" t="n"/>
      <c r="H488" s="138" t="n">
        <v>41.9</v>
      </c>
      <c r="I488" s="138" t="n">
        <v>57.3</v>
      </c>
      <c r="J488" s="138" t="n">
        <v>50.2</v>
      </c>
      <c r="K488" s="138" t="n">
        <v>64.5</v>
      </c>
      <c r="L488" s="138" t="n">
        <v>54.6</v>
      </c>
    </row>
    <row r="489">
      <c r="A489" s="54" t="n">
        <v>32234</v>
      </c>
      <c r="B489" s="71" t="n">
        <v>57.6</v>
      </c>
      <c r="C489" s="138" t="n"/>
      <c r="D489" s="55" t="n"/>
      <c r="E489" s="138" t="n">
        <v>81</v>
      </c>
      <c r="F489" s="138" t="n">
        <v>59.1</v>
      </c>
      <c r="G489" s="138" t="n"/>
      <c r="H489" s="138" t="n">
        <v>51</v>
      </c>
      <c r="I489" s="138" t="n">
        <v>58.6</v>
      </c>
      <c r="J489" s="138" t="n">
        <v>49.2</v>
      </c>
      <c r="K489" s="138" t="n">
        <v>64</v>
      </c>
      <c r="L489" s="138" t="n">
        <v>55.8</v>
      </c>
    </row>
    <row r="490">
      <c r="A490" s="54" t="n">
        <v>32264</v>
      </c>
      <c r="B490" s="71" t="n">
        <v>57.7</v>
      </c>
      <c r="C490" s="138" t="n"/>
      <c r="D490" s="55" t="n"/>
      <c r="E490" s="138" t="n">
        <v>81.5</v>
      </c>
      <c r="F490" s="138" t="n">
        <v>58</v>
      </c>
      <c r="G490" s="138" t="n"/>
      <c r="H490" s="138" t="n">
        <v>51.2</v>
      </c>
      <c r="I490" s="138" t="n">
        <v>56.9</v>
      </c>
      <c r="J490" s="138" t="n">
        <v>50.4</v>
      </c>
      <c r="K490" s="138" t="n">
        <v>65.5</v>
      </c>
      <c r="L490" s="138" t="n">
        <v>55.5</v>
      </c>
    </row>
    <row r="491">
      <c r="A491" s="54" t="n">
        <v>32295</v>
      </c>
      <c r="B491" s="71" t="n">
        <v>63.6</v>
      </c>
      <c r="C491" s="138" t="n"/>
      <c r="D491" s="55" t="n"/>
      <c r="E491" s="138" t="n">
        <v>80.7</v>
      </c>
      <c r="F491" s="138" t="n">
        <v>61.7</v>
      </c>
      <c r="G491" s="138" t="n"/>
      <c r="H491" s="138" t="n">
        <v>48.2</v>
      </c>
      <c r="I491" s="138" t="n">
        <v>65.59999999999999</v>
      </c>
      <c r="J491" s="138" t="n">
        <v>50.5</v>
      </c>
      <c r="K491" s="138" t="n">
        <v>66</v>
      </c>
      <c r="L491" s="138" t="n">
        <v>59.3</v>
      </c>
    </row>
    <row r="492">
      <c r="A492" s="54" t="n">
        <v>32325</v>
      </c>
      <c r="B492" s="71" t="n">
        <v>60.6</v>
      </c>
      <c r="C492" s="138" t="n"/>
      <c r="D492" s="55" t="n"/>
      <c r="E492" s="138" t="n">
        <v>81</v>
      </c>
      <c r="F492" s="138" t="n">
        <v>61.2</v>
      </c>
      <c r="G492" s="138" t="n"/>
      <c r="H492" s="138" t="n">
        <v>54.5</v>
      </c>
      <c r="I492" s="138" t="n">
        <v>58.4</v>
      </c>
      <c r="J492" s="138" t="n">
        <v>52.5</v>
      </c>
      <c r="K492" s="138" t="n">
        <v>67.5</v>
      </c>
      <c r="L492" s="138" t="n">
        <v>58.2</v>
      </c>
    </row>
    <row r="493">
      <c r="A493" s="54" t="n">
        <v>32356</v>
      </c>
      <c r="B493" s="71" t="n">
        <v>59.2</v>
      </c>
      <c r="C493" s="138" t="n"/>
      <c r="D493" s="55" t="n"/>
      <c r="E493" s="138" t="n">
        <v>78.2</v>
      </c>
      <c r="F493" s="138" t="n">
        <v>57.8</v>
      </c>
      <c r="G493" s="138" t="n"/>
      <c r="H493" s="138" t="n">
        <v>49.4</v>
      </c>
      <c r="I493" s="138" t="n">
        <v>57.4</v>
      </c>
      <c r="J493" s="138" t="n">
        <v>51.2</v>
      </c>
      <c r="K493" s="138" t="n">
        <v>59.9</v>
      </c>
      <c r="L493" s="138" t="n">
        <v>56</v>
      </c>
    </row>
    <row r="494">
      <c r="A494" s="54" t="n">
        <v>32387</v>
      </c>
      <c r="B494" s="71" t="n">
        <v>58.6</v>
      </c>
      <c r="C494" s="138" t="n"/>
      <c r="D494" s="55" t="n"/>
      <c r="E494" s="138" t="n">
        <v>72.8</v>
      </c>
      <c r="F494" s="138" t="n">
        <v>54.8</v>
      </c>
      <c r="G494" s="138" t="n"/>
      <c r="H494" s="138" t="n">
        <v>49.5</v>
      </c>
      <c r="I494" s="138" t="n">
        <v>55.2</v>
      </c>
      <c r="J494" s="138" t="n">
        <v>50.2</v>
      </c>
      <c r="K494" s="138" t="n">
        <v>61.7</v>
      </c>
      <c r="L494" s="138" t="n">
        <v>54.5</v>
      </c>
    </row>
    <row r="495">
      <c r="A495" s="54" t="n">
        <v>32417</v>
      </c>
      <c r="B495" s="71" t="n">
        <v>57.2</v>
      </c>
      <c r="C495" s="138" t="n"/>
      <c r="D495" s="55" t="n"/>
      <c r="E495" s="138" t="n">
        <v>71.5</v>
      </c>
      <c r="F495" s="138" t="n">
        <v>58.7</v>
      </c>
      <c r="G495" s="138" t="n"/>
      <c r="H495" s="138" t="n">
        <v>49.2</v>
      </c>
      <c r="I495" s="138" t="n">
        <v>54.8</v>
      </c>
      <c r="J495" s="138" t="n">
        <v>52.4</v>
      </c>
      <c r="K495" s="138" t="n">
        <v>60.8</v>
      </c>
      <c r="L495" s="138" t="n">
        <v>55.4</v>
      </c>
    </row>
    <row r="496">
      <c r="A496" s="54" t="n">
        <v>32448</v>
      </c>
      <c r="B496" s="71" t="n">
        <v>58.4</v>
      </c>
      <c r="C496" s="138" t="n"/>
      <c r="D496" s="55" t="n"/>
      <c r="E496" s="138" t="n">
        <v>70.90000000000001</v>
      </c>
      <c r="F496" s="138" t="n">
        <v>57.5</v>
      </c>
      <c r="G496" s="138" t="n"/>
      <c r="H496" s="138" t="n">
        <v>51.6</v>
      </c>
      <c r="I496" s="138" t="n">
        <v>52.1</v>
      </c>
      <c r="J496" s="138" t="n">
        <v>53.8</v>
      </c>
      <c r="K496" s="138" t="n">
        <v>58.1</v>
      </c>
      <c r="L496" s="138" t="n">
        <v>55.6</v>
      </c>
    </row>
    <row r="497">
      <c r="A497" s="54" t="n">
        <v>32478</v>
      </c>
      <c r="B497" s="71" t="n">
        <v>59</v>
      </c>
      <c r="C497" s="138" t="n"/>
      <c r="D497" s="55" t="n"/>
      <c r="E497" s="138" t="n">
        <v>69.8</v>
      </c>
      <c r="F497" s="138" t="n">
        <v>57.6</v>
      </c>
      <c r="G497" s="138" t="n"/>
      <c r="H497" s="138" t="n">
        <v>49.9</v>
      </c>
      <c r="I497" s="138" t="n">
        <v>53</v>
      </c>
      <c r="J497" s="138" t="n">
        <v>54.8</v>
      </c>
      <c r="K497" s="138" t="n">
        <v>64.3</v>
      </c>
      <c r="L497" s="138" t="n">
        <v>56</v>
      </c>
    </row>
    <row r="498">
      <c r="A498" s="54" t="n">
        <v>32509</v>
      </c>
      <c r="B498" s="71" t="n">
        <v>57.3</v>
      </c>
      <c r="C498" s="138" t="n"/>
      <c r="D498" s="55" t="n"/>
      <c r="E498" s="138" t="n">
        <v>70.5</v>
      </c>
      <c r="F498" s="138" t="n">
        <v>57.9</v>
      </c>
      <c r="G498" s="138" t="n"/>
      <c r="H498" s="138" t="n">
        <v>46.7</v>
      </c>
      <c r="I498" s="138" t="n">
        <v>53.9</v>
      </c>
      <c r="J498" s="138" t="n">
        <v>51.4</v>
      </c>
      <c r="K498" s="138" t="n">
        <v>60.1</v>
      </c>
      <c r="L498" s="138" t="n">
        <v>54.7</v>
      </c>
    </row>
    <row r="499">
      <c r="A499" s="54" t="n">
        <v>32540</v>
      </c>
      <c r="B499" s="71" t="n">
        <v>57.3</v>
      </c>
      <c r="C499" s="138" t="n"/>
      <c r="D499" s="55" t="n"/>
      <c r="E499" s="138" t="n">
        <v>67.90000000000001</v>
      </c>
      <c r="F499" s="138" t="n">
        <v>55.6</v>
      </c>
      <c r="G499" s="138" t="n"/>
      <c r="H499" s="138" t="n">
        <v>49</v>
      </c>
      <c r="I499" s="138" t="n">
        <v>54</v>
      </c>
      <c r="J499" s="138" t="n">
        <v>50</v>
      </c>
      <c r="K499" s="138" t="n">
        <v>60</v>
      </c>
      <c r="L499" s="138" t="n">
        <v>54.1</v>
      </c>
    </row>
    <row r="500">
      <c r="A500" s="54" t="n">
        <v>32568</v>
      </c>
      <c r="B500" s="71" t="n">
        <v>52</v>
      </c>
      <c r="C500" s="138" t="n"/>
      <c r="D500" s="55" t="n"/>
      <c r="E500" s="138" t="n">
        <v>67.90000000000001</v>
      </c>
      <c r="F500" s="138" t="n">
        <v>52.7</v>
      </c>
      <c r="G500" s="138" t="n"/>
      <c r="H500" s="138" t="n">
        <v>48.3</v>
      </c>
      <c r="I500" s="138" t="n">
        <v>52.5</v>
      </c>
      <c r="J500" s="138" t="n">
        <v>50.2</v>
      </c>
      <c r="K500" s="138" t="n">
        <v>52.8</v>
      </c>
      <c r="L500" s="138" t="n">
        <v>51.5</v>
      </c>
    </row>
    <row r="501">
      <c r="A501" s="54" t="n">
        <v>32599</v>
      </c>
      <c r="B501" s="71" t="n">
        <v>53.1</v>
      </c>
      <c r="C501" s="138" t="n"/>
      <c r="D501" s="55" t="n"/>
      <c r="E501" s="138" t="n">
        <v>65.40000000000001</v>
      </c>
      <c r="F501" s="138" t="n">
        <v>54.9</v>
      </c>
      <c r="G501" s="138" t="n"/>
      <c r="H501" s="138" t="n">
        <v>47.4</v>
      </c>
      <c r="I501" s="138" t="n">
        <v>52.2</v>
      </c>
      <c r="J501" s="138" t="n">
        <v>50</v>
      </c>
      <c r="K501" s="138" t="n">
        <v>58.4</v>
      </c>
      <c r="L501" s="138" t="n">
        <v>52.2</v>
      </c>
    </row>
    <row r="502">
      <c r="A502" s="54" t="n">
        <v>32629</v>
      </c>
      <c r="B502" s="71" t="n">
        <v>50.7</v>
      </c>
      <c r="C502" s="138" t="n"/>
      <c r="D502" s="55" t="n"/>
      <c r="E502" s="138" t="n">
        <v>59.3</v>
      </c>
      <c r="F502" s="138" t="n">
        <v>50.7</v>
      </c>
      <c r="G502" s="138" t="n"/>
      <c r="H502" s="138" t="n">
        <v>44.9</v>
      </c>
      <c r="I502" s="138" t="n">
        <v>49.1</v>
      </c>
      <c r="J502" s="138" t="n">
        <v>47.6</v>
      </c>
      <c r="K502" s="138" t="n">
        <v>60.9</v>
      </c>
      <c r="L502" s="138" t="n">
        <v>49.3</v>
      </c>
    </row>
    <row r="503">
      <c r="A503" s="54" t="n">
        <v>32660</v>
      </c>
      <c r="B503" s="71" t="n">
        <v>45.6</v>
      </c>
      <c r="C503" s="138" t="n"/>
      <c r="D503" s="55" t="n"/>
      <c r="E503" s="138" t="n">
        <v>50</v>
      </c>
      <c r="F503" s="138" t="n">
        <v>49.5</v>
      </c>
      <c r="G503" s="138" t="n"/>
      <c r="H503" s="138" t="n">
        <v>47.5</v>
      </c>
      <c r="I503" s="138" t="n">
        <v>46.5</v>
      </c>
      <c r="J503" s="138" t="n">
        <v>47.4</v>
      </c>
      <c r="K503" s="138" t="n">
        <v>53.3</v>
      </c>
      <c r="L503" s="138" t="n">
        <v>47.3</v>
      </c>
    </row>
    <row r="504">
      <c r="A504" s="54" t="n">
        <v>32690</v>
      </c>
      <c r="B504" s="71" t="n">
        <v>45.8</v>
      </c>
      <c r="C504" s="138" t="n"/>
      <c r="D504" s="55" t="n"/>
      <c r="E504" s="138" t="n">
        <v>48.1</v>
      </c>
      <c r="F504" s="138" t="n">
        <v>46.9</v>
      </c>
      <c r="G504" s="138" t="n"/>
      <c r="H504" s="138" t="n">
        <v>46.2</v>
      </c>
      <c r="I504" s="138" t="n">
        <v>46.1</v>
      </c>
      <c r="J504" s="138" t="n">
        <v>44.5</v>
      </c>
      <c r="K504" s="138" t="n">
        <v>56.1</v>
      </c>
      <c r="L504" s="138" t="n">
        <v>45.9</v>
      </c>
    </row>
    <row r="505">
      <c r="A505" s="54" t="n">
        <v>32721</v>
      </c>
      <c r="B505" s="71" t="n">
        <v>45.2</v>
      </c>
      <c r="C505" s="138" t="n"/>
      <c r="D505" s="55" t="n"/>
      <c r="E505" s="138" t="n">
        <v>43.3</v>
      </c>
      <c r="F505" s="138" t="n">
        <v>46.7</v>
      </c>
      <c r="G505" s="138" t="n"/>
      <c r="H505" s="138" t="n">
        <v>43.5</v>
      </c>
      <c r="I505" s="138" t="n">
        <v>44</v>
      </c>
      <c r="J505" s="138" t="n">
        <v>44.6</v>
      </c>
      <c r="K505" s="138" t="n">
        <v>57.8</v>
      </c>
      <c r="L505" s="138" t="n">
        <v>45.1</v>
      </c>
    </row>
    <row r="506">
      <c r="A506" s="54" t="n">
        <v>32752</v>
      </c>
      <c r="B506" s="71" t="n">
        <v>46</v>
      </c>
      <c r="C506" s="138" t="n"/>
      <c r="D506" s="55" t="n"/>
      <c r="E506" s="138" t="n">
        <v>42.4</v>
      </c>
      <c r="F506" s="138" t="n">
        <v>48</v>
      </c>
      <c r="G506" s="138" t="n"/>
      <c r="H506" s="138" t="n">
        <v>44.8</v>
      </c>
      <c r="I506" s="138" t="n">
        <v>43.9</v>
      </c>
      <c r="J506" s="138" t="n">
        <v>45.4</v>
      </c>
      <c r="K506" s="138" t="n">
        <v>61.7</v>
      </c>
      <c r="L506" s="138" t="n">
        <v>46</v>
      </c>
    </row>
    <row r="507">
      <c r="A507" s="54" t="n">
        <v>32782</v>
      </c>
      <c r="B507" s="71" t="n">
        <v>49.3</v>
      </c>
      <c r="C507" s="138" t="n">
        <v>49</v>
      </c>
      <c r="D507" s="55" t="n"/>
      <c r="E507" s="138" t="n">
        <v>41</v>
      </c>
      <c r="F507" s="138" t="n">
        <v>48.5</v>
      </c>
      <c r="G507" s="138" t="n"/>
      <c r="H507" s="138" t="n">
        <v>43.8</v>
      </c>
      <c r="I507" s="138" t="n">
        <v>43.3</v>
      </c>
      <c r="J507" s="138" t="n">
        <v>45</v>
      </c>
      <c r="K507" s="138" t="n">
        <v>57.2</v>
      </c>
      <c r="L507" s="138" t="n">
        <v>46.8</v>
      </c>
    </row>
    <row r="508">
      <c r="A508" s="54" t="n">
        <v>32813</v>
      </c>
      <c r="B508" s="71" t="n">
        <v>49.3</v>
      </c>
      <c r="C508" s="138" t="n">
        <v>47</v>
      </c>
      <c r="D508" s="55" t="n"/>
      <c r="E508" s="138" t="n">
        <v>40.9</v>
      </c>
      <c r="F508" s="138" t="n">
        <v>49.2</v>
      </c>
      <c r="G508" s="138" t="n"/>
      <c r="H508" s="138" t="n">
        <v>41.4</v>
      </c>
      <c r="I508" s="138" t="n">
        <v>42.5</v>
      </c>
      <c r="J508" s="138" t="n">
        <v>45.9</v>
      </c>
      <c r="K508" s="138" t="n">
        <v>56.6</v>
      </c>
      <c r="L508" s="138" t="n">
        <v>46.8</v>
      </c>
    </row>
    <row r="509">
      <c r="A509" s="54" t="n">
        <v>32843</v>
      </c>
      <c r="B509" s="71" t="n">
        <v>50.4</v>
      </c>
      <c r="C509" s="138" t="n">
        <v>45.5</v>
      </c>
      <c r="D509" s="55" t="n"/>
      <c r="E509" s="138" t="n">
        <v>41</v>
      </c>
      <c r="F509" s="138" t="n">
        <v>49.7</v>
      </c>
      <c r="G509" s="138" t="n"/>
      <c r="H509" s="138" t="n">
        <v>43.9</v>
      </c>
      <c r="I509" s="138" t="n">
        <v>43.5</v>
      </c>
      <c r="J509" s="138" t="n">
        <v>44.6</v>
      </c>
      <c r="K509" s="138" t="n">
        <v>54.9</v>
      </c>
      <c r="L509" s="138" t="n">
        <v>47.4</v>
      </c>
    </row>
    <row r="510">
      <c r="A510" s="54" t="n">
        <v>32874</v>
      </c>
      <c r="B510" s="71" t="n">
        <v>49.1</v>
      </c>
      <c r="C510" s="138" t="n">
        <v>51.8</v>
      </c>
      <c r="D510" s="55" t="n"/>
      <c r="E510" s="138" t="n">
        <v>50.8</v>
      </c>
      <c r="F510" s="138" t="n">
        <v>47.4</v>
      </c>
      <c r="G510" s="138" t="n"/>
      <c r="H510" s="138" t="n">
        <v>42.7</v>
      </c>
      <c r="I510" s="138" t="n">
        <v>48.2</v>
      </c>
      <c r="J510" s="138" t="n">
        <v>45.4</v>
      </c>
      <c r="K510" s="138" t="n">
        <v>54.3</v>
      </c>
      <c r="L510" s="138" t="n">
        <v>47.2</v>
      </c>
    </row>
    <row r="511">
      <c r="A511" s="54" t="n">
        <v>32905</v>
      </c>
      <c r="B511" s="71" t="n">
        <v>52.5</v>
      </c>
      <c r="C511" s="138" t="n">
        <v>50.3</v>
      </c>
      <c r="D511" s="55" t="n"/>
      <c r="E511" s="138" t="n">
        <v>44.6</v>
      </c>
      <c r="F511" s="138" t="n">
        <v>52.8</v>
      </c>
      <c r="G511" s="138" t="n"/>
      <c r="H511" s="138" t="n">
        <v>41.4</v>
      </c>
      <c r="I511" s="138" t="n">
        <v>44.4</v>
      </c>
      <c r="J511" s="138" t="n">
        <v>46.5</v>
      </c>
      <c r="K511" s="138" t="n">
        <v>54.7</v>
      </c>
      <c r="L511" s="138" t="n">
        <v>49.1</v>
      </c>
    </row>
    <row r="512">
      <c r="A512" s="54" t="n">
        <v>32933</v>
      </c>
      <c r="B512" s="71" t="n">
        <v>52.3</v>
      </c>
      <c r="C512" s="138" t="n">
        <v>48.7</v>
      </c>
      <c r="D512" s="55" t="n"/>
      <c r="E512" s="138" t="n">
        <v>50.1</v>
      </c>
      <c r="F512" s="138" t="n">
        <v>54.7</v>
      </c>
      <c r="G512" s="138" t="n"/>
      <c r="H512" s="138" t="n">
        <v>41.2</v>
      </c>
      <c r="I512" s="138" t="n">
        <v>47.2</v>
      </c>
      <c r="J512" s="138" t="n">
        <v>46.5</v>
      </c>
      <c r="K512" s="138" t="n">
        <v>56.3</v>
      </c>
      <c r="L512" s="138" t="n">
        <v>49.9</v>
      </c>
    </row>
    <row r="513">
      <c r="A513" s="54" t="n">
        <v>32964</v>
      </c>
      <c r="B513" s="71" t="n">
        <v>53.7</v>
      </c>
      <c r="C513" s="138" t="n">
        <v>48</v>
      </c>
      <c r="D513" s="55" t="n"/>
      <c r="E513" s="138" t="n">
        <v>50.9</v>
      </c>
      <c r="F513" s="138" t="n">
        <v>53.5</v>
      </c>
      <c r="G513" s="138" t="n"/>
      <c r="H513" s="138" t="n">
        <v>41.3</v>
      </c>
      <c r="I513" s="138" t="n">
        <v>47.2</v>
      </c>
      <c r="J513" s="138" t="n">
        <v>46.6</v>
      </c>
      <c r="K513" s="138" t="n">
        <v>57.5</v>
      </c>
      <c r="L513" s="138" t="n">
        <v>50</v>
      </c>
    </row>
    <row r="514">
      <c r="A514" s="54" t="n">
        <v>32994</v>
      </c>
      <c r="B514" s="71" t="n">
        <v>51.7</v>
      </c>
      <c r="C514" s="138" t="n">
        <v>46.5</v>
      </c>
      <c r="D514" s="55" t="n"/>
      <c r="E514" s="138" t="n">
        <v>50.1</v>
      </c>
      <c r="F514" s="138" t="n">
        <v>53.9</v>
      </c>
      <c r="G514" s="138" t="n"/>
      <c r="H514" s="138" t="n">
        <v>40</v>
      </c>
      <c r="I514" s="138" t="n">
        <v>48.2</v>
      </c>
      <c r="J514" s="138" t="n">
        <v>46.2</v>
      </c>
      <c r="K514" s="138" t="n">
        <v>54.3</v>
      </c>
      <c r="L514" s="138" t="n">
        <v>49.5</v>
      </c>
    </row>
    <row r="515">
      <c r="A515" s="54" t="n">
        <v>33025</v>
      </c>
      <c r="B515" s="71" t="n">
        <v>52</v>
      </c>
      <c r="C515" s="138" t="n">
        <v>47.6</v>
      </c>
      <c r="D515" s="55" t="n"/>
      <c r="E515" s="138" t="n">
        <v>53.2</v>
      </c>
      <c r="F515" s="138" t="n">
        <v>51.3</v>
      </c>
      <c r="G515" s="138" t="n"/>
      <c r="H515" s="138" t="n">
        <v>42.6</v>
      </c>
      <c r="I515" s="138" t="n">
        <v>49.8</v>
      </c>
      <c r="J515" s="138" t="n">
        <v>45.4</v>
      </c>
      <c r="K515" s="138" t="n">
        <v>56</v>
      </c>
      <c r="L515" s="138" t="n">
        <v>49.2</v>
      </c>
    </row>
    <row r="516">
      <c r="A516" s="54" t="n">
        <v>33055</v>
      </c>
      <c r="B516" s="71" t="n">
        <v>46.7</v>
      </c>
      <c r="C516" s="138" t="n">
        <v>47.5</v>
      </c>
      <c r="D516" s="55" t="n"/>
      <c r="E516" s="138" t="n">
        <v>51.4</v>
      </c>
      <c r="F516" s="138" t="n">
        <v>49.8</v>
      </c>
      <c r="G516" s="138" t="n"/>
      <c r="H516" s="138" t="n">
        <v>39.6</v>
      </c>
      <c r="I516" s="138" t="n">
        <v>46.4</v>
      </c>
      <c r="J516" s="138" t="n">
        <v>46.3</v>
      </c>
      <c r="K516" s="138" t="n">
        <v>57.2</v>
      </c>
      <c r="L516" s="138" t="n">
        <v>46.6</v>
      </c>
    </row>
    <row r="517">
      <c r="A517" s="54" t="n">
        <v>33086</v>
      </c>
      <c r="B517" s="71" t="n">
        <v>45.5</v>
      </c>
      <c r="C517" s="138" t="n">
        <v>46.9</v>
      </c>
      <c r="D517" s="55" t="n"/>
      <c r="E517" s="138" t="n">
        <v>53.1</v>
      </c>
      <c r="F517" s="138" t="n">
        <v>47.9</v>
      </c>
      <c r="G517" s="138" t="n"/>
      <c r="H517" s="138" t="n">
        <v>43</v>
      </c>
      <c r="I517" s="138" t="n">
        <v>50.1</v>
      </c>
      <c r="J517" s="138" t="n">
        <v>43.1</v>
      </c>
      <c r="K517" s="138" t="n">
        <v>54.6</v>
      </c>
      <c r="L517" s="138" t="n">
        <v>46.1</v>
      </c>
    </row>
    <row r="518">
      <c r="A518" s="54" t="n">
        <v>33117</v>
      </c>
      <c r="B518" s="71" t="n">
        <v>44.9</v>
      </c>
      <c r="C518" s="138" t="n">
        <v>46</v>
      </c>
      <c r="D518" s="55" t="n"/>
      <c r="E518" s="138" t="n">
        <v>70.2</v>
      </c>
      <c r="F518" s="138" t="n">
        <v>45.5</v>
      </c>
      <c r="G518" s="138" t="n"/>
      <c r="H518" s="138" t="n">
        <v>40.8</v>
      </c>
      <c r="I518" s="138" t="n">
        <v>48.9</v>
      </c>
      <c r="J518" s="138" t="n">
        <v>41.3</v>
      </c>
      <c r="K518" s="138" t="n">
        <v>54.7</v>
      </c>
      <c r="L518" s="138" t="n">
        <v>44.5</v>
      </c>
    </row>
    <row r="519">
      <c r="A519" s="54" t="n">
        <v>33147</v>
      </c>
      <c r="B519" s="71" t="n">
        <v>43.1</v>
      </c>
      <c r="C519" s="138" t="n">
        <v>47.4</v>
      </c>
      <c r="D519" s="55" t="n"/>
      <c r="E519" s="138" t="n">
        <v>73.40000000000001</v>
      </c>
      <c r="F519" s="138" t="n">
        <v>43.6</v>
      </c>
      <c r="G519" s="138" t="n"/>
      <c r="H519" s="138" t="n">
        <v>41.2</v>
      </c>
      <c r="I519" s="138" t="n">
        <v>48.1</v>
      </c>
      <c r="J519" s="138" t="n">
        <v>40.2</v>
      </c>
      <c r="K519" s="138" t="n">
        <v>51.5</v>
      </c>
      <c r="L519" s="138" t="n">
        <v>43.2</v>
      </c>
    </row>
    <row r="520">
      <c r="A520" s="54" t="n">
        <v>33178</v>
      </c>
      <c r="B520" s="71" t="n">
        <v>40.4</v>
      </c>
      <c r="C520" s="138" t="n">
        <v>43.1</v>
      </c>
      <c r="D520" s="55" t="n"/>
      <c r="E520" s="138" t="n">
        <v>64.2</v>
      </c>
      <c r="F520" s="138" t="n">
        <v>42.1</v>
      </c>
      <c r="G520" s="138" t="n"/>
      <c r="H520" s="138" t="n">
        <v>40.9</v>
      </c>
      <c r="I520" s="138" t="n">
        <v>48.6</v>
      </c>
      <c r="J520" s="138" t="n">
        <v>36.2</v>
      </c>
      <c r="K520" s="138" t="n">
        <v>55.5</v>
      </c>
      <c r="L520" s="138" t="n">
        <v>41.3</v>
      </c>
    </row>
    <row r="521">
      <c r="A521" s="54" t="n">
        <v>33208</v>
      </c>
      <c r="B521" s="71" t="n">
        <v>38.5</v>
      </c>
      <c r="C521" s="138" t="n">
        <v>46.5</v>
      </c>
      <c r="D521" s="55" t="n"/>
      <c r="E521" s="138" t="n">
        <v>58.9</v>
      </c>
      <c r="F521" s="138" t="n">
        <v>41.8</v>
      </c>
      <c r="G521" s="138" t="n"/>
      <c r="H521" s="138" t="n">
        <v>39.6</v>
      </c>
      <c r="I521" s="138" t="n">
        <v>47.2</v>
      </c>
      <c r="J521" s="138" t="n">
        <v>38.8</v>
      </c>
      <c r="K521" s="138" t="n">
        <v>56.5</v>
      </c>
      <c r="L521" s="138" t="n">
        <v>40.8</v>
      </c>
    </row>
    <row r="522">
      <c r="A522" s="54" t="n">
        <v>33239</v>
      </c>
      <c r="B522" s="71" t="n">
        <v>38.1</v>
      </c>
      <c r="C522" s="138" t="n">
        <v>44.6</v>
      </c>
      <c r="D522" s="55" t="n"/>
      <c r="E522" s="138" t="n">
        <v>51.6</v>
      </c>
      <c r="F522" s="138" t="n">
        <v>38.9</v>
      </c>
      <c r="G522" s="138" t="n"/>
      <c r="H522" s="138" t="n">
        <v>39.6</v>
      </c>
      <c r="I522" s="138" t="n">
        <v>44.4</v>
      </c>
      <c r="J522" s="138" t="n">
        <v>37.3</v>
      </c>
      <c r="K522" s="138" t="n">
        <v>55.9</v>
      </c>
      <c r="L522" s="138" t="n">
        <v>39.2</v>
      </c>
    </row>
    <row r="523">
      <c r="A523" s="54" t="n">
        <v>33270</v>
      </c>
      <c r="B523" s="71" t="n">
        <v>39.2</v>
      </c>
      <c r="C523" s="138" t="n">
        <v>45.8</v>
      </c>
      <c r="D523" s="55" t="n"/>
      <c r="E523" s="138" t="n">
        <v>44.5</v>
      </c>
      <c r="F523" s="138" t="n">
        <v>39.1</v>
      </c>
      <c r="G523" s="138" t="n"/>
      <c r="H523" s="138" t="n">
        <v>39.9</v>
      </c>
      <c r="I523" s="138" t="n">
        <v>44.7</v>
      </c>
      <c r="J523" s="138" t="n">
        <v>35.6</v>
      </c>
      <c r="K523" s="138" t="n">
        <v>53.3</v>
      </c>
      <c r="L523" s="138" t="n">
        <v>39.4</v>
      </c>
    </row>
    <row r="524">
      <c r="A524" s="54" t="n">
        <v>33298</v>
      </c>
      <c r="B524" s="71" t="n">
        <v>42.4</v>
      </c>
      <c r="C524" s="138" t="n">
        <v>45.8</v>
      </c>
      <c r="D524" s="55" t="n"/>
      <c r="E524" s="138" t="n">
        <v>41.2</v>
      </c>
      <c r="F524" s="138" t="n">
        <v>41.2</v>
      </c>
      <c r="G524" s="138" t="n"/>
      <c r="H524" s="138" t="n">
        <v>43.6</v>
      </c>
      <c r="I524" s="138" t="n">
        <v>43.9</v>
      </c>
      <c r="J524" s="138" t="n">
        <v>33.6</v>
      </c>
      <c r="K524" s="138" t="n">
        <v>55.9</v>
      </c>
      <c r="L524" s="138" t="n">
        <v>40.7</v>
      </c>
    </row>
    <row r="525">
      <c r="A525" s="54" t="n">
        <v>33329</v>
      </c>
      <c r="B525" s="71" t="n">
        <v>46.1</v>
      </c>
      <c r="C525" s="138" t="n">
        <v>45.2</v>
      </c>
      <c r="D525" s="55" t="n"/>
      <c r="E525" s="138" t="n">
        <v>38.8</v>
      </c>
      <c r="F525" s="138" t="n">
        <v>44.5</v>
      </c>
      <c r="G525" s="138" t="n"/>
      <c r="H525" s="138" t="n">
        <v>39.6</v>
      </c>
      <c r="I525" s="138" t="n">
        <v>45</v>
      </c>
      <c r="J525" s="138" t="n">
        <v>35.8</v>
      </c>
      <c r="K525" s="138" t="n">
        <v>53.9</v>
      </c>
      <c r="L525" s="138" t="n">
        <v>42.8</v>
      </c>
    </row>
    <row r="526">
      <c r="A526" s="54" t="n">
        <v>33359</v>
      </c>
      <c r="B526" s="71" t="n">
        <v>48.9</v>
      </c>
      <c r="C526" s="138" t="n">
        <v>47</v>
      </c>
      <c r="D526" s="55" t="n"/>
      <c r="E526" s="138" t="n">
        <v>38.2</v>
      </c>
      <c r="F526" s="138" t="n">
        <v>46.9</v>
      </c>
      <c r="G526" s="138" t="n"/>
      <c r="H526" s="138" t="n">
        <v>37.3</v>
      </c>
      <c r="I526" s="138" t="n">
        <v>46</v>
      </c>
      <c r="J526" s="138" t="n">
        <v>37.4</v>
      </c>
      <c r="K526" s="138" t="n">
        <v>53.2</v>
      </c>
      <c r="L526" s="138" t="n">
        <v>44.5</v>
      </c>
    </row>
    <row r="527">
      <c r="A527" s="54" t="n">
        <v>33390</v>
      </c>
      <c r="B527" s="71" t="n">
        <v>58.4</v>
      </c>
      <c r="C527" s="138" t="n">
        <v>47</v>
      </c>
      <c r="D527" s="55" t="n"/>
      <c r="E527" s="138" t="n">
        <v>39.6</v>
      </c>
      <c r="F527" s="138" t="n">
        <v>53.7</v>
      </c>
      <c r="G527" s="138" t="n"/>
      <c r="H527" s="138" t="n">
        <v>37.1</v>
      </c>
      <c r="I527" s="138" t="n">
        <v>47.1</v>
      </c>
      <c r="J527" s="138" t="n">
        <v>43</v>
      </c>
      <c r="K527" s="138" t="n">
        <v>54.8</v>
      </c>
      <c r="L527" s="138" t="n">
        <v>50.3</v>
      </c>
    </row>
    <row r="528">
      <c r="A528" s="54" t="n">
        <v>33420</v>
      </c>
      <c r="B528" s="71" t="n">
        <v>55.6</v>
      </c>
      <c r="C528" s="138" t="n">
        <v>47.6</v>
      </c>
      <c r="D528" s="55" t="n"/>
      <c r="E528" s="138" t="n">
        <v>38.4</v>
      </c>
      <c r="F528" s="138" t="n">
        <v>57.2</v>
      </c>
      <c r="G528" s="138" t="n"/>
      <c r="H528" s="138" t="n">
        <v>39.1</v>
      </c>
      <c r="I528" s="138" t="n">
        <v>49.6</v>
      </c>
      <c r="J528" s="138" t="n">
        <v>41.3</v>
      </c>
      <c r="K528" s="138" t="n">
        <v>52.8</v>
      </c>
      <c r="L528" s="138" t="n">
        <v>50.6</v>
      </c>
    </row>
    <row r="529">
      <c r="A529" s="54" t="n">
        <v>33451</v>
      </c>
      <c r="B529" s="71" t="n">
        <v>60.1</v>
      </c>
      <c r="C529" s="138" t="n">
        <v>49.5</v>
      </c>
      <c r="D529" s="55" t="n"/>
      <c r="E529" s="138" t="n">
        <v>41.8</v>
      </c>
      <c r="F529" s="138" t="n">
        <v>59.8</v>
      </c>
      <c r="G529" s="138" t="n"/>
      <c r="H529" s="138" t="n">
        <v>39</v>
      </c>
      <c r="I529" s="138" t="n">
        <v>48.3</v>
      </c>
      <c r="J529" s="138" t="n">
        <v>44</v>
      </c>
      <c r="K529" s="138" t="n">
        <v>56.5</v>
      </c>
      <c r="L529" s="138" t="n">
        <v>52.9</v>
      </c>
    </row>
    <row r="530">
      <c r="A530" s="54" t="n">
        <v>33482</v>
      </c>
      <c r="B530" s="71" t="n">
        <v>60.7</v>
      </c>
      <c r="C530" s="138" t="n">
        <v>49.5</v>
      </c>
      <c r="D530" s="55" t="n"/>
      <c r="E530" s="138" t="n">
        <v>45.5</v>
      </c>
      <c r="F530" s="138" t="n">
        <v>61.2</v>
      </c>
      <c r="G530" s="138" t="n"/>
      <c r="H530" s="138" t="n">
        <v>45.9</v>
      </c>
      <c r="I530" s="138" t="n">
        <v>48.8</v>
      </c>
      <c r="J530" s="138" t="n">
        <v>47.3</v>
      </c>
      <c r="K530" s="138" t="n">
        <v>53.8</v>
      </c>
      <c r="L530" s="138" t="n">
        <v>54.9</v>
      </c>
    </row>
    <row r="531">
      <c r="A531" s="54" t="n">
        <v>33512</v>
      </c>
      <c r="B531" s="71" t="n">
        <v>58</v>
      </c>
      <c r="C531" s="138" t="n">
        <v>48.4</v>
      </c>
      <c r="D531" s="55" t="n"/>
      <c r="E531" s="138" t="n">
        <v>50</v>
      </c>
      <c r="F531" s="138" t="n">
        <v>60.7</v>
      </c>
      <c r="G531" s="138" t="n"/>
      <c r="H531" s="138" t="n">
        <v>40.5</v>
      </c>
      <c r="I531" s="138" t="n">
        <v>50.2</v>
      </c>
      <c r="J531" s="138" t="n">
        <v>44.7</v>
      </c>
      <c r="K531" s="138" t="n">
        <v>55.7</v>
      </c>
      <c r="L531" s="138" t="n">
        <v>53.1</v>
      </c>
    </row>
    <row r="532">
      <c r="A532" s="54" t="n">
        <v>33543</v>
      </c>
      <c r="B532" s="71" t="n">
        <v>53.5</v>
      </c>
      <c r="C532" s="138" t="n">
        <v>46.1</v>
      </c>
      <c r="D532" s="55" t="n"/>
      <c r="E532" s="138" t="n">
        <v>47.6</v>
      </c>
      <c r="F532" s="138" t="n">
        <v>52.1</v>
      </c>
      <c r="G532" s="138" t="n"/>
      <c r="H532" s="138" t="n">
        <v>42.8</v>
      </c>
      <c r="I532" s="138" t="n">
        <v>50.1</v>
      </c>
      <c r="J532" s="138" t="n">
        <v>43</v>
      </c>
      <c r="K532" s="138" t="n">
        <v>55.2</v>
      </c>
      <c r="L532" s="138" t="n">
        <v>49.5</v>
      </c>
    </row>
    <row r="533">
      <c r="A533" s="54" t="n">
        <v>33573</v>
      </c>
      <c r="B533" s="71" t="n">
        <v>49.5</v>
      </c>
      <c r="C533" s="138" t="n">
        <v>47.6</v>
      </c>
      <c r="D533" s="55" t="n"/>
      <c r="E533" s="138" t="n">
        <v>48.9</v>
      </c>
      <c r="F533" s="138" t="n">
        <v>50.6</v>
      </c>
      <c r="G533" s="138" t="n"/>
      <c r="H533" s="138" t="n">
        <v>38.8</v>
      </c>
      <c r="I533" s="138" t="n">
        <v>49.4</v>
      </c>
      <c r="J533" s="138" t="n">
        <v>39.8</v>
      </c>
      <c r="K533" s="138" t="n">
        <v>53.6</v>
      </c>
      <c r="L533" s="138" t="n">
        <v>46.8</v>
      </c>
    </row>
    <row r="534">
      <c r="A534" s="54" t="n">
        <v>33604</v>
      </c>
      <c r="B534" s="71" t="n">
        <v>49.6</v>
      </c>
      <c r="C534" s="138" t="n">
        <v>47</v>
      </c>
      <c r="D534" s="55" t="n"/>
      <c r="E534" s="138" t="n">
        <v>45.4</v>
      </c>
      <c r="F534" s="138" t="n">
        <v>50.4</v>
      </c>
      <c r="G534" s="138" t="n"/>
      <c r="H534" s="138" t="n">
        <v>44.1</v>
      </c>
      <c r="I534" s="138" t="n">
        <v>48.7</v>
      </c>
      <c r="J534" s="138" t="n">
        <v>40.6</v>
      </c>
      <c r="K534" s="138" t="n">
        <v>51.9</v>
      </c>
      <c r="L534" s="138" t="n">
        <v>47.3</v>
      </c>
    </row>
    <row r="535">
      <c r="A535" s="54" t="n">
        <v>33635</v>
      </c>
      <c r="B535" s="71" t="n">
        <v>58.3</v>
      </c>
      <c r="C535" s="138" t="n">
        <v>47.2</v>
      </c>
      <c r="D535" s="55" t="n"/>
      <c r="E535" s="138" t="n">
        <v>45.9</v>
      </c>
      <c r="F535" s="138" t="n">
        <v>58.7</v>
      </c>
      <c r="G535" s="138" t="n"/>
      <c r="H535" s="138" t="n">
        <v>44</v>
      </c>
      <c r="I535" s="138" t="n">
        <v>49.3</v>
      </c>
      <c r="J535" s="138" t="n">
        <v>43.9</v>
      </c>
      <c r="K535" s="138" t="n">
        <v>54.7</v>
      </c>
      <c r="L535" s="138" t="n">
        <v>52.7</v>
      </c>
    </row>
    <row r="536">
      <c r="A536" s="54" t="n">
        <v>33664</v>
      </c>
      <c r="B536" s="71" t="n">
        <v>63.3</v>
      </c>
      <c r="C536" s="138" t="n">
        <v>49.8</v>
      </c>
      <c r="D536" s="55" t="n"/>
      <c r="E536" s="138" t="n">
        <v>48.1</v>
      </c>
      <c r="F536" s="138" t="n">
        <v>59.7</v>
      </c>
      <c r="G536" s="138" t="n"/>
      <c r="H536" s="138" t="n">
        <v>44.3</v>
      </c>
      <c r="I536" s="138" t="n">
        <v>50.3</v>
      </c>
      <c r="J536" s="138" t="n">
        <v>43.7</v>
      </c>
      <c r="K536" s="138" t="n">
        <v>54.7</v>
      </c>
      <c r="L536" s="138" t="n">
        <v>54.6</v>
      </c>
    </row>
    <row r="537">
      <c r="A537" s="54" t="n">
        <v>33695</v>
      </c>
      <c r="B537" s="71" t="n">
        <v>59.1</v>
      </c>
      <c r="C537" s="138" t="n">
        <v>52.1</v>
      </c>
      <c r="D537" s="55" t="n"/>
      <c r="E537" s="138" t="n">
        <v>51.1</v>
      </c>
      <c r="F537" s="138" t="n">
        <v>57.8</v>
      </c>
      <c r="G537" s="138" t="n"/>
      <c r="H537" s="138" t="n">
        <v>43.2</v>
      </c>
      <c r="I537" s="138" t="n">
        <v>47.4</v>
      </c>
      <c r="J537" s="138" t="n">
        <v>45</v>
      </c>
      <c r="K537" s="138" t="n">
        <v>53.4</v>
      </c>
      <c r="L537" s="138" t="n">
        <v>52.6</v>
      </c>
    </row>
    <row r="538">
      <c r="A538" s="54" t="n">
        <v>33725</v>
      </c>
      <c r="B538" s="71" t="n">
        <v>60.9</v>
      </c>
      <c r="C538" s="138" t="n">
        <v>53.9</v>
      </c>
      <c r="D538" s="55" t="n"/>
      <c r="E538" s="138" t="n">
        <v>55</v>
      </c>
      <c r="F538" s="138" t="n">
        <v>61.2</v>
      </c>
      <c r="G538" s="138" t="n"/>
      <c r="H538" s="138" t="n">
        <v>47</v>
      </c>
      <c r="I538" s="138" t="n">
        <v>50</v>
      </c>
      <c r="J538" s="138" t="n">
        <v>49.5</v>
      </c>
      <c r="K538" s="138" t="n">
        <v>56.2</v>
      </c>
      <c r="L538" s="138" t="n">
        <v>55.7</v>
      </c>
    </row>
    <row r="539">
      <c r="A539" s="54" t="n">
        <v>33756</v>
      </c>
      <c r="B539" s="71" t="n">
        <v>59.8</v>
      </c>
      <c r="C539" s="138" t="n">
        <v>49.1</v>
      </c>
      <c r="D539" s="55" t="n"/>
      <c r="E539" s="138" t="n">
        <v>53.9</v>
      </c>
      <c r="F539" s="138" t="n">
        <v>57.6</v>
      </c>
      <c r="G539" s="138" t="n"/>
      <c r="H539" s="138" t="n">
        <v>43.1</v>
      </c>
      <c r="I539" s="138" t="n">
        <v>50.8</v>
      </c>
      <c r="J539" s="138" t="n">
        <v>46.6</v>
      </c>
      <c r="K539" s="138" t="n">
        <v>53.1</v>
      </c>
      <c r="L539" s="138" t="n">
        <v>53.6</v>
      </c>
    </row>
    <row r="540">
      <c r="A540" s="54" t="n">
        <v>33786</v>
      </c>
      <c r="B540" s="71" t="n">
        <v>59.5</v>
      </c>
      <c r="C540" s="138" t="n">
        <v>49.7</v>
      </c>
      <c r="D540" s="55" t="n"/>
      <c r="E540" s="138" t="n">
        <v>56.2</v>
      </c>
      <c r="F540" s="138" t="n">
        <v>57.4</v>
      </c>
      <c r="G540" s="138" t="n"/>
      <c r="H540" s="138" t="n">
        <v>46.9</v>
      </c>
      <c r="I540" s="138" t="n">
        <v>52.5</v>
      </c>
      <c r="J540" s="138" t="n">
        <v>45.5</v>
      </c>
      <c r="K540" s="138" t="n">
        <v>55.2</v>
      </c>
      <c r="L540" s="138" t="n">
        <v>53.9</v>
      </c>
    </row>
    <row r="541">
      <c r="A541" s="54" t="n">
        <v>33817</v>
      </c>
      <c r="B541" s="71" t="n">
        <v>58.8</v>
      </c>
      <c r="C541" s="138" t="n">
        <v>48.6</v>
      </c>
      <c r="D541" s="55" t="n"/>
      <c r="E541" s="138" t="n">
        <v>53.7</v>
      </c>
      <c r="F541" s="138" t="n">
        <v>56.8</v>
      </c>
      <c r="G541" s="138" t="n"/>
      <c r="H541" s="138" t="n">
        <v>45.8</v>
      </c>
      <c r="I541" s="138" t="n">
        <v>50.3</v>
      </c>
      <c r="J541" s="138" t="n">
        <v>47.3</v>
      </c>
      <c r="K541" s="138" t="n">
        <v>53.3</v>
      </c>
      <c r="L541" s="138" t="n">
        <v>53.4</v>
      </c>
    </row>
    <row r="542">
      <c r="A542" s="54" t="n">
        <v>33848</v>
      </c>
      <c r="B542" s="71" t="n">
        <v>51.1</v>
      </c>
      <c r="C542" s="138" t="n">
        <v>46.7</v>
      </c>
      <c r="D542" s="55" t="n"/>
      <c r="E542" s="138" t="n">
        <v>51.6</v>
      </c>
      <c r="F542" s="138" t="n">
        <v>53.9</v>
      </c>
      <c r="G542" s="138" t="n"/>
      <c r="H542" s="138" t="n">
        <v>42.3</v>
      </c>
      <c r="I542" s="138" t="n">
        <v>51.2</v>
      </c>
      <c r="J542" s="138" t="n">
        <v>45.1</v>
      </c>
      <c r="K542" s="138" t="n">
        <v>55.8</v>
      </c>
      <c r="L542" s="138" t="n">
        <v>49.7</v>
      </c>
    </row>
    <row r="543">
      <c r="A543" s="54" t="n">
        <v>33878</v>
      </c>
      <c r="B543" s="71" t="n">
        <v>53.8</v>
      </c>
      <c r="C543" s="138" t="n">
        <v>47.7</v>
      </c>
      <c r="D543" s="55" t="n"/>
      <c r="E543" s="138" t="n">
        <v>46.4</v>
      </c>
      <c r="F543" s="138" t="n">
        <v>54.7</v>
      </c>
      <c r="G543" s="138" t="n"/>
      <c r="H543" s="138" t="n">
        <v>42.4</v>
      </c>
      <c r="I543" s="138" t="n">
        <v>48.6</v>
      </c>
      <c r="J543" s="138" t="n">
        <v>44.7</v>
      </c>
      <c r="K543" s="138" t="n">
        <v>53.8</v>
      </c>
      <c r="L543" s="138" t="n">
        <v>50.3</v>
      </c>
    </row>
    <row r="544">
      <c r="A544" s="54" t="n">
        <v>33909</v>
      </c>
      <c r="B544" s="71" t="n">
        <v>58.8</v>
      </c>
      <c r="C544" s="138" t="n">
        <v>48</v>
      </c>
      <c r="D544" s="55" t="n"/>
      <c r="E544" s="138" t="n">
        <v>42.1</v>
      </c>
      <c r="F544" s="138" t="n">
        <v>58.6</v>
      </c>
      <c r="G544" s="138" t="n"/>
      <c r="H544" s="138" t="n">
        <v>42.1</v>
      </c>
      <c r="I544" s="138" t="n">
        <v>51.3</v>
      </c>
      <c r="J544" s="138" t="n">
        <v>47.1</v>
      </c>
      <c r="K544" s="138" t="n">
        <v>52.9</v>
      </c>
      <c r="L544" s="138" t="n">
        <v>53.6</v>
      </c>
    </row>
    <row r="545">
      <c r="A545" s="54" t="n">
        <v>33939</v>
      </c>
      <c r="B545" s="71" t="n">
        <v>61</v>
      </c>
      <c r="C545" s="138" t="n">
        <v>51.4</v>
      </c>
      <c r="D545" s="55" t="n"/>
      <c r="E545" s="138" t="n">
        <v>48</v>
      </c>
      <c r="F545" s="138" t="n">
        <v>57.9</v>
      </c>
      <c r="G545" s="138" t="n"/>
      <c r="H545" s="138" t="n">
        <v>45</v>
      </c>
      <c r="I545" s="138" t="n">
        <v>51.5</v>
      </c>
      <c r="J545" s="138" t="n">
        <v>45.9</v>
      </c>
      <c r="K545" s="138" t="n">
        <v>53.1</v>
      </c>
      <c r="L545" s="138" t="n">
        <v>54.2</v>
      </c>
    </row>
    <row r="546">
      <c r="A546" s="54" t="n">
        <v>33970</v>
      </c>
      <c r="B546" s="71" t="n">
        <v>63</v>
      </c>
      <c r="C546" s="138" t="n">
        <v>49.4</v>
      </c>
      <c r="D546" s="55" t="n">
        <v>56.5</v>
      </c>
      <c r="E546" s="138" t="n">
        <v>49.8</v>
      </c>
      <c r="F546" s="138" t="n">
        <v>61.5</v>
      </c>
      <c r="G546" s="138" t="n"/>
      <c r="H546" s="138" t="n">
        <v>43.3</v>
      </c>
      <c r="I546" s="138" t="n">
        <v>52.3</v>
      </c>
      <c r="J546" s="138" t="n">
        <v>46.9</v>
      </c>
      <c r="K546" s="138" t="n">
        <v>53.4</v>
      </c>
      <c r="L546" s="138" t="n">
        <v>55.8</v>
      </c>
    </row>
    <row r="547">
      <c r="A547" s="54" t="n">
        <v>34001</v>
      </c>
      <c r="B547" s="71" t="n">
        <v>59.7</v>
      </c>
      <c r="C547" s="138" t="n">
        <v>49.5</v>
      </c>
      <c r="D547" s="55" t="n">
        <v>56</v>
      </c>
      <c r="E547" s="138" t="n">
        <v>53.9</v>
      </c>
      <c r="F547" s="138" t="n">
        <v>63.5</v>
      </c>
      <c r="G547" s="138" t="n"/>
      <c r="H547" s="138" t="n">
        <v>42.6</v>
      </c>
      <c r="I547" s="138" t="n">
        <v>51.7</v>
      </c>
      <c r="J547" s="138" t="n">
        <v>47</v>
      </c>
      <c r="K547" s="138" t="n">
        <v>53.2</v>
      </c>
      <c r="L547" s="138" t="n">
        <v>55.2</v>
      </c>
    </row>
    <row r="548">
      <c r="A548" s="54" t="n">
        <v>34029</v>
      </c>
      <c r="B548" s="71" t="n">
        <v>58.1</v>
      </c>
      <c r="C548" s="138" t="n">
        <v>49.4</v>
      </c>
      <c r="D548" s="55" t="n">
        <v>54.5</v>
      </c>
      <c r="E548" s="138" t="n">
        <v>53.6</v>
      </c>
      <c r="F548" s="138" t="n">
        <v>56.7</v>
      </c>
      <c r="G548" s="138" t="n"/>
      <c r="H548" s="138" t="n">
        <v>45.6</v>
      </c>
      <c r="I548" s="138" t="n">
        <v>52.7</v>
      </c>
      <c r="J548" s="138" t="n">
        <v>47.1</v>
      </c>
      <c r="K548" s="138" t="n">
        <v>52.3</v>
      </c>
      <c r="L548" s="138" t="n">
        <v>53.5</v>
      </c>
    </row>
    <row r="549">
      <c r="A549" s="54" t="n">
        <v>34060</v>
      </c>
      <c r="B549" s="71" t="n">
        <v>53</v>
      </c>
      <c r="C549" s="138" t="n">
        <v>50.1</v>
      </c>
      <c r="D549" s="55" t="n">
        <v>51</v>
      </c>
      <c r="E549" s="138" t="n">
        <v>54.6</v>
      </c>
      <c r="F549" s="138" t="n">
        <v>51.6</v>
      </c>
      <c r="G549" s="138" t="n"/>
      <c r="H549" s="138" t="n">
        <v>44.7</v>
      </c>
      <c r="I549" s="138" t="n">
        <v>52.8</v>
      </c>
      <c r="J549" s="138" t="n">
        <v>44.8</v>
      </c>
      <c r="K549" s="138" t="n">
        <v>53.5</v>
      </c>
      <c r="L549" s="138" t="n">
        <v>50.2</v>
      </c>
    </row>
    <row r="550">
      <c r="A550" s="54" t="n">
        <v>34090</v>
      </c>
      <c r="B550" s="71" t="n">
        <v>55.2</v>
      </c>
      <c r="C550" s="138" t="n">
        <v>47.4</v>
      </c>
      <c r="D550" s="55" t="n">
        <v>51.5</v>
      </c>
      <c r="E550" s="138" t="n">
        <v>50.4</v>
      </c>
      <c r="F550" s="138" t="n">
        <v>55</v>
      </c>
      <c r="G550" s="138" t="n"/>
      <c r="H550" s="138" t="n">
        <v>44.8</v>
      </c>
      <c r="I550" s="138" t="n">
        <v>51.5</v>
      </c>
      <c r="J550" s="138" t="n">
        <v>43.6</v>
      </c>
      <c r="K550" s="138" t="n">
        <v>54.2</v>
      </c>
      <c r="L550" s="138" t="n">
        <v>51.2</v>
      </c>
    </row>
    <row r="551">
      <c r="A551" s="54" t="n">
        <v>34121</v>
      </c>
      <c r="B551" s="71" t="n">
        <v>51.6</v>
      </c>
      <c r="C551" s="138" t="n">
        <v>49.8</v>
      </c>
      <c r="D551" s="55" t="n">
        <v>52</v>
      </c>
      <c r="E551" s="138" t="n">
        <v>50.6</v>
      </c>
      <c r="F551" s="138" t="n">
        <v>53.1</v>
      </c>
      <c r="G551" s="138" t="n"/>
      <c r="H551" s="138" t="n">
        <v>46.5</v>
      </c>
      <c r="I551" s="138" t="n">
        <v>50.4</v>
      </c>
      <c r="J551" s="138" t="n">
        <v>43.2</v>
      </c>
      <c r="K551" s="138" t="n">
        <v>52.4</v>
      </c>
      <c r="L551" s="138" t="n">
        <v>49.6</v>
      </c>
    </row>
    <row r="552">
      <c r="A552" s="54" t="n">
        <v>34151</v>
      </c>
      <c r="B552" s="71" t="n">
        <v>53.8</v>
      </c>
      <c r="C552" s="138" t="n">
        <v>48.7</v>
      </c>
      <c r="D552" s="55" t="n">
        <v>45</v>
      </c>
      <c r="E552" s="138" t="n">
        <v>51.4</v>
      </c>
      <c r="F552" s="138" t="n">
        <v>52.7</v>
      </c>
      <c r="G552" s="138" t="n"/>
      <c r="H552" s="138" t="n">
        <v>45.5</v>
      </c>
      <c r="I552" s="138" t="n">
        <v>51</v>
      </c>
      <c r="J552" s="138" t="n">
        <v>43.6</v>
      </c>
      <c r="K552" s="138" t="n">
        <v>50.1</v>
      </c>
      <c r="L552" s="138" t="n">
        <v>50.2</v>
      </c>
    </row>
    <row r="553">
      <c r="A553" s="54" t="n">
        <v>34182</v>
      </c>
      <c r="B553" s="71" t="n">
        <v>55.3</v>
      </c>
      <c r="C553" s="138" t="n">
        <v>49.4</v>
      </c>
      <c r="D553" s="55" t="n">
        <v>51</v>
      </c>
      <c r="E553" s="138" t="n">
        <v>52.3</v>
      </c>
      <c r="F553" s="138" t="n">
        <v>53.9</v>
      </c>
      <c r="G553" s="138" t="n"/>
      <c r="H553" s="138" t="n">
        <v>44.4</v>
      </c>
      <c r="I553" s="138" t="n">
        <v>51.8</v>
      </c>
      <c r="J553" s="138" t="n">
        <v>41.9</v>
      </c>
      <c r="K553" s="138" t="n">
        <v>52.6</v>
      </c>
      <c r="L553" s="138" t="n">
        <v>50.7</v>
      </c>
    </row>
    <row r="554">
      <c r="A554" s="54" t="n">
        <v>34213</v>
      </c>
      <c r="B554" s="71" t="n">
        <v>52.6</v>
      </c>
      <c r="C554" s="138" t="n">
        <v>49.9</v>
      </c>
      <c r="D554" s="55" t="n">
        <v>49</v>
      </c>
      <c r="E554" s="138" t="n">
        <v>49</v>
      </c>
      <c r="F554" s="138" t="n">
        <v>55.2</v>
      </c>
      <c r="G554" s="138" t="n"/>
      <c r="H554" s="138" t="n">
        <v>46.2</v>
      </c>
      <c r="I554" s="138" t="n">
        <v>51.3</v>
      </c>
      <c r="J554" s="138" t="n">
        <v>44.5</v>
      </c>
      <c r="K554" s="138" t="n">
        <v>51.7</v>
      </c>
      <c r="L554" s="138" t="n">
        <v>50.8</v>
      </c>
    </row>
    <row r="555">
      <c r="A555" s="54" t="n">
        <v>34243</v>
      </c>
      <c r="B555" s="71" t="n">
        <v>58.9</v>
      </c>
      <c r="C555" s="138" t="n">
        <v>49.4</v>
      </c>
      <c r="D555" s="55" t="n">
        <v>55.5</v>
      </c>
      <c r="E555" s="138" t="n">
        <v>50.9</v>
      </c>
      <c r="F555" s="138" t="n">
        <v>56.1</v>
      </c>
      <c r="G555" s="138" t="n"/>
      <c r="H555" s="138" t="n">
        <v>48.6</v>
      </c>
      <c r="I555" s="138" t="n">
        <v>50.7</v>
      </c>
      <c r="J555" s="138" t="n">
        <v>46</v>
      </c>
      <c r="K555" s="138" t="n">
        <v>54.1</v>
      </c>
      <c r="L555" s="138" t="n">
        <v>53.4</v>
      </c>
    </row>
    <row r="556">
      <c r="A556" s="54" t="n">
        <v>34274</v>
      </c>
      <c r="B556" s="71" t="n">
        <v>60.4</v>
      </c>
      <c r="C556" s="138" t="n">
        <v>51.5</v>
      </c>
      <c r="D556" s="55" t="n">
        <v>56.5</v>
      </c>
      <c r="E556" s="138" t="n">
        <v>52.7</v>
      </c>
      <c r="F556" s="138" t="n">
        <v>57.5</v>
      </c>
      <c r="G556" s="138" t="n"/>
      <c r="H556" s="138" t="n">
        <v>45.5</v>
      </c>
      <c r="I556" s="138" t="n">
        <v>50.9</v>
      </c>
      <c r="J556" s="138" t="n">
        <v>45.5</v>
      </c>
      <c r="K556" s="138" t="n">
        <v>55</v>
      </c>
      <c r="L556" s="138" t="n">
        <v>53.8</v>
      </c>
    </row>
    <row r="557">
      <c r="A557" s="54" t="n">
        <v>34304</v>
      </c>
      <c r="B557" s="71" t="n">
        <v>62.4</v>
      </c>
      <c r="C557" s="138" t="n">
        <v>50.3</v>
      </c>
      <c r="D557" s="55" t="n">
        <v>54.5</v>
      </c>
      <c r="E557" s="138" t="n">
        <v>53.1</v>
      </c>
      <c r="F557" s="138" t="n">
        <v>61.7</v>
      </c>
      <c r="G557" s="138" t="n"/>
      <c r="H557" s="138" t="n">
        <v>43.2</v>
      </c>
      <c r="I557" s="138" t="n">
        <v>51.5</v>
      </c>
      <c r="J557" s="138" t="n">
        <v>47.1</v>
      </c>
      <c r="K557" s="138" t="n">
        <v>53.8</v>
      </c>
      <c r="L557" s="138" t="n">
        <v>55.6</v>
      </c>
    </row>
    <row r="558">
      <c r="A558" s="54" t="n">
        <v>34335</v>
      </c>
      <c r="B558" s="71" t="n">
        <v>63.5</v>
      </c>
      <c r="C558" s="138" t="n">
        <v>52.4</v>
      </c>
      <c r="D558" s="55" t="n">
        <v>58</v>
      </c>
      <c r="E558" s="138" t="n">
        <v>58.9</v>
      </c>
      <c r="F558" s="138" t="n">
        <v>59.7</v>
      </c>
      <c r="G558" s="138" t="n"/>
      <c r="H558" s="138" t="n">
        <v>43.9</v>
      </c>
      <c r="I558" s="138" t="n">
        <v>54.4</v>
      </c>
      <c r="J558" s="138" t="n">
        <v>47.5</v>
      </c>
      <c r="K558" s="138" t="n">
        <v>55.3</v>
      </c>
      <c r="L558" s="138" t="n">
        <v>56</v>
      </c>
    </row>
    <row r="559">
      <c r="A559" s="54" t="n">
        <v>34366</v>
      </c>
      <c r="B559" s="71" t="n">
        <v>62.2</v>
      </c>
      <c r="C559" s="138" t="n">
        <v>51.9</v>
      </c>
      <c r="D559" s="55" t="n">
        <v>56.5</v>
      </c>
      <c r="E559" s="138" t="n">
        <v>63</v>
      </c>
      <c r="F559" s="138" t="n">
        <v>60.2</v>
      </c>
      <c r="G559" s="138" t="n"/>
      <c r="H559" s="138" t="n">
        <v>44.6</v>
      </c>
      <c r="I559" s="138" t="n">
        <v>57</v>
      </c>
      <c r="J559" s="138" t="n">
        <v>48.7</v>
      </c>
      <c r="K559" s="138" t="n">
        <v>58.3</v>
      </c>
      <c r="L559" s="138" t="n">
        <v>56.5</v>
      </c>
    </row>
    <row r="560">
      <c r="A560" s="54" t="n">
        <v>34394</v>
      </c>
      <c r="B560" s="71" t="n">
        <v>62.8</v>
      </c>
      <c r="C560" s="138" t="n">
        <v>51.8</v>
      </c>
      <c r="D560" s="55" t="n">
        <v>56.5</v>
      </c>
      <c r="E560" s="138" t="n">
        <v>62.9</v>
      </c>
      <c r="F560" s="138" t="n">
        <v>63.4</v>
      </c>
      <c r="G560" s="138" t="n"/>
      <c r="H560" s="138" t="n">
        <v>43</v>
      </c>
      <c r="I560" s="138" t="n">
        <v>55.4</v>
      </c>
      <c r="J560" s="138" t="n">
        <v>48.2</v>
      </c>
      <c r="K560" s="138" t="n">
        <v>55.2</v>
      </c>
      <c r="L560" s="138" t="n">
        <v>56.9</v>
      </c>
    </row>
    <row r="561">
      <c r="A561" s="54" t="n">
        <v>34425</v>
      </c>
      <c r="B561" s="71" t="n">
        <v>62.7</v>
      </c>
      <c r="C561" s="138" t="n">
        <v>51.8</v>
      </c>
      <c r="D561" s="55" t="n">
        <v>61.5</v>
      </c>
      <c r="E561" s="138" t="n">
        <v>63.5</v>
      </c>
      <c r="F561" s="138" t="n">
        <v>61.4</v>
      </c>
      <c r="G561" s="138" t="n"/>
      <c r="H561" s="138" t="n">
        <v>45.9</v>
      </c>
      <c r="I561" s="138" t="n">
        <v>57.2</v>
      </c>
      <c r="J561" s="138" t="n">
        <v>50.1</v>
      </c>
      <c r="K561" s="138" t="n">
        <v>56.9</v>
      </c>
      <c r="L561" s="138" t="n">
        <v>57.4</v>
      </c>
    </row>
    <row r="562">
      <c r="A562" s="54" t="n">
        <v>34455</v>
      </c>
      <c r="B562" s="71" t="n">
        <v>61.6</v>
      </c>
      <c r="C562" s="138" t="n">
        <v>53.4</v>
      </c>
      <c r="D562" s="55" t="n">
        <v>61.5</v>
      </c>
      <c r="E562" s="138" t="n">
        <v>67.8</v>
      </c>
      <c r="F562" s="138" t="n">
        <v>62.7</v>
      </c>
      <c r="G562" s="138" t="n"/>
      <c r="H562" s="138" t="n">
        <v>47.6</v>
      </c>
      <c r="I562" s="138" t="n">
        <v>60.2</v>
      </c>
      <c r="J562" s="138" t="n">
        <v>51.4</v>
      </c>
      <c r="K562" s="138" t="n">
        <v>54.9</v>
      </c>
      <c r="L562" s="138" t="n">
        <v>58.2</v>
      </c>
    </row>
    <row r="563">
      <c r="A563" s="54" t="n">
        <v>34486</v>
      </c>
      <c r="B563" s="71" t="n">
        <v>65</v>
      </c>
      <c r="C563" s="138" t="n">
        <v>55.2</v>
      </c>
      <c r="D563" s="55" t="n">
        <v>60</v>
      </c>
      <c r="E563" s="138" t="n">
        <v>69.7</v>
      </c>
      <c r="F563" s="138" t="n">
        <v>62</v>
      </c>
      <c r="G563" s="138" t="n"/>
      <c r="H563" s="138" t="n">
        <v>48.3</v>
      </c>
      <c r="I563" s="138" t="n">
        <v>60.3</v>
      </c>
      <c r="J563" s="138" t="n">
        <v>49.5</v>
      </c>
      <c r="K563" s="138" t="n">
        <v>57.8</v>
      </c>
      <c r="L563" s="138" t="n">
        <v>58.8</v>
      </c>
    </row>
    <row r="564">
      <c r="A564" s="54" t="n">
        <v>34516</v>
      </c>
      <c r="B564" s="71" t="n">
        <v>64.2</v>
      </c>
      <c r="C564" s="138" t="n">
        <v>51.1</v>
      </c>
      <c r="D564" s="55" t="n">
        <v>59.5</v>
      </c>
      <c r="E564" s="138" t="n">
        <v>71.59999999999999</v>
      </c>
      <c r="F564" s="138" t="n">
        <v>62.3</v>
      </c>
      <c r="G564" s="138" t="n"/>
      <c r="H564" s="138" t="n">
        <v>45.1</v>
      </c>
      <c r="I564" s="138" t="n">
        <v>58.1</v>
      </c>
      <c r="J564" s="138" t="n">
        <v>52.3</v>
      </c>
      <c r="K564" s="138" t="n">
        <v>56.7</v>
      </c>
      <c r="L564" s="138" t="n">
        <v>58.5</v>
      </c>
    </row>
    <row r="565">
      <c r="A565" s="54" t="n">
        <v>34547</v>
      </c>
      <c r="B565" s="71" t="n">
        <v>63</v>
      </c>
      <c r="C565" s="138" t="n">
        <v>51.3</v>
      </c>
      <c r="D565" s="55" t="n">
        <v>60.5</v>
      </c>
      <c r="E565" s="138" t="n">
        <v>75.2</v>
      </c>
      <c r="F565" s="138" t="n">
        <v>60.2</v>
      </c>
      <c r="G565" s="138" t="n"/>
      <c r="H565" s="138" t="n">
        <v>44.9</v>
      </c>
      <c r="I565" s="138" t="n">
        <v>61.6</v>
      </c>
      <c r="J565" s="138" t="n">
        <v>51.4</v>
      </c>
      <c r="K565" s="138" t="n">
        <v>57.7</v>
      </c>
      <c r="L565" s="138" t="n">
        <v>58</v>
      </c>
    </row>
    <row r="566">
      <c r="A566" s="54" t="n">
        <v>34578</v>
      </c>
      <c r="B566" s="71" t="n">
        <v>62.7</v>
      </c>
      <c r="C566" s="138" t="n">
        <v>53</v>
      </c>
      <c r="D566" s="55" t="n">
        <v>60.5</v>
      </c>
      <c r="E566" s="138" t="n">
        <v>80.3</v>
      </c>
      <c r="F566" s="138" t="n">
        <v>62.8</v>
      </c>
      <c r="G566" s="138" t="n"/>
      <c r="H566" s="138" t="n">
        <v>46.1</v>
      </c>
      <c r="I566" s="138" t="n">
        <v>62.5</v>
      </c>
      <c r="J566" s="138" t="n">
        <v>52.5</v>
      </c>
      <c r="K566" s="138" t="n">
        <v>60</v>
      </c>
      <c r="L566" s="138" t="n">
        <v>59</v>
      </c>
    </row>
    <row r="567">
      <c r="A567" s="54" t="n">
        <v>34608</v>
      </c>
      <c r="B567" s="71" t="n">
        <v>63</v>
      </c>
      <c r="C567" s="138" t="n">
        <v>53.7</v>
      </c>
      <c r="D567" s="55" t="n">
        <v>60.5</v>
      </c>
      <c r="E567" s="138" t="n">
        <v>84.09999999999999</v>
      </c>
      <c r="F567" s="138" t="n">
        <v>63.3</v>
      </c>
      <c r="G567" s="138" t="n"/>
      <c r="H567" s="138" t="n">
        <v>47.6</v>
      </c>
      <c r="I567" s="138" t="n">
        <v>64.90000000000001</v>
      </c>
      <c r="J567" s="138" t="n">
        <v>51.1</v>
      </c>
      <c r="K567" s="138" t="n">
        <v>58.5</v>
      </c>
      <c r="L567" s="138" t="n">
        <v>59.4</v>
      </c>
    </row>
    <row r="568">
      <c r="A568" s="54" t="n">
        <v>34639</v>
      </c>
      <c r="B568" s="71" t="n">
        <v>61.5</v>
      </c>
      <c r="C568" s="138" t="n">
        <v>53.2</v>
      </c>
      <c r="D568" s="55" t="n">
        <v>58</v>
      </c>
      <c r="E568" s="138" t="n">
        <v>84.5</v>
      </c>
      <c r="F568" s="138" t="n">
        <v>63.9</v>
      </c>
      <c r="G568" s="138" t="n"/>
      <c r="H568" s="138" t="n">
        <v>47.3</v>
      </c>
      <c r="I568" s="138" t="n">
        <v>64.7</v>
      </c>
      <c r="J568" s="138" t="n">
        <v>51.6</v>
      </c>
      <c r="K568" s="138" t="n">
        <v>56.1</v>
      </c>
      <c r="L568" s="138" t="n">
        <v>59.2</v>
      </c>
    </row>
    <row r="569">
      <c r="A569" s="54" t="n">
        <v>34669</v>
      </c>
      <c r="B569" s="71" t="n">
        <v>58.9</v>
      </c>
      <c r="C569" s="138" t="n">
        <v>52.6</v>
      </c>
      <c r="D569" s="55" t="n">
        <v>53.5</v>
      </c>
      <c r="E569" s="138" t="n">
        <v>87.09999999999999</v>
      </c>
      <c r="F569" s="138" t="n">
        <v>59.5</v>
      </c>
      <c r="G569" s="138" t="n"/>
      <c r="H569" s="138" t="n">
        <v>45</v>
      </c>
      <c r="I569" s="138" t="n">
        <v>64.8</v>
      </c>
      <c r="J569" s="138" t="n">
        <v>46.7</v>
      </c>
      <c r="K569" s="138" t="n">
        <v>58.4</v>
      </c>
      <c r="L569" s="138" t="n">
        <v>56.1</v>
      </c>
    </row>
    <row r="570">
      <c r="A570" s="54" t="n">
        <v>34700</v>
      </c>
      <c r="B570" s="71" t="n">
        <v>59.7</v>
      </c>
      <c r="C570" s="138" t="n">
        <v>52.2</v>
      </c>
      <c r="D570" s="55" t="n">
        <v>54</v>
      </c>
      <c r="E570" s="138" t="n">
        <v>86</v>
      </c>
      <c r="F570" s="138" t="n">
        <v>60.9</v>
      </c>
      <c r="G570" s="138" t="n"/>
      <c r="H570" s="138" t="n">
        <v>45.2</v>
      </c>
      <c r="I570" s="138" t="n">
        <v>62.7</v>
      </c>
      <c r="J570" s="138" t="n">
        <v>51.9</v>
      </c>
      <c r="K570" s="138" t="n">
        <v>59.1</v>
      </c>
      <c r="L570" s="138" t="n">
        <v>57.4</v>
      </c>
    </row>
    <row r="571">
      <c r="A571" s="54" t="n">
        <v>34731</v>
      </c>
      <c r="B571" s="71" t="n">
        <v>56.6</v>
      </c>
      <c r="C571" s="138" t="n">
        <v>53</v>
      </c>
      <c r="D571" s="55" t="n">
        <v>55</v>
      </c>
      <c r="E571" s="138" t="n">
        <v>81.7</v>
      </c>
      <c r="F571" s="138" t="n">
        <v>57.4</v>
      </c>
      <c r="G571" s="138" t="n"/>
      <c r="H571" s="138" t="n">
        <v>47</v>
      </c>
      <c r="I571" s="138" t="n">
        <v>60.7</v>
      </c>
      <c r="J571" s="138" t="n">
        <v>50</v>
      </c>
      <c r="K571" s="138" t="n">
        <v>58.7</v>
      </c>
      <c r="L571" s="138" t="n">
        <v>55.1</v>
      </c>
    </row>
    <row r="572">
      <c r="A572" s="54" t="n">
        <v>34759</v>
      </c>
      <c r="B572" s="71" t="n">
        <v>51.9</v>
      </c>
      <c r="C572" s="138" t="n">
        <v>52</v>
      </c>
      <c r="D572" s="55" t="n">
        <v>51</v>
      </c>
      <c r="E572" s="138" t="n">
        <v>78.90000000000001</v>
      </c>
      <c r="F572" s="138" t="n">
        <v>54.8</v>
      </c>
      <c r="G572" s="138" t="n"/>
      <c r="H572" s="138" t="n">
        <v>47</v>
      </c>
      <c r="I572" s="138" t="n">
        <v>56.9</v>
      </c>
      <c r="J572" s="138" t="n">
        <v>48.1</v>
      </c>
      <c r="K572" s="138" t="n">
        <v>56.9</v>
      </c>
      <c r="L572" s="138" t="n">
        <v>52.1</v>
      </c>
    </row>
    <row r="573">
      <c r="A573" s="54" t="n">
        <v>34790</v>
      </c>
      <c r="B573" s="71" t="n">
        <v>52.2</v>
      </c>
      <c r="C573" s="138" t="n">
        <v>49.8</v>
      </c>
      <c r="D573" s="55" t="n">
        <v>47.5</v>
      </c>
      <c r="E573" s="138" t="n">
        <v>74.5</v>
      </c>
      <c r="F573" s="138" t="n">
        <v>54.1</v>
      </c>
      <c r="G573" s="138" t="n"/>
      <c r="H573" s="138" t="n">
        <v>44.2</v>
      </c>
      <c r="I573" s="138" t="n">
        <v>56.3</v>
      </c>
      <c r="J573" s="138" t="n">
        <v>47.4</v>
      </c>
      <c r="K573" s="138" t="n">
        <v>55.6</v>
      </c>
      <c r="L573" s="138" t="n">
        <v>51.5</v>
      </c>
    </row>
    <row r="574">
      <c r="A574" s="54" t="n">
        <v>34820</v>
      </c>
      <c r="B574" s="71" t="n">
        <v>44</v>
      </c>
      <c r="C574" s="138" t="n">
        <v>47.9</v>
      </c>
      <c r="D574" s="55" t="n">
        <v>42</v>
      </c>
      <c r="E574" s="138" t="n">
        <v>70.5</v>
      </c>
      <c r="F574" s="138" t="n">
        <v>49.9</v>
      </c>
      <c r="G574" s="138" t="n"/>
      <c r="H574" s="138" t="n">
        <v>43.3</v>
      </c>
      <c r="I574" s="138" t="n">
        <v>53.3</v>
      </c>
      <c r="J574" s="138" t="n">
        <v>43.7</v>
      </c>
      <c r="K574" s="138" t="n">
        <v>56.3</v>
      </c>
      <c r="L574" s="138" t="n">
        <v>46.7</v>
      </c>
    </row>
    <row r="575">
      <c r="A575" s="54" t="n">
        <v>34851</v>
      </c>
      <c r="B575" s="71" t="n">
        <v>43.5</v>
      </c>
      <c r="C575" s="138" t="n">
        <v>49.3</v>
      </c>
      <c r="D575" s="55" t="n">
        <v>36</v>
      </c>
      <c r="E575" s="138" t="n">
        <v>64.7</v>
      </c>
      <c r="F575" s="138" t="n">
        <v>46.1</v>
      </c>
      <c r="G575" s="138" t="n"/>
      <c r="H575" s="138" t="n">
        <v>43</v>
      </c>
      <c r="I575" s="138" t="n">
        <v>51.8</v>
      </c>
      <c r="J575" s="138" t="n">
        <v>46.5</v>
      </c>
      <c r="K575" s="138" t="n">
        <v>56.1</v>
      </c>
      <c r="L575" s="138" t="n">
        <v>45.9</v>
      </c>
    </row>
    <row r="576">
      <c r="A576" s="54" t="n">
        <v>34881</v>
      </c>
      <c r="B576" s="71" t="n">
        <v>52.7</v>
      </c>
      <c r="C576" s="138" t="n">
        <v>53.3</v>
      </c>
      <c r="D576" s="55" t="n">
        <v>41.5</v>
      </c>
      <c r="E576" s="138" t="n">
        <v>58.6</v>
      </c>
      <c r="F576" s="138" t="n">
        <v>51.6</v>
      </c>
      <c r="G576" s="138" t="n"/>
      <c r="H576" s="138" t="n">
        <v>46.5</v>
      </c>
      <c r="I576" s="138" t="n">
        <v>51.3</v>
      </c>
      <c r="J576" s="138" t="n">
        <v>48.1</v>
      </c>
      <c r="K576" s="138" t="n">
        <v>56.4</v>
      </c>
      <c r="L576" s="138" t="n">
        <v>50.7</v>
      </c>
    </row>
    <row r="577">
      <c r="A577" s="54" t="n">
        <v>34912</v>
      </c>
      <c r="B577" s="71" t="n">
        <v>46.5</v>
      </c>
      <c r="C577" s="138" t="n">
        <v>51.8</v>
      </c>
      <c r="D577" s="55" t="n">
        <v>40.5</v>
      </c>
      <c r="E577" s="138" t="n">
        <v>48.5</v>
      </c>
      <c r="F577" s="138" t="n">
        <v>49.1</v>
      </c>
      <c r="G577" s="138" t="n"/>
      <c r="H577" s="138" t="n">
        <v>45.5</v>
      </c>
      <c r="I577" s="138" t="n">
        <v>49.1</v>
      </c>
      <c r="J577" s="138" t="n">
        <v>45</v>
      </c>
      <c r="K577" s="138" t="n">
        <v>53.7</v>
      </c>
      <c r="L577" s="138" t="n">
        <v>47.1</v>
      </c>
    </row>
    <row r="578">
      <c r="A578" s="54" t="n">
        <v>34943</v>
      </c>
      <c r="B578" s="71" t="n">
        <v>49.4</v>
      </c>
      <c r="C578" s="138" t="n">
        <v>49.4</v>
      </c>
      <c r="D578" s="55" t="n">
        <v>43.5</v>
      </c>
      <c r="E578" s="138" t="n">
        <v>48.8</v>
      </c>
      <c r="F578" s="138" t="n">
        <v>50.5</v>
      </c>
      <c r="G578" s="138" t="n"/>
      <c r="H578" s="138" t="n">
        <v>40.3</v>
      </c>
      <c r="I578" s="138" t="n">
        <v>50</v>
      </c>
      <c r="J578" s="138" t="n">
        <v>45.5</v>
      </c>
      <c r="K578" s="138" t="n">
        <v>52.6</v>
      </c>
      <c r="L578" s="138" t="n">
        <v>48.1</v>
      </c>
    </row>
    <row r="579">
      <c r="A579" s="54" t="n">
        <v>34973</v>
      </c>
      <c r="B579" s="71" t="n">
        <v>47.5</v>
      </c>
      <c r="C579" s="138" t="n">
        <v>49.5</v>
      </c>
      <c r="D579" s="55" t="n">
        <v>40.5</v>
      </c>
      <c r="E579" s="138" t="n">
        <v>46.5</v>
      </c>
      <c r="F579" s="138" t="n">
        <v>47</v>
      </c>
      <c r="G579" s="138" t="n"/>
      <c r="H579" s="138" t="n">
        <v>42.2</v>
      </c>
      <c r="I579" s="138" t="n">
        <v>48.4</v>
      </c>
      <c r="J579" s="138" t="n">
        <v>45.9</v>
      </c>
      <c r="K579" s="138" t="n">
        <v>52.2</v>
      </c>
      <c r="L579" s="138" t="n">
        <v>46.7</v>
      </c>
    </row>
    <row r="580">
      <c r="A580" s="54" t="n">
        <v>35004</v>
      </c>
      <c r="B580" s="71" t="n">
        <v>48.6</v>
      </c>
      <c r="C580" s="138" t="n">
        <v>44.2</v>
      </c>
      <c r="D580" s="55" t="n">
        <v>41.5</v>
      </c>
      <c r="E580" s="138" t="n">
        <v>44.5</v>
      </c>
      <c r="F580" s="138" t="n">
        <v>45</v>
      </c>
      <c r="G580" s="138" t="n"/>
      <c r="H580" s="138" t="n">
        <v>43.3</v>
      </c>
      <c r="I580" s="138" t="n">
        <v>45.3</v>
      </c>
      <c r="J580" s="138" t="n">
        <v>44.5</v>
      </c>
      <c r="K580" s="138" t="n">
        <v>54.7</v>
      </c>
      <c r="L580" s="138" t="n">
        <v>45.9</v>
      </c>
    </row>
    <row r="581">
      <c r="A581" s="54" t="n">
        <v>35034</v>
      </c>
      <c r="B581" s="71" t="n">
        <v>45.9</v>
      </c>
      <c r="C581" s="138" t="n">
        <v>49.5</v>
      </c>
      <c r="D581" s="55" t="n">
        <v>42</v>
      </c>
      <c r="E581" s="138" t="n">
        <v>40.3</v>
      </c>
      <c r="F581" s="138" t="n">
        <v>46.9</v>
      </c>
      <c r="G581" s="138" t="n"/>
      <c r="H581" s="138" t="n">
        <v>43.1</v>
      </c>
      <c r="I581" s="138" t="n">
        <v>47.5</v>
      </c>
      <c r="J581" s="138" t="n">
        <v>46.2</v>
      </c>
      <c r="K581" s="138" t="n">
        <v>56.5</v>
      </c>
      <c r="L581" s="138" t="n">
        <v>46.2</v>
      </c>
    </row>
    <row r="582">
      <c r="A582" s="54" t="n">
        <v>35065</v>
      </c>
      <c r="B582" s="71" t="n">
        <v>44.1</v>
      </c>
      <c r="C582" s="138" t="n">
        <v>48.3</v>
      </c>
      <c r="D582" s="55" t="n">
        <v>41.5</v>
      </c>
      <c r="E582" s="138" t="n">
        <v>40.3</v>
      </c>
      <c r="F582" s="138" t="n">
        <v>45.6</v>
      </c>
      <c r="G582" s="138" t="n"/>
      <c r="H582" s="138" t="n">
        <v>46.6</v>
      </c>
      <c r="I582" s="138" t="n">
        <v>47.8</v>
      </c>
      <c r="J582" s="138" t="n">
        <v>45.3</v>
      </c>
      <c r="K582" s="138" t="n">
        <v>50</v>
      </c>
      <c r="L582" s="138" t="n">
        <v>45.5</v>
      </c>
    </row>
    <row r="583">
      <c r="A583" s="54" t="n">
        <v>35096</v>
      </c>
      <c r="B583" s="71" t="n">
        <v>46.1</v>
      </c>
      <c r="C583" s="138" t="n">
        <v>48.1</v>
      </c>
      <c r="D583" s="55" t="n">
        <v>43.5</v>
      </c>
      <c r="E583" s="138" t="n">
        <v>38.8</v>
      </c>
      <c r="F583" s="138" t="n">
        <v>45.7</v>
      </c>
      <c r="G583" s="138" t="n"/>
      <c r="H583" s="138" t="n">
        <v>43.3</v>
      </c>
      <c r="I583" s="138" t="n">
        <v>49.5</v>
      </c>
      <c r="J583" s="138" t="n">
        <v>44.6</v>
      </c>
      <c r="K583" s="138" t="n">
        <v>51.3</v>
      </c>
      <c r="L583" s="138" t="n">
        <v>45.9</v>
      </c>
    </row>
    <row r="584">
      <c r="A584" s="54" t="n">
        <v>35125</v>
      </c>
      <c r="B584" s="71" t="n">
        <v>49.1</v>
      </c>
      <c r="C584" s="138" t="n">
        <v>47.5</v>
      </c>
      <c r="D584" s="55" t="n">
        <v>40</v>
      </c>
      <c r="E584" s="138" t="n">
        <v>39.9</v>
      </c>
      <c r="F584" s="138" t="n">
        <v>47.3</v>
      </c>
      <c r="G584" s="138" t="n"/>
      <c r="H584" s="138" t="n">
        <v>40</v>
      </c>
      <c r="I584" s="138" t="n">
        <v>49.6</v>
      </c>
      <c r="J584" s="138" t="n">
        <v>44.4</v>
      </c>
      <c r="K584" s="138" t="n">
        <v>50.8</v>
      </c>
      <c r="L584" s="138" t="n">
        <v>46.9</v>
      </c>
    </row>
    <row r="585">
      <c r="A585" s="54" t="n">
        <v>35156</v>
      </c>
      <c r="B585" s="71" t="n">
        <v>52.3</v>
      </c>
      <c r="C585" s="138" t="n">
        <v>47.5</v>
      </c>
      <c r="D585" s="55" t="n">
        <v>44</v>
      </c>
      <c r="E585" s="138" t="n">
        <v>41.5</v>
      </c>
      <c r="F585" s="138" t="n">
        <v>51.6</v>
      </c>
      <c r="G585" s="138" t="n"/>
      <c r="H585" s="138" t="n">
        <v>43.9</v>
      </c>
      <c r="I585" s="138" t="n">
        <v>49.4</v>
      </c>
      <c r="J585" s="138" t="n">
        <v>44.7</v>
      </c>
      <c r="K585" s="138" t="n">
        <v>51.4</v>
      </c>
      <c r="L585" s="138" t="n">
        <v>49.3</v>
      </c>
    </row>
    <row r="586">
      <c r="A586" s="54" t="n">
        <v>35186</v>
      </c>
      <c r="B586" s="71" t="n">
        <v>51.7</v>
      </c>
      <c r="C586" s="138" t="n">
        <v>48.5</v>
      </c>
      <c r="D586" s="55" t="n">
        <v>48.5</v>
      </c>
      <c r="E586" s="138" t="n">
        <v>50.2</v>
      </c>
      <c r="F586" s="138" t="n">
        <v>53</v>
      </c>
      <c r="G586" s="138" t="n"/>
      <c r="H586" s="138" t="n">
        <v>39.2</v>
      </c>
      <c r="I586" s="138" t="n">
        <v>49.9</v>
      </c>
      <c r="J586" s="138" t="n">
        <v>44.7</v>
      </c>
      <c r="K586" s="138" t="n">
        <v>57.2</v>
      </c>
      <c r="L586" s="138" t="n">
        <v>49.1</v>
      </c>
    </row>
    <row r="587">
      <c r="A587" s="54" t="n">
        <v>35217</v>
      </c>
      <c r="B587" s="71" t="n">
        <v>59.4</v>
      </c>
      <c r="C587" s="138" t="n">
        <v>48.7</v>
      </c>
      <c r="D587" s="55" t="n">
        <v>51</v>
      </c>
      <c r="E587" s="138" t="n">
        <v>47.9</v>
      </c>
      <c r="F587" s="138" t="n">
        <v>55.5</v>
      </c>
      <c r="G587" s="138" t="n"/>
      <c r="H587" s="138" t="n">
        <v>43.1</v>
      </c>
      <c r="I587" s="138" t="n">
        <v>52.8</v>
      </c>
      <c r="J587" s="138" t="n">
        <v>48.2</v>
      </c>
      <c r="K587" s="138" t="n">
        <v>53.1</v>
      </c>
      <c r="L587" s="138" t="n">
        <v>53.6</v>
      </c>
    </row>
    <row r="588">
      <c r="A588" s="54" t="n">
        <v>35247</v>
      </c>
      <c r="B588" s="71" t="n">
        <v>51.9</v>
      </c>
      <c r="C588" s="138" t="n">
        <v>53.1</v>
      </c>
      <c r="D588" s="55" t="n">
        <v>47.5</v>
      </c>
      <c r="E588" s="138" t="n">
        <v>44.1</v>
      </c>
      <c r="F588" s="138" t="n">
        <v>52.4</v>
      </c>
      <c r="G588" s="138" t="n"/>
      <c r="H588" s="138" t="n">
        <v>40.8</v>
      </c>
      <c r="I588" s="138" t="n">
        <v>50.8</v>
      </c>
      <c r="J588" s="138" t="n">
        <v>46.7</v>
      </c>
      <c r="K588" s="138" t="n">
        <v>53.2</v>
      </c>
      <c r="L588" s="138" t="n">
        <v>49.7</v>
      </c>
    </row>
    <row r="589">
      <c r="A589" s="54" t="n">
        <v>35278</v>
      </c>
      <c r="B589" s="71" t="n">
        <v>54.6</v>
      </c>
      <c r="C589" s="138" t="n">
        <v>50</v>
      </c>
      <c r="D589" s="55" t="n">
        <v>47</v>
      </c>
      <c r="E589" s="138" t="n">
        <v>46.6</v>
      </c>
      <c r="F589" s="138" t="n">
        <v>55.1</v>
      </c>
      <c r="G589" s="138" t="n"/>
      <c r="H589" s="138" t="n">
        <v>42.2</v>
      </c>
      <c r="I589" s="138" t="n">
        <v>51.9</v>
      </c>
      <c r="J589" s="138" t="n">
        <v>47.4</v>
      </c>
      <c r="K589" s="138" t="n">
        <v>55.3</v>
      </c>
      <c r="L589" s="138" t="n">
        <v>51.6</v>
      </c>
    </row>
    <row r="590">
      <c r="A590" s="54" t="n">
        <v>35309</v>
      </c>
      <c r="B590" s="71" t="n">
        <v>54.6</v>
      </c>
      <c r="C590" s="138" t="n">
        <v>50.7</v>
      </c>
      <c r="D590" s="55" t="n">
        <v>49.5</v>
      </c>
      <c r="E590" s="138" t="n">
        <v>50.1</v>
      </c>
      <c r="F590" s="138" t="n">
        <v>53.5</v>
      </c>
      <c r="G590" s="138" t="n"/>
      <c r="H590" s="138" t="n">
        <v>43.7</v>
      </c>
      <c r="I590" s="138" t="n">
        <v>50</v>
      </c>
      <c r="J590" s="138" t="n">
        <v>47.2</v>
      </c>
      <c r="K590" s="138" t="n">
        <v>55.1</v>
      </c>
      <c r="L590" s="138" t="n">
        <v>51.1</v>
      </c>
    </row>
    <row r="591">
      <c r="A591" s="54" t="n">
        <v>35339</v>
      </c>
      <c r="B591" s="71" t="n">
        <v>52.9</v>
      </c>
      <c r="C591" s="138" t="n">
        <v>52.8</v>
      </c>
      <c r="D591" s="55" t="n">
        <v>44.5</v>
      </c>
      <c r="E591" s="138" t="n">
        <v>45.7</v>
      </c>
      <c r="F591" s="138" t="n">
        <v>55.4</v>
      </c>
      <c r="G591" s="138" t="n"/>
      <c r="H591" s="138" t="n">
        <v>39.6</v>
      </c>
      <c r="I591" s="138" t="n">
        <v>50.9</v>
      </c>
      <c r="J591" s="138" t="n">
        <v>46</v>
      </c>
      <c r="K591" s="138" t="n">
        <v>57</v>
      </c>
      <c r="L591" s="138" t="n">
        <v>50.5</v>
      </c>
    </row>
    <row r="592">
      <c r="A592" s="54" t="n">
        <v>35370</v>
      </c>
      <c r="B592" s="71" t="n">
        <v>56.9</v>
      </c>
      <c r="C592" s="138" t="n">
        <v>53.2</v>
      </c>
      <c r="D592" s="55" t="n">
        <v>49</v>
      </c>
      <c r="E592" s="138" t="n">
        <v>46.3</v>
      </c>
      <c r="F592" s="138" t="n">
        <v>58.1</v>
      </c>
      <c r="G592" s="138" t="n"/>
      <c r="H592" s="138" t="n">
        <v>42.3</v>
      </c>
      <c r="I592" s="138" t="n">
        <v>51.2</v>
      </c>
      <c r="J592" s="138" t="n">
        <v>47.6</v>
      </c>
      <c r="K592" s="138" t="n">
        <v>55.5</v>
      </c>
      <c r="L592" s="138" t="n">
        <v>53</v>
      </c>
    </row>
    <row r="593">
      <c r="A593" s="54" t="n">
        <v>35400</v>
      </c>
      <c r="B593" s="71" t="n">
        <v>61.7</v>
      </c>
      <c r="C593" s="138" t="n">
        <v>51.6</v>
      </c>
      <c r="D593" s="55" t="n">
        <v>51</v>
      </c>
      <c r="E593" s="138" t="n">
        <v>52</v>
      </c>
      <c r="F593" s="138" t="n">
        <v>58.9</v>
      </c>
      <c r="G593" s="138" t="n"/>
      <c r="H593" s="138" t="n">
        <v>44.4</v>
      </c>
      <c r="I593" s="138" t="n">
        <v>52</v>
      </c>
      <c r="J593" s="138" t="n">
        <v>48.6</v>
      </c>
      <c r="K593" s="138" t="n">
        <v>56.5</v>
      </c>
      <c r="L593" s="138" t="n">
        <v>55.2</v>
      </c>
    </row>
    <row r="594">
      <c r="A594" s="54" t="n">
        <v>35431</v>
      </c>
      <c r="B594" s="71" t="n">
        <v>57</v>
      </c>
      <c r="C594" s="138" t="n">
        <v>53.5</v>
      </c>
      <c r="D594" s="55" t="n">
        <v>45.5</v>
      </c>
      <c r="E594" s="138" t="n">
        <v>53.3</v>
      </c>
      <c r="F594" s="138" t="n">
        <v>59.8</v>
      </c>
      <c r="G594" s="138" t="n">
        <v>46.5</v>
      </c>
      <c r="H594" s="138" t="n">
        <v>43.2</v>
      </c>
      <c r="I594" s="138" t="n">
        <v>49.7</v>
      </c>
      <c r="J594" s="138" t="n">
        <v>49.8</v>
      </c>
      <c r="K594" s="138" t="n">
        <v>56.2</v>
      </c>
      <c r="L594" s="138" t="n">
        <v>53.8</v>
      </c>
    </row>
    <row r="595">
      <c r="A595" s="54" t="n">
        <v>35462</v>
      </c>
      <c r="B595" s="71" t="n">
        <v>57.6</v>
      </c>
      <c r="C595" s="138" t="n">
        <v>53.7</v>
      </c>
      <c r="D595" s="55" t="n">
        <v>48.5</v>
      </c>
      <c r="E595" s="138" t="n">
        <v>56.4</v>
      </c>
      <c r="F595" s="138" t="n">
        <v>58.9</v>
      </c>
      <c r="G595" s="138" t="n">
        <v>44.5</v>
      </c>
      <c r="H595" s="138" t="n">
        <v>41.3</v>
      </c>
      <c r="I595" s="138" t="n">
        <v>52.1</v>
      </c>
      <c r="J595" s="138" t="n">
        <v>45.9</v>
      </c>
      <c r="K595" s="138" t="n">
        <v>54.6</v>
      </c>
      <c r="L595" s="138" t="n">
        <v>53.1</v>
      </c>
    </row>
    <row r="596">
      <c r="A596" s="54" t="n">
        <v>35490</v>
      </c>
      <c r="B596" s="71" t="n">
        <v>58.6</v>
      </c>
      <c r="C596" s="138" t="n">
        <v>48.3</v>
      </c>
      <c r="D596" s="55" t="n">
        <v>51.5</v>
      </c>
      <c r="E596" s="138" t="n">
        <v>51.1</v>
      </c>
      <c r="F596" s="138" t="n">
        <v>55</v>
      </c>
      <c r="G596" s="138" t="n">
        <v>46.5</v>
      </c>
      <c r="H596" s="138" t="n">
        <v>43.5</v>
      </c>
      <c r="I596" s="138" t="n">
        <v>53.1</v>
      </c>
      <c r="J596" s="138" t="n">
        <v>50.8</v>
      </c>
      <c r="K596" s="138" t="n">
        <v>55.7</v>
      </c>
      <c r="L596" s="138" t="n">
        <v>53.8</v>
      </c>
    </row>
    <row r="597">
      <c r="A597" s="54" t="n">
        <v>35521</v>
      </c>
      <c r="B597" s="71" t="n">
        <v>56.6</v>
      </c>
      <c r="C597" s="138" t="n">
        <v>51.4</v>
      </c>
      <c r="D597" s="55" t="n">
        <v>54</v>
      </c>
      <c r="E597" s="138" t="n">
        <v>50.3</v>
      </c>
      <c r="F597" s="138" t="n">
        <v>56.8</v>
      </c>
      <c r="G597" s="138" t="n">
        <v>47</v>
      </c>
      <c r="H597" s="138" t="n">
        <v>41.4</v>
      </c>
      <c r="I597" s="138" t="n">
        <v>53.4</v>
      </c>
      <c r="J597" s="138" t="n">
        <v>51.8</v>
      </c>
      <c r="K597" s="138" t="n">
        <v>54.7</v>
      </c>
      <c r="L597" s="138" t="n">
        <v>53.7</v>
      </c>
    </row>
    <row r="598">
      <c r="A598" s="54" t="n">
        <v>35551</v>
      </c>
      <c r="B598" s="71" t="n">
        <v>62.3</v>
      </c>
      <c r="C598" s="138" t="n">
        <v>52.1</v>
      </c>
      <c r="D598" s="55" t="n">
        <v>58</v>
      </c>
      <c r="E598" s="138" t="n">
        <v>48.5</v>
      </c>
      <c r="F598" s="138" t="n">
        <v>56.7</v>
      </c>
      <c r="G598" s="138" t="n">
        <v>44.5</v>
      </c>
      <c r="H598" s="138" t="n">
        <v>48.1</v>
      </c>
      <c r="I598" s="138" t="n">
        <v>55</v>
      </c>
      <c r="J598" s="138" t="n">
        <v>50.7</v>
      </c>
      <c r="K598" s="138" t="n">
        <v>53.6</v>
      </c>
      <c r="L598" s="138" t="n">
        <v>56.1</v>
      </c>
    </row>
    <row r="599">
      <c r="A599" s="54" t="n">
        <v>35582</v>
      </c>
      <c r="B599" s="71" t="n">
        <v>59.4</v>
      </c>
      <c r="C599" s="138" t="n">
        <v>54.1</v>
      </c>
      <c r="D599" s="55" t="n">
        <v>53.5</v>
      </c>
      <c r="E599" s="138" t="n">
        <v>48.9</v>
      </c>
      <c r="F599" s="138" t="n">
        <v>56.5</v>
      </c>
      <c r="G599" s="138" t="n">
        <v>50.5</v>
      </c>
      <c r="H599" s="138" t="n">
        <v>45.2</v>
      </c>
      <c r="I599" s="138" t="n">
        <v>54.6</v>
      </c>
      <c r="J599" s="138" t="n">
        <v>51.3</v>
      </c>
      <c r="K599" s="138" t="n">
        <v>53.5</v>
      </c>
      <c r="L599" s="138" t="n">
        <v>54.9</v>
      </c>
    </row>
    <row r="600">
      <c r="A600" s="54" t="n">
        <v>35612</v>
      </c>
      <c r="B600" s="71" t="n">
        <v>61.3</v>
      </c>
      <c r="C600" s="138" t="n">
        <v>55.2</v>
      </c>
      <c r="D600" s="55" t="n">
        <v>56.5</v>
      </c>
      <c r="E600" s="138" t="n">
        <v>52</v>
      </c>
      <c r="F600" s="138" t="n">
        <v>64.5</v>
      </c>
      <c r="G600" s="138" t="n">
        <v>47.5</v>
      </c>
      <c r="H600" s="138" t="n">
        <v>45.9</v>
      </c>
      <c r="I600" s="138" t="n">
        <v>54.7</v>
      </c>
      <c r="J600" s="138" t="n">
        <v>51.7</v>
      </c>
      <c r="K600" s="138" t="n">
        <v>56.2</v>
      </c>
      <c r="L600" s="138" t="n">
        <v>57.7</v>
      </c>
    </row>
    <row r="601">
      <c r="A601" s="54" t="n">
        <v>35643</v>
      </c>
      <c r="B601" s="71" t="n">
        <v>60.3</v>
      </c>
      <c r="C601" s="138" t="n">
        <v>53.7</v>
      </c>
      <c r="D601" s="55" t="n">
        <v>60</v>
      </c>
      <c r="E601" s="138" t="n">
        <v>52.1</v>
      </c>
      <c r="F601" s="138" t="n">
        <v>61.5</v>
      </c>
      <c r="G601" s="138" t="n">
        <v>47</v>
      </c>
      <c r="H601" s="138" t="n">
        <v>43</v>
      </c>
      <c r="I601" s="138" t="n">
        <v>55.2</v>
      </c>
      <c r="J601" s="138" t="n">
        <v>51.3</v>
      </c>
      <c r="K601" s="138" t="n">
        <v>54.9</v>
      </c>
      <c r="L601" s="138" t="n">
        <v>56.3</v>
      </c>
    </row>
    <row r="602">
      <c r="A602" s="54" t="n">
        <v>35674</v>
      </c>
      <c r="B602" s="71" t="n">
        <v>55.4</v>
      </c>
      <c r="C602" s="138" t="n">
        <v>51.6</v>
      </c>
      <c r="D602" s="55" t="n">
        <v>50</v>
      </c>
      <c r="E602" s="138" t="n">
        <v>53</v>
      </c>
      <c r="F602" s="138" t="n">
        <v>56.6</v>
      </c>
      <c r="G602" s="138" t="n">
        <v>49.5</v>
      </c>
      <c r="H602" s="138" t="n">
        <v>47.2</v>
      </c>
      <c r="I602" s="138" t="n">
        <v>54.8</v>
      </c>
      <c r="J602" s="138" t="n">
        <v>51.2</v>
      </c>
      <c r="K602" s="138" t="n">
        <v>49.4</v>
      </c>
      <c r="L602" s="138" t="n">
        <v>53.9</v>
      </c>
    </row>
    <row r="603">
      <c r="A603" s="54" t="n">
        <v>35704</v>
      </c>
      <c r="B603" s="71" t="n">
        <v>60.9</v>
      </c>
      <c r="C603" s="138" t="n">
        <v>51.8</v>
      </c>
      <c r="D603" s="55" t="n">
        <v>56.5</v>
      </c>
      <c r="E603" s="138" t="n">
        <v>53.6</v>
      </c>
      <c r="F603" s="138" t="n">
        <v>59.4</v>
      </c>
      <c r="G603" s="138" t="n">
        <v>47</v>
      </c>
      <c r="H603" s="138" t="n">
        <v>45</v>
      </c>
      <c r="I603" s="138" t="n">
        <v>54.9</v>
      </c>
      <c r="J603" s="138" t="n">
        <v>52.8</v>
      </c>
      <c r="K603" s="138" t="n">
        <v>54.9</v>
      </c>
      <c r="L603" s="138" t="n">
        <v>56.4</v>
      </c>
    </row>
    <row r="604">
      <c r="A604" s="54" t="n">
        <v>35735</v>
      </c>
      <c r="B604" s="71" t="n">
        <v>57.4</v>
      </c>
      <c r="C604" s="138" t="n">
        <v>54.7</v>
      </c>
      <c r="D604" s="55" t="n">
        <v>50</v>
      </c>
      <c r="E604" s="138" t="n">
        <v>52.1</v>
      </c>
      <c r="F604" s="138" t="n">
        <v>60.1</v>
      </c>
      <c r="G604" s="138" t="n">
        <v>48</v>
      </c>
      <c r="H604" s="138" t="n">
        <v>43.8</v>
      </c>
      <c r="I604" s="138" t="n">
        <v>55.2</v>
      </c>
      <c r="J604" s="138" t="n">
        <v>53.7</v>
      </c>
      <c r="K604" s="138" t="n">
        <v>53.6</v>
      </c>
      <c r="L604" s="138" t="n">
        <v>55.7</v>
      </c>
    </row>
    <row r="605">
      <c r="A605" s="54" t="n">
        <v>35765</v>
      </c>
      <c r="B605" s="71" t="n">
        <v>57.2</v>
      </c>
      <c r="C605" s="138" t="n">
        <v>56</v>
      </c>
      <c r="D605" s="55" t="n">
        <v>52</v>
      </c>
      <c r="E605" s="138" t="n">
        <v>52.2</v>
      </c>
      <c r="F605" s="138" t="n">
        <v>56.7</v>
      </c>
      <c r="G605" s="138" t="n">
        <v>46.5</v>
      </c>
      <c r="H605" s="138" t="n">
        <v>46.2</v>
      </c>
      <c r="I605" s="138" t="n">
        <v>53.9</v>
      </c>
      <c r="J605" s="138" t="n">
        <v>52.1</v>
      </c>
      <c r="K605" s="138" t="n">
        <v>51.4</v>
      </c>
      <c r="L605" s="138" t="n">
        <v>54.5</v>
      </c>
    </row>
    <row r="606">
      <c r="A606" s="54" t="n">
        <v>35796</v>
      </c>
      <c r="B606" s="71" t="n">
        <v>57.1</v>
      </c>
      <c r="C606" s="138" t="n">
        <v>55.1</v>
      </c>
      <c r="D606" s="55" t="n">
        <v>47</v>
      </c>
      <c r="E606" s="138" t="n">
        <v>47</v>
      </c>
      <c r="F606" s="138" t="n">
        <v>55.6</v>
      </c>
      <c r="G606" s="138" t="n">
        <v>47.5</v>
      </c>
      <c r="H606" s="138" t="n">
        <v>46.2</v>
      </c>
      <c r="I606" s="138" t="n">
        <v>53</v>
      </c>
      <c r="J606" s="138" t="n">
        <v>51.1</v>
      </c>
      <c r="K606" s="138" t="n">
        <v>46.2</v>
      </c>
      <c r="L606" s="138" t="n">
        <v>53.8</v>
      </c>
    </row>
    <row r="607">
      <c r="A607" s="54" t="n">
        <v>35827</v>
      </c>
      <c r="B607" s="71" t="n">
        <v>54.6</v>
      </c>
      <c r="C607" s="138" t="n">
        <v>53.4</v>
      </c>
      <c r="D607" s="55" t="n">
        <v>48</v>
      </c>
      <c r="E607" s="138" t="n">
        <v>45.5</v>
      </c>
      <c r="F607" s="138" t="n">
        <v>54.6</v>
      </c>
      <c r="G607" s="138" t="n">
        <v>46.5</v>
      </c>
      <c r="H607" s="138" t="n">
        <v>46.2</v>
      </c>
      <c r="I607" s="138" t="n">
        <v>52.8</v>
      </c>
      <c r="J607" s="138" t="n">
        <v>51.7</v>
      </c>
      <c r="K607" s="138" t="n">
        <v>48.3</v>
      </c>
      <c r="L607" s="138" t="n">
        <v>52.9</v>
      </c>
    </row>
    <row r="608">
      <c r="A608" s="54" t="n">
        <v>35855</v>
      </c>
      <c r="B608" s="71" t="n">
        <v>54.9</v>
      </c>
      <c r="C608" s="138" t="n">
        <v>52.1</v>
      </c>
      <c r="D608" s="55" t="n">
        <v>51.5</v>
      </c>
      <c r="E608" s="138" t="n">
        <v>44.2</v>
      </c>
      <c r="F608" s="138" t="n">
        <v>54.5</v>
      </c>
      <c r="G608" s="138" t="n">
        <v>47</v>
      </c>
      <c r="H608" s="138" t="n">
        <v>46</v>
      </c>
      <c r="I608" s="138" t="n">
        <v>53</v>
      </c>
      <c r="J608" s="138" t="n">
        <v>51.4</v>
      </c>
      <c r="K608" s="138" t="n">
        <v>46.7</v>
      </c>
      <c r="L608" s="138" t="n">
        <v>52.9</v>
      </c>
    </row>
    <row r="609">
      <c r="A609" s="54" t="n">
        <v>35886</v>
      </c>
      <c r="B609" s="71" t="n">
        <v>55.3</v>
      </c>
      <c r="C609" s="138" t="n">
        <v>53.9</v>
      </c>
      <c r="D609" s="55" t="n">
        <v>52.5</v>
      </c>
      <c r="E609" s="138" t="n">
        <v>40.5</v>
      </c>
      <c r="F609" s="138" t="n">
        <v>53.3</v>
      </c>
      <c r="G609" s="138" t="n">
        <v>49</v>
      </c>
      <c r="H609" s="138" t="n">
        <v>46.1</v>
      </c>
      <c r="I609" s="138" t="n">
        <v>52.4</v>
      </c>
      <c r="J609" s="138" t="n">
        <v>49</v>
      </c>
      <c r="K609" s="138" t="n">
        <v>48.5</v>
      </c>
      <c r="L609" s="138" t="n">
        <v>52.2</v>
      </c>
    </row>
    <row r="610">
      <c r="A610" s="54" t="n">
        <v>35916</v>
      </c>
      <c r="B610" s="71" t="n">
        <v>51.5</v>
      </c>
      <c r="C610" s="138" t="n">
        <v>52.1</v>
      </c>
      <c r="D610" s="55" t="n">
        <v>48.5</v>
      </c>
      <c r="E610" s="138" t="n">
        <v>41.1</v>
      </c>
      <c r="F610" s="138" t="n">
        <v>53.2</v>
      </c>
      <c r="G610" s="138" t="n">
        <v>47.5</v>
      </c>
      <c r="H610" s="138" t="n">
        <v>46</v>
      </c>
      <c r="I610" s="138" t="n">
        <v>51.5</v>
      </c>
      <c r="J610" s="138" t="n">
        <v>49.3</v>
      </c>
      <c r="K610" s="138" t="n">
        <v>46.1</v>
      </c>
      <c r="L610" s="138" t="n">
        <v>50.9</v>
      </c>
    </row>
    <row r="611">
      <c r="A611" s="54" t="n">
        <v>35947</v>
      </c>
      <c r="B611" s="71" t="n">
        <v>50.2</v>
      </c>
      <c r="C611" s="138" t="n">
        <v>51.7</v>
      </c>
      <c r="D611" s="55" t="n">
        <v>48.5</v>
      </c>
      <c r="E611" s="138" t="n">
        <v>39.3</v>
      </c>
      <c r="F611" s="138" t="n">
        <v>50.6</v>
      </c>
      <c r="G611" s="138" t="n">
        <v>44.5</v>
      </c>
      <c r="H611" s="138" t="n">
        <v>42</v>
      </c>
      <c r="I611" s="138" t="n">
        <v>50.9</v>
      </c>
      <c r="J611" s="138" t="n">
        <v>47</v>
      </c>
      <c r="K611" s="138" t="n">
        <v>46.3</v>
      </c>
      <c r="L611" s="138" t="n">
        <v>48.9</v>
      </c>
    </row>
    <row r="612">
      <c r="A612" s="54" t="n">
        <v>35977</v>
      </c>
      <c r="B612" s="71" t="n">
        <v>51.8</v>
      </c>
      <c r="C612" s="138" t="n">
        <v>51.4</v>
      </c>
      <c r="D612" s="55" t="n">
        <v>44.5</v>
      </c>
      <c r="E612" s="138" t="n">
        <v>38.4</v>
      </c>
      <c r="F612" s="138" t="n">
        <v>50.8</v>
      </c>
      <c r="G612" s="138" t="n">
        <v>47</v>
      </c>
      <c r="H612" s="138" t="n">
        <v>44.1</v>
      </c>
      <c r="I612" s="138" t="n">
        <v>50.2</v>
      </c>
      <c r="J612" s="138" t="n">
        <v>45.1</v>
      </c>
      <c r="K612" s="138" t="n">
        <v>45.6</v>
      </c>
      <c r="L612" s="138" t="n">
        <v>49.2</v>
      </c>
    </row>
    <row r="613">
      <c r="A613" s="54" t="n">
        <v>36008</v>
      </c>
      <c r="B613" s="71" t="n">
        <v>50.9</v>
      </c>
      <c r="C613" s="138" t="n">
        <v>51.2</v>
      </c>
      <c r="D613" s="55" t="n">
        <v>48.5</v>
      </c>
      <c r="E613" s="138" t="n">
        <v>37.8</v>
      </c>
      <c r="F613" s="138" t="n">
        <v>50.7</v>
      </c>
      <c r="G613" s="138" t="n">
        <v>50.5</v>
      </c>
      <c r="H613" s="138" t="n">
        <v>44.8</v>
      </c>
      <c r="I613" s="138" t="n">
        <v>50.3</v>
      </c>
      <c r="J613" s="138" t="n">
        <v>46.7</v>
      </c>
      <c r="K613" s="138" t="n">
        <v>44</v>
      </c>
      <c r="L613" s="138" t="n">
        <v>49.3</v>
      </c>
    </row>
    <row r="614">
      <c r="A614" s="54" t="n">
        <v>36039</v>
      </c>
      <c r="B614" s="71" t="n">
        <v>49.4</v>
      </c>
      <c r="C614" s="138" t="n">
        <v>51.5</v>
      </c>
      <c r="D614" s="55" t="n">
        <v>46</v>
      </c>
      <c r="E614" s="138" t="n">
        <v>34</v>
      </c>
      <c r="F614" s="138" t="n">
        <v>51.2</v>
      </c>
      <c r="G614" s="138" t="n">
        <v>49</v>
      </c>
      <c r="H614" s="138" t="n">
        <v>43.2</v>
      </c>
      <c r="I614" s="138" t="n">
        <v>50.8</v>
      </c>
      <c r="J614" s="138" t="n">
        <v>45.7</v>
      </c>
      <c r="K614" s="138" t="n">
        <v>44.2</v>
      </c>
      <c r="L614" s="138" t="n">
        <v>48.7</v>
      </c>
    </row>
    <row r="615">
      <c r="A615" s="54" t="n">
        <v>36069</v>
      </c>
      <c r="B615" s="71" t="n">
        <v>48</v>
      </c>
      <c r="C615" s="138" t="n">
        <v>51.3</v>
      </c>
      <c r="D615" s="55" t="n">
        <v>45.5</v>
      </c>
      <c r="E615" s="138" t="n">
        <v>34.7</v>
      </c>
      <c r="F615" s="138" t="n">
        <v>52.4</v>
      </c>
      <c r="G615" s="138" t="n">
        <v>50.5</v>
      </c>
      <c r="H615" s="138" t="n">
        <v>47.1</v>
      </c>
      <c r="I615" s="138" t="n">
        <v>49.8</v>
      </c>
      <c r="J615" s="138" t="n">
        <v>45.2</v>
      </c>
      <c r="K615" s="138" t="n">
        <v>44.4</v>
      </c>
      <c r="L615" s="138" t="n">
        <v>48.7</v>
      </c>
    </row>
    <row r="616">
      <c r="A616" s="54" t="n">
        <v>36100</v>
      </c>
      <c r="B616" s="71" t="n">
        <v>48.3</v>
      </c>
      <c r="C616" s="138" t="n">
        <v>51.1</v>
      </c>
      <c r="D616" s="55" t="n">
        <v>40.5</v>
      </c>
      <c r="E616" s="138" t="n">
        <v>34.5</v>
      </c>
      <c r="F616" s="138" t="n">
        <v>50.4</v>
      </c>
      <c r="G616" s="138" t="n">
        <v>47.5</v>
      </c>
      <c r="H616" s="138" t="n">
        <v>44.5</v>
      </c>
      <c r="I616" s="138" t="n">
        <v>50.4</v>
      </c>
      <c r="J616" s="138" t="n">
        <v>45.3</v>
      </c>
      <c r="K616" s="138" t="n">
        <v>43.7</v>
      </c>
      <c r="L616" s="138" t="n">
        <v>48.2</v>
      </c>
    </row>
    <row r="617">
      <c r="A617" s="54" t="n">
        <v>36130</v>
      </c>
      <c r="B617" s="71" t="n">
        <v>49.7</v>
      </c>
      <c r="C617" s="138" t="n">
        <v>50.5</v>
      </c>
      <c r="D617" s="55" t="n">
        <v>37</v>
      </c>
      <c r="E617" s="138" t="n">
        <v>31.9</v>
      </c>
      <c r="F617" s="138" t="n">
        <v>47.7</v>
      </c>
      <c r="G617" s="138" t="n">
        <v>47</v>
      </c>
      <c r="H617" s="138" t="n">
        <v>42.7</v>
      </c>
      <c r="I617" s="138" t="n">
        <v>48.5</v>
      </c>
      <c r="J617" s="138" t="n">
        <v>41.9</v>
      </c>
      <c r="K617" s="138" t="n">
        <v>46.2</v>
      </c>
      <c r="L617" s="138" t="n">
        <v>46.8</v>
      </c>
    </row>
    <row r="618">
      <c r="A618" s="54" t="n">
        <v>36161</v>
      </c>
      <c r="B618" s="71" t="n">
        <v>52.4</v>
      </c>
      <c r="C618" s="138" t="n">
        <v>50.5</v>
      </c>
      <c r="D618" s="55" t="n">
        <v>38</v>
      </c>
      <c r="E618" s="138" t="n">
        <v>33.7</v>
      </c>
      <c r="F618" s="138" t="n">
        <v>55.6</v>
      </c>
      <c r="G618" s="138" t="n">
        <v>44</v>
      </c>
      <c r="H618" s="138" t="n">
        <v>42.7</v>
      </c>
      <c r="I618" s="138" t="n">
        <v>51</v>
      </c>
      <c r="J618" s="138" t="n">
        <v>45.5</v>
      </c>
      <c r="K618" s="138" t="n">
        <v>50</v>
      </c>
      <c r="L618" s="138" t="n">
        <v>50.6</v>
      </c>
    </row>
    <row r="619">
      <c r="A619" s="54" t="n">
        <v>36192</v>
      </c>
      <c r="B619" s="71" t="n">
        <v>55</v>
      </c>
      <c r="C619" s="138" t="n">
        <v>54.6</v>
      </c>
      <c r="D619" s="55" t="n">
        <v>48.5</v>
      </c>
      <c r="E619" s="138" t="n">
        <v>35.2</v>
      </c>
      <c r="F619" s="138" t="n">
        <v>56</v>
      </c>
      <c r="G619" s="138" t="n">
        <v>43</v>
      </c>
      <c r="H619" s="138" t="n">
        <v>43.5</v>
      </c>
      <c r="I619" s="138" t="n">
        <v>50.8</v>
      </c>
      <c r="J619" s="138" t="n">
        <v>45.8</v>
      </c>
      <c r="K619" s="138" t="n">
        <v>53.3</v>
      </c>
      <c r="L619" s="138" t="n">
        <v>51.7</v>
      </c>
    </row>
    <row r="620">
      <c r="A620" s="54" t="n">
        <v>36220</v>
      </c>
      <c r="B620" s="71" t="n">
        <v>55.9</v>
      </c>
      <c r="C620" s="138" t="n">
        <v>52.8</v>
      </c>
      <c r="D620" s="55" t="n">
        <v>52</v>
      </c>
      <c r="E620" s="138" t="n">
        <v>42.5</v>
      </c>
      <c r="F620" s="138" t="n">
        <v>55.7</v>
      </c>
      <c r="G620" s="138" t="n">
        <v>43.5</v>
      </c>
      <c r="H620" s="138" t="n">
        <v>43.7</v>
      </c>
      <c r="I620" s="138" t="n">
        <v>52.3</v>
      </c>
      <c r="J620" s="138" t="n">
        <v>47.6</v>
      </c>
      <c r="K620" s="138" t="n">
        <v>50.1</v>
      </c>
      <c r="L620" s="138" t="n">
        <v>52.4</v>
      </c>
    </row>
    <row r="621">
      <c r="A621" s="54" t="n">
        <v>36251</v>
      </c>
      <c r="B621" s="71" t="n">
        <v>54</v>
      </c>
      <c r="C621" s="138" t="n">
        <v>51.6</v>
      </c>
      <c r="D621" s="55" t="n">
        <v>53</v>
      </c>
      <c r="E621" s="138" t="n">
        <v>47.4</v>
      </c>
      <c r="F621" s="138" t="n">
        <v>57.2</v>
      </c>
      <c r="G621" s="138" t="n">
        <v>45</v>
      </c>
      <c r="H621" s="138" t="n">
        <v>46.8</v>
      </c>
      <c r="I621" s="138" t="n">
        <v>49.5</v>
      </c>
      <c r="J621" s="138" t="n">
        <v>48.8</v>
      </c>
      <c r="K621" s="138" t="n">
        <v>51.1</v>
      </c>
      <c r="L621" s="138" t="n">
        <v>52.3</v>
      </c>
    </row>
    <row r="622">
      <c r="A622" s="54" t="n">
        <v>36281</v>
      </c>
      <c r="B622" s="71" t="n">
        <v>57.8</v>
      </c>
      <c r="C622" s="138" t="n">
        <v>53.1</v>
      </c>
      <c r="D622" s="55" t="n">
        <v>55.5</v>
      </c>
      <c r="E622" s="138" t="n">
        <v>51.2</v>
      </c>
      <c r="F622" s="138" t="n">
        <v>58.5</v>
      </c>
      <c r="G622" s="138" t="n">
        <v>45.5</v>
      </c>
      <c r="H622" s="138" t="n">
        <v>43.6</v>
      </c>
      <c r="I622" s="138" t="n">
        <v>52.1</v>
      </c>
      <c r="J622" s="138" t="n">
        <v>51.1</v>
      </c>
      <c r="K622" s="138" t="n">
        <v>50.9</v>
      </c>
      <c r="L622" s="138" t="n">
        <v>54.3</v>
      </c>
    </row>
    <row r="623">
      <c r="A623" s="54" t="n">
        <v>36312</v>
      </c>
      <c r="B623" s="71" t="n">
        <v>59.4</v>
      </c>
      <c r="C623" s="138" t="n">
        <v>52.2</v>
      </c>
      <c r="D623" s="55" t="n">
        <v>54.5</v>
      </c>
      <c r="E623" s="138" t="n">
        <v>54.2</v>
      </c>
      <c r="F623" s="138" t="n">
        <v>61.6</v>
      </c>
      <c r="G623" s="138" t="n">
        <v>43.5</v>
      </c>
      <c r="H623" s="138" t="n">
        <v>44.7</v>
      </c>
      <c r="I623" s="138" t="n">
        <v>52.6</v>
      </c>
      <c r="J623" s="138" t="n">
        <v>51.3</v>
      </c>
      <c r="K623" s="138" t="n">
        <v>52.4</v>
      </c>
      <c r="L623" s="138" t="n">
        <v>55.8</v>
      </c>
    </row>
    <row r="624">
      <c r="A624" s="54" t="n">
        <v>36342</v>
      </c>
      <c r="B624" s="71" t="n">
        <v>54.6</v>
      </c>
      <c r="C624" s="138" t="n">
        <v>54.1</v>
      </c>
      <c r="D624" s="55" t="n">
        <v>50.5</v>
      </c>
      <c r="E624" s="138" t="n">
        <v>55.5</v>
      </c>
      <c r="F624" s="138" t="n">
        <v>58.1</v>
      </c>
      <c r="G624" s="138" t="n">
        <v>45</v>
      </c>
      <c r="H624" s="138" t="n">
        <v>44.9</v>
      </c>
      <c r="I624" s="138" t="n">
        <v>54</v>
      </c>
      <c r="J624" s="138" t="n">
        <v>50.4</v>
      </c>
      <c r="K624" s="138" t="n">
        <v>51.1</v>
      </c>
      <c r="L624" s="138" t="n">
        <v>53.6</v>
      </c>
    </row>
    <row r="625">
      <c r="A625" s="54" t="n">
        <v>36373</v>
      </c>
      <c r="B625" s="71" t="n">
        <v>57.5</v>
      </c>
      <c r="C625" s="138" t="n">
        <v>53.7</v>
      </c>
      <c r="D625" s="55" t="n">
        <v>52.5</v>
      </c>
      <c r="E625" s="138" t="n">
        <v>60.6</v>
      </c>
      <c r="F625" s="138" t="n">
        <v>58.3</v>
      </c>
      <c r="G625" s="138" t="n">
        <v>45.5</v>
      </c>
      <c r="H625" s="138" t="n">
        <v>46.2</v>
      </c>
      <c r="I625" s="138" t="n">
        <v>51.4</v>
      </c>
      <c r="J625" s="138" t="n">
        <v>53.1</v>
      </c>
      <c r="K625" s="138" t="n">
        <v>54.4</v>
      </c>
      <c r="L625" s="138" t="n">
        <v>54.8</v>
      </c>
    </row>
    <row r="626">
      <c r="A626" s="54" t="n">
        <v>36404</v>
      </c>
      <c r="B626" s="71" t="n">
        <v>63.5</v>
      </c>
      <c r="C626" s="138" t="n">
        <v>54.2</v>
      </c>
      <c r="D626" s="55" t="n">
        <v>54.5</v>
      </c>
      <c r="E626" s="138" t="n">
        <v>65.8</v>
      </c>
      <c r="F626" s="138" t="n">
        <v>59.9</v>
      </c>
      <c r="G626" s="138" t="n">
        <v>43.5</v>
      </c>
      <c r="H626" s="138" t="n">
        <v>43.8</v>
      </c>
      <c r="I626" s="138" t="n">
        <v>55.8</v>
      </c>
      <c r="J626" s="138" t="n">
        <v>51.3</v>
      </c>
      <c r="K626" s="138" t="n">
        <v>55.8</v>
      </c>
      <c r="L626" s="138" t="n">
        <v>57</v>
      </c>
    </row>
    <row r="627">
      <c r="A627" s="54" t="n">
        <v>36434</v>
      </c>
      <c r="B627" s="71" t="n">
        <v>61.3</v>
      </c>
      <c r="C627" s="138" t="n">
        <v>54.3</v>
      </c>
      <c r="D627" s="55" t="n">
        <v>54</v>
      </c>
      <c r="E627" s="138" t="n">
        <v>68.8</v>
      </c>
      <c r="F627" s="138" t="n">
        <v>59.7</v>
      </c>
      <c r="G627" s="138" t="n">
        <v>44.5</v>
      </c>
      <c r="H627" s="138" t="n">
        <v>48</v>
      </c>
      <c r="I627" s="138" t="n">
        <v>56.2</v>
      </c>
      <c r="J627" s="138" t="n">
        <v>53</v>
      </c>
      <c r="K627" s="138" t="n">
        <v>54.9</v>
      </c>
      <c r="L627" s="138" t="n">
        <v>57.2</v>
      </c>
    </row>
    <row r="628">
      <c r="A628" s="54" t="n">
        <v>36465</v>
      </c>
      <c r="B628" s="71" t="n">
        <v>63.1</v>
      </c>
      <c r="C628" s="138" t="n">
        <v>52.7</v>
      </c>
      <c r="D628" s="55" t="n">
        <v>58.5</v>
      </c>
      <c r="E628" s="138" t="n">
        <v>68.09999999999999</v>
      </c>
      <c r="F628" s="138" t="n">
        <v>60.2</v>
      </c>
      <c r="G628" s="138" t="n">
        <v>48.5</v>
      </c>
      <c r="H628" s="138" t="n">
        <v>49.7</v>
      </c>
      <c r="I628" s="138" t="n">
        <v>56.8</v>
      </c>
      <c r="J628" s="138" t="n">
        <v>53.1</v>
      </c>
      <c r="K628" s="138" t="n">
        <v>55.8</v>
      </c>
      <c r="L628" s="138" t="n">
        <v>58.1</v>
      </c>
    </row>
    <row r="629">
      <c r="A629" s="54" t="n">
        <v>36495</v>
      </c>
      <c r="B629" s="71" t="n">
        <v>60.3</v>
      </c>
      <c r="C629" s="138" t="n">
        <v>52</v>
      </c>
      <c r="D629" s="55" t="n">
        <v>50</v>
      </c>
      <c r="E629" s="138" t="n">
        <v>67.40000000000001</v>
      </c>
      <c r="F629" s="138" t="n">
        <v>60.6</v>
      </c>
      <c r="G629" s="138" t="n">
        <v>48.5</v>
      </c>
      <c r="H629" s="138" t="n">
        <v>49</v>
      </c>
      <c r="I629" s="138" t="n">
        <v>56.7</v>
      </c>
      <c r="J629" s="138" t="n">
        <v>55.7</v>
      </c>
      <c r="K629" s="138" t="n">
        <v>55</v>
      </c>
      <c r="L629" s="138" t="n">
        <v>57.8</v>
      </c>
    </row>
    <row r="630">
      <c r="A630" s="54" t="n">
        <v>36526</v>
      </c>
      <c r="B630" s="71" t="n">
        <v>60.4</v>
      </c>
      <c r="C630" s="138" t="n">
        <v>52.9</v>
      </c>
      <c r="D630" s="55" t="n">
        <v>52</v>
      </c>
      <c r="E630" s="138" t="n">
        <v>72.40000000000001</v>
      </c>
      <c r="F630" s="138" t="n">
        <v>57.8</v>
      </c>
      <c r="G630" s="138" t="n">
        <v>46.5</v>
      </c>
      <c r="H630" s="138" t="n">
        <v>52.8</v>
      </c>
      <c r="I630" s="138" t="n">
        <v>55</v>
      </c>
      <c r="J630" s="138" t="n">
        <v>52.8</v>
      </c>
      <c r="K630" s="138" t="n">
        <v>53.4</v>
      </c>
      <c r="L630" s="138" t="n">
        <v>56.7</v>
      </c>
    </row>
    <row r="631">
      <c r="A631" s="54" t="n">
        <v>36557</v>
      </c>
      <c r="B631" s="71" t="n">
        <v>58.7</v>
      </c>
      <c r="C631" s="138" t="n">
        <v>53</v>
      </c>
      <c r="D631" s="55" t="n">
        <v>54</v>
      </c>
      <c r="E631" s="138" t="n">
        <v>71.59999999999999</v>
      </c>
      <c r="F631" s="138" t="n">
        <v>59.1</v>
      </c>
      <c r="G631" s="138" t="n">
        <v>48</v>
      </c>
      <c r="H631" s="138" t="n">
        <v>44.9</v>
      </c>
      <c r="I631" s="138" t="n">
        <v>54.4</v>
      </c>
      <c r="J631" s="138" t="n">
        <v>53.6</v>
      </c>
      <c r="K631" s="138" t="n">
        <v>54.2</v>
      </c>
      <c r="L631" s="138" t="n">
        <v>55.8</v>
      </c>
    </row>
    <row r="632">
      <c r="A632" s="54" t="n">
        <v>36586</v>
      </c>
      <c r="B632" s="71" t="n">
        <v>56.2</v>
      </c>
      <c r="C632" s="138" t="n">
        <v>53.5</v>
      </c>
      <c r="D632" s="55" t="n">
        <v>51</v>
      </c>
      <c r="E632" s="138" t="n">
        <v>78.7</v>
      </c>
      <c r="F632" s="138" t="n">
        <v>59.5</v>
      </c>
      <c r="G632" s="138" t="n">
        <v>48</v>
      </c>
      <c r="H632" s="138" t="n">
        <v>47.5</v>
      </c>
      <c r="I632" s="138" t="n">
        <v>54.3</v>
      </c>
      <c r="J632" s="138" t="n">
        <v>51.2</v>
      </c>
      <c r="K632" s="138" t="n">
        <v>54.8</v>
      </c>
      <c r="L632" s="138" t="n">
        <v>54.9</v>
      </c>
    </row>
    <row r="633">
      <c r="A633" s="54" t="n">
        <v>36617</v>
      </c>
      <c r="B633" s="71" t="n">
        <v>55.4</v>
      </c>
      <c r="C633" s="138" t="n">
        <v>53.8</v>
      </c>
      <c r="D633" s="55" t="n">
        <v>51</v>
      </c>
      <c r="E633" s="138" t="n">
        <v>71.2</v>
      </c>
      <c r="F633" s="138" t="n">
        <v>58.1</v>
      </c>
      <c r="G633" s="138" t="n">
        <v>47</v>
      </c>
      <c r="H633" s="138" t="n">
        <v>46.1</v>
      </c>
      <c r="I633" s="138" t="n">
        <v>55.4</v>
      </c>
      <c r="J633" s="138" t="n">
        <v>53.2</v>
      </c>
      <c r="K633" s="138" t="n">
        <v>51.5</v>
      </c>
      <c r="L633" s="138" t="n">
        <v>54.7</v>
      </c>
    </row>
    <row r="634">
      <c r="A634" s="54" t="n">
        <v>36647</v>
      </c>
      <c r="B634" s="71" t="n">
        <v>51.5</v>
      </c>
      <c r="C634" s="138" t="n">
        <v>54.2</v>
      </c>
      <c r="D634" s="55" t="n">
        <v>49</v>
      </c>
      <c r="E634" s="138" t="n">
        <v>65.7</v>
      </c>
      <c r="F634" s="138" t="n">
        <v>56.4</v>
      </c>
      <c r="G634" s="138" t="n">
        <v>50.5</v>
      </c>
      <c r="H634" s="138" t="n">
        <v>46.9</v>
      </c>
      <c r="I634" s="138" t="n">
        <v>55.4</v>
      </c>
      <c r="J634" s="138" t="n">
        <v>53</v>
      </c>
      <c r="K634" s="138" t="n">
        <v>56.4</v>
      </c>
      <c r="L634" s="138" t="n">
        <v>53.2</v>
      </c>
    </row>
    <row r="635">
      <c r="A635" s="54" t="n">
        <v>36678</v>
      </c>
      <c r="B635" s="71" t="n">
        <v>50</v>
      </c>
      <c r="C635" s="138" t="n">
        <v>55.7</v>
      </c>
      <c r="D635" s="55" t="n">
        <v>48.5</v>
      </c>
      <c r="E635" s="138" t="n">
        <v>62.9</v>
      </c>
      <c r="F635" s="138" t="n">
        <v>53.4</v>
      </c>
      <c r="G635" s="138" t="n">
        <v>47</v>
      </c>
      <c r="H635" s="138" t="n">
        <v>47</v>
      </c>
      <c r="I635" s="138" t="n">
        <v>54.5</v>
      </c>
      <c r="J635" s="138" t="n">
        <v>50.7</v>
      </c>
      <c r="K635" s="138" t="n">
        <v>52.8</v>
      </c>
      <c r="L635" s="138" t="n">
        <v>51.4</v>
      </c>
    </row>
    <row r="636">
      <c r="A636" s="54" t="n">
        <v>36708</v>
      </c>
      <c r="B636" s="71" t="n">
        <v>52</v>
      </c>
      <c r="C636" s="138" t="n">
        <v>50.8</v>
      </c>
      <c r="D636" s="55" t="n">
        <v>45</v>
      </c>
      <c r="E636" s="138" t="n">
        <v>63.4</v>
      </c>
      <c r="F636" s="138" t="n">
        <v>53.7</v>
      </c>
      <c r="G636" s="138" t="n">
        <v>49.5</v>
      </c>
      <c r="H636" s="138" t="n">
        <v>48.5</v>
      </c>
      <c r="I636" s="138" t="n">
        <v>53.9</v>
      </c>
      <c r="J636" s="138" t="n">
        <v>52.5</v>
      </c>
      <c r="K636" s="138" t="n">
        <v>51.7</v>
      </c>
      <c r="L636" s="138" t="n">
        <v>52.5</v>
      </c>
    </row>
    <row r="637">
      <c r="A637" s="54" t="n">
        <v>36739</v>
      </c>
      <c r="B637" s="71" t="n">
        <v>50</v>
      </c>
      <c r="C637" s="138" t="n">
        <v>52.2</v>
      </c>
      <c r="D637" s="55" t="n">
        <v>49</v>
      </c>
      <c r="E637" s="138" t="n">
        <v>58.1</v>
      </c>
      <c r="F637" s="138" t="n">
        <v>49.7</v>
      </c>
      <c r="G637" s="138" t="n">
        <v>50.5</v>
      </c>
      <c r="H637" s="138" t="n">
        <v>47.1</v>
      </c>
      <c r="I637" s="138" t="n">
        <v>53.5</v>
      </c>
      <c r="J637" s="138" t="n">
        <v>48.8</v>
      </c>
      <c r="K637" s="138" t="n">
        <v>50.8</v>
      </c>
      <c r="L637" s="138" t="n">
        <v>49.9</v>
      </c>
    </row>
    <row r="638">
      <c r="A638" s="54" t="n">
        <v>36770</v>
      </c>
      <c r="B638" s="71" t="n">
        <v>48.9</v>
      </c>
      <c r="C638" s="138" t="n">
        <v>48.9</v>
      </c>
      <c r="D638" s="55" t="n">
        <v>47</v>
      </c>
      <c r="E638" s="138" t="n">
        <v>58.4</v>
      </c>
      <c r="F638" s="138" t="n">
        <v>51.5</v>
      </c>
      <c r="G638" s="138" t="n">
        <v>48.5</v>
      </c>
      <c r="H638" s="138" t="n">
        <v>45.9</v>
      </c>
      <c r="I638" s="138" t="n">
        <v>49.6</v>
      </c>
      <c r="J638" s="138" t="n">
        <v>50.6</v>
      </c>
      <c r="K638" s="138" t="n">
        <v>50.7</v>
      </c>
      <c r="L638" s="138" t="n">
        <v>49.7</v>
      </c>
    </row>
    <row r="639">
      <c r="A639" s="54" t="n">
        <v>36800</v>
      </c>
      <c r="B639" s="71" t="n">
        <v>48.4</v>
      </c>
      <c r="C639" s="138" t="n">
        <v>52.4</v>
      </c>
      <c r="D639" s="55" t="n">
        <v>41</v>
      </c>
      <c r="E639" s="138" t="n">
        <v>57.7</v>
      </c>
      <c r="F639" s="138" t="n">
        <v>49.3</v>
      </c>
      <c r="G639" s="138" t="n">
        <v>50.5</v>
      </c>
      <c r="H639" s="138" t="n">
        <v>45.9</v>
      </c>
      <c r="I639" s="138" t="n">
        <v>51.1</v>
      </c>
      <c r="J639" s="138" t="n">
        <v>48.2</v>
      </c>
      <c r="K639" s="138" t="n">
        <v>48.7</v>
      </c>
      <c r="L639" s="138" t="n">
        <v>48.7</v>
      </c>
    </row>
    <row r="640">
      <c r="A640" s="54" t="n">
        <v>36831</v>
      </c>
      <c r="B640" s="71" t="n">
        <v>49.1</v>
      </c>
      <c r="C640" s="138" t="n">
        <v>53.2</v>
      </c>
      <c r="D640" s="55" t="n">
        <v>42</v>
      </c>
      <c r="E640" s="138" t="n">
        <v>58.1</v>
      </c>
      <c r="F640" s="138" t="n">
        <v>50.1</v>
      </c>
      <c r="G640" s="138" t="n">
        <v>51.5</v>
      </c>
      <c r="H640" s="138" t="n">
        <v>42.8</v>
      </c>
      <c r="I640" s="138" t="n">
        <v>50.3</v>
      </c>
      <c r="J640" s="138" t="n">
        <v>47.1</v>
      </c>
      <c r="K640" s="138" t="n">
        <v>48.6</v>
      </c>
      <c r="L640" s="138" t="n">
        <v>48.5</v>
      </c>
    </row>
    <row r="641">
      <c r="A641" s="54" t="n">
        <v>36861</v>
      </c>
      <c r="B641" s="71" t="n">
        <v>42.1</v>
      </c>
      <c r="C641" s="138" t="n">
        <v>51.2</v>
      </c>
      <c r="D641" s="55" t="n">
        <v>36</v>
      </c>
      <c r="E641" s="138" t="n">
        <v>59.8</v>
      </c>
      <c r="F641" s="138" t="n">
        <v>42.9</v>
      </c>
      <c r="G641" s="138" t="n">
        <v>51</v>
      </c>
      <c r="H641" s="138" t="n">
        <v>40.4</v>
      </c>
      <c r="I641" s="138" t="n">
        <v>52.8</v>
      </c>
      <c r="J641" s="138" t="n">
        <v>42.7</v>
      </c>
      <c r="K641" s="138" t="n">
        <v>49.5</v>
      </c>
      <c r="L641" s="138" t="n">
        <v>43.9</v>
      </c>
    </row>
    <row r="642">
      <c r="A642" s="54" t="n">
        <v>36892</v>
      </c>
      <c r="B642" s="71" t="n">
        <v>38.4</v>
      </c>
      <c r="C642" s="138" t="n">
        <v>49.1</v>
      </c>
      <c r="D642" s="55" t="n">
        <v>32.5</v>
      </c>
      <c r="E642" s="138" t="n">
        <v>64.59999999999999</v>
      </c>
      <c r="F642" s="138" t="n">
        <v>39.2</v>
      </c>
      <c r="G642" s="138" t="n">
        <v>56</v>
      </c>
      <c r="H642" s="138" t="n">
        <v>41.8</v>
      </c>
      <c r="I642" s="138" t="n">
        <v>49.8</v>
      </c>
      <c r="J642" s="138" t="n">
        <v>42.3</v>
      </c>
      <c r="K642" s="138" t="n">
        <v>46.7</v>
      </c>
      <c r="L642" s="138" t="n">
        <v>42.3</v>
      </c>
    </row>
    <row r="643">
      <c r="A643" s="54" t="n">
        <v>36923</v>
      </c>
      <c r="B643" s="71" t="n">
        <v>39.9</v>
      </c>
      <c r="C643" s="138" t="n">
        <v>47.5</v>
      </c>
      <c r="D643" s="55" t="n">
        <v>37</v>
      </c>
      <c r="E643" s="138" t="n">
        <v>55.6</v>
      </c>
      <c r="F643" s="138" t="n">
        <v>38.6</v>
      </c>
      <c r="G643" s="138" t="n">
        <v>52.5</v>
      </c>
      <c r="H643" s="138" t="n">
        <v>44.2</v>
      </c>
      <c r="I643" s="138" t="n">
        <v>50.2</v>
      </c>
      <c r="J643" s="138" t="n">
        <v>37.8</v>
      </c>
      <c r="K643" s="138" t="n">
        <v>46.8</v>
      </c>
      <c r="L643" s="138" t="n">
        <v>42.1</v>
      </c>
    </row>
    <row r="644">
      <c r="A644" s="54" t="n">
        <v>36951</v>
      </c>
      <c r="B644" s="71" t="n">
        <v>41.5</v>
      </c>
      <c r="C644" s="138" t="n">
        <v>48.8</v>
      </c>
      <c r="D644" s="55" t="n">
        <v>43.5</v>
      </c>
      <c r="E644" s="138" t="n">
        <v>49.9</v>
      </c>
      <c r="F644" s="138" t="n">
        <v>42.6</v>
      </c>
      <c r="G644" s="138" t="n">
        <v>52</v>
      </c>
      <c r="H644" s="138" t="n">
        <v>43.7</v>
      </c>
      <c r="I644" s="138" t="n">
        <v>47.7</v>
      </c>
      <c r="J644" s="138" t="n">
        <v>39.9</v>
      </c>
      <c r="K644" s="138" t="n">
        <v>50.3</v>
      </c>
      <c r="L644" s="138" t="n">
        <v>43.1</v>
      </c>
    </row>
    <row r="645">
      <c r="A645" s="54" t="n">
        <v>36982</v>
      </c>
      <c r="B645" s="71" t="n">
        <v>45.5</v>
      </c>
      <c r="C645" s="138" t="n">
        <v>47.2</v>
      </c>
      <c r="D645" s="55" t="n">
        <v>43.5</v>
      </c>
      <c r="E645" s="138" t="n">
        <v>48</v>
      </c>
      <c r="F645" s="138" t="n">
        <v>43.1</v>
      </c>
      <c r="G645" s="138" t="n">
        <v>50</v>
      </c>
      <c r="H645" s="138" t="n">
        <v>39.7</v>
      </c>
      <c r="I645" s="138" t="n">
        <v>47.2</v>
      </c>
      <c r="J645" s="138" t="n">
        <v>38.2</v>
      </c>
      <c r="K645" s="138" t="n">
        <v>47.5</v>
      </c>
      <c r="L645" s="138" t="n">
        <v>42.7</v>
      </c>
    </row>
    <row r="646">
      <c r="A646" s="54" t="n">
        <v>37012</v>
      </c>
      <c r="B646" s="71" t="n">
        <v>44.9</v>
      </c>
      <c r="C646" s="138" t="n">
        <v>46.9</v>
      </c>
      <c r="D646" s="55" t="n">
        <v>40</v>
      </c>
      <c r="E646" s="138" t="n">
        <v>45.1</v>
      </c>
      <c r="F646" s="138" t="n">
        <v>43.1</v>
      </c>
      <c r="G646" s="138" t="n">
        <v>51</v>
      </c>
      <c r="H646" s="138" t="n">
        <v>38.2</v>
      </c>
      <c r="I646" s="138" t="n">
        <v>45.4</v>
      </c>
      <c r="J646" s="138" t="n">
        <v>35.1</v>
      </c>
      <c r="K646" s="138" t="n">
        <v>45.3</v>
      </c>
      <c r="L646" s="138" t="n">
        <v>41.3</v>
      </c>
    </row>
    <row r="647">
      <c r="A647" s="54" t="n">
        <v>37043</v>
      </c>
      <c r="B647" s="71" t="n">
        <v>47.8</v>
      </c>
      <c r="C647" s="138" t="n">
        <v>47</v>
      </c>
      <c r="D647" s="55" t="n">
        <v>42</v>
      </c>
      <c r="E647" s="138" t="n">
        <v>42.8</v>
      </c>
      <c r="F647" s="138" t="n">
        <v>45.3</v>
      </c>
      <c r="G647" s="138" t="n">
        <v>48</v>
      </c>
      <c r="H647" s="138" t="n">
        <v>39.9</v>
      </c>
      <c r="I647" s="138" t="n">
        <v>47.1</v>
      </c>
      <c r="J647" s="138" t="n">
        <v>35.7</v>
      </c>
      <c r="K647" s="138" t="n">
        <v>45.2</v>
      </c>
      <c r="L647" s="138" t="n">
        <v>43.2</v>
      </c>
    </row>
    <row r="648">
      <c r="A648" s="54" t="n">
        <v>37073</v>
      </c>
      <c r="B648" s="71" t="n">
        <v>49.2</v>
      </c>
      <c r="C648" s="138" t="n">
        <v>47.2</v>
      </c>
      <c r="D648" s="55" t="n">
        <v>42.5</v>
      </c>
      <c r="E648" s="138" t="n">
        <v>39.9</v>
      </c>
      <c r="F648" s="138" t="n">
        <v>47</v>
      </c>
      <c r="G648" s="138" t="n">
        <v>45</v>
      </c>
      <c r="H648" s="138" t="n">
        <v>37.1</v>
      </c>
      <c r="I648" s="138" t="n">
        <v>46.8</v>
      </c>
      <c r="J648" s="138" t="n">
        <v>37.2</v>
      </c>
      <c r="K648" s="138" t="n">
        <v>48.4</v>
      </c>
      <c r="L648" s="138" t="n">
        <v>43.5</v>
      </c>
    </row>
    <row r="649">
      <c r="A649" s="54" t="n">
        <v>37104</v>
      </c>
      <c r="B649" s="71" t="n">
        <v>54.3</v>
      </c>
      <c r="C649" s="138" t="n">
        <v>50</v>
      </c>
      <c r="D649" s="55" t="n">
        <v>44.5</v>
      </c>
      <c r="E649" s="138" t="n">
        <v>35</v>
      </c>
      <c r="F649" s="138" t="n">
        <v>51.8</v>
      </c>
      <c r="G649" s="138" t="n">
        <v>48.5</v>
      </c>
      <c r="H649" s="138" t="n">
        <v>37.6</v>
      </c>
      <c r="I649" s="138" t="n">
        <v>46.7</v>
      </c>
      <c r="J649" s="138" t="n">
        <v>41.3</v>
      </c>
      <c r="K649" s="138" t="n">
        <v>52</v>
      </c>
      <c r="L649" s="138" t="n">
        <v>46.3</v>
      </c>
    </row>
    <row r="650">
      <c r="A650" s="54" t="n">
        <v>37135</v>
      </c>
      <c r="B650" s="71" t="n">
        <v>51.3</v>
      </c>
      <c r="C650" s="138" t="n">
        <v>49.7</v>
      </c>
      <c r="D650" s="55" t="n">
        <v>43</v>
      </c>
      <c r="E650" s="138" t="n">
        <v>36.6</v>
      </c>
      <c r="F650" s="138" t="n">
        <v>51.8</v>
      </c>
      <c r="G650" s="138" t="n">
        <v>48.5</v>
      </c>
      <c r="H650" s="138" t="n">
        <v>38.9</v>
      </c>
      <c r="I650" s="138" t="n">
        <v>47.5</v>
      </c>
      <c r="J650" s="138" t="n">
        <v>41.5</v>
      </c>
      <c r="K650" s="138" t="n">
        <v>46.9</v>
      </c>
      <c r="L650" s="138" t="n">
        <v>46.2</v>
      </c>
    </row>
    <row r="651">
      <c r="A651" s="54" t="n">
        <v>37165</v>
      </c>
      <c r="B651" s="71" t="n">
        <v>38.9</v>
      </c>
      <c r="C651" s="138" t="n">
        <v>47.6</v>
      </c>
      <c r="D651" s="55" t="n">
        <v>36</v>
      </c>
      <c r="E651" s="138" t="n">
        <v>33.3</v>
      </c>
      <c r="F651" s="138" t="n">
        <v>41.8</v>
      </c>
      <c r="G651" s="138" t="n">
        <v>44.5</v>
      </c>
      <c r="H651" s="138" t="n">
        <v>38.3</v>
      </c>
      <c r="I651" s="138" t="n">
        <v>49.5</v>
      </c>
      <c r="J651" s="138" t="n">
        <v>35.6</v>
      </c>
      <c r="K651" s="138" t="n">
        <v>44.3</v>
      </c>
      <c r="L651" s="138" t="n">
        <v>40.8</v>
      </c>
    </row>
    <row r="652">
      <c r="A652" s="54" t="n">
        <v>37196</v>
      </c>
      <c r="B652" s="71" t="n">
        <v>49.1</v>
      </c>
      <c r="C652" s="138" t="n">
        <v>49.5</v>
      </c>
      <c r="D652" s="55" t="n">
        <v>38.5</v>
      </c>
      <c r="E652" s="138" t="n">
        <v>32</v>
      </c>
      <c r="F652" s="138" t="n">
        <v>46.9</v>
      </c>
      <c r="G652" s="138" t="n">
        <v>44.5</v>
      </c>
      <c r="H652" s="138" t="n">
        <v>38.9</v>
      </c>
      <c r="I652" s="138" t="n">
        <v>49.1</v>
      </c>
      <c r="J652" s="138" t="n">
        <v>36.4</v>
      </c>
      <c r="K652" s="138" t="n">
        <v>50</v>
      </c>
      <c r="L652" s="138" t="n">
        <v>44.1</v>
      </c>
    </row>
    <row r="653">
      <c r="A653" s="54" t="n">
        <v>37226</v>
      </c>
      <c r="B653" s="71" t="n">
        <v>51.4</v>
      </c>
      <c r="C653" s="138" t="n">
        <v>50.2</v>
      </c>
      <c r="D653" s="55" t="n">
        <v>39.5</v>
      </c>
      <c r="E653" s="138" t="n">
        <v>33.2</v>
      </c>
      <c r="F653" s="138" t="n">
        <v>49.2</v>
      </c>
      <c r="G653" s="138" t="n">
        <v>44</v>
      </c>
      <c r="H653" s="138" t="n">
        <v>37.6</v>
      </c>
      <c r="I653" s="138" t="n">
        <v>49.3</v>
      </c>
      <c r="J653" s="138" t="n">
        <v>39.1</v>
      </c>
      <c r="K653" s="138" t="n">
        <v>47.6</v>
      </c>
      <c r="L653" s="138" t="n">
        <v>45.3</v>
      </c>
    </row>
    <row r="654">
      <c r="A654" s="54" t="n">
        <v>37257</v>
      </c>
      <c r="B654" s="71" t="n">
        <v>55.2</v>
      </c>
      <c r="C654" s="138" t="n">
        <v>51.3</v>
      </c>
      <c r="D654" s="55" t="n">
        <v>44.5</v>
      </c>
      <c r="E654" s="138" t="n">
        <v>43.9</v>
      </c>
      <c r="F654" s="138" t="n">
        <v>51.1</v>
      </c>
      <c r="G654" s="138" t="n">
        <v>43.5</v>
      </c>
      <c r="H654" s="138" t="n">
        <v>39.2</v>
      </c>
      <c r="I654" s="138" t="n">
        <v>51.2</v>
      </c>
      <c r="J654" s="138" t="n">
        <v>41</v>
      </c>
      <c r="K654" s="138" t="n">
        <v>50.1</v>
      </c>
      <c r="L654" s="138" t="n">
        <v>47.5</v>
      </c>
    </row>
    <row r="655">
      <c r="A655" s="54" t="n">
        <v>37288</v>
      </c>
      <c r="B655" s="71" t="n">
        <v>60.7</v>
      </c>
      <c r="C655" s="138" t="n">
        <v>52.4</v>
      </c>
      <c r="D655" s="55" t="n">
        <v>53</v>
      </c>
      <c r="E655" s="138" t="n">
        <v>41.5</v>
      </c>
      <c r="F655" s="138" t="n">
        <v>58.1</v>
      </c>
      <c r="G655" s="138" t="n">
        <v>41.5</v>
      </c>
      <c r="H655" s="138" t="n">
        <v>39.7</v>
      </c>
      <c r="I655" s="138" t="n">
        <v>51.4</v>
      </c>
      <c r="J655" s="138" t="n">
        <v>43.8</v>
      </c>
      <c r="K655" s="138" t="n">
        <v>50.7</v>
      </c>
      <c r="L655" s="138" t="n">
        <v>50.7</v>
      </c>
    </row>
    <row r="656">
      <c r="A656" s="54" t="n">
        <v>37316</v>
      </c>
      <c r="B656" s="71" t="n">
        <v>63.8</v>
      </c>
      <c r="C656" s="138" t="n">
        <v>53.9</v>
      </c>
      <c r="D656" s="55" t="n">
        <v>62.5</v>
      </c>
      <c r="E656" s="138" t="n">
        <v>51.9</v>
      </c>
      <c r="F656" s="138" t="n">
        <v>58.3</v>
      </c>
      <c r="G656" s="138" t="n">
        <v>40</v>
      </c>
      <c r="H656" s="138" t="n">
        <v>41.4</v>
      </c>
      <c r="I656" s="138" t="n">
        <v>51.9</v>
      </c>
      <c r="J656" s="138" t="n">
        <v>46.6</v>
      </c>
      <c r="K656" s="138" t="n">
        <v>50.6</v>
      </c>
      <c r="L656" s="138" t="n">
        <v>52.4</v>
      </c>
    </row>
    <row r="657">
      <c r="A657" s="54" t="n">
        <v>37347</v>
      </c>
      <c r="B657" s="71" t="n">
        <v>59.9</v>
      </c>
      <c r="C657" s="138" t="n">
        <v>55.5</v>
      </c>
      <c r="D657" s="55" t="n">
        <v>56</v>
      </c>
      <c r="E657" s="138" t="n">
        <v>60.3</v>
      </c>
      <c r="F657" s="138" t="n">
        <v>59.1</v>
      </c>
      <c r="G657" s="138" t="n">
        <v>40.5</v>
      </c>
      <c r="H657" s="138" t="n">
        <v>43</v>
      </c>
      <c r="I657" s="138" t="n">
        <v>53.5</v>
      </c>
      <c r="J657" s="138" t="n">
        <v>46.6</v>
      </c>
      <c r="K657" s="138" t="n">
        <v>51.9</v>
      </c>
      <c r="L657" s="138" t="n">
        <v>52.4</v>
      </c>
    </row>
    <row r="658">
      <c r="A658" s="54" t="n">
        <v>37377</v>
      </c>
      <c r="B658" s="71" t="n">
        <v>61.8</v>
      </c>
      <c r="C658" s="138" t="n">
        <v>53.9</v>
      </c>
      <c r="D658" s="55" t="n">
        <v>56.5</v>
      </c>
      <c r="E658" s="138" t="n">
        <v>63</v>
      </c>
      <c r="F658" s="138" t="n">
        <v>59.4</v>
      </c>
      <c r="G658" s="138" t="n">
        <v>39</v>
      </c>
      <c r="H658" s="138" t="n">
        <v>43.8</v>
      </c>
      <c r="I658" s="138" t="n">
        <v>53.4</v>
      </c>
      <c r="J658" s="138" t="n">
        <v>47.3</v>
      </c>
      <c r="K658" s="138" t="n">
        <v>53.3</v>
      </c>
      <c r="L658" s="138" t="n">
        <v>53.1</v>
      </c>
    </row>
    <row r="659">
      <c r="A659" s="54" t="n">
        <v>37408</v>
      </c>
      <c r="B659" s="71" t="n">
        <v>61.2</v>
      </c>
      <c r="C659" s="138" t="n">
        <v>53.8</v>
      </c>
      <c r="D659" s="55" t="n">
        <v>53.5</v>
      </c>
      <c r="E659" s="138" t="n">
        <v>65.5</v>
      </c>
      <c r="F659" s="138" t="n">
        <v>61.1</v>
      </c>
      <c r="G659" s="138" t="n">
        <v>44.5</v>
      </c>
      <c r="H659" s="138" t="n">
        <v>43.2</v>
      </c>
      <c r="I659" s="138" t="n">
        <v>54.4</v>
      </c>
      <c r="J659" s="138" t="n">
        <v>48.3</v>
      </c>
      <c r="K659" s="138" t="n">
        <v>54.1</v>
      </c>
      <c r="L659" s="138" t="n">
        <v>53.6</v>
      </c>
    </row>
    <row r="660">
      <c r="A660" s="54" t="n">
        <v>37438</v>
      </c>
      <c r="B660" s="71" t="n">
        <v>51.9</v>
      </c>
      <c r="C660" s="138" t="n">
        <v>53.2</v>
      </c>
      <c r="D660" s="55" t="n">
        <v>45.5</v>
      </c>
      <c r="E660" s="138" t="n">
        <v>68.3</v>
      </c>
      <c r="F660" s="138" t="n">
        <v>56.6</v>
      </c>
      <c r="G660" s="138" t="n">
        <v>42.5</v>
      </c>
      <c r="H660" s="138" t="n">
        <v>42.7</v>
      </c>
      <c r="I660" s="138" t="n">
        <v>54.8</v>
      </c>
      <c r="J660" s="138" t="n">
        <v>45</v>
      </c>
      <c r="K660" s="138" t="n">
        <v>52.2</v>
      </c>
      <c r="L660" s="138" t="n">
        <v>50.2</v>
      </c>
    </row>
    <row r="661">
      <c r="A661" s="54" t="n">
        <v>37469</v>
      </c>
      <c r="B661" s="71" t="n">
        <v>50.6</v>
      </c>
      <c r="C661" s="138" t="n">
        <v>52.6</v>
      </c>
      <c r="D661" s="55" t="n">
        <v>45</v>
      </c>
      <c r="E661" s="138" t="n">
        <v>61.5</v>
      </c>
      <c r="F661" s="138" t="n">
        <v>54.9</v>
      </c>
      <c r="G661" s="138" t="n">
        <v>42.5</v>
      </c>
      <c r="H661" s="138" t="n">
        <v>45.4</v>
      </c>
      <c r="I661" s="138" t="n">
        <v>53.6</v>
      </c>
      <c r="J661" s="138" t="n">
        <v>46.8</v>
      </c>
      <c r="K661" s="138" t="n">
        <v>53.4</v>
      </c>
      <c r="L661" s="138" t="n">
        <v>50.3</v>
      </c>
    </row>
    <row r="662">
      <c r="A662" s="54" t="n">
        <v>37500</v>
      </c>
      <c r="B662" s="71" t="n">
        <v>52.9</v>
      </c>
      <c r="C662" s="138" t="n">
        <v>54.7</v>
      </c>
      <c r="D662" s="55" t="n">
        <v>44.5</v>
      </c>
      <c r="E662" s="138" t="n">
        <v>62.5</v>
      </c>
      <c r="F662" s="138" t="n">
        <v>53.5</v>
      </c>
      <c r="G662" s="138" t="n">
        <v>40.5</v>
      </c>
      <c r="H662" s="138" t="n">
        <v>43.8</v>
      </c>
      <c r="I662" s="138" t="n">
        <v>56.7</v>
      </c>
      <c r="J662" s="138" t="n">
        <v>45.8</v>
      </c>
      <c r="K662" s="138" t="n">
        <v>53.8</v>
      </c>
      <c r="L662" s="138" t="n">
        <v>50.5</v>
      </c>
    </row>
    <row r="663">
      <c r="A663" s="54" t="n">
        <v>37530</v>
      </c>
      <c r="B663" s="71" t="n">
        <v>52.1</v>
      </c>
      <c r="C663" s="138" t="n">
        <v>51.2</v>
      </c>
      <c r="D663" s="55" t="n">
        <v>43.5</v>
      </c>
      <c r="E663" s="138" t="n">
        <v>58.3</v>
      </c>
      <c r="F663" s="138" t="n">
        <v>51.3</v>
      </c>
      <c r="G663" s="138" t="n">
        <v>42.5</v>
      </c>
      <c r="H663" s="138" t="n">
        <v>42</v>
      </c>
      <c r="I663" s="138" t="n">
        <v>53.4</v>
      </c>
      <c r="J663" s="138" t="n">
        <v>46.4</v>
      </c>
      <c r="K663" s="138" t="n">
        <v>53</v>
      </c>
      <c r="L663" s="138" t="n">
        <v>49</v>
      </c>
    </row>
    <row r="664">
      <c r="A664" s="54" t="n">
        <v>37561</v>
      </c>
      <c r="B664" s="71" t="n">
        <v>49.9</v>
      </c>
      <c r="C664" s="138" t="n">
        <v>52.4</v>
      </c>
      <c r="D664" s="55" t="n">
        <v>42.5</v>
      </c>
      <c r="E664" s="138" t="n">
        <v>55.7</v>
      </c>
      <c r="F664" s="138" t="n">
        <v>52.7</v>
      </c>
      <c r="G664" s="138" t="n">
        <v>46.5</v>
      </c>
      <c r="H664" s="138" t="n">
        <v>43.1</v>
      </c>
      <c r="I664" s="138" t="n">
        <v>52.1</v>
      </c>
      <c r="J664" s="138" t="n">
        <v>44.8</v>
      </c>
      <c r="K664" s="138" t="n">
        <v>50</v>
      </c>
      <c r="L664" s="138" t="n">
        <v>48.5</v>
      </c>
    </row>
    <row r="665">
      <c r="A665" s="54" t="n">
        <v>37591</v>
      </c>
      <c r="B665" s="71" t="n">
        <v>58.7</v>
      </c>
      <c r="C665" s="138" t="n">
        <v>55.1</v>
      </c>
      <c r="D665" s="55" t="n">
        <v>46.5</v>
      </c>
      <c r="E665" s="138" t="n">
        <v>56.9</v>
      </c>
      <c r="F665" s="138" t="n">
        <v>53.9</v>
      </c>
      <c r="G665" s="138" t="n">
        <v>43</v>
      </c>
      <c r="H665" s="138" t="n">
        <v>45.2</v>
      </c>
      <c r="I665" s="138" t="n">
        <v>52.9</v>
      </c>
      <c r="J665" s="138" t="n">
        <v>47.5</v>
      </c>
      <c r="K665" s="138" t="n">
        <v>52</v>
      </c>
      <c r="L665" s="138" t="n">
        <v>51.6</v>
      </c>
    </row>
    <row r="666">
      <c r="A666" s="54" t="n">
        <v>37622</v>
      </c>
      <c r="B666" s="71" t="n">
        <v>58.2</v>
      </c>
      <c r="C666" s="138" t="n">
        <v>58.6</v>
      </c>
      <c r="D666" s="55" t="n">
        <v>45</v>
      </c>
      <c r="E666" s="138" t="n">
        <v>57.5</v>
      </c>
      <c r="F666" s="138" t="n">
        <v>54.1</v>
      </c>
      <c r="G666" s="138" t="n">
        <v>42.5</v>
      </c>
      <c r="H666" s="138" t="n">
        <v>44.2</v>
      </c>
      <c r="I666" s="138" t="n">
        <v>52.8</v>
      </c>
      <c r="J666" s="138" t="n">
        <v>47.4</v>
      </c>
      <c r="K666" s="138" t="n">
        <v>54.4</v>
      </c>
      <c r="L666" s="138" t="n">
        <v>51.3</v>
      </c>
    </row>
    <row r="667">
      <c r="A667" s="54" t="n">
        <v>37653</v>
      </c>
      <c r="B667" s="71" t="n">
        <v>51.9</v>
      </c>
      <c r="C667" s="138" t="n">
        <v>54.6</v>
      </c>
      <c r="D667" s="55" t="n">
        <v>49</v>
      </c>
      <c r="E667" s="138" t="n">
        <v>65.5</v>
      </c>
      <c r="F667" s="138" t="n">
        <v>53.6</v>
      </c>
      <c r="G667" s="138" t="n">
        <v>46</v>
      </c>
      <c r="H667" s="138" t="n">
        <v>43</v>
      </c>
      <c r="I667" s="138" t="n">
        <v>52.8</v>
      </c>
      <c r="J667" s="138" t="n">
        <v>42.6</v>
      </c>
      <c r="K667" s="138" t="n">
        <v>55.2</v>
      </c>
      <c r="L667" s="138" t="n">
        <v>48.8</v>
      </c>
    </row>
    <row r="668">
      <c r="A668" s="54" t="n">
        <v>37681</v>
      </c>
      <c r="B668" s="71" t="n">
        <v>47.2</v>
      </c>
      <c r="C668" s="138" t="n">
        <v>53.3</v>
      </c>
      <c r="D668" s="55" t="n">
        <v>41.5</v>
      </c>
      <c r="E668" s="138" t="n">
        <v>70</v>
      </c>
      <c r="F668" s="138" t="n">
        <v>47</v>
      </c>
      <c r="G668" s="138" t="n">
        <v>42</v>
      </c>
      <c r="H668" s="138" t="n">
        <v>42.3</v>
      </c>
      <c r="I668" s="138" t="n">
        <v>52.6</v>
      </c>
      <c r="J668" s="138" t="n">
        <v>42.2</v>
      </c>
      <c r="K668" s="138" t="n">
        <v>51.3</v>
      </c>
      <c r="L668" s="138" t="n">
        <v>46.3</v>
      </c>
    </row>
    <row r="669">
      <c r="A669" s="54" t="n">
        <v>37712</v>
      </c>
      <c r="B669" s="71" t="n">
        <v>47.2</v>
      </c>
      <c r="C669" s="138" t="n">
        <v>54.8</v>
      </c>
      <c r="D669" s="55" t="n">
        <v>47.5</v>
      </c>
      <c r="E669" s="138" t="n">
        <v>63.5</v>
      </c>
      <c r="F669" s="138" t="n">
        <v>48.5</v>
      </c>
      <c r="G669" s="138" t="n">
        <v>44.5</v>
      </c>
      <c r="H669" s="138" t="n">
        <v>43.1</v>
      </c>
      <c r="I669" s="138" t="n">
        <v>49.9</v>
      </c>
      <c r="J669" s="138" t="n">
        <v>41.8</v>
      </c>
      <c r="K669" s="138" t="n">
        <v>50.8</v>
      </c>
      <c r="L669" s="138" t="n">
        <v>46.1</v>
      </c>
    </row>
    <row r="670">
      <c r="A670" s="54" t="n">
        <v>37742</v>
      </c>
      <c r="B670" s="71" t="n">
        <v>53.4</v>
      </c>
      <c r="C670" s="138" t="n">
        <v>52.2</v>
      </c>
      <c r="D670" s="55" t="n">
        <v>51</v>
      </c>
      <c r="E670" s="138" t="n">
        <v>51.5</v>
      </c>
      <c r="F670" s="138" t="n">
        <v>52.9</v>
      </c>
      <c r="G670" s="138" t="n">
        <v>45</v>
      </c>
      <c r="H670" s="138" t="n">
        <v>45.7</v>
      </c>
      <c r="I670" s="138" t="n">
        <v>50.6</v>
      </c>
      <c r="J670" s="138" t="n">
        <v>42.4</v>
      </c>
      <c r="K670" s="138" t="n">
        <v>51.7</v>
      </c>
      <c r="L670" s="138" t="n">
        <v>49</v>
      </c>
    </row>
    <row r="671">
      <c r="A671" s="54" t="n">
        <v>37773</v>
      </c>
      <c r="B671" s="71" t="n">
        <v>53.6</v>
      </c>
      <c r="C671" s="138" t="n">
        <v>55.9</v>
      </c>
      <c r="D671" s="55" t="n">
        <v>50</v>
      </c>
      <c r="E671" s="138" t="n">
        <v>56.5</v>
      </c>
      <c r="F671" s="138" t="n">
        <v>54.1</v>
      </c>
      <c r="G671" s="138" t="n">
        <v>45.5</v>
      </c>
      <c r="H671" s="138" t="n">
        <v>42</v>
      </c>
      <c r="I671" s="138" t="n">
        <v>49.8</v>
      </c>
      <c r="J671" s="138" t="n">
        <v>45.6</v>
      </c>
      <c r="K671" s="138" t="n">
        <v>54.6</v>
      </c>
      <c r="L671" s="138" t="n">
        <v>49</v>
      </c>
    </row>
    <row r="672">
      <c r="A672" s="54" t="n">
        <v>37803</v>
      </c>
      <c r="B672" s="71" t="n">
        <v>56.8</v>
      </c>
      <c r="C672" s="138" t="n">
        <v>54.9</v>
      </c>
      <c r="D672" s="55" t="n">
        <v>51</v>
      </c>
      <c r="E672" s="138" t="n">
        <v>53</v>
      </c>
      <c r="F672" s="138" t="n">
        <v>53.9</v>
      </c>
      <c r="G672" s="138" t="n">
        <v>42.5</v>
      </c>
      <c r="H672" s="138" t="n">
        <v>46.3</v>
      </c>
      <c r="I672" s="138" t="n">
        <v>51.5</v>
      </c>
      <c r="J672" s="138" t="n">
        <v>46.3</v>
      </c>
      <c r="K672" s="138" t="n">
        <v>54.4</v>
      </c>
      <c r="L672" s="138" t="n">
        <v>51</v>
      </c>
    </row>
    <row r="673">
      <c r="A673" s="54" t="n">
        <v>37834</v>
      </c>
      <c r="B673" s="71" t="n">
        <v>61.1</v>
      </c>
      <c r="C673" s="138" t="n">
        <v>55.2</v>
      </c>
      <c r="D673" s="55" t="n">
        <v>51.5</v>
      </c>
      <c r="E673" s="138" t="n">
        <v>53</v>
      </c>
      <c r="F673" s="138" t="n">
        <v>61.8</v>
      </c>
      <c r="G673" s="138" t="n">
        <v>43</v>
      </c>
      <c r="H673" s="138" t="n">
        <v>43.1</v>
      </c>
      <c r="I673" s="138" t="n">
        <v>53</v>
      </c>
      <c r="J673" s="138" t="n">
        <v>47.1</v>
      </c>
      <c r="K673" s="138" t="n">
        <v>56.4</v>
      </c>
      <c r="L673" s="138" t="n">
        <v>53.2</v>
      </c>
    </row>
    <row r="674">
      <c r="A674" s="54" t="n">
        <v>37865</v>
      </c>
      <c r="B674" s="71" t="n">
        <v>60.8</v>
      </c>
      <c r="C674" s="138" t="n">
        <v>61.4</v>
      </c>
      <c r="D674" s="55" t="n">
        <v>52.5</v>
      </c>
      <c r="E674" s="138" t="n">
        <v>56</v>
      </c>
      <c r="F674" s="138" t="n">
        <v>57.8</v>
      </c>
      <c r="G674" s="138" t="n">
        <v>44.5</v>
      </c>
      <c r="H674" s="138" t="n">
        <v>43.4</v>
      </c>
      <c r="I674" s="138" t="n">
        <v>53.4</v>
      </c>
      <c r="J674" s="138" t="n">
        <v>46.5</v>
      </c>
      <c r="K674" s="138" t="n">
        <v>54.5</v>
      </c>
      <c r="L674" s="138" t="n">
        <v>52.4</v>
      </c>
    </row>
    <row r="675">
      <c r="A675" s="54" t="n">
        <v>37895</v>
      </c>
      <c r="B675" s="71" t="n">
        <v>64.40000000000001</v>
      </c>
      <c r="C675" s="138" t="n">
        <v>59.2</v>
      </c>
      <c r="D675" s="55" t="n">
        <v>53.5</v>
      </c>
      <c r="E675" s="138" t="n">
        <v>58.5</v>
      </c>
      <c r="F675" s="138" t="n">
        <v>62.8</v>
      </c>
      <c r="G675" s="138" t="n">
        <v>39</v>
      </c>
      <c r="H675" s="138" t="n">
        <v>45.6</v>
      </c>
      <c r="I675" s="138" t="n">
        <v>54.6</v>
      </c>
      <c r="J675" s="138" t="n">
        <v>48.6</v>
      </c>
      <c r="K675" s="138" t="n">
        <v>59.5</v>
      </c>
      <c r="L675" s="138" t="n">
        <v>55.2</v>
      </c>
    </row>
    <row r="676">
      <c r="A676" s="54" t="n">
        <v>37926</v>
      </c>
      <c r="B676" s="71" t="n">
        <v>69.09999999999999</v>
      </c>
      <c r="C676" s="138" t="n">
        <v>61.4</v>
      </c>
      <c r="D676" s="55" t="n">
        <v>59</v>
      </c>
      <c r="E676" s="138" t="n">
        <v>64</v>
      </c>
      <c r="F676" s="138" t="n">
        <v>66.59999999999999</v>
      </c>
      <c r="G676" s="138" t="n">
        <v>39.5</v>
      </c>
      <c r="H676" s="138" t="n">
        <v>49.7</v>
      </c>
      <c r="I676" s="138" t="n">
        <v>56.4</v>
      </c>
      <c r="J676" s="138" t="n">
        <v>50.4</v>
      </c>
      <c r="K676" s="138" t="n">
        <v>57.1</v>
      </c>
      <c r="L676" s="138" t="n">
        <v>58.4</v>
      </c>
    </row>
    <row r="677">
      <c r="A677" s="54" t="n">
        <v>37956</v>
      </c>
      <c r="B677" s="71" t="n">
        <v>71.3</v>
      </c>
      <c r="C677" s="138" t="n">
        <v>57.8</v>
      </c>
      <c r="D677" s="55" t="n">
        <v>61</v>
      </c>
      <c r="E677" s="138" t="n">
        <v>66</v>
      </c>
      <c r="F677" s="138" t="n">
        <v>70</v>
      </c>
      <c r="G677" s="138" t="n">
        <v>39</v>
      </c>
      <c r="H677" s="138" t="n">
        <v>45.9</v>
      </c>
      <c r="I677" s="138" t="n">
        <v>59.3</v>
      </c>
      <c r="J677" s="138" t="n">
        <v>54.1</v>
      </c>
      <c r="K677" s="138" t="n">
        <v>59.3</v>
      </c>
      <c r="L677" s="138" t="n">
        <v>60.1</v>
      </c>
    </row>
    <row r="678">
      <c r="A678" s="54" t="n">
        <v>37987</v>
      </c>
      <c r="B678" s="71" t="n">
        <v>70.59999999999999</v>
      </c>
      <c r="C678" s="138" t="n">
        <v>59.2</v>
      </c>
      <c r="D678" s="55" t="n">
        <v>60.5</v>
      </c>
      <c r="E678" s="138" t="n">
        <v>75.5</v>
      </c>
      <c r="F678" s="138" t="n">
        <v>69.3</v>
      </c>
      <c r="G678" s="138" t="n">
        <v>40</v>
      </c>
      <c r="H678" s="138" t="n">
        <v>47.9</v>
      </c>
      <c r="I678" s="138" t="n">
        <v>61.5</v>
      </c>
      <c r="J678" s="138" t="n">
        <v>54.7</v>
      </c>
      <c r="K678" s="138" t="n">
        <v>57.2</v>
      </c>
      <c r="L678" s="138" t="n">
        <v>60.8</v>
      </c>
    </row>
    <row r="679">
      <c r="A679" s="54" t="n">
        <v>38018</v>
      </c>
      <c r="B679" s="71" t="n">
        <v>66.5</v>
      </c>
      <c r="C679" s="138" t="n">
        <v>59.9</v>
      </c>
      <c r="D679" s="55" t="n">
        <v>62</v>
      </c>
      <c r="E679" s="138" t="n">
        <v>81.5</v>
      </c>
      <c r="F679" s="138" t="n">
        <v>65.59999999999999</v>
      </c>
      <c r="G679" s="138" t="n">
        <v>38.5</v>
      </c>
      <c r="H679" s="138" t="n">
        <v>49</v>
      </c>
      <c r="I679" s="138" t="n">
        <v>62.9</v>
      </c>
      <c r="J679" s="138" t="n">
        <v>55.7</v>
      </c>
      <c r="K679" s="138" t="n">
        <v>55.1</v>
      </c>
      <c r="L679" s="138" t="n">
        <v>59.9</v>
      </c>
    </row>
    <row r="680">
      <c r="A680" s="54" t="n">
        <v>38047</v>
      </c>
      <c r="B680" s="71" t="n">
        <v>64.59999999999999</v>
      </c>
      <c r="C680" s="138" t="n">
        <v>57.1</v>
      </c>
      <c r="D680" s="55" t="n">
        <v>63.5</v>
      </c>
      <c r="E680" s="138" t="n">
        <v>86</v>
      </c>
      <c r="F680" s="138" t="n">
        <v>66.8</v>
      </c>
      <c r="G680" s="138" t="n">
        <v>39.5</v>
      </c>
      <c r="H680" s="138" t="n">
        <v>48</v>
      </c>
      <c r="I680" s="138" t="n">
        <v>66.7</v>
      </c>
      <c r="J680" s="138" t="n">
        <v>57</v>
      </c>
      <c r="K680" s="138" t="n">
        <v>60.2</v>
      </c>
      <c r="L680" s="138" t="n">
        <v>60.6</v>
      </c>
    </row>
    <row r="681">
      <c r="A681" s="54" t="n">
        <v>38078</v>
      </c>
      <c r="B681" s="71" t="n">
        <v>67.09999999999999</v>
      </c>
      <c r="C681" s="138" t="n">
        <v>58.7</v>
      </c>
      <c r="D681" s="55" t="n">
        <v>66.5</v>
      </c>
      <c r="E681" s="138" t="n">
        <v>88</v>
      </c>
      <c r="F681" s="138" t="n">
        <v>66.59999999999999</v>
      </c>
      <c r="G681" s="138" t="n">
        <v>40.5</v>
      </c>
      <c r="H681" s="138" t="n">
        <v>45.2</v>
      </c>
      <c r="I681" s="138" t="n">
        <v>66.7</v>
      </c>
      <c r="J681" s="138" t="n">
        <v>57.2</v>
      </c>
      <c r="K681" s="138" t="n">
        <v>59.9</v>
      </c>
      <c r="L681" s="138" t="n">
        <v>60.6</v>
      </c>
    </row>
    <row r="682">
      <c r="A682" s="54" t="n">
        <v>38108</v>
      </c>
      <c r="B682" s="71" t="n">
        <v>64.5</v>
      </c>
      <c r="C682" s="138" t="n">
        <v>58.8</v>
      </c>
      <c r="D682" s="55" t="n">
        <v>63</v>
      </c>
      <c r="E682" s="138" t="n">
        <v>86</v>
      </c>
      <c r="F682" s="138" t="n">
        <v>65.3</v>
      </c>
      <c r="G682" s="138" t="n">
        <v>37</v>
      </c>
      <c r="H682" s="138" t="n">
        <v>48.8</v>
      </c>
      <c r="I682" s="138" t="n">
        <v>68.3</v>
      </c>
      <c r="J682" s="138" t="n">
        <v>60.1</v>
      </c>
      <c r="K682" s="138" t="n">
        <v>60</v>
      </c>
      <c r="L682" s="138" t="n">
        <v>61.4</v>
      </c>
    </row>
    <row r="683">
      <c r="A683" s="54" t="n">
        <v>38139</v>
      </c>
      <c r="B683" s="71" t="n">
        <v>60.9</v>
      </c>
      <c r="C683" s="138" t="n">
        <v>57.5</v>
      </c>
      <c r="D683" s="55" t="n">
        <v>58.5</v>
      </c>
      <c r="E683" s="138" t="n">
        <v>81</v>
      </c>
      <c r="F683" s="138" t="n">
        <v>63.7</v>
      </c>
      <c r="G683" s="138" t="n">
        <v>39</v>
      </c>
      <c r="H683" s="138" t="n">
        <v>51.3</v>
      </c>
      <c r="I683" s="138" t="n">
        <v>67.09999999999999</v>
      </c>
      <c r="J683" s="138" t="n">
        <v>59.4</v>
      </c>
      <c r="K683" s="138" t="n">
        <v>57.3</v>
      </c>
      <c r="L683" s="138" t="n">
        <v>60.5</v>
      </c>
    </row>
    <row r="684">
      <c r="A684" s="54" t="n">
        <v>38169</v>
      </c>
      <c r="B684" s="71" t="n">
        <v>62.8</v>
      </c>
      <c r="C684" s="138" t="n">
        <v>58.8</v>
      </c>
      <c r="D684" s="55" t="n">
        <v>58</v>
      </c>
      <c r="E684" s="138" t="n">
        <v>77</v>
      </c>
      <c r="F684" s="138" t="n">
        <v>63.8</v>
      </c>
      <c r="G684" s="138" t="n">
        <v>37.5</v>
      </c>
      <c r="H684" s="138" t="n">
        <v>50.8</v>
      </c>
      <c r="I684" s="138" t="n">
        <v>64.5</v>
      </c>
      <c r="J684" s="138" t="n">
        <v>57.4</v>
      </c>
      <c r="K684" s="138" t="n">
        <v>56.7</v>
      </c>
      <c r="L684" s="138" t="n">
        <v>59.9</v>
      </c>
    </row>
    <row r="685">
      <c r="A685" s="54" t="n">
        <v>38200</v>
      </c>
      <c r="B685" s="71" t="n">
        <v>62.1</v>
      </c>
      <c r="C685" s="138" t="n">
        <v>58.3</v>
      </c>
      <c r="D685" s="55" t="n">
        <v>55</v>
      </c>
      <c r="E685" s="138" t="n">
        <v>81.5</v>
      </c>
      <c r="F685" s="138" t="n">
        <v>59.3</v>
      </c>
      <c r="G685" s="138" t="n">
        <v>45.5</v>
      </c>
      <c r="H685" s="138" t="n">
        <v>52.1</v>
      </c>
      <c r="I685" s="138" t="n">
        <v>62.8</v>
      </c>
      <c r="J685" s="138" t="n">
        <v>56.4</v>
      </c>
      <c r="K685" s="138" t="n">
        <v>55.8</v>
      </c>
      <c r="L685" s="138" t="n">
        <v>58.5</v>
      </c>
    </row>
    <row r="686">
      <c r="A686" s="54" t="n">
        <v>38231</v>
      </c>
      <c r="B686" s="71" t="n">
        <v>57.7</v>
      </c>
      <c r="C686" s="138" t="n">
        <v>58.2</v>
      </c>
      <c r="D686" s="55" t="n">
        <v>55</v>
      </c>
      <c r="E686" s="138" t="n">
        <v>76</v>
      </c>
      <c r="F686" s="138" t="n">
        <v>59.8</v>
      </c>
      <c r="G686" s="138" t="n">
        <v>41.5</v>
      </c>
      <c r="H686" s="138" t="n">
        <v>51.6</v>
      </c>
      <c r="I686" s="138" t="n">
        <v>59.8</v>
      </c>
      <c r="J686" s="138" t="n">
        <v>58</v>
      </c>
      <c r="K686" s="138" t="n">
        <v>53.5</v>
      </c>
      <c r="L686" s="138" t="n">
        <v>57.4</v>
      </c>
    </row>
    <row r="687">
      <c r="A687" s="54" t="n">
        <v>38261</v>
      </c>
      <c r="B687" s="71" t="n">
        <v>58.4</v>
      </c>
      <c r="C687" s="138" t="n">
        <v>59.2</v>
      </c>
      <c r="D687" s="55" t="n">
        <v>49</v>
      </c>
      <c r="E687" s="138" t="n">
        <v>78.5</v>
      </c>
      <c r="F687" s="138" t="n">
        <v>59.3</v>
      </c>
      <c r="G687" s="138" t="n">
        <v>43.5</v>
      </c>
      <c r="H687" s="138" t="n">
        <v>49.3</v>
      </c>
      <c r="I687" s="138" t="n">
        <v>59.2</v>
      </c>
      <c r="J687" s="138" t="n">
        <v>55.5</v>
      </c>
      <c r="K687" s="138" t="n">
        <v>56.7</v>
      </c>
      <c r="L687" s="138" t="n">
        <v>56.3</v>
      </c>
    </row>
    <row r="688">
      <c r="A688" s="54" t="n">
        <v>38292</v>
      </c>
      <c r="B688" s="71" t="n">
        <v>60.1</v>
      </c>
      <c r="C688" s="138" t="n">
        <v>58.8</v>
      </c>
      <c r="D688" s="55" t="n">
        <v>47.5</v>
      </c>
      <c r="E688" s="138" t="n">
        <v>74</v>
      </c>
      <c r="F688" s="138" t="n">
        <v>57.3</v>
      </c>
      <c r="G688" s="138" t="n">
        <v>43.5</v>
      </c>
      <c r="H688" s="138" t="n">
        <v>49.7</v>
      </c>
      <c r="I688" s="138" t="n">
        <v>56.8</v>
      </c>
      <c r="J688" s="138" t="n">
        <v>56.9</v>
      </c>
      <c r="K688" s="138" t="n">
        <v>54.5</v>
      </c>
      <c r="L688" s="138" t="n">
        <v>56.2</v>
      </c>
    </row>
    <row r="689">
      <c r="A689" s="54" t="n">
        <v>38322</v>
      </c>
      <c r="B689" s="71" t="n">
        <v>66.3</v>
      </c>
      <c r="C689" s="138" t="n">
        <v>60.8</v>
      </c>
      <c r="D689" s="55" t="n">
        <v>54</v>
      </c>
      <c r="E689" s="138" t="n">
        <v>72</v>
      </c>
      <c r="F689" s="138" t="n">
        <v>57.9</v>
      </c>
      <c r="G689" s="138" t="n">
        <v>44</v>
      </c>
      <c r="H689" s="138" t="n">
        <v>52.8</v>
      </c>
      <c r="I689" s="138" t="n">
        <v>55.3</v>
      </c>
      <c r="J689" s="138" t="n">
        <v>53.8</v>
      </c>
      <c r="K689" s="138" t="n">
        <v>59.1</v>
      </c>
      <c r="L689" s="138" t="n">
        <v>57.2</v>
      </c>
    </row>
    <row r="690">
      <c r="A690" s="54" t="n">
        <v>38353</v>
      </c>
      <c r="B690" s="71" t="n">
        <v>57.9</v>
      </c>
      <c r="C690" s="138" t="n">
        <v>61.1</v>
      </c>
      <c r="D690" s="55" t="n">
        <v>50.5</v>
      </c>
      <c r="E690" s="138" t="n">
        <v>69</v>
      </c>
      <c r="F690" s="138" t="n">
        <v>59.3</v>
      </c>
      <c r="G690" s="138" t="n">
        <v>44.5</v>
      </c>
      <c r="H690" s="138" t="n">
        <v>53.5</v>
      </c>
      <c r="I690" s="138" t="n">
        <v>54.7</v>
      </c>
      <c r="J690" s="138" t="n">
        <v>58.6</v>
      </c>
      <c r="K690" s="138" t="n">
        <v>56.5</v>
      </c>
      <c r="L690" s="138" t="n">
        <v>56.8</v>
      </c>
    </row>
    <row r="691">
      <c r="A691" s="54" t="n">
        <v>38384</v>
      </c>
      <c r="B691" s="71" t="n">
        <v>55.9</v>
      </c>
      <c r="C691" s="138" t="n">
        <v>60.7</v>
      </c>
      <c r="D691" s="55" t="n">
        <v>50.5</v>
      </c>
      <c r="E691" s="138" t="n">
        <v>65.5</v>
      </c>
      <c r="F691" s="138" t="n">
        <v>58.2</v>
      </c>
      <c r="G691" s="138" t="n">
        <v>42.5</v>
      </c>
      <c r="H691" s="138" t="n">
        <v>51</v>
      </c>
      <c r="I691" s="138" t="n">
        <v>56.5</v>
      </c>
      <c r="J691" s="138" t="n">
        <v>56</v>
      </c>
      <c r="K691" s="138" t="n">
        <v>56.5</v>
      </c>
      <c r="L691" s="138" t="n">
        <v>55.5</v>
      </c>
    </row>
    <row r="692">
      <c r="A692" s="54" t="n">
        <v>38412</v>
      </c>
      <c r="B692" s="71" t="n">
        <v>57.7</v>
      </c>
      <c r="C692" s="138" t="n">
        <v>58.9</v>
      </c>
      <c r="D692" s="55" t="n">
        <v>56</v>
      </c>
      <c r="E692" s="138" t="n">
        <v>73</v>
      </c>
      <c r="F692" s="138" t="n">
        <v>57.5</v>
      </c>
      <c r="G692" s="138" t="n">
        <v>46</v>
      </c>
      <c r="H692" s="138" t="n">
        <v>55</v>
      </c>
      <c r="I692" s="138" t="n">
        <v>53.5</v>
      </c>
      <c r="J692" s="138" t="n">
        <v>52.5</v>
      </c>
      <c r="K692" s="138" t="n">
        <v>55.1</v>
      </c>
      <c r="L692" s="138" t="n">
        <v>55.2</v>
      </c>
    </row>
    <row r="693">
      <c r="A693" s="54" t="n">
        <v>38443</v>
      </c>
      <c r="B693" s="71" t="n">
        <v>53.4</v>
      </c>
      <c r="C693" s="138" t="n">
        <v>56.7</v>
      </c>
      <c r="D693" s="55" t="n">
        <v>53</v>
      </c>
      <c r="E693" s="138" t="n">
        <v>71</v>
      </c>
      <c r="F693" s="138" t="n">
        <v>54.2</v>
      </c>
      <c r="G693" s="138" t="n">
        <v>41.5</v>
      </c>
      <c r="H693" s="138" t="n">
        <v>48.5</v>
      </c>
      <c r="I693" s="138" t="n">
        <v>51.8</v>
      </c>
      <c r="J693" s="138" t="n">
        <v>53</v>
      </c>
      <c r="K693" s="138" t="n">
        <v>57</v>
      </c>
      <c r="L693" s="138" t="n">
        <v>52.2</v>
      </c>
    </row>
    <row r="694">
      <c r="A694" s="54" t="n">
        <v>38473</v>
      </c>
      <c r="B694" s="71" t="n">
        <v>51.8</v>
      </c>
      <c r="C694" s="138" t="n">
        <v>53.9</v>
      </c>
      <c r="D694" s="55" t="n">
        <v>51</v>
      </c>
      <c r="E694" s="138" t="n">
        <v>58</v>
      </c>
      <c r="F694" s="138" t="n">
        <v>54.7</v>
      </c>
      <c r="G694" s="138" t="n">
        <v>47.5</v>
      </c>
      <c r="H694" s="138" t="n">
        <v>48.5</v>
      </c>
      <c r="I694" s="138" t="n">
        <v>49.8</v>
      </c>
      <c r="J694" s="138" t="n">
        <v>49.3</v>
      </c>
      <c r="K694" s="138" t="n">
        <v>55.3</v>
      </c>
      <c r="L694" s="138" t="n">
        <v>50.8</v>
      </c>
    </row>
    <row r="695">
      <c r="A695" s="54" t="n">
        <v>38504</v>
      </c>
      <c r="B695" s="71" t="n">
        <v>55.7</v>
      </c>
      <c r="C695" s="138" t="n">
        <v>54.2</v>
      </c>
      <c r="D695" s="55" t="n">
        <v>51</v>
      </c>
      <c r="E695" s="138" t="n">
        <v>50.5</v>
      </c>
      <c r="F695" s="138" t="n">
        <v>55.1</v>
      </c>
      <c r="G695" s="138" t="n">
        <v>44</v>
      </c>
      <c r="H695" s="138" t="n">
        <v>48</v>
      </c>
      <c r="I695" s="138" t="n">
        <v>52</v>
      </c>
      <c r="J695" s="138" t="n">
        <v>51.1</v>
      </c>
      <c r="K695" s="138" t="n">
        <v>51.2</v>
      </c>
      <c r="L695" s="138" t="n">
        <v>52.4</v>
      </c>
    </row>
    <row r="696">
      <c r="A696" s="54" t="n">
        <v>38534</v>
      </c>
      <c r="B696" s="71" t="n">
        <v>57.2</v>
      </c>
      <c r="C696" s="138" t="n">
        <v>54.7</v>
      </c>
      <c r="D696" s="55" t="n">
        <v>49</v>
      </c>
      <c r="E696" s="138" t="n">
        <v>48.5</v>
      </c>
      <c r="F696" s="138" t="n">
        <v>57.4</v>
      </c>
      <c r="G696" s="138" t="n">
        <v>44.5</v>
      </c>
      <c r="H696" s="138" t="n">
        <v>45.5</v>
      </c>
      <c r="I696" s="138" t="n">
        <v>50.8</v>
      </c>
      <c r="J696" s="138" t="n">
        <v>53.2</v>
      </c>
      <c r="K696" s="138" t="n">
        <v>55.8</v>
      </c>
      <c r="L696" s="138" t="n">
        <v>52.8</v>
      </c>
    </row>
    <row r="697">
      <c r="A697" s="54" t="n">
        <v>38565</v>
      </c>
      <c r="B697" s="71" t="n">
        <v>57.8</v>
      </c>
      <c r="C697" s="138" t="n">
        <v>53.4</v>
      </c>
      <c r="D697" s="55" t="n">
        <v>50.5</v>
      </c>
      <c r="E697" s="138" t="n">
        <v>62.5</v>
      </c>
      <c r="F697" s="138" t="n">
        <v>55.6</v>
      </c>
      <c r="G697" s="138" t="n">
        <v>46.5</v>
      </c>
      <c r="H697" s="138" t="n">
        <v>47</v>
      </c>
      <c r="I697" s="138" t="n">
        <v>49.9</v>
      </c>
      <c r="J697" s="138" t="n">
        <v>51.8</v>
      </c>
      <c r="K697" s="138" t="n">
        <v>54.5</v>
      </c>
      <c r="L697" s="138" t="n">
        <v>52.4</v>
      </c>
    </row>
    <row r="698">
      <c r="A698" s="54" t="n">
        <v>38596</v>
      </c>
      <c r="B698" s="71" t="n">
        <v>60.9</v>
      </c>
      <c r="C698" s="138" t="n">
        <v>53.4</v>
      </c>
      <c r="D698" s="55" t="n">
        <v>55</v>
      </c>
      <c r="E698" s="138" t="n">
        <v>78</v>
      </c>
      <c r="F698" s="138" t="n">
        <v>62.4</v>
      </c>
      <c r="G698" s="138" t="n">
        <v>44.5</v>
      </c>
      <c r="H698" s="138" t="n">
        <v>49.5</v>
      </c>
      <c r="I698" s="138" t="n">
        <v>57.7</v>
      </c>
      <c r="J698" s="138" t="n">
        <v>53.4</v>
      </c>
      <c r="K698" s="138" t="n">
        <v>57.3</v>
      </c>
      <c r="L698" s="138" t="n">
        <v>56.8</v>
      </c>
    </row>
    <row r="699">
      <c r="A699" s="54" t="n">
        <v>38626</v>
      </c>
      <c r="B699" s="71" t="n">
        <v>61.4</v>
      </c>
      <c r="C699" s="138" t="n">
        <v>58.2</v>
      </c>
      <c r="D699" s="55" t="n">
        <v>55.5</v>
      </c>
      <c r="E699" s="138" t="n">
        <v>84</v>
      </c>
      <c r="F699" s="138" t="n">
        <v>62.1</v>
      </c>
      <c r="G699" s="138" t="n">
        <v>41</v>
      </c>
      <c r="H699" s="138" t="n">
        <v>46.5</v>
      </c>
      <c r="I699" s="138" t="n">
        <v>61.8</v>
      </c>
      <c r="J699" s="138" t="n">
        <v>54.3</v>
      </c>
      <c r="K699" s="138" t="n">
        <v>55.2</v>
      </c>
      <c r="L699" s="138" t="n">
        <v>57.2</v>
      </c>
    </row>
    <row r="700">
      <c r="A700" s="54" t="n">
        <v>38657</v>
      </c>
      <c r="B700" s="71" t="n">
        <v>61.2</v>
      </c>
      <c r="C700" s="138" t="n">
        <v>54.1</v>
      </c>
      <c r="D700" s="55" t="n">
        <v>53</v>
      </c>
      <c r="E700" s="138" t="n">
        <v>74</v>
      </c>
      <c r="F700" s="138" t="n">
        <v>62.4</v>
      </c>
      <c r="G700" s="138" t="n">
        <v>43.5</v>
      </c>
      <c r="H700" s="138" t="n">
        <v>47</v>
      </c>
      <c r="I700" s="138" t="n">
        <v>57</v>
      </c>
      <c r="J700" s="138" t="n">
        <v>56</v>
      </c>
      <c r="K700" s="138" t="n">
        <v>57.9</v>
      </c>
      <c r="L700" s="138" t="n">
        <v>56.7</v>
      </c>
    </row>
    <row r="701">
      <c r="A701" s="54" t="n">
        <v>38687</v>
      </c>
      <c r="B701" s="71" t="n">
        <v>60.1</v>
      </c>
      <c r="C701" s="138" t="n">
        <v>52.8</v>
      </c>
      <c r="D701" s="55" t="n">
        <v>49.5</v>
      </c>
      <c r="E701" s="138" t="n">
        <v>63</v>
      </c>
      <c r="F701" s="138" t="n">
        <v>60.3</v>
      </c>
      <c r="G701" s="138" t="n">
        <v>48</v>
      </c>
      <c r="H701" s="138" t="n">
        <v>46.5</v>
      </c>
      <c r="I701" s="138" t="n">
        <v>54.9</v>
      </c>
      <c r="J701" s="138" t="n">
        <v>53.7</v>
      </c>
      <c r="K701" s="138" t="n">
        <v>54.3</v>
      </c>
      <c r="L701" s="138" t="n">
        <v>55.1</v>
      </c>
    </row>
    <row r="702">
      <c r="A702" s="54" t="n">
        <v>38718</v>
      </c>
      <c r="B702" s="71" t="n">
        <v>58.9</v>
      </c>
      <c r="C702" s="138" t="n">
        <v>57</v>
      </c>
      <c r="D702" s="55" t="n">
        <v>53.5</v>
      </c>
      <c r="E702" s="138" t="n">
        <v>65</v>
      </c>
      <c r="F702" s="138" t="n">
        <v>59.7</v>
      </c>
      <c r="G702" s="138" t="n">
        <v>46</v>
      </c>
      <c r="H702" s="138" t="n">
        <v>47.5</v>
      </c>
      <c r="I702" s="138" t="n">
        <v>55.7</v>
      </c>
      <c r="J702" s="138" t="n">
        <v>53.1</v>
      </c>
      <c r="K702" s="138" t="n">
        <v>58.5</v>
      </c>
      <c r="L702" s="138" t="n">
        <v>55</v>
      </c>
    </row>
    <row r="703">
      <c r="A703" s="54" t="n">
        <v>38749</v>
      </c>
      <c r="B703" s="71" t="n">
        <v>61</v>
      </c>
      <c r="C703" s="138" t="n">
        <v>57.5</v>
      </c>
      <c r="D703" s="55" t="n">
        <v>54.5</v>
      </c>
      <c r="E703" s="138" t="n">
        <v>62.5</v>
      </c>
      <c r="F703" s="138" t="n">
        <v>57.9</v>
      </c>
      <c r="G703" s="138" t="n">
        <v>48.5</v>
      </c>
      <c r="H703" s="138" t="n">
        <v>52</v>
      </c>
      <c r="I703" s="138" t="n">
        <v>54.4</v>
      </c>
      <c r="J703" s="138" t="n">
        <v>53.5</v>
      </c>
      <c r="K703" s="138" t="n">
        <v>57</v>
      </c>
      <c r="L703" s="138" t="n">
        <v>55.8</v>
      </c>
    </row>
    <row r="704">
      <c r="A704" s="54" t="n">
        <v>38777</v>
      </c>
      <c r="B704" s="71" t="n">
        <v>57</v>
      </c>
      <c r="C704" s="138" t="n">
        <v>57</v>
      </c>
      <c r="D704" s="55" t="n">
        <v>59.5</v>
      </c>
      <c r="E704" s="138" t="n">
        <v>66.5</v>
      </c>
      <c r="F704" s="138" t="n">
        <v>57</v>
      </c>
      <c r="G704" s="138" t="n">
        <v>48</v>
      </c>
      <c r="H704" s="138" t="n">
        <v>50</v>
      </c>
      <c r="I704" s="138" t="n">
        <v>53.9</v>
      </c>
      <c r="J704" s="138" t="n">
        <v>53.8</v>
      </c>
      <c r="K704" s="138" t="n">
        <v>57.3</v>
      </c>
      <c r="L704" s="138" t="n">
        <v>54.3</v>
      </c>
    </row>
    <row r="705">
      <c r="A705" s="54" t="n">
        <v>38808</v>
      </c>
      <c r="B705" s="71" t="n">
        <v>55.7</v>
      </c>
      <c r="C705" s="138" t="n">
        <v>59</v>
      </c>
      <c r="D705" s="55" t="n">
        <v>57</v>
      </c>
      <c r="E705" s="138" t="n">
        <v>71.5</v>
      </c>
      <c r="F705" s="138" t="n">
        <v>57.1</v>
      </c>
      <c r="G705" s="138" t="n">
        <v>46.5</v>
      </c>
      <c r="H705" s="138" t="n">
        <v>51.5</v>
      </c>
      <c r="I705" s="138" t="n">
        <v>57.4</v>
      </c>
      <c r="J705" s="138" t="n">
        <v>54.2</v>
      </c>
      <c r="K705" s="138" t="n">
        <v>53.4</v>
      </c>
      <c r="L705" s="138" t="n">
        <v>55.2</v>
      </c>
    </row>
    <row r="706">
      <c r="A706" s="54" t="n">
        <v>38838</v>
      </c>
      <c r="B706" s="71" t="n">
        <v>54.9</v>
      </c>
      <c r="C706" s="138" t="n">
        <v>56.5</v>
      </c>
      <c r="D706" s="55" t="n">
        <v>53</v>
      </c>
      <c r="E706" s="138" t="n">
        <v>77</v>
      </c>
      <c r="F706" s="138" t="n">
        <v>56</v>
      </c>
      <c r="G706" s="138" t="n">
        <v>44</v>
      </c>
      <c r="H706" s="138" t="n">
        <v>48.5</v>
      </c>
      <c r="I706" s="138" t="n">
        <v>56.1</v>
      </c>
      <c r="J706" s="138" t="n">
        <v>53.2</v>
      </c>
      <c r="K706" s="138" t="n">
        <v>55.7</v>
      </c>
      <c r="L706" s="138" t="n">
        <v>53.7</v>
      </c>
    </row>
    <row r="707">
      <c r="A707" s="54" t="n">
        <v>38869</v>
      </c>
      <c r="B707" s="71" t="n">
        <v>55</v>
      </c>
      <c r="C707" s="138" t="n">
        <v>56.5</v>
      </c>
      <c r="D707" s="55" t="n">
        <v>54</v>
      </c>
      <c r="E707" s="138" t="n">
        <v>76.5</v>
      </c>
      <c r="F707" s="138" t="n">
        <v>53.4</v>
      </c>
      <c r="G707" s="138" t="n">
        <v>45.5</v>
      </c>
      <c r="H707" s="138" t="n">
        <v>47.5</v>
      </c>
      <c r="I707" s="138" t="n">
        <v>54</v>
      </c>
      <c r="J707" s="138" t="n">
        <v>49.9</v>
      </c>
      <c r="K707" s="138" t="n">
        <v>55.4</v>
      </c>
      <c r="L707" s="138" t="n">
        <v>52</v>
      </c>
    </row>
    <row r="708">
      <c r="A708" s="54" t="n">
        <v>38899</v>
      </c>
      <c r="B708" s="71" t="n">
        <v>55.8</v>
      </c>
      <c r="C708" s="138" t="n">
        <v>57.5</v>
      </c>
      <c r="D708" s="55" t="n">
        <v>50.5</v>
      </c>
      <c r="E708" s="138" t="n">
        <v>78.5</v>
      </c>
      <c r="F708" s="138" t="n">
        <v>56.9</v>
      </c>
      <c r="G708" s="138" t="n">
        <v>44.5</v>
      </c>
      <c r="H708" s="138" t="n">
        <v>48</v>
      </c>
      <c r="I708" s="138" t="n">
        <v>53.5</v>
      </c>
      <c r="J708" s="138" t="n">
        <v>50.7</v>
      </c>
      <c r="K708" s="138" t="n">
        <v>51.9</v>
      </c>
      <c r="L708" s="138" t="n">
        <v>53</v>
      </c>
    </row>
    <row r="709">
      <c r="A709" s="54" t="n">
        <v>38930</v>
      </c>
      <c r="B709" s="71" t="n">
        <v>55.3</v>
      </c>
      <c r="C709" s="138" t="n">
        <v>54</v>
      </c>
      <c r="D709" s="55" t="n">
        <v>51.5</v>
      </c>
      <c r="E709" s="138" t="n">
        <v>73</v>
      </c>
      <c r="F709" s="138" t="n">
        <v>55.2</v>
      </c>
      <c r="G709" s="138" t="n">
        <v>46</v>
      </c>
      <c r="H709" s="138" t="n">
        <v>51</v>
      </c>
      <c r="I709" s="138" t="n">
        <v>54.2</v>
      </c>
      <c r="J709" s="138" t="n">
        <v>52.6</v>
      </c>
      <c r="K709" s="138" t="n">
        <v>55.7</v>
      </c>
      <c r="L709" s="138" t="n">
        <v>53.7</v>
      </c>
    </row>
    <row r="710">
      <c r="A710" s="54" t="n">
        <v>38961</v>
      </c>
      <c r="B710" s="71" t="n">
        <v>54.8</v>
      </c>
      <c r="C710" s="138" t="n">
        <v>56</v>
      </c>
      <c r="D710" s="55" t="n">
        <v>46.5</v>
      </c>
      <c r="E710" s="138" t="n">
        <v>61</v>
      </c>
      <c r="F710" s="138" t="n">
        <v>56.2</v>
      </c>
      <c r="G710" s="138" t="n">
        <v>49</v>
      </c>
      <c r="H710" s="138" t="n">
        <v>47</v>
      </c>
      <c r="I710" s="138" t="n">
        <v>52.9</v>
      </c>
      <c r="J710" s="138" t="n">
        <v>49.9</v>
      </c>
      <c r="K710" s="138" t="n">
        <v>55.3</v>
      </c>
      <c r="L710" s="138" t="n">
        <v>52.2</v>
      </c>
    </row>
    <row r="711">
      <c r="A711" s="54" t="n">
        <v>38991</v>
      </c>
      <c r="B711" s="71" t="n">
        <v>54.1</v>
      </c>
      <c r="C711" s="138" t="n">
        <v>57</v>
      </c>
      <c r="D711" s="55" t="n">
        <v>44.5</v>
      </c>
      <c r="E711" s="138" t="n">
        <v>47</v>
      </c>
      <c r="F711" s="138" t="n">
        <v>54.3</v>
      </c>
      <c r="G711" s="138" t="n">
        <v>52</v>
      </c>
      <c r="H711" s="138" t="n">
        <v>47.5</v>
      </c>
      <c r="I711" s="138" t="n">
        <v>51.3</v>
      </c>
      <c r="J711" s="138" t="n">
        <v>49.6</v>
      </c>
      <c r="K711" s="138" t="n">
        <v>57.8</v>
      </c>
      <c r="L711" s="138" t="n">
        <v>51.4</v>
      </c>
    </row>
    <row r="712">
      <c r="A712" s="54" t="n">
        <v>39022</v>
      </c>
      <c r="B712" s="71" t="n">
        <v>50.8</v>
      </c>
      <c r="C712" s="138" t="n">
        <v>56.5</v>
      </c>
      <c r="D712" s="55" t="n">
        <v>46.5</v>
      </c>
      <c r="E712" s="138" t="n">
        <v>53.5</v>
      </c>
      <c r="F712" s="138" t="n">
        <v>50.7</v>
      </c>
      <c r="G712" s="138" t="n">
        <v>50.5</v>
      </c>
      <c r="H712" s="138" t="n">
        <v>47.5</v>
      </c>
      <c r="I712" s="138" t="n">
        <v>53.1</v>
      </c>
      <c r="J712" s="138" t="n">
        <v>49.2</v>
      </c>
      <c r="K712" s="138" t="n">
        <v>56.9</v>
      </c>
      <c r="L712" s="138" t="n">
        <v>50.3</v>
      </c>
    </row>
    <row r="713">
      <c r="A713" s="54" t="n">
        <v>39052</v>
      </c>
      <c r="B713" s="71" t="n">
        <v>51.4</v>
      </c>
      <c r="C713" s="138" t="n">
        <v>55.5</v>
      </c>
      <c r="D713" s="55" t="n">
        <v>45</v>
      </c>
      <c r="E713" s="138" t="n">
        <v>47.5</v>
      </c>
      <c r="F713" s="138" t="n">
        <v>52.7</v>
      </c>
      <c r="G713" s="138" t="n">
        <v>50.5</v>
      </c>
      <c r="H713" s="138" t="n">
        <v>47.5</v>
      </c>
      <c r="I713" s="138" t="n">
        <v>55.7</v>
      </c>
      <c r="J713" s="138" t="n">
        <v>49.8</v>
      </c>
      <c r="K713" s="138" t="n">
        <v>54.3</v>
      </c>
      <c r="L713" s="138" t="n">
        <v>51.4</v>
      </c>
    </row>
    <row r="714">
      <c r="A714" s="54" t="n">
        <v>39083</v>
      </c>
      <c r="B714" s="71" t="n">
        <v>55.5</v>
      </c>
      <c r="C714" s="138" t="n">
        <v>53.3</v>
      </c>
      <c r="D714" s="55" t="n">
        <v>46</v>
      </c>
      <c r="E714" s="138" t="n">
        <v>53.6</v>
      </c>
      <c r="F714" s="138" t="n">
        <v>49</v>
      </c>
      <c r="G714" s="138" t="n">
        <v>49.2</v>
      </c>
      <c r="H714" s="138" t="n">
        <v>40.5</v>
      </c>
      <c r="I714" s="138" t="n">
        <v>54.7</v>
      </c>
      <c r="J714" s="138" t="n">
        <v>52.1</v>
      </c>
      <c r="K714" s="138" t="n">
        <v>53.4</v>
      </c>
      <c r="L714" s="138" t="n">
        <v>50.4</v>
      </c>
    </row>
    <row r="715">
      <c r="A715" s="54" t="n">
        <v>39114</v>
      </c>
      <c r="B715" s="71" t="n">
        <v>59.1</v>
      </c>
      <c r="C715" s="138" t="n">
        <v>61.1</v>
      </c>
      <c r="D715" s="55" t="n">
        <v>56.5</v>
      </c>
      <c r="E715" s="138" t="n">
        <v>62.5</v>
      </c>
      <c r="F715" s="138" t="n">
        <v>54.1</v>
      </c>
      <c r="G715" s="138" t="n">
        <v>51.4</v>
      </c>
      <c r="H715" s="138" t="n">
        <v>47</v>
      </c>
      <c r="I715" s="138" t="n">
        <v>53.3</v>
      </c>
      <c r="J715" s="138" t="n">
        <v>54.7</v>
      </c>
      <c r="K715" s="138" t="n">
        <v>53.4</v>
      </c>
      <c r="L715" s="138" t="n">
        <v>54.1</v>
      </c>
    </row>
    <row r="716">
      <c r="A716" s="54" t="n">
        <v>39142</v>
      </c>
      <c r="B716" s="71" t="n">
        <v>56</v>
      </c>
      <c r="C716" s="138" t="n">
        <v>57.5</v>
      </c>
      <c r="D716" s="55" t="n">
        <v>49.6</v>
      </c>
      <c r="E716" s="138" t="n">
        <v>65.5</v>
      </c>
      <c r="F716" s="138" t="n">
        <v>54.3</v>
      </c>
      <c r="G716" s="138" t="n">
        <v>47.1</v>
      </c>
      <c r="H716" s="138" t="n">
        <v>49</v>
      </c>
      <c r="I716" s="138" t="n">
        <v>52.2</v>
      </c>
      <c r="J716" s="138" t="n">
        <v>52.8</v>
      </c>
      <c r="K716" s="138" t="n">
        <v>56.7</v>
      </c>
      <c r="L716" s="138" t="n">
        <v>52.8</v>
      </c>
    </row>
    <row r="717">
      <c r="A717" s="54" t="n">
        <v>39173</v>
      </c>
      <c r="B717" s="71" t="n">
        <v>57.1</v>
      </c>
      <c r="C717" s="138" t="n">
        <v>58.3</v>
      </c>
      <c r="D717" s="55" t="n">
        <v>54.1</v>
      </c>
      <c r="E717" s="138" t="n">
        <v>73</v>
      </c>
      <c r="F717" s="138" t="n">
        <v>55.9</v>
      </c>
      <c r="G717" s="138" t="n">
        <v>44.6</v>
      </c>
      <c r="H717" s="138" t="n">
        <v>47</v>
      </c>
      <c r="I717" s="138" t="n">
        <v>51.1</v>
      </c>
      <c r="J717" s="138" t="n">
        <v>52.7</v>
      </c>
      <c r="K717" s="138" t="n">
        <v>56.7</v>
      </c>
      <c r="L717" s="138" t="n">
        <v>52.7</v>
      </c>
    </row>
    <row r="718">
      <c r="A718" s="54" t="n">
        <v>39203</v>
      </c>
      <c r="B718" s="71" t="n">
        <v>57</v>
      </c>
      <c r="C718" s="138" t="n">
        <v>57.5</v>
      </c>
      <c r="D718" s="55" t="n">
        <v>53.7</v>
      </c>
      <c r="E718" s="138" t="n">
        <v>72.59999999999999</v>
      </c>
      <c r="F718" s="138" t="n">
        <v>59</v>
      </c>
      <c r="G718" s="138" t="n">
        <v>48.6</v>
      </c>
      <c r="H718" s="138" t="n">
        <v>46</v>
      </c>
      <c r="I718" s="138" t="n">
        <v>51</v>
      </c>
      <c r="J718" s="138" t="n">
        <v>51.1</v>
      </c>
      <c r="K718" s="138" t="n">
        <v>60.2</v>
      </c>
      <c r="L718" s="138" t="n">
        <v>53.1</v>
      </c>
    </row>
    <row r="719">
      <c r="A719" s="54" t="n">
        <v>39234</v>
      </c>
      <c r="B719" s="71" t="n">
        <v>58.4</v>
      </c>
      <c r="C719" s="138" t="n">
        <v>56</v>
      </c>
      <c r="D719" s="55" t="n">
        <v>53.5</v>
      </c>
      <c r="E719" s="138" t="n">
        <v>67.09999999999999</v>
      </c>
      <c r="F719" s="138" t="n">
        <v>59.3</v>
      </c>
      <c r="G719" s="138" t="n">
        <v>47.5</v>
      </c>
      <c r="H719" s="138" t="n">
        <v>45</v>
      </c>
      <c r="I719" s="138" t="n">
        <v>49.1</v>
      </c>
      <c r="J719" s="138" t="n">
        <v>55.7</v>
      </c>
      <c r="K719" s="138" t="n">
        <v>54.4</v>
      </c>
      <c r="L719" s="138" t="n">
        <v>54</v>
      </c>
    </row>
    <row r="720">
      <c r="A720" s="54" t="n">
        <v>39264</v>
      </c>
      <c r="B720" s="71" t="n">
        <v>57.5</v>
      </c>
      <c r="C720" s="138" t="n">
        <v>56.2</v>
      </c>
      <c r="D720" s="55" t="n">
        <v>54.5</v>
      </c>
      <c r="E720" s="138" t="n">
        <v>67.40000000000001</v>
      </c>
      <c r="F720" s="138" t="n">
        <v>54.3</v>
      </c>
      <c r="G720" s="138" t="n">
        <v>49.8</v>
      </c>
      <c r="H720" s="138" t="n">
        <v>46.5</v>
      </c>
      <c r="I720" s="138" t="n">
        <v>49.9</v>
      </c>
      <c r="J720" s="138" t="n">
        <v>50.4</v>
      </c>
      <c r="K720" s="138" t="n">
        <v>58.1</v>
      </c>
      <c r="L720" s="138" t="n">
        <v>51.8</v>
      </c>
    </row>
    <row r="721">
      <c r="A721" s="54" t="n">
        <v>39295</v>
      </c>
      <c r="B721" s="71" t="n">
        <v>56.1</v>
      </c>
      <c r="C721" s="138" t="n">
        <v>54</v>
      </c>
      <c r="D721" s="55" t="n">
        <v>51.5</v>
      </c>
      <c r="E721" s="138" t="n">
        <v>62.9</v>
      </c>
      <c r="F721" s="138" t="n">
        <v>55.2</v>
      </c>
      <c r="G721" s="138" t="n">
        <v>50.7</v>
      </c>
      <c r="H721" s="138" t="n">
        <v>46.5</v>
      </c>
      <c r="I721" s="138" t="n">
        <v>50.8</v>
      </c>
      <c r="J721" s="138" t="n">
        <v>50.7</v>
      </c>
      <c r="K721" s="138" t="n">
        <v>56.1</v>
      </c>
      <c r="L721" s="138" t="n">
        <v>52.2</v>
      </c>
    </row>
    <row r="722">
      <c r="A722" s="54" t="n">
        <v>39326</v>
      </c>
      <c r="B722" s="71" t="n">
        <v>59.4</v>
      </c>
      <c r="C722" s="138" t="n">
        <v>54.1</v>
      </c>
      <c r="D722" s="55" t="n">
        <v>50.2</v>
      </c>
      <c r="E722" s="138" t="n">
        <v>60.4</v>
      </c>
      <c r="F722" s="138" t="n">
        <v>60.8</v>
      </c>
      <c r="G722" s="138" t="n">
        <v>51.1</v>
      </c>
      <c r="H722" s="138" t="n">
        <v>41.5</v>
      </c>
      <c r="I722" s="138" t="n">
        <v>50.3</v>
      </c>
      <c r="J722" s="138" t="n">
        <v>53.9</v>
      </c>
      <c r="K722" s="138" t="n">
        <v>55.6</v>
      </c>
      <c r="L722" s="138" t="n">
        <v>53.8</v>
      </c>
    </row>
    <row r="723">
      <c r="A723" s="54" t="n">
        <v>39356</v>
      </c>
      <c r="B723" s="71" t="n">
        <v>55.8</v>
      </c>
      <c r="C723" s="138" t="n">
        <v>50.9</v>
      </c>
      <c r="D723" s="55" t="n">
        <v>50.4</v>
      </c>
      <c r="E723" s="138" t="n">
        <v>63.9</v>
      </c>
      <c r="F723" s="138" t="n">
        <v>52.3</v>
      </c>
      <c r="G723" s="138" t="n">
        <v>52.5</v>
      </c>
      <c r="H723" s="138" t="n">
        <v>45.5</v>
      </c>
      <c r="I723" s="138" t="n">
        <v>52.1</v>
      </c>
      <c r="J723" s="138" t="n">
        <v>53.5</v>
      </c>
      <c r="K723" s="138" t="n">
        <v>58.9</v>
      </c>
      <c r="L723" s="138" t="n">
        <v>52.8</v>
      </c>
    </row>
    <row r="724">
      <c r="A724" s="54" t="n">
        <v>39387</v>
      </c>
      <c r="B724" s="71" t="n">
        <v>53.1</v>
      </c>
      <c r="C724" s="138" t="n">
        <v>44.9</v>
      </c>
      <c r="D724" s="55" t="n">
        <v>41.7</v>
      </c>
      <c r="E724" s="138" t="n">
        <v>72</v>
      </c>
      <c r="F724" s="138" t="n">
        <v>52.3</v>
      </c>
      <c r="G724" s="138" t="n">
        <v>49.5</v>
      </c>
      <c r="H724" s="138" t="n">
        <v>45.5</v>
      </c>
      <c r="I724" s="138" t="n">
        <v>52.8</v>
      </c>
      <c r="J724" s="138" t="n">
        <v>53.2</v>
      </c>
      <c r="K724" s="138" t="n">
        <v>59.6</v>
      </c>
      <c r="L724" s="138" t="n">
        <v>51.5</v>
      </c>
    </row>
    <row r="725">
      <c r="A725" s="54" t="n">
        <v>39417</v>
      </c>
      <c r="B725" s="71" t="n">
        <v>49.9</v>
      </c>
      <c r="C725" s="138" t="n">
        <v>48.6</v>
      </c>
      <c r="D725" s="55" t="n">
        <v>43.7</v>
      </c>
      <c r="E725" s="138" t="n">
        <v>65.7</v>
      </c>
      <c r="F725" s="138" t="n">
        <v>52</v>
      </c>
      <c r="G725" s="138" t="n">
        <v>49.8</v>
      </c>
      <c r="H725" s="138" t="n">
        <v>44.5</v>
      </c>
      <c r="I725" s="138" t="n">
        <v>53.6</v>
      </c>
      <c r="J725" s="138" t="n">
        <v>51.1</v>
      </c>
      <c r="K725" s="138" t="n">
        <v>53.9</v>
      </c>
      <c r="L725" s="138" t="n">
        <v>50.1</v>
      </c>
    </row>
    <row r="726">
      <c r="A726" s="54" t="n">
        <v>39448</v>
      </c>
      <c r="B726" s="71" t="n">
        <v>49.5</v>
      </c>
      <c r="C726" s="138" t="n">
        <v>53.3</v>
      </c>
      <c r="D726" s="55" t="n">
        <v>46</v>
      </c>
      <c r="E726" s="138" t="n">
        <v>76.2</v>
      </c>
      <c r="F726" s="138" t="n">
        <v>50.7</v>
      </c>
      <c r="G726" s="138" t="n">
        <v>48.9</v>
      </c>
      <c r="H726" s="138" t="n">
        <v>49</v>
      </c>
      <c r="I726" s="138" t="n">
        <v>53.1</v>
      </c>
      <c r="J726" s="138" t="n">
        <v>49.6</v>
      </c>
      <c r="K726" s="138" t="n">
        <v>56.9</v>
      </c>
      <c r="L726" s="138" t="n">
        <v>50.9</v>
      </c>
    </row>
    <row r="727">
      <c r="A727" s="54" t="n">
        <v>39479</v>
      </c>
      <c r="B727" s="71" t="n">
        <v>50.5</v>
      </c>
      <c r="C727" s="138" t="n">
        <v>47.9</v>
      </c>
      <c r="D727" s="55" t="n">
        <v>46.9</v>
      </c>
      <c r="E727" s="138" t="n">
        <v>75.7</v>
      </c>
      <c r="F727" s="138" t="n">
        <v>49.4</v>
      </c>
      <c r="G727" s="138" t="n">
        <v>50.3</v>
      </c>
      <c r="H727" s="138" t="n">
        <v>47</v>
      </c>
      <c r="I727" s="138" t="n">
        <v>50.7</v>
      </c>
      <c r="J727" s="138" t="n">
        <v>47.3</v>
      </c>
      <c r="K727" s="138" t="n">
        <v>57.1</v>
      </c>
      <c r="L727" s="138" t="n">
        <v>48.8</v>
      </c>
    </row>
    <row r="728">
      <c r="A728" s="54" t="n">
        <v>39508</v>
      </c>
      <c r="B728" s="71" t="n">
        <v>49.2</v>
      </c>
      <c r="C728" s="138" t="n">
        <v>45.7</v>
      </c>
      <c r="D728" s="55" t="n">
        <v>46.3</v>
      </c>
      <c r="E728" s="138" t="n">
        <v>83.09999999999999</v>
      </c>
      <c r="F728" s="138" t="n">
        <v>48.9</v>
      </c>
      <c r="G728" s="138" t="n">
        <v>50.7</v>
      </c>
      <c r="H728" s="138" t="n">
        <v>46.5</v>
      </c>
      <c r="I728" s="138" t="n">
        <v>52.6</v>
      </c>
      <c r="J728" s="138" t="n">
        <v>52.2</v>
      </c>
      <c r="K728" s="138" t="n">
        <v>57.2</v>
      </c>
      <c r="L728" s="138" t="n">
        <v>49.7</v>
      </c>
    </row>
    <row r="729">
      <c r="A729" s="54" t="n">
        <v>39539</v>
      </c>
      <c r="B729" s="71" t="n">
        <v>46.2</v>
      </c>
      <c r="C729" s="138" t="n">
        <v>49.2</v>
      </c>
      <c r="D729" s="55" t="n">
        <v>52.3</v>
      </c>
      <c r="E729" s="138" t="n">
        <v>83.90000000000001</v>
      </c>
      <c r="F729" s="138" t="n">
        <v>49</v>
      </c>
      <c r="G729" s="138" t="n">
        <v>44.1</v>
      </c>
      <c r="H729" s="138" t="n">
        <v>49</v>
      </c>
      <c r="I729" s="138" t="n">
        <v>53.9</v>
      </c>
      <c r="J729" s="138" t="n">
        <v>45.4</v>
      </c>
      <c r="K729" s="138" t="n">
        <v>58.4</v>
      </c>
      <c r="L729" s="138" t="n">
        <v>48.5</v>
      </c>
    </row>
    <row r="730">
      <c r="A730" s="54" t="n">
        <v>39569</v>
      </c>
      <c r="B730" s="71" t="n">
        <v>47.9</v>
      </c>
      <c r="C730" s="138" t="n">
        <v>48.2</v>
      </c>
      <c r="D730" s="55" t="n">
        <v>45.6</v>
      </c>
      <c r="E730" s="138" t="n">
        <v>88.09999999999999</v>
      </c>
      <c r="F730" s="138" t="n">
        <v>50.6</v>
      </c>
      <c r="G730" s="138" t="n">
        <v>47.2</v>
      </c>
      <c r="H730" s="138" t="n">
        <v>48</v>
      </c>
      <c r="I730" s="138" t="n">
        <v>54.3</v>
      </c>
      <c r="J730" s="138" t="n">
        <v>45</v>
      </c>
      <c r="K730" s="138" t="n">
        <v>60.6</v>
      </c>
      <c r="L730" s="138" t="n">
        <v>48.9</v>
      </c>
    </row>
    <row r="731">
      <c r="A731" s="54" t="n">
        <v>39600</v>
      </c>
      <c r="B731" s="71" t="n">
        <v>49.5</v>
      </c>
      <c r="C731" s="138" t="n">
        <v>46</v>
      </c>
      <c r="D731" s="55" t="n">
        <v>47.9</v>
      </c>
      <c r="E731" s="138" t="n">
        <v>91.40000000000001</v>
      </c>
      <c r="F731" s="138" t="n">
        <v>50</v>
      </c>
      <c r="G731" s="138" t="n">
        <v>55.7</v>
      </c>
      <c r="H731" s="138" t="n">
        <v>50</v>
      </c>
      <c r="I731" s="138" t="n">
        <v>55.8</v>
      </c>
      <c r="J731" s="138" t="n">
        <v>45</v>
      </c>
      <c r="K731" s="138" t="n">
        <v>60.2</v>
      </c>
      <c r="L731" s="138" t="n">
        <v>49.9</v>
      </c>
    </row>
    <row r="732">
      <c r="A732" s="54" t="n">
        <v>39630</v>
      </c>
      <c r="B732" s="71" t="n">
        <v>48.4</v>
      </c>
      <c r="C732" s="138" t="n">
        <v>45.7</v>
      </c>
      <c r="D732" s="55" t="n">
        <v>44</v>
      </c>
      <c r="E732" s="138" t="n">
        <v>90.40000000000001</v>
      </c>
      <c r="F732" s="138" t="n">
        <v>52.8</v>
      </c>
      <c r="G732" s="138" t="n">
        <v>46.2</v>
      </c>
      <c r="H732" s="138" t="n">
        <v>44</v>
      </c>
      <c r="I732" s="138" t="n">
        <v>54.8</v>
      </c>
      <c r="J732" s="138" t="n">
        <v>54.7</v>
      </c>
      <c r="K732" s="138" t="n">
        <v>55.4</v>
      </c>
      <c r="L732" s="138" t="n">
        <v>50.8</v>
      </c>
    </row>
    <row r="733">
      <c r="A733" s="54" t="n">
        <v>39661</v>
      </c>
      <c r="B733" s="71" t="n">
        <v>48.6</v>
      </c>
      <c r="C733" s="138" t="n">
        <v>51.1</v>
      </c>
      <c r="D733" s="55" t="n">
        <v>48.2</v>
      </c>
      <c r="E733" s="138" t="n">
        <v>76.5</v>
      </c>
      <c r="F733" s="138" t="n">
        <v>52.7</v>
      </c>
      <c r="G733" s="138" t="n">
        <v>52.5</v>
      </c>
      <c r="H733" s="138" t="n">
        <v>50.5</v>
      </c>
      <c r="I733" s="138" t="n">
        <v>50.1</v>
      </c>
      <c r="J733" s="138" t="n">
        <v>50.2</v>
      </c>
      <c r="K733" s="138" t="n">
        <v>56.8</v>
      </c>
      <c r="L733" s="138" t="n">
        <v>50.1</v>
      </c>
    </row>
    <row r="734">
      <c r="A734" s="54" t="n">
        <v>39692</v>
      </c>
      <c r="B734" s="71" t="n">
        <v>45.1</v>
      </c>
      <c r="C734" s="138" t="n">
        <v>45.2</v>
      </c>
      <c r="D734" s="55" t="n">
        <v>38.7</v>
      </c>
      <c r="E734" s="138" t="n">
        <v>55.1</v>
      </c>
      <c r="F734" s="138" t="n">
        <v>49</v>
      </c>
      <c r="G734" s="138" t="n">
        <v>52.4</v>
      </c>
      <c r="H734" s="138" t="n">
        <v>43</v>
      </c>
      <c r="I734" s="138" t="n">
        <v>52</v>
      </c>
      <c r="J734" s="138" t="n">
        <v>45.4</v>
      </c>
      <c r="K734" s="138" t="n">
        <v>53.6</v>
      </c>
      <c r="L734" s="138" t="n">
        <v>47.2</v>
      </c>
    </row>
    <row r="735">
      <c r="A735" s="54" t="n">
        <v>39722</v>
      </c>
      <c r="B735" s="71" t="n">
        <v>32</v>
      </c>
      <c r="C735" s="138" t="n">
        <v>40.1</v>
      </c>
      <c r="D735" s="55" t="n">
        <v>30.6</v>
      </c>
      <c r="E735" s="138" t="n">
        <v>39.8</v>
      </c>
      <c r="F735" s="138" t="n">
        <v>34.8</v>
      </c>
      <c r="G735" s="138" t="n">
        <v>55.8</v>
      </c>
      <c r="H735" s="138" t="n">
        <v>43.5</v>
      </c>
      <c r="I735" s="138" t="n">
        <v>48.4</v>
      </c>
      <c r="J735" s="138" t="n">
        <v>33</v>
      </c>
      <c r="K735" s="138" t="n">
        <v>40.7</v>
      </c>
      <c r="L735" s="138" t="n">
        <v>38.2</v>
      </c>
    </row>
    <row r="736">
      <c r="A736" s="54" t="n">
        <v>39753</v>
      </c>
      <c r="B736" s="71" t="n">
        <v>34.5</v>
      </c>
      <c r="C736" s="138" t="n">
        <v>36.4</v>
      </c>
      <c r="D736" s="55" t="n">
        <v>27.7</v>
      </c>
      <c r="E736" s="138" t="n">
        <v>28.4</v>
      </c>
      <c r="F736" s="138" t="n">
        <v>35.2</v>
      </c>
      <c r="G736" s="138" t="n">
        <v>54.3</v>
      </c>
      <c r="H736" s="138" t="n">
        <v>38.5</v>
      </c>
      <c r="I736" s="138" t="n">
        <v>49.4</v>
      </c>
      <c r="J736" s="138" t="n">
        <v>36.8</v>
      </c>
      <c r="K736" s="138" t="n">
        <v>40.4</v>
      </c>
      <c r="L736" s="138" t="n">
        <v>39</v>
      </c>
    </row>
    <row r="737">
      <c r="A737" s="54" t="n">
        <v>39783</v>
      </c>
      <c r="B737" s="71" t="n">
        <v>25.9</v>
      </c>
      <c r="C737" s="138" t="n">
        <v>38</v>
      </c>
      <c r="D737" s="55" t="n">
        <v>23.4</v>
      </c>
      <c r="E737" s="138" t="n">
        <v>17.1</v>
      </c>
      <c r="F737" s="138" t="n">
        <v>28.1</v>
      </c>
      <c r="G737" s="138" t="n">
        <v>54</v>
      </c>
      <c r="H737" s="138" t="n">
        <v>38</v>
      </c>
      <c r="I737" s="138" t="n">
        <v>46.9</v>
      </c>
      <c r="J737" s="138" t="n">
        <v>32.5</v>
      </c>
      <c r="K737" s="138" t="n">
        <v>34.7</v>
      </c>
      <c r="L737" s="138" t="n">
        <v>34.5</v>
      </c>
    </row>
    <row r="738">
      <c r="A738" s="54" t="n">
        <v>39814</v>
      </c>
      <c r="B738" s="71" t="n">
        <v>32.5</v>
      </c>
      <c r="C738" s="138" t="n">
        <v>34.5</v>
      </c>
      <c r="D738" s="55" t="n">
        <v>32.2</v>
      </c>
      <c r="E738" s="138" t="n">
        <v>29</v>
      </c>
      <c r="F738" s="138" t="n">
        <v>32.3</v>
      </c>
      <c r="G738" s="138" t="n">
        <v>51.4</v>
      </c>
      <c r="H738" s="138" t="n">
        <v>38</v>
      </c>
      <c r="I738" s="138" t="n">
        <v>46.6</v>
      </c>
      <c r="J738" s="138" t="n">
        <v>30.5</v>
      </c>
      <c r="K738" s="138" t="n">
        <v>38.5</v>
      </c>
      <c r="L738" s="138" t="n">
        <v>36.4</v>
      </c>
    </row>
    <row r="739">
      <c r="A739" s="54" t="n">
        <v>39845</v>
      </c>
      <c r="B739" s="71" t="n">
        <v>32.7</v>
      </c>
      <c r="C739" s="138" t="n">
        <v>35.3</v>
      </c>
      <c r="D739" s="55" t="n">
        <v>33.6</v>
      </c>
      <c r="E739" s="138" t="n">
        <v>29.9</v>
      </c>
      <c r="F739" s="138" t="n">
        <v>38.4</v>
      </c>
      <c r="G739" s="138" t="n">
        <v>50.9</v>
      </c>
      <c r="H739" s="138" t="n">
        <v>38</v>
      </c>
      <c r="I739" s="138" t="n">
        <v>46.3</v>
      </c>
      <c r="J739" s="138" t="n">
        <v>28</v>
      </c>
      <c r="K739" s="138" t="n">
        <v>38.8</v>
      </c>
      <c r="L739" s="138" t="n">
        <v>36.6</v>
      </c>
    </row>
    <row r="740">
      <c r="A740" s="54" t="n">
        <v>39873</v>
      </c>
      <c r="B740" s="71" t="n">
        <v>41.3</v>
      </c>
      <c r="C740" s="138" t="n">
        <v>32.1</v>
      </c>
      <c r="D740" s="55" t="n">
        <v>37.6</v>
      </c>
      <c r="E740" s="138" t="n">
        <v>31.6</v>
      </c>
      <c r="F740" s="138" t="n">
        <v>36.5</v>
      </c>
      <c r="G740" s="138" t="n">
        <v>50.9</v>
      </c>
      <c r="H740" s="138" t="n">
        <v>33</v>
      </c>
      <c r="I740" s="138" t="n">
        <v>43.2</v>
      </c>
      <c r="J740" s="138" t="n">
        <v>30.5</v>
      </c>
      <c r="K740" s="138" t="n">
        <v>39.4</v>
      </c>
      <c r="L740" s="138" t="n">
        <v>37.2</v>
      </c>
    </row>
    <row r="741">
      <c r="A741" s="54" t="n">
        <v>39904</v>
      </c>
      <c r="B741" s="71" t="n">
        <v>46</v>
      </c>
      <c r="C741" s="138" t="n">
        <v>42.5</v>
      </c>
      <c r="D741" s="55" t="n">
        <v>40.9</v>
      </c>
      <c r="E741" s="138" t="n">
        <v>31.4</v>
      </c>
      <c r="F741" s="138" t="n">
        <v>36.7</v>
      </c>
      <c r="G741" s="138" t="n">
        <v>49.9</v>
      </c>
      <c r="H741" s="138" t="n">
        <v>34.5</v>
      </c>
      <c r="I741" s="138" t="n">
        <v>47</v>
      </c>
      <c r="J741" s="138" t="n">
        <v>33.5</v>
      </c>
      <c r="K741" s="138" t="n">
        <v>42.9</v>
      </c>
      <c r="L741" s="138" t="n">
        <v>39.9</v>
      </c>
    </row>
    <row r="742">
      <c r="A742" s="54" t="n">
        <v>39934</v>
      </c>
      <c r="B742" s="71" t="n">
        <v>51</v>
      </c>
      <c r="C742" s="138" t="n">
        <v>38.5</v>
      </c>
      <c r="D742" s="55" t="n">
        <v>46.1</v>
      </c>
      <c r="E742" s="138" t="n">
        <v>45</v>
      </c>
      <c r="F742" s="138" t="n">
        <v>48.3</v>
      </c>
      <c r="G742" s="138" t="n">
        <v>43.6</v>
      </c>
      <c r="H742" s="138" t="n">
        <v>33</v>
      </c>
      <c r="I742" s="138" t="n">
        <v>51.3</v>
      </c>
      <c r="J742" s="138" t="n">
        <v>35.3</v>
      </c>
      <c r="K742" s="138" t="n">
        <v>46.4</v>
      </c>
      <c r="L742" s="138" t="n">
        <v>44.1</v>
      </c>
    </row>
    <row r="743">
      <c r="A743" s="54" t="n">
        <v>39965</v>
      </c>
      <c r="B743" s="71" t="n">
        <v>49</v>
      </c>
      <c r="C743" s="138" t="n">
        <v>46.5</v>
      </c>
      <c r="D743" s="55" t="n">
        <v>48.6</v>
      </c>
      <c r="E743" s="138" t="n">
        <v>47.9</v>
      </c>
      <c r="F743" s="138" t="n">
        <v>54.6</v>
      </c>
      <c r="G743" s="138" t="n">
        <v>44.8</v>
      </c>
      <c r="H743" s="138" t="n">
        <v>31</v>
      </c>
      <c r="I743" s="138" t="n">
        <v>49.5</v>
      </c>
      <c r="J743" s="138" t="n">
        <v>45</v>
      </c>
      <c r="K743" s="138" t="n">
        <v>49.1</v>
      </c>
      <c r="L743" s="138" t="n">
        <v>46.3</v>
      </c>
    </row>
    <row r="744">
      <c r="A744" s="54" t="n">
        <v>39995</v>
      </c>
      <c r="B744" s="71" t="n">
        <v>56.6</v>
      </c>
      <c r="C744" s="138" t="n">
        <v>48.2</v>
      </c>
      <c r="D744" s="55" t="n">
        <v>49.4</v>
      </c>
      <c r="E744" s="138" t="n">
        <v>52.8</v>
      </c>
      <c r="F744" s="138" t="n">
        <v>58.8</v>
      </c>
      <c r="G744" s="138" t="n">
        <v>42.2</v>
      </c>
      <c r="H744" s="138" t="n">
        <v>32.5</v>
      </c>
      <c r="I744" s="138" t="n">
        <v>52</v>
      </c>
      <c r="J744" s="138" t="n">
        <v>47.1</v>
      </c>
      <c r="K744" s="138" t="n">
        <v>48.3</v>
      </c>
      <c r="L744" s="138" t="n">
        <v>49.7</v>
      </c>
    </row>
    <row r="745">
      <c r="A745" s="54" t="n">
        <v>40026</v>
      </c>
      <c r="B745" s="71" t="n">
        <v>64.09999999999999</v>
      </c>
      <c r="C745" s="138" t="n">
        <v>48.2</v>
      </c>
      <c r="D745" s="55" t="n">
        <v>50.9</v>
      </c>
      <c r="E745" s="138" t="n">
        <v>62.3</v>
      </c>
      <c r="F745" s="138" t="n">
        <v>62.2</v>
      </c>
      <c r="G745" s="138" t="n">
        <v>38.8</v>
      </c>
      <c r="H745" s="138" t="n">
        <v>36</v>
      </c>
      <c r="I745" s="138" t="n">
        <v>54.6</v>
      </c>
      <c r="J745" s="138" t="n">
        <v>47.5</v>
      </c>
      <c r="K745" s="138" t="n">
        <v>55.1</v>
      </c>
      <c r="L745" s="138" t="n">
        <v>53.4</v>
      </c>
    </row>
    <row r="746">
      <c r="A746" s="54" t="n">
        <v>40057</v>
      </c>
      <c r="B746" s="71" t="n">
        <v>64.7</v>
      </c>
      <c r="C746" s="138" t="n">
        <v>51.2</v>
      </c>
      <c r="D746" s="55" t="n">
        <v>52.6</v>
      </c>
      <c r="E746" s="138" t="n">
        <v>63.3</v>
      </c>
      <c r="F746" s="138" t="n">
        <v>62.1</v>
      </c>
      <c r="G746" s="138" t="n">
        <v>34.9</v>
      </c>
      <c r="H746" s="138" t="n">
        <v>41.5</v>
      </c>
      <c r="I746" s="138" t="n">
        <v>57.6</v>
      </c>
      <c r="J746" s="138" t="n">
        <v>48.6</v>
      </c>
      <c r="K746" s="138" t="n">
        <v>55.6</v>
      </c>
      <c r="L746" s="138" t="n">
        <v>54.9</v>
      </c>
    </row>
    <row r="747">
      <c r="A747" s="54" t="n">
        <v>40087</v>
      </c>
      <c r="B747" s="71" t="n">
        <v>57.7</v>
      </c>
      <c r="C747" s="138" t="n">
        <v>49.5</v>
      </c>
      <c r="D747" s="55" t="n">
        <v>50.5</v>
      </c>
      <c r="E747" s="138" t="n">
        <v>64.3</v>
      </c>
      <c r="F747" s="138" t="n">
        <v>64.40000000000001</v>
      </c>
      <c r="G747" s="138" t="n">
        <v>40</v>
      </c>
      <c r="H747" s="138" t="n">
        <v>46.5</v>
      </c>
      <c r="I747" s="138" t="n">
        <v>60.7</v>
      </c>
      <c r="J747" s="138" t="n">
        <v>53.5</v>
      </c>
      <c r="K747" s="138" t="n">
        <v>57.2</v>
      </c>
      <c r="L747" s="138" t="n">
        <v>57.6</v>
      </c>
    </row>
    <row r="748">
      <c r="A748" s="54" t="n">
        <v>40118</v>
      </c>
      <c r="B748" s="71" t="n">
        <v>64.2</v>
      </c>
      <c r="C748" s="138" t="n">
        <v>50.3</v>
      </c>
      <c r="D748" s="55" t="n">
        <v>51.8</v>
      </c>
      <c r="E748" s="138" t="n">
        <v>55.4</v>
      </c>
      <c r="F748" s="138" t="n">
        <v>63.4</v>
      </c>
      <c r="G748" s="138" t="n">
        <v>39.3</v>
      </c>
      <c r="H748" s="138" t="n">
        <v>39.5</v>
      </c>
      <c r="I748" s="138" t="n">
        <v>57.1</v>
      </c>
      <c r="J748" s="138" t="n">
        <v>51.2</v>
      </c>
      <c r="K748" s="138" t="n">
        <v>53.9</v>
      </c>
      <c r="L748" s="138" t="n">
        <v>55.4</v>
      </c>
    </row>
    <row r="749">
      <c r="A749" s="54" t="n">
        <v>40148</v>
      </c>
      <c r="B749" s="71" t="n">
        <v>63.8</v>
      </c>
      <c r="C749" s="138" t="n">
        <v>51</v>
      </c>
      <c r="D749" s="55" t="n">
        <v>50.1</v>
      </c>
      <c r="E749" s="138" t="n">
        <v>63.8</v>
      </c>
      <c r="F749" s="138" t="n">
        <v>60.1</v>
      </c>
      <c r="G749" s="138" t="n">
        <v>32.5</v>
      </c>
      <c r="H749" s="138" t="n">
        <v>41.5</v>
      </c>
      <c r="I749" s="138" t="n">
        <v>58.6</v>
      </c>
      <c r="J749" s="138" t="n">
        <v>52.6</v>
      </c>
      <c r="K749" s="138" t="n">
        <v>54.1</v>
      </c>
      <c r="L749" s="138" t="n">
        <v>55.8</v>
      </c>
    </row>
    <row r="750">
      <c r="A750" s="54" t="n">
        <v>40179</v>
      </c>
      <c r="B750" s="71" t="n">
        <v>59.9</v>
      </c>
      <c r="C750" s="71" t="n">
        <v>55.5</v>
      </c>
      <c r="D750" s="71" t="n">
        <v>53.2</v>
      </c>
      <c r="E750" s="71" t="n">
        <v>68</v>
      </c>
      <c r="F750" s="71" t="n">
        <v>62.8</v>
      </c>
      <c r="G750" s="71" t="n">
        <v>35.1</v>
      </c>
      <c r="H750" s="71" t="n">
        <v>46</v>
      </c>
      <c r="I750" s="71" t="n">
        <v>57.2</v>
      </c>
      <c r="J750" s="71" t="n">
        <v>55.2</v>
      </c>
      <c r="K750" s="71" t="n">
        <v>57</v>
      </c>
      <c r="L750" s="138" t="n">
        <v>56.3</v>
      </c>
    </row>
    <row r="751">
      <c r="A751" s="54" t="n">
        <v>40210</v>
      </c>
      <c r="B751" s="71" t="n">
        <v>57.7</v>
      </c>
      <c r="C751" s="71" t="n">
        <v>55.5</v>
      </c>
      <c r="D751" s="71" t="n">
        <v>58.8</v>
      </c>
      <c r="E751" s="71" t="n">
        <v>65.09999999999999</v>
      </c>
      <c r="F751" s="71" t="n">
        <v>57</v>
      </c>
      <c r="G751" s="71" t="n">
        <v>35.2</v>
      </c>
      <c r="H751" s="71" t="n">
        <v>49</v>
      </c>
      <c r="I751" s="71" t="n">
        <v>56.8</v>
      </c>
      <c r="J751" s="71" t="n">
        <v>55.7</v>
      </c>
      <c r="K751" s="71" t="n">
        <v>56.3</v>
      </c>
      <c r="L751" s="138" t="n">
        <v>55.5</v>
      </c>
    </row>
    <row r="752">
      <c r="A752" s="54" t="n">
        <v>40238</v>
      </c>
      <c r="B752" s="71" t="n">
        <v>60.1</v>
      </c>
      <c r="C752" s="71" t="n">
        <v>55.9</v>
      </c>
      <c r="D752" s="71" t="n">
        <v>54.7</v>
      </c>
      <c r="E752" s="71" t="n">
        <v>75.2</v>
      </c>
      <c r="F752" s="71" t="n">
        <v>57.3</v>
      </c>
      <c r="G752" s="71" t="n">
        <v>39.5</v>
      </c>
      <c r="H752" s="71" t="n">
        <v>56.5</v>
      </c>
      <c r="I752" s="71" t="n">
        <v>64</v>
      </c>
      <c r="J752" s="71" t="n">
        <v>55.8</v>
      </c>
      <c r="K752" s="71" t="n">
        <v>59.8</v>
      </c>
      <c r="L752" s="138" t="n">
        <v>58.8</v>
      </c>
    </row>
    <row r="753">
      <c r="A753" s="54" t="n">
        <v>40269</v>
      </c>
      <c r="B753" s="71" t="n">
        <v>64</v>
      </c>
      <c r="C753" s="71" t="n">
        <v>56.9</v>
      </c>
      <c r="D753" s="71" t="n">
        <v>57</v>
      </c>
      <c r="E753" s="71" t="n">
        <v>78</v>
      </c>
      <c r="F753" s="71" t="n">
        <v>62.3</v>
      </c>
      <c r="G753" s="71" t="n">
        <v>35</v>
      </c>
      <c r="H753" s="71" t="n">
        <v>50.5</v>
      </c>
      <c r="I753" s="71" t="n">
        <v>59.6</v>
      </c>
      <c r="J753" s="71" t="n">
        <v>54.8</v>
      </c>
      <c r="K753" s="71" t="n">
        <v>61.9</v>
      </c>
      <c r="L753" s="138" t="n">
        <v>58.1</v>
      </c>
    </row>
    <row r="754">
      <c r="A754" s="54" t="n">
        <v>40299</v>
      </c>
      <c r="B754" s="71" t="n">
        <v>61.3</v>
      </c>
      <c r="C754" s="71" t="n">
        <v>55.6</v>
      </c>
      <c r="D754" s="71" t="n">
        <v>56.3</v>
      </c>
      <c r="E754" s="71" t="n">
        <v>77</v>
      </c>
      <c r="F754" s="71" t="n">
        <v>62.1</v>
      </c>
      <c r="G754" s="71" t="n">
        <v>33.2</v>
      </c>
      <c r="H754" s="71" t="n">
        <v>46</v>
      </c>
      <c r="I754" s="71" t="n">
        <v>58.1</v>
      </c>
      <c r="J754" s="71" t="n">
        <v>57.9</v>
      </c>
      <c r="K754" s="71" t="n">
        <v>58.5</v>
      </c>
      <c r="L754" s="138" t="n">
        <v>57.4</v>
      </c>
    </row>
    <row r="755">
      <c r="A755" s="54" t="n">
        <v>40330</v>
      </c>
      <c r="B755" s="71" t="n">
        <v>58.6</v>
      </c>
      <c r="C755" s="71" t="n">
        <v>58.2</v>
      </c>
      <c r="D755" s="71" t="n">
        <v>57.6</v>
      </c>
      <c r="E755" s="71" t="n">
        <v>54.9</v>
      </c>
      <c r="F755" s="71" t="n">
        <v>63</v>
      </c>
      <c r="G755" s="71" t="n">
        <v>35.8</v>
      </c>
      <c r="H755" s="71" t="n">
        <v>46</v>
      </c>
      <c r="I755" s="71" t="n">
        <v>56.6</v>
      </c>
      <c r="J755" s="71" t="n">
        <v>56.8</v>
      </c>
      <c r="K755" s="71" t="n">
        <v>58.2</v>
      </c>
      <c r="L755" s="138" t="n">
        <v>56.5</v>
      </c>
    </row>
    <row r="756">
      <c r="A756" s="54" t="n">
        <v>40360</v>
      </c>
      <c r="B756" s="71" t="n">
        <v>54.7</v>
      </c>
      <c r="C756" s="71" t="n">
        <v>53</v>
      </c>
      <c r="D756" s="71" t="n">
        <v>54</v>
      </c>
      <c r="E756" s="71" t="n">
        <v>55.6</v>
      </c>
      <c r="F756" s="71" t="n">
        <v>56.1</v>
      </c>
      <c r="G756" s="71" t="n">
        <v>39.2</v>
      </c>
      <c r="H756" s="71" t="n">
        <v>49</v>
      </c>
      <c r="I756" s="71" t="n">
        <v>61</v>
      </c>
      <c r="J756" s="71" t="n">
        <v>58.6</v>
      </c>
      <c r="K756" s="71" t="n">
        <v>53.8</v>
      </c>
      <c r="L756" s="138" t="n">
        <v>56.1</v>
      </c>
    </row>
    <row r="757">
      <c r="A757" s="54" t="n">
        <v>40391</v>
      </c>
      <c r="B757" s="71" t="n">
        <v>54</v>
      </c>
      <c r="C757" s="71" t="n">
        <v>55.2</v>
      </c>
      <c r="D757" s="71" t="n">
        <v>51.5</v>
      </c>
      <c r="E757" s="71" t="n">
        <v>61.8</v>
      </c>
      <c r="F757" s="71" t="n">
        <v>56.3</v>
      </c>
      <c r="G757" s="71" t="n">
        <v>43.9</v>
      </c>
      <c r="H757" s="71" t="n">
        <v>53</v>
      </c>
      <c r="I757" s="71" t="n">
        <v>57.4</v>
      </c>
      <c r="J757" s="71" t="n">
        <v>61.2</v>
      </c>
      <c r="K757" s="71" t="n">
        <v>56</v>
      </c>
      <c r="L757" s="138" t="n">
        <v>56.4</v>
      </c>
    </row>
    <row r="758">
      <c r="A758" s="54" t="n">
        <v>40422</v>
      </c>
      <c r="B758" s="71" t="n">
        <v>51.9</v>
      </c>
      <c r="C758" s="71" t="n">
        <v>53.8</v>
      </c>
      <c r="D758" s="71" t="n">
        <v>44.4</v>
      </c>
      <c r="E758" s="71" t="n">
        <v>69.8</v>
      </c>
      <c r="F758" s="71" t="n">
        <v>57.3</v>
      </c>
      <c r="G758" s="71" t="n">
        <v>43</v>
      </c>
      <c r="H758" s="71" t="n">
        <v>56</v>
      </c>
      <c r="I758" s="71" t="n">
        <v>52.9</v>
      </c>
      <c r="J758" s="71" t="n">
        <v>58</v>
      </c>
      <c r="K758" s="71" t="n">
        <v>54.2</v>
      </c>
      <c r="L758" s="138" t="n">
        <v>55.3</v>
      </c>
    </row>
    <row r="759">
      <c r="A759" s="54" t="n">
        <v>40452</v>
      </c>
      <c r="B759" s="71" t="n">
        <v>57.8</v>
      </c>
      <c r="C759" s="71" t="n">
        <v>48.7</v>
      </c>
      <c r="D759" s="71" t="n">
        <v>45.1</v>
      </c>
      <c r="E759" s="71" t="n">
        <v>73.8</v>
      </c>
      <c r="F759" s="71" t="n">
        <v>61.5</v>
      </c>
      <c r="G759" s="71" t="n">
        <v>43.5</v>
      </c>
      <c r="H759" s="71" t="n">
        <v>53</v>
      </c>
      <c r="I759" s="71" t="n">
        <v>51.4</v>
      </c>
      <c r="J759" s="71" t="n">
        <v>57.5</v>
      </c>
      <c r="K759" s="71" t="n">
        <v>58.1</v>
      </c>
      <c r="L759" s="138" t="n">
        <v>56.9</v>
      </c>
    </row>
    <row r="760">
      <c r="A760" s="54" t="n">
        <v>40483</v>
      </c>
      <c r="B760" s="71" t="n">
        <v>58.3</v>
      </c>
      <c r="C760" s="71" t="n">
        <v>50.6</v>
      </c>
      <c r="D760" s="71" t="n">
        <v>48.7</v>
      </c>
      <c r="E760" s="71" t="n">
        <v>69</v>
      </c>
      <c r="F760" s="71" t="n">
        <v>55.7</v>
      </c>
      <c r="G760" s="71" t="n">
        <v>44.8</v>
      </c>
      <c r="H760" s="71" t="n">
        <v>54</v>
      </c>
      <c r="I760" s="71" t="n">
        <v>58.8</v>
      </c>
      <c r="J760" s="71" t="n">
        <v>60.2</v>
      </c>
      <c r="K760" s="71" t="n">
        <v>55.7</v>
      </c>
      <c r="L760" s="138" t="n">
        <v>57.3</v>
      </c>
    </row>
    <row r="761">
      <c r="A761" s="54" t="n">
        <v>40513</v>
      </c>
      <c r="B761" s="71" t="n">
        <v>59.6</v>
      </c>
      <c r="C761" s="71" t="n">
        <v>48.4</v>
      </c>
      <c r="D761" s="71" t="n">
        <v>46.3</v>
      </c>
      <c r="E761" s="71" t="n">
        <v>73.3</v>
      </c>
      <c r="F761" s="71" t="n">
        <v>62.5</v>
      </c>
      <c r="G761" s="71" t="n">
        <v>39</v>
      </c>
      <c r="H761" s="71" t="n">
        <v>50</v>
      </c>
      <c r="I761" s="71" t="n">
        <v>54.5</v>
      </c>
      <c r="J761" s="71" t="n">
        <v>56.7</v>
      </c>
      <c r="K761" s="71" t="n">
        <v>51.8</v>
      </c>
      <c r="L761" s="138" t="n">
        <v>56.6</v>
      </c>
    </row>
    <row r="762">
      <c r="A762" s="54" t="n">
        <v>40544</v>
      </c>
      <c r="B762" s="71" t="n">
        <v>64.5</v>
      </c>
      <c r="C762" s="71" t="n">
        <v>51.4</v>
      </c>
      <c r="D762" s="71" t="n">
        <v>57.1</v>
      </c>
      <c r="E762" s="71" t="n">
        <v>79.59999999999999</v>
      </c>
      <c r="F762" s="71" t="n">
        <v>65.3</v>
      </c>
      <c r="G762" s="71" t="n">
        <v>47.1</v>
      </c>
      <c r="H762" s="71" t="n">
        <v>52</v>
      </c>
      <c r="I762" s="71" t="n">
        <v>54.6</v>
      </c>
      <c r="J762" s="71" t="n">
        <v>61.6</v>
      </c>
      <c r="K762" s="71" t="n">
        <v>62.1</v>
      </c>
      <c r="L762" s="138" t="n">
        <v>59.1</v>
      </c>
    </row>
    <row r="763">
      <c r="A763" s="54" t="n">
        <v>40575</v>
      </c>
      <c r="B763" s="71" t="n">
        <v>64.2</v>
      </c>
      <c r="C763" s="71" t="n">
        <v>54</v>
      </c>
      <c r="D763" s="71" t="n">
        <v>55.6</v>
      </c>
      <c r="E763" s="71" t="n">
        <v>80.2</v>
      </c>
      <c r="F763" s="71" t="n">
        <v>63.8</v>
      </c>
      <c r="G763" s="71" t="n">
        <v>41.5</v>
      </c>
      <c r="H763" s="71" t="n">
        <v>50.5</v>
      </c>
      <c r="I763" s="71" t="n">
        <v>58.4</v>
      </c>
      <c r="J763" s="71" t="n">
        <v>62.3</v>
      </c>
      <c r="K763" s="71" t="n">
        <v>63</v>
      </c>
      <c r="L763" s="138" t="n">
        <v>59.2</v>
      </c>
    </row>
    <row r="764">
      <c r="A764" s="54" t="n">
        <v>40603</v>
      </c>
      <c r="B764" s="71" t="n">
        <v>61.3</v>
      </c>
      <c r="C764" s="71" t="n">
        <v>50.4</v>
      </c>
      <c r="D764" s="71" t="n">
        <v>52.8</v>
      </c>
      <c r="E764" s="71" t="n">
        <v>82.3</v>
      </c>
      <c r="F764" s="71" t="n">
        <v>61.9</v>
      </c>
      <c r="G764" s="71" t="n">
        <v>41.2</v>
      </c>
      <c r="H764" s="71" t="n">
        <v>49</v>
      </c>
      <c r="I764" s="71" t="n">
        <v>59.9</v>
      </c>
      <c r="J764" s="71" t="n">
        <v>60.5</v>
      </c>
      <c r="K764" s="71" t="n">
        <v>56.4</v>
      </c>
      <c r="L764" s="138" t="n">
        <v>58.4</v>
      </c>
    </row>
    <row r="765">
      <c r="A765" s="54" t="n">
        <v>40634</v>
      </c>
      <c r="B765" s="71" t="n">
        <v>61.1</v>
      </c>
      <c r="C765" s="71" t="n">
        <v>53.4</v>
      </c>
      <c r="D765" s="71" t="n">
        <v>59.2</v>
      </c>
      <c r="E765" s="71" t="n">
        <v>82.59999999999999</v>
      </c>
      <c r="F765" s="71" t="n">
        <v>59</v>
      </c>
      <c r="G765" s="71" t="n">
        <v>41.1</v>
      </c>
      <c r="H765" s="71" t="n">
        <v>54.5</v>
      </c>
      <c r="I765" s="71" t="n">
        <v>59.4</v>
      </c>
      <c r="J765" s="71" t="n">
        <v>59.2</v>
      </c>
      <c r="K765" s="71" t="n">
        <v>63.8</v>
      </c>
      <c r="L765" s="138" t="n">
        <v>57.9</v>
      </c>
    </row>
    <row r="766">
      <c r="A766" s="54" t="n">
        <v>40664</v>
      </c>
      <c r="B766" s="71" t="n">
        <v>54.6</v>
      </c>
      <c r="C766" s="71" t="n">
        <v>55.1</v>
      </c>
      <c r="D766" s="71" t="n">
        <v>50.1</v>
      </c>
      <c r="E766" s="71" t="n">
        <v>77.90000000000001</v>
      </c>
      <c r="F766" s="71" t="n">
        <v>54.8</v>
      </c>
      <c r="G766" s="71" t="n">
        <v>39.8</v>
      </c>
      <c r="H766" s="71" t="n">
        <v>48.5</v>
      </c>
      <c r="I766" s="71" t="n">
        <v>56.6</v>
      </c>
      <c r="J766" s="71" t="n">
        <v>58.1</v>
      </c>
      <c r="K766" s="71" t="n">
        <v>56.4</v>
      </c>
      <c r="L766" s="138" t="n">
        <v>54.8</v>
      </c>
    </row>
    <row r="767">
      <c r="A767" s="54" t="n">
        <v>40695</v>
      </c>
      <c r="B767" s="71" t="n">
        <v>54.6</v>
      </c>
      <c r="C767" s="71" t="n">
        <v>50.9</v>
      </c>
      <c r="D767" s="71" t="n">
        <v>52.5</v>
      </c>
      <c r="E767" s="71" t="n">
        <v>70.3</v>
      </c>
      <c r="F767" s="71" t="n">
        <v>54.5</v>
      </c>
      <c r="G767" s="71" t="n">
        <v>44.2</v>
      </c>
      <c r="H767" s="71" t="n">
        <v>53.5</v>
      </c>
      <c r="I767" s="71" t="n">
        <v>56</v>
      </c>
      <c r="J767" s="71" t="n">
        <v>62.1</v>
      </c>
      <c r="K767" s="71" t="n">
        <v>53.8</v>
      </c>
      <c r="L767" s="138" t="n">
        <v>55.8</v>
      </c>
    </row>
    <row r="768">
      <c r="A768" s="54" t="n">
        <v>40725</v>
      </c>
      <c r="B768" s="71" t="n">
        <v>56.9</v>
      </c>
      <c r="C768" s="71" t="n">
        <v>51.3</v>
      </c>
      <c r="D768" s="71" t="n">
        <v>49.8</v>
      </c>
      <c r="E768" s="71" t="n">
        <v>59.1</v>
      </c>
      <c r="F768" s="71" t="n">
        <v>54.6</v>
      </c>
      <c r="G768" s="71" t="n">
        <v>40.4</v>
      </c>
      <c r="H768" s="71" t="n">
        <v>48</v>
      </c>
      <c r="I768" s="71" t="n">
        <v>52.8</v>
      </c>
      <c r="J768" s="71" t="n">
        <v>53.2</v>
      </c>
      <c r="K768" s="71" t="n">
        <v>54.4</v>
      </c>
      <c r="L768" s="138" t="n">
        <v>52.9</v>
      </c>
    </row>
    <row r="769">
      <c r="A769" s="54" t="n">
        <v>40756</v>
      </c>
      <c r="B769" s="71" t="n">
        <v>52.9</v>
      </c>
      <c r="C769" s="71" t="n">
        <v>55.1</v>
      </c>
      <c r="D769" s="71" t="n">
        <v>46.3</v>
      </c>
      <c r="E769" s="71" t="n">
        <v>57.5</v>
      </c>
      <c r="F769" s="71" t="n">
        <v>51.4</v>
      </c>
      <c r="G769" s="71" t="n">
        <v>46.9</v>
      </c>
      <c r="H769" s="71" t="n">
        <v>54.5</v>
      </c>
      <c r="I769" s="71" t="n">
        <v>53.2</v>
      </c>
      <c r="J769" s="71" t="n">
        <v>51.8</v>
      </c>
      <c r="K769" s="71" t="n">
        <v>52.4</v>
      </c>
      <c r="L769" s="138" t="n">
        <v>52.6</v>
      </c>
    </row>
    <row r="770">
      <c r="A770" s="54" t="n">
        <v>40787</v>
      </c>
      <c r="B770" s="71" t="n">
        <v>51.8</v>
      </c>
      <c r="C770" s="71" t="n">
        <v>53.1</v>
      </c>
      <c r="D770" s="71" t="n">
        <v>43.7</v>
      </c>
      <c r="E770" s="71" t="n">
        <v>57</v>
      </c>
      <c r="F770" s="71" t="n">
        <v>54.7</v>
      </c>
      <c r="G770" s="71" t="n">
        <v>50.2</v>
      </c>
      <c r="H770" s="71" t="n">
        <v>52</v>
      </c>
      <c r="I770" s="71" t="n">
        <v>51.8</v>
      </c>
      <c r="J770" s="71" t="n">
        <v>56.6</v>
      </c>
      <c r="K770" s="71" t="n">
        <v>55</v>
      </c>
      <c r="L770" s="138" t="n">
        <v>53.7</v>
      </c>
    </row>
    <row r="771">
      <c r="A771" s="54" t="n">
        <v>40817</v>
      </c>
      <c r="B771" s="71" t="n">
        <v>52</v>
      </c>
      <c r="C771" s="71" t="n">
        <v>48.2</v>
      </c>
      <c r="D771" s="71" t="n">
        <v>48</v>
      </c>
      <c r="E771" s="71" t="n">
        <v>41.4</v>
      </c>
      <c r="F771" s="71" t="n">
        <v>52.3</v>
      </c>
      <c r="G771" s="71" t="n">
        <v>43.4</v>
      </c>
      <c r="H771" s="71" t="n">
        <v>46.5</v>
      </c>
      <c r="I771" s="71" t="n">
        <v>51.4</v>
      </c>
      <c r="J771" s="71" t="n">
        <v>53</v>
      </c>
      <c r="K771" s="71" t="n">
        <v>50.4</v>
      </c>
      <c r="L771" s="138" t="n">
        <v>51.4</v>
      </c>
    </row>
    <row r="772">
      <c r="A772" s="54" t="n">
        <v>40848</v>
      </c>
      <c r="B772" s="71" t="n">
        <v>54.9</v>
      </c>
      <c r="C772" s="71" t="n">
        <v>49.5</v>
      </c>
      <c r="D772" s="71" t="n">
        <v>46.8</v>
      </c>
      <c r="E772" s="71" t="n">
        <v>48.1</v>
      </c>
      <c r="F772" s="71" t="n">
        <v>56.6</v>
      </c>
      <c r="G772" s="71" t="n">
        <v>47.1</v>
      </c>
      <c r="H772" s="71" t="n">
        <v>46.5</v>
      </c>
      <c r="I772" s="71" t="n">
        <v>51.4</v>
      </c>
      <c r="J772" s="71" t="n">
        <v>51.3</v>
      </c>
      <c r="K772" s="71" t="n">
        <v>51.6</v>
      </c>
      <c r="L772" s="138" t="n">
        <v>51.8</v>
      </c>
    </row>
    <row r="773">
      <c r="A773" s="54" t="n">
        <v>40878</v>
      </c>
      <c r="B773" s="71" t="n">
        <v>55.4</v>
      </c>
      <c r="C773" s="71" t="n">
        <v>53.8</v>
      </c>
      <c r="D773" s="71" t="n">
        <v>48.2</v>
      </c>
      <c r="E773" s="71" t="n">
        <v>45.4</v>
      </c>
      <c r="F773" s="71" t="n">
        <v>60.9</v>
      </c>
      <c r="G773" s="71" t="n">
        <v>42.7</v>
      </c>
      <c r="H773" s="71" t="n">
        <v>45.5</v>
      </c>
      <c r="I773" s="71" t="n">
        <v>48.5</v>
      </c>
      <c r="J773" s="71" t="n">
        <v>54.9</v>
      </c>
      <c r="K773" s="71" t="n">
        <v>51.8</v>
      </c>
      <c r="L773" s="138" t="n">
        <v>53</v>
      </c>
    </row>
    <row r="774">
      <c r="A774" s="54" t="n">
        <v>40909</v>
      </c>
      <c r="B774" s="71" t="n">
        <v>56.8</v>
      </c>
      <c r="C774" s="71" t="n">
        <v>51.4</v>
      </c>
      <c r="D774" s="71" t="n">
        <v>52</v>
      </c>
      <c r="E774" s="71" t="n">
        <v>53.5</v>
      </c>
      <c r="F774" s="71" t="n">
        <v>53.9</v>
      </c>
      <c r="G774" s="71" t="n">
        <v>43.7</v>
      </c>
      <c r="H774" s="71" t="n">
        <v>49.5</v>
      </c>
      <c r="I774" s="71" t="n">
        <v>49.8</v>
      </c>
      <c r="J774" s="71" t="n">
        <v>52.6</v>
      </c>
      <c r="K774" s="71" t="n">
        <v>54.7</v>
      </c>
      <c r="L774" s="138" t="n">
        <v>52.6</v>
      </c>
    </row>
    <row r="775">
      <c r="A775" s="54" t="n">
        <v>40940</v>
      </c>
      <c r="B775" s="71" t="n">
        <v>57.4</v>
      </c>
      <c r="C775" s="71" t="n">
        <v>53.6</v>
      </c>
      <c r="D775" s="71" t="n">
        <v>50.4</v>
      </c>
      <c r="E775" s="71" t="n">
        <v>60.1</v>
      </c>
      <c r="F775" s="71" t="n">
        <v>57.4</v>
      </c>
      <c r="G775" s="71" t="n">
        <v>44.3</v>
      </c>
      <c r="H775" s="71" t="n">
        <v>49.5</v>
      </c>
      <c r="I775" s="71" t="n">
        <v>47.7</v>
      </c>
      <c r="J775" s="71" t="n">
        <v>52.1</v>
      </c>
      <c r="K775" s="71" t="n">
        <v>58</v>
      </c>
      <c r="L775" s="138" t="n">
        <v>53.1</v>
      </c>
    </row>
    <row r="776">
      <c r="A776" s="54" t="n">
        <v>40969</v>
      </c>
      <c r="B776" s="71" t="n">
        <v>56.5</v>
      </c>
      <c r="C776" s="71" t="n">
        <v>53.8</v>
      </c>
      <c r="D776" s="71" t="n">
        <v>52</v>
      </c>
      <c r="E776" s="71" t="n">
        <v>62.3</v>
      </c>
      <c r="F776" s="71" t="n">
        <v>56.8</v>
      </c>
      <c r="G776" s="71" t="n">
        <v>42.4</v>
      </c>
      <c r="H776" s="71" t="n">
        <v>50</v>
      </c>
      <c r="I776" s="71" t="n">
        <v>48.9</v>
      </c>
      <c r="J776" s="71" t="n">
        <v>55.3</v>
      </c>
      <c r="K776" s="71" t="n">
        <v>53.6</v>
      </c>
      <c r="L776" s="138" t="n">
        <v>53.5</v>
      </c>
    </row>
    <row r="777">
      <c r="A777" s="54" t="n">
        <v>41000</v>
      </c>
      <c r="B777" s="71" t="n">
        <v>57.2</v>
      </c>
      <c r="C777" s="71" t="n">
        <v>52.4</v>
      </c>
      <c r="D777" s="71" t="n">
        <v>47.6</v>
      </c>
      <c r="E777" s="71" t="n">
        <v>61</v>
      </c>
      <c r="F777" s="71" t="n">
        <v>57.1</v>
      </c>
      <c r="G777" s="71" t="n">
        <v>43.9</v>
      </c>
      <c r="H777" s="71" t="n">
        <v>48.5</v>
      </c>
      <c r="I777" s="71" t="n">
        <v>48.7</v>
      </c>
      <c r="J777" s="71" t="n">
        <v>55.6</v>
      </c>
      <c r="K777" s="71" t="n">
        <v>58.2</v>
      </c>
      <c r="L777" s="138" t="n">
        <v>53.5</v>
      </c>
    </row>
    <row r="778">
      <c r="A778" s="54" t="n">
        <v>41030</v>
      </c>
      <c r="B778" s="71" t="n">
        <v>57.2</v>
      </c>
      <c r="C778" s="71" t="n">
        <v>53.7</v>
      </c>
      <c r="D778" s="71" t="n">
        <v>44.2</v>
      </c>
      <c r="E778" s="71" t="n">
        <v>47.2</v>
      </c>
      <c r="F778" s="71" t="n">
        <v>55.5</v>
      </c>
      <c r="G778" s="71" t="n">
        <v>44.3</v>
      </c>
      <c r="H778" s="71" t="n">
        <v>46</v>
      </c>
      <c r="I778" s="71" t="n">
        <v>50.3</v>
      </c>
      <c r="J778" s="71" t="n">
        <v>53.6</v>
      </c>
      <c r="K778" s="71" t="n">
        <v>52.5</v>
      </c>
      <c r="L778" s="138" t="n">
        <v>52.6</v>
      </c>
    </row>
    <row r="779">
      <c r="A779" s="54" t="n">
        <v>41061</v>
      </c>
      <c r="B779" s="71" t="n">
        <v>47.2</v>
      </c>
      <c r="C779" s="71" t="n">
        <v>50</v>
      </c>
      <c r="D779" s="71" t="n">
        <v>41.2</v>
      </c>
      <c r="E779" s="71" t="n">
        <v>35.7</v>
      </c>
      <c r="F779" s="71" t="n">
        <v>52.7</v>
      </c>
      <c r="G779" s="71" t="n">
        <v>47.7</v>
      </c>
      <c r="H779" s="71" t="n">
        <v>44</v>
      </c>
      <c r="I779" s="71" t="n">
        <v>50.2</v>
      </c>
      <c r="J779" s="71" t="n">
        <v>54.8</v>
      </c>
      <c r="K779" s="71" t="n">
        <v>47.7</v>
      </c>
      <c r="L779" s="138" t="n">
        <v>49.7</v>
      </c>
    </row>
    <row r="780">
      <c r="A780" s="54" t="n">
        <v>41091</v>
      </c>
      <c r="B780" s="71" t="n">
        <v>48.3</v>
      </c>
      <c r="C780" s="71" t="n">
        <v>51.3</v>
      </c>
      <c r="D780" s="71" t="n">
        <v>42.1</v>
      </c>
      <c r="E780" s="71" t="n">
        <v>39.4</v>
      </c>
      <c r="F780" s="71" t="n">
        <v>50.8</v>
      </c>
      <c r="G780" s="71" t="n">
        <v>48.2</v>
      </c>
      <c r="H780" s="71" t="n">
        <v>49</v>
      </c>
      <c r="I780" s="71" t="n">
        <v>49.2</v>
      </c>
      <c r="J780" s="71" t="n">
        <v>52.5</v>
      </c>
      <c r="K780" s="71" t="n">
        <v>47.9</v>
      </c>
      <c r="L780" s="138" t="n">
        <v>50</v>
      </c>
    </row>
    <row r="781">
      <c r="A781" s="54" t="n">
        <v>41122</v>
      </c>
      <c r="B781" s="71" t="n">
        <v>48.5</v>
      </c>
      <c r="C781" s="71" t="n">
        <v>49</v>
      </c>
      <c r="D781" s="71" t="n">
        <v>41.9</v>
      </c>
      <c r="E781" s="71" t="n">
        <v>54.4</v>
      </c>
      <c r="F781" s="71" t="n">
        <v>49.8</v>
      </c>
      <c r="G781" s="71" t="n">
        <v>48.3</v>
      </c>
      <c r="H781" s="71" t="n">
        <v>53</v>
      </c>
      <c r="I781" s="71" t="n">
        <v>48.7</v>
      </c>
      <c r="J781" s="71" t="n">
        <v>51.2</v>
      </c>
      <c r="K781" s="71" t="n">
        <v>46.3</v>
      </c>
      <c r="L781" s="138" t="n">
        <v>50.2</v>
      </c>
    </row>
    <row r="782">
      <c r="A782" s="54" t="n">
        <v>41153</v>
      </c>
      <c r="B782" s="71" t="n">
        <v>53.5</v>
      </c>
      <c r="C782" s="71" t="n">
        <v>50.8</v>
      </c>
      <c r="D782" s="71" t="n">
        <v>46.4</v>
      </c>
      <c r="E782" s="71" t="n">
        <v>60</v>
      </c>
      <c r="F782" s="71" t="n">
        <v>51.8</v>
      </c>
      <c r="G782" s="71" t="n">
        <v>49.1</v>
      </c>
      <c r="H782" s="71" t="n">
        <v>50.5</v>
      </c>
      <c r="I782" s="71" t="n">
        <v>50.4</v>
      </c>
      <c r="J782" s="71" t="n">
        <v>53</v>
      </c>
      <c r="K782" s="71" t="n">
        <v>49.5</v>
      </c>
      <c r="L782" s="138" t="n">
        <v>51.8</v>
      </c>
    </row>
    <row r="783">
      <c r="A783" s="54" t="n">
        <v>41183</v>
      </c>
      <c r="B783" s="71" t="n">
        <v>51</v>
      </c>
      <c r="C783" s="71" t="n">
        <v>48.3</v>
      </c>
      <c r="D783" s="71" t="n">
        <v>42.4</v>
      </c>
      <c r="E783" s="71" t="n">
        <v>55.5</v>
      </c>
      <c r="F783" s="71" t="n">
        <v>49.8</v>
      </c>
      <c r="G783" s="71" t="n">
        <v>47.4</v>
      </c>
      <c r="H783" s="71" t="n">
        <v>50</v>
      </c>
      <c r="I783" s="71" t="n">
        <v>48.9</v>
      </c>
      <c r="J783" s="71" t="n">
        <v>52.7</v>
      </c>
      <c r="K783" s="71" t="n">
        <v>50.5</v>
      </c>
      <c r="L783" s="138" t="n">
        <v>50.7</v>
      </c>
    </row>
    <row r="784">
      <c r="A784" s="54" t="n">
        <v>41214</v>
      </c>
      <c r="B784" s="71" t="n">
        <v>49.6</v>
      </c>
      <c r="C784" s="71" t="n">
        <v>48.8</v>
      </c>
      <c r="D784" s="71" t="n">
        <v>42.1</v>
      </c>
      <c r="E784" s="71" t="n">
        <v>52.1</v>
      </c>
      <c r="F784" s="71" t="n">
        <v>50.2</v>
      </c>
      <c r="G784" s="71" t="n">
        <v>42.6</v>
      </c>
      <c r="H784" s="71" t="n">
        <v>45</v>
      </c>
      <c r="I784" s="71" t="n">
        <v>49.1</v>
      </c>
      <c r="J784" s="71" t="n">
        <v>48.6</v>
      </c>
      <c r="K784" s="71" t="n">
        <v>49.4</v>
      </c>
      <c r="L784" s="138" t="n">
        <v>48.9</v>
      </c>
    </row>
    <row r="785">
      <c r="A785" s="54" t="n">
        <v>41244</v>
      </c>
      <c r="B785" s="71" t="n">
        <v>48.9</v>
      </c>
      <c r="C785" s="71" t="n">
        <v>51.2</v>
      </c>
      <c r="D785" s="71" t="n">
        <v>47.3</v>
      </c>
      <c r="E785" s="71" t="n">
        <v>54</v>
      </c>
      <c r="F785" s="71" t="n">
        <v>51</v>
      </c>
      <c r="G785" s="71" t="n">
        <v>47.4</v>
      </c>
      <c r="H785" s="71" t="n">
        <v>43</v>
      </c>
      <c r="I785" s="71" t="n">
        <v>52.2</v>
      </c>
      <c r="J785" s="71" t="n">
        <v>52.6</v>
      </c>
      <c r="K785" s="71" t="n">
        <v>52.8</v>
      </c>
      <c r="L785" s="138" t="n">
        <v>49.8</v>
      </c>
    </row>
    <row r="786">
      <c r="A786" s="54" t="n">
        <v>41275</v>
      </c>
      <c r="B786" s="71" t="n">
        <v>52.4</v>
      </c>
      <c r="C786" s="71" t="n">
        <v>49.4</v>
      </c>
      <c r="D786" s="71" t="n">
        <v>45.2</v>
      </c>
      <c r="E786" s="71" t="n">
        <v>56.9</v>
      </c>
      <c r="F786" s="71" t="n">
        <v>53</v>
      </c>
      <c r="G786" s="71" t="n">
        <v>49.9</v>
      </c>
      <c r="H786" s="71" t="n">
        <v>51</v>
      </c>
      <c r="I786" s="71" t="n">
        <v>51.9</v>
      </c>
      <c r="J786" s="71" t="n">
        <v>52.6</v>
      </c>
      <c r="K786" s="71" t="n">
        <v>49.1</v>
      </c>
      <c r="L786" s="138" t="n">
        <v>52</v>
      </c>
    </row>
    <row r="787">
      <c r="A787" s="54" t="n">
        <v>41306</v>
      </c>
      <c r="B787" s="71" t="n">
        <v>56.9</v>
      </c>
      <c r="C787" s="71" t="n">
        <v>53.8</v>
      </c>
      <c r="D787" s="71" t="n">
        <v>53.1</v>
      </c>
      <c r="E787" s="71" t="n">
        <v>62.2</v>
      </c>
      <c r="F787" s="71" t="n">
        <v>56.9</v>
      </c>
      <c r="G787" s="71" t="n">
        <v>45.7</v>
      </c>
      <c r="H787" s="71" t="n">
        <v>51.5</v>
      </c>
      <c r="I787" s="71" t="n">
        <v>50.5</v>
      </c>
      <c r="J787" s="71" t="n">
        <v>52.2</v>
      </c>
      <c r="K787" s="71" t="n">
        <v>52.5</v>
      </c>
      <c r="L787" s="138" t="n">
        <v>53.6</v>
      </c>
    </row>
    <row r="788">
      <c r="A788" s="54" t="n">
        <v>41334</v>
      </c>
      <c r="B788" s="71" t="n">
        <v>52.6</v>
      </c>
      <c r="C788" s="71" t="n">
        <v>54.5</v>
      </c>
      <c r="D788" s="71" t="n">
        <v>49.7</v>
      </c>
      <c r="E788" s="71" t="n">
        <v>53.7</v>
      </c>
      <c r="F788" s="71" t="n">
        <v>54.4</v>
      </c>
      <c r="G788" s="71" t="n">
        <v>47.6</v>
      </c>
      <c r="H788" s="71" t="n">
        <v>49.5</v>
      </c>
      <c r="I788" s="71" t="n">
        <v>50.1</v>
      </c>
      <c r="J788" s="71" t="n">
        <v>52.9</v>
      </c>
      <c r="K788" s="71" t="n">
        <v>55.6</v>
      </c>
      <c r="L788" s="138" t="n">
        <v>52</v>
      </c>
    </row>
    <row r="789">
      <c r="A789" s="54" t="n">
        <v>41365</v>
      </c>
      <c r="B789" s="71" t="n">
        <v>51</v>
      </c>
      <c r="C789" s="71" t="n">
        <v>53.8</v>
      </c>
      <c r="D789" s="71" t="n">
        <v>51.4</v>
      </c>
      <c r="E789" s="71" t="n">
        <v>48.5</v>
      </c>
      <c r="F789" s="71" t="n">
        <v>51.2</v>
      </c>
      <c r="G789" s="71" t="n">
        <v>45.1</v>
      </c>
      <c r="H789" s="71" t="n">
        <v>46.5</v>
      </c>
      <c r="I789" s="71" t="n">
        <v>50.5</v>
      </c>
      <c r="J789" s="71" t="n">
        <v>50.2</v>
      </c>
      <c r="K789" s="71" t="n">
        <v>52.8</v>
      </c>
      <c r="L789" s="138" t="n">
        <v>49.7</v>
      </c>
    </row>
    <row r="790">
      <c r="A790" s="54" t="n">
        <v>41395</v>
      </c>
      <c r="B790" s="71" t="n">
        <v>51.9</v>
      </c>
      <c r="C790" s="71" t="n">
        <v>53.3</v>
      </c>
      <c r="D790" s="71" t="n">
        <v>48.1</v>
      </c>
      <c r="E790" s="71" t="n">
        <v>49.9</v>
      </c>
      <c r="F790" s="71" t="n">
        <v>53</v>
      </c>
      <c r="G790" s="71" t="n">
        <v>46.3</v>
      </c>
      <c r="H790" s="71" t="n">
        <v>49</v>
      </c>
      <c r="I790" s="71" t="n">
        <v>49.9</v>
      </c>
      <c r="J790" s="71" t="n">
        <v>49.7</v>
      </c>
      <c r="K790" s="71" t="n">
        <v>50.7</v>
      </c>
      <c r="L790" s="138" t="n">
        <v>50.5</v>
      </c>
    </row>
    <row r="791">
      <c r="A791" s="54" t="n">
        <v>41426</v>
      </c>
      <c r="B791" s="71" t="n">
        <v>52.5</v>
      </c>
      <c r="C791" s="71" t="n">
        <v>55.9</v>
      </c>
      <c r="D791" s="71" t="n">
        <v>45.1</v>
      </c>
      <c r="E791" s="71" t="n">
        <v>50.7</v>
      </c>
      <c r="F791" s="71" t="n">
        <v>54.7</v>
      </c>
      <c r="G791" s="71" t="n">
        <v>45.9</v>
      </c>
      <c r="H791" s="71" t="n">
        <v>50.5</v>
      </c>
      <c r="I791" s="71" t="n">
        <v>51.3</v>
      </c>
      <c r="J791" s="71" t="n">
        <v>49.3</v>
      </c>
      <c r="K791" s="71" t="n">
        <v>52.9</v>
      </c>
      <c r="L791" s="138" t="n">
        <v>51.5</v>
      </c>
    </row>
    <row r="792">
      <c r="A792" s="54" t="n">
        <v>41456</v>
      </c>
      <c r="B792" s="71" t="n">
        <v>54.8</v>
      </c>
      <c r="C792" s="71" t="n">
        <v>57.2</v>
      </c>
      <c r="D792" s="71" t="n">
        <v>45.4</v>
      </c>
      <c r="E792" s="71" t="n">
        <v>48.4</v>
      </c>
      <c r="F792" s="71" t="n">
        <v>60.2</v>
      </c>
      <c r="G792" s="71" t="n">
        <v>46.6</v>
      </c>
      <c r="H792" s="71" t="n">
        <v>47</v>
      </c>
      <c r="I792" s="71" t="n">
        <v>52.3</v>
      </c>
      <c r="J792" s="71" t="n">
        <v>52.8</v>
      </c>
      <c r="K792" s="71" t="n">
        <v>54.3</v>
      </c>
      <c r="L792" s="138" t="n">
        <v>53.5</v>
      </c>
    </row>
    <row r="793">
      <c r="A793" s="54" t="n">
        <v>41487</v>
      </c>
      <c r="B793" s="71" t="n">
        <v>62.7</v>
      </c>
      <c r="C793" s="71" t="n">
        <v>57.6</v>
      </c>
      <c r="D793" s="71" t="n">
        <v>46.4</v>
      </c>
      <c r="E793" s="71" t="n">
        <v>52.8</v>
      </c>
      <c r="F793" s="71" t="n">
        <v>61.7</v>
      </c>
      <c r="G793" s="71" t="n">
        <v>42.4</v>
      </c>
      <c r="H793" s="71" t="n">
        <v>47.5</v>
      </c>
      <c r="I793" s="71" t="n">
        <v>52</v>
      </c>
      <c r="J793" s="71" t="n">
        <v>54.2</v>
      </c>
      <c r="K793" s="71" t="n">
        <v>55.3</v>
      </c>
      <c r="L793" s="138" t="n">
        <v>55.9</v>
      </c>
    </row>
    <row r="794">
      <c r="A794" s="54" t="n">
        <v>41518</v>
      </c>
      <c r="B794" s="71" t="n">
        <v>60.2</v>
      </c>
      <c r="C794" s="71" t="n">
        <v>53.2</v>
      </c>
      <c r="D794" s="71" t="n">
        <v>50.1</v>
      </c>
      <c r="E794" s="71" t="n">
        <v>57.4</v>
      </c>
      <c r="F794" s="71" t="n">
        <v>57.9</v>
      </c>
      <c r="G794" s="71" t="n">
        <v>44</v>
      </c>
      <c r="H794" s="71" t="n">
        <v>50</v>
      </c>
      <c r="I794" s="71" t="n">
        <v>52.7</v>
      </c>
      <c r="J794" s="71" t="n">
        <v>53.1</v>
      </c>
      <c r="K794" s="71" t="n">
        <v>51.9</v>
      </c>
      <c r="L794" s="138" t="n">
        <v>54.8</v>
      </c>
    </row>
    <row r="795">
      <c r="A795" s="54" t="n">
        <v>41548</v>
      </c>
      <c r="B795" s="71" t="n">
        <v>57.9</v>
      </c>
      <c r="C795" s="71" t="n">
        <v>54</v>
      </c>
      <c r="D795" s="71" t="n">
        <v>51.2</v>
      </c>
      <c r="E795" s="71" t="n">
        <v>55</v>
      </c>
      <c r="F795" s="71" t="n">
        <v>58.5</v>
      </c>
      <c r="G795" s="71" t="n">
        <v>46.7</v>
      </c>
      <c r="H795" s="71" t="n">
        <v>52.5</v>
      </c>
      <c r="I795" s="71" t="n">
        <v>53.6</v>
      </c>
      <c r="J795" s="71" t="n">
        <v>53.6</v>
      </c>
      <c r="K795" s="71" t="n">
        <v>56.3</v>
      </c>
      <c r="L795" s="138" t="n">
        <v>55.3</v>
      </c>
    </row>
    <row r="796">
      <c r="A796" s="54" t="n">
        <v>41579</v>
      </c>
      <c r="B796" s="71" t="n">
        <v>60.6</v>
      </c>
      <c r="C796" s="71" t="n">
        <v>54.5</v>
      </c>
      <c r="D796" s="71" t="n">
        <v>54.1</v>
      </c>
      <c r="E796" s="71" t="n">
        <v>51.7</v>
      </c>
      <c r="F796" s="71" t="n">
        <v>60.2</v>
      </c>
      <c r="G796" s="71" t="n">
        <v>46.4</v>
      </c>
      <c r="H796" s="71" t="n">
        <v>50.5</v>
      </c>
      <c r="I796" s="71" t="n">
        <v>52.4</v>
      </c>
      <c r="J796" s="71" t="n">
        <v>55.5</v>
      </c>
      <c r="K796" s="71" t="n">
        <v>58.4</v>
      </c>
      <c r="L796" s="138" t="n">
        <v>56.3</v>
      </c>
    </row>
    <row r="797">
      <c r="A797" s="54" t="n">
        <v>41609</v>
      </c>
      <c r="B797" s="71" t="n">
        <v>65</v>
      </c>
      <c r="C797" s="71" t="n">
        <v>56</v>
      </c>
      <c r="D797" s="71" t="n">
        <v>51</v>
      </c>
      <c r="E797" s="71" t="n">
        <v>51.7</v>
      </c>
      <c r="F797" s="71" t="n">
        <v>60.1</v>
      </c>
      <c r="G797" s="71" t="n">
        <v>46.4</v>
      </c>
      <c r="H797" s="71" t="n">
        <v>47</v>
      </c>
      <c r="I797" s="71" t="n">
        <v>53</v>
      </c>
      <c r="J797" s="71" t="n">
        <v>52.9</v>
      </c>
      <c r="K797" s="71" t="n">
        <v>55.2</v>
      </c>
      <c r="L797" s="138" t="n">
        <v>55.9</v>
      </c>
    </row>
    <row r="798">
      <c r="A798" s="54" t="n">
        <v>41640</v>
      </c>
      <c r="B798" s="71" t="n">
        <v>53.3</v>
      </c>
      <c r="C798" s="71" t="n">
        <v>52.6</v>
      </c>
      <c r="D798" s="71" t="n">
        <v>46.6</v>
      </c>
      <c r="E798" s="71" t="n">
        <v>60.3</v>
      </c>
      <c r="F798" s="71" t="n">
        <v>54.5</v>
      </c>
      <c r="G798" s="71" t="n">
        <v>43.3</v>
      </c>
      <c r="H798" s="71" t="n">
        <v>44</v>
      </c>
      <c r="I798" s="71" t="n">
        <v>53.8</v>
      </c>
      <c r="J798" s="71" t="n">
        <v>52.9</v>
      </c>
      <c r="K798" s="71" t="n">
        <v>55.3</v>
      </c>
      <c r="L798" s="138" t="n">
        <v>51.7</v>
      </c>
    </row>
    <row r="799">
      <c r="A799" s="54" t="n">
        <v>41671</v>
      </c>
      <c r="B799" s="71" t="n">
        <v>57</v>
      </c>
      <c r="C799" s="71" t="n">
        <v>53.1</v>
      </c>
      <c r="D799" s="71" t="n">
        <v>50.5</v>
      </c>
      <c r="E799" s="71" t="n">
        <v>59.8</v>
      </c>
      <c r="F799" s="71" t="n">
        <v>52.3</v>
      </c>
      <c r="G799" s="71" t="n">
        <v>47</v>
      </c>
      <c r="H799" s="71" t="n">
        <v>52.5</v>
      </c>
      <c r="I799" s="71" t="n">
        <v>57.1</v>
      </c>
      <c r="J799" s="71" t="n">
        <v>54.1</v>
      </c>
      <c r="K799" s="71" t="n">
        <v>52.7</v>
      </c>
      <c r="L799" s="138" t="n">
        <v>54.6</v>
      </c>
    </row>
    <row r="800">
      <c r="A800" s="54" t="n">
        <v>41699</v>
      </c>
      <c r="B800" s="71" t="n">
        <v>57</v>
      </c>
      <c r="C800" s="71" t="n">
        <v>55.2</v>
      </c>
      <c r="D800" s="71" t="n">
        <v>57</v>
      </c>
      <c r="E800" s="71" t="n">
        <v>59</v>
      </c>
      <c r="F800" s="71" t="n">
        <v>57.5</v>
      </c>
      <c r="G800" s="71" t="n">
        <v>42.3</v>
      </c>
      <c r="H800" s="71" t="n">
        <v>52.5</v>
      </c>
      <c r="I800" s="71" t="n">
        <v>54.9</v>
      </c>
      <c r="J800" s="71" t="n">
        <v>53.7</v>
      </c>
      <c r="K800" s="71" t="n">
        <v>55.1</v>
      </c>
      <c r="L800" s="138" t="n">
        <v>55.3</v>
      </c>
    </row>
    <row r="801">
      <c r="A801" s="54" t="n">
        <v>41730</v>
      </c>
      <c r="B801" s="71" t="n">
        <v>56.4</v>
      </c>
      <c r="C801" s="71" t="n">
        <v>58.4</v>
      </c>
      <c r="D801" s="71" t="n">
        <v>54</v>
      </c>
      <c r="E801" s="71" t="n">
        <v>55.9</v>
      </c>
      <c r="F801" s="71" t="n">
        <v>56.5</v>
      </c>
      <c r="G801" s="71" t="n">
        <v>42.8</v>
      </c>
      <c r="H801" s="71" t="n">
        <v>53</v>
      </c>
      <c r="I801" s="71" t="n">
        <v>56.1</v>
      </c>
      <c r="J801" s="71" t="n">
        <v>56.8</v>
      </c>
      <c r="K801" s="71" t="n">
        <v>57.5</v>
      </c>
      <c r="L801" s="138" t="n">
        <v>55.7</v>
      </c>
    </row>
    <row r="802">
      <c r="A802" s="54" t="n">
        <v>41760</v>
      </c>
      <c r="B802" s="71" t="n">
        <v>57.9</v>
      </c>
      <c r="C802" s="71" t="n">
        <v>53.3</v>
      </c>
      <c r="D802" s="71" t="n">
        <v>51.5</v>
      </c>
      <c r="E802" s="71" t="n">
        <v>58.7</v>
      </c>
      <c r="F802" s="71" t="n">
        <v>61.1</v>
      </c>
      <c r="G802" s="71" t="n">
        <v>46.3</v>
      </c>
      <c r="H802" s="71" t="n">
        <v>53</v>
      </c>
      <c r="I802" s="71" t="n">
        <v>52.7</v>
      </c>
      <c r="J802" s="71" t="n">
        <v>54.7</v>
      </c>
      <c r="K802" s="71" t="n">
        <v>57.3</v>
      </c>
      <c r="L802" s="138" t="n">
        <v>55.8</v>
      </c>
    </row>
    <row r="803">
      <c r="A803" s="54" t="n">
        <v>41791</v>
      </c>
      <c r="B803" s="71" t="n">
        <v>56.4</v>
      </c>
      <c r="C803" s="71" t="n">
        <v>56.3</v>
      </c>
      <c r="D803" s="71" t="n">
        <v>46</v>
      </c>
      <c r="E803" s="71" t="n">
        <v>57</v>
      </c>
      <c r="F803" s="71" t="n">
        <v>59</v>
      </c>
      <c r="G803" s="71" t="n">
        <v>47.8</v>
      </c>
      <c r="H803" s="71" t="n">
        <v>53</v>
      </c>
      <c r="I803" s="71" t="n">
        <v>53</v>
      </c>
      <c r="J803" s="71" t="n">
        <v>52.9</v>
      </c>
      <c r="K803" s="71" t="n">
        <v>54.5</v>
      </c>
      <c r="L803" s="138" t="n">
        <v>54.9</v>
      </c>
    </row>
    <row r="804">
      <c r="A804" s="54" t="n">
        <v>41821</v>
      </c>
      <c r="B804" s="71" t="n">
        <v>57.4</v>
      </c>
      <c r="C804" s="71" t="n">
        <v>51.3</v>
      </c>
      <c r="D804" s="71" t="n">
        <v>49.5</v>
      </c>
      <c r="E804" s="71" t="n">
        <v>60.1</v>
      </c>
      <c r="F804" s="71" t="n">
        <v>59.8</v>
      </c>
      <c r="G804" s="71" t="n">
        <v>43</v>
      </c>
      <c r="H804" s="71" t="n">
        <v>48.5</v>
      </c>
      <c r="I804" s="71" t="n">
        <v>54.2</v>
      </c>
      <c r="J804" s="71" t="n">
        <v>55.5</v>
      </c>
      <c r="K804" s="71" t="n">
        <v>52.3</v>
      </c>
      <c r="L804" s="138" t="n">
        <v>55.3</v>
      </c>
    </row>
    <row r="805">
      <c r="A805" s="54" t="n">
        <v>41852</v>
      </c>
      <c r="B805" s="71" t="n">
        <v>65.09999999999999</v>
      </c>
      <c r="C805" s="71" t="n">
        <v>56.5</v>
      </c>
      <c r="D805" s="71" t="n">
        <v>53.6</v>
      </c>
      <c r="E805" s="71" t="n">
        <v>56.9</v>
      </c>
      <c r="F805" s="71" t="n">
        <v>62.2</v>
      </c>
      <c r="G805" s="71" t="n">
        <v>50</v>
      </c>
      <c r="H805" s="71" t="n">
        <v>52</v>
      </c>
      <c r="I805" s="71" t="n">
        <v>54</v>
      </c>
      <c r="J805" s="71" t="n">
        <v>57.6</v>
      </c>
      <c r="K805" s="71" t="n">
        <v>56.3</v>
      </c>
      <c r="L805" s="138" t="n">
        <v>58.2</v>
      </c>
    </row>
    <row r="806">
      <c r="A806" s="54" t="n">
        <v>41883</v>
      </c>
      <c r="B806" s="71" t="n">
        <v>58</v>
      </c>
      <c r="C806" s="71" t="n">
        <v>53.4</v>
      </c>
      <c r="D806" s="71" t="n">
        <v>46.8</v>
      </c>
      <c r="E806" s="71" t="n">
        <v>58.7</v>
      </c>
      <c r="F806" s="71" t="n">
        <v>61.2</v>
      </c>
      <c r="G806" s="71" t="n">
        <v>44.3</v>
      </c>
      <c r="H806" s="71" t="n">
        <v>51.5</v>
      </c>
      <c r="I806" s="71" t="n">
        <v>52.2</v>
      </c>
      <c r="J806" s="71" t="n">
        <v>54.4</v>
      </c>
      <c r="K806" s="71" t="n">
        <v>53.5</v>
      </c>
      <c r="L806" s="138" t="n">
        <v>55.5</v>
      </c>
    </row>
    <row r="807">
      <c r="A807" s="54" t="n">
        <v>41913</v>
      </c>
      <c r="B807" s="71" t="n">
        <v>60.7</v>
      </c>
      <c r="C807" s="71" t="n">
        <v>53.8</v>
      </c>
      <c r="D807" s="71" t="n">
        <v>52.5</v>
      </c>
      <c r="E807" s="71" t="n">
        <v>52.7</v>
      </c>
      <c r="F807" s="71" t="n">
        <v>61.4</v>
      </c>
      <c r="G807" s="71" t="n">
        <v>47.1</v>
      </c>
      <c r="H807" s="71" t="n">
        <v>52.5</v>
      </c>
      <c r="I807" s="71" t="n">
        <v>54.5</v>
      </c>
      <c r="J807" s="71" t="n">
        <v>54.2</v>
      </c>
      <c r="K807" s="71" t="n">
        <v>52</v>
      </c>
      <c r="L807" s="138" t="n">
        <v>56.8</v>
      </c>
    </row>
    <row r="808">
      <c r="A808" s="54" t="n">
        <v>41944</v>
      </c>
      <c r="B808" s="71" t="n">
        <v>62.6</v>
      </c>
      <c r="C808" s="71" t="n">
        <v>57.1</v>
      </c>
      <c r="D808" s="71" t="n">
        <v>53.7</v>
      </c>
      <c r="E808" s="71" t="n">
        <v>44.4</v>
      </c>
      <c r="F808" s="71" t="n">
        <v>61.5</v>
      </c>
      <c r="G808" s="71" t="n">
        <v>50.9</v>
      </c>
      <c r="H808" s="71" t="n">
        <v>51.5</v>
      </c>
      <c r="I808" s="71" t="n">
        <v>55.4</v>
      </c>
      <c r="J808" s="71" t="n">
        <v>54.5</v>
      </c>
      <c r="K808" s="71" t="n">
        <v>54.5</v>
      </c>
      <c r="L808" s="138" t="n">
        <v>57</v>
      </c>
    </row>
    <row r="809">
      <c r="A809" s="54" t="n">
        <v>41974</v>
      </c>
      <c r="B809" s="71" t="n">
        <v>57</v>
      </c>
      <c r="C809" s="71" t="n">
        <v>55.3</v>
      </c>
      <c r="D809" s="71" t="n">
        <v>52</v>
      </c>
      <c r="E809" s="71" t="n">
        <v>37.8</v>
      </c>
      <c r="F809" s="71" t="n">
        <v>57</v>
      </c>
      <c r="G809" s="71" t="n">
        <v>45.8</v>
      </c>
      <c r="H809" s="71" t="n">
        <v>45.5</v>
      </c>
      <c r="I809" s="71" t="n">
        <v>56.9</v>
      </c>
      <c r="J809" s="71" t="n">
        <v>57.1</v>
      </c>
      <c r="K809" s="71" t="n">
        <v>51.9</v>
      </c>
      <c r="L809" s="138" t="n">
        <v>54.7</v>
      </c>
    </row>
    <row r="810">
      <c r="A810" s="54" t="n">
        <v>42005</v>
      </c>
      <c r="B810" s="71" t="n">
        <v>54.5</v>
      </c>
      <c r="C810" s="71" t="n">
        <v>55.3</v>
      </c>
      <c r="D810" s="71" t="n">
        <v>45.8</v>
      </c>
      <c r="E810" s="71" t="n">
        <v>35.1</v>
      </c>
      <c r="F810" s="71" t="n">
        <v>57.2</v>
      </c>
      <c r="G810" s="71" t="n">
        <v>42.5</v>
      </c>
      <c r="H810" s="71" t="n">
        <v>51</v>
      </c>
      <c r="I810" s="71" t="n">
        <v>53.3</v>
      </c>
      <c r="J810" s="71" t="n">
        <v>54.6</v>
      </c>
      <c r="K810" s="71" t="n">
        <v>50.3</v>
      </c>
      <c r="L810" s="138" t="n">
        <v>53.9</v>
      </c>
    </row>
    <row r="811">
      <c r="A811" s="54" t="n">
        <v>42036</v>
      </c>
      <c r="B811" s="71" t="n">
        <v>53.5</v>
      </c>
      <c r="C811" s="71" t="n">
        <v>53.1</v>
      </c>
      <c r="D811" s="71" t="n">
        <v>50.1</v>
      </c>
      <c r="E811" s="71" t="n">
        <v>35.2</v>
      </c>
      <c r="F811" s="71" t="n">
        <v>54</v>
      </c>
      <c r="G811" s="71" t="n">
        <v>47.1</v>
      </c>
      <c r="H811" s="71" t="n">
        <v>52.5</v>
      </c>
      <c r="I811" s="71" t="n">
        <v>54.4</v>
      </c>
      <c r="J811" s="71" t="n">
        <v>51.7</v>
      </c>
      <c r="K811" s="71" t="n">
        <v>48.9</v>
      </c>
      <c r="L811" s="138" t="n">
        <v>53</v>
      </c>
    </row>
    <row r="812">
      <c r="A812" s="54" t="n">
        <v>42064</v>
      </c>
      <c r="B812" s="71" t="n">
        <v>52.2</v>
      </c>
      <c r="C812" s="71" t="n">
        <v>51.4</v>
      </c>
      <c r="D812" s="71" t="n">
        <v>47.4</v>
      </c>
      <c r="E812" s="71" t="n">
        <v>40.1</v>
      </c>
      <c r="F812" s="71" t="n">
        <v>53.6</v>
      </c>
      <c r="G812" s="71" t="n">
        <v>46.5</v>
      </c>
      <c r="H812" s="71" t="n">
        <v>51.5</v>
      </c>
      <c r="I812" s="71" t="n">
        <v>51</v>
      </c>
      <c r="J812" s="71" t="n">
        <v>51</v>
      </c>
      <c r="K812" s="71" t="n">
        <v>47.3</v>
      </c>
      <c r="L812" s="138" t="n">
        <v>51.8</v>
      </c>
    </row>
    <row r="813">
      <c r="A813" s="54" t="n">
        <v>42095</v>
      </c>
      <c r="B813" s="71" t="n">
        <v>52.9</v>
      </c>
      <c r="C813" s="71" t="n">
        <v>52.8</v>
      </c>
      <c r="D813" s="71" t="n">
        <v>48.2</v>
      </c>
      <c r="E813" s="71" t="n">
        <v>41.6</v>
      </c>
      <c r="F813" s="71" t="n">
        <v>55.3</v>
      </c>
      <c r="G813" s="71" t="n">
        <v>44.1</v>
      </c>
      <c r="H813" s="71" t="n">
        <v>49.5</v>
      </c>
      <c r="I813" s="71" t="n">
        <v>50.5</v>
      </c>
      <c r="J813" s="71" t="n">
        <v>49.7</v>
      </c>
      <c r="K813" s="71" t="n">
        <v>51</v>
      </c>
      <c r="L813" s="138" t="n">
        <v>51.6</v>
      </c>
    </row>
    <row r="814">
      <c r="A814" s="54" t="n">
        <v>42125</v>
      </c>
      <c r="B814" s="71" t="n">
        <v>53.9</v>
      </c>
      <c r="C814" s="71" t="n">
        <v>54.5</v>
      </c>
      <c r="D814" s="71" t="n">
        <v>52.9</v>
      </c>
      <c r="E814" s="71" t="n">
        <v>49</v>
      </c>
      <c r="F814" s="71" t="n">
        <v>55.2</v>
      </c>
      <c r="G814" s="71" t="n">
        <v>44.1</v>
      </c>
      <c r="H814" s="71" t="n">
        <v>51.5</v>
      </c>
      <c r="I814" s="71" t="n">
        <v>51.5</v>
      </c>
      <c r="J814" s="71" t="n">
        <v>52.6</v>
      </c>
      <c r="K814" s="71" t="n">
        <v>50.1</v>
      </c>
      <c r="L814" s="138" t="n">
        <v>52.9</v>
      </c>
    </row>
    <row r="815">
      <c r="A815" s="54" t="n">
        <v>42156</v>
      </c>
      <c r="B815" s="71" t="n">
        <v>52.8</v>
      </c>
      <c r="C815" s="71" t="n">
        <v>53.5</v>
      </c>
      <c r="D815" s="71" t="n">
        <v>45.2</v>
      </c>
      <c r="E815" s="71" t="n">
        <v>49.7</v>
      </c>
      <c r="F815" s="71" t="n">
        <v>52.5</v>
      </c>
      <c r="G815" s="71" t="n">
        <v>49.7</v>
      </c>
      <c r="H815" s="71" t="n">
        <v>53</v>
      </c>
      <c r="I815" s="71" t="n">
        <v>49.2</v>
      </c>
      <c r="J815" s="71" t="n">
        <v>54.2</v>
      </c>
      <c r="K815" s="71" t="n">
        <v>48.8</v>
      </c>
      <c r="L815" s="138" t="n">
        <v>52.3</v>
      </c>
    </row>
    <row r="816">
      <c r="A816" s="54" t="n">
        <v>42186</v>
      </c>
      <c r="B816" s="71" t="n">
        <v>52.8</v>
      </c>
      <c r="C816" s="71" t="n">
        <v>51.8</v>
      </c>
      <c r="D816" s="71" t="n">
        <v>43.6</v>
      </c>
      <c r="E816" s="71" t="n">
        <v>45.1</v>
      </c>
      <c r="F816" s="71" t="n">
        <v>54</v>
      </c>
      <c r="G816" s="71" t="n">
        <v>43.3</v>
      </c>
      <c r="H816" s="71" t="n">
        <v>49.5</v>
      </c>
      <c r="I816" s="71" t="n">
        <v>50.2</v>
      </c>
      <c r="J816" s="71" t="n">
        <v>52</v>
      </c>
      <c r="K816" s="71" t="n">
        <v>48.2</v>
      </c>
      <c r="L816" s="138" t="n">
        <v>51.9</v>
      </c>
    </row>
    <row r="817">
      <c r="A817" s="54" t="n">
        <v>42217</v>
      </c>
      <c r="B817" s="71" t="n">
        <v>52.5</v>
      </c>
      <c r="C817" s="71" t="n">
        <v>52.2</v>
      </c>
      <c r="D817" s="71" t="n">
        <v>46.6</v>
      </c>
      <c r="E817" s="71" t="n">
        <v>38.8</v>
      </c>
      <c r="F817" s="71" t="n">
        <v>53.5</v>
      </c>
      <c r="G817" s="71" t="n">
        <v>53.5</v>
      </c>
      <c r="H817" s="71" t="n">
        <v>48.5</v>
      </c>
      <c r="I817" s="71" t="n">
        <v>50.3</v>
      </c>
      <c r="J817" s="71" t="n">
        <v>49</v>
      </c>
      <c r="K817" s="71" t="n">
        <v>47.2</v>
      </c>
      <c r="L817" s="138" t="n">
        <v>50.8</v>
      </c>
    </row>
    <row r="818">
      <c r="A818" s="54" t="n">
        <v>42248</v>
      </c>
      <c r="B818" s="71" t="n">
        <v>49.9</v>
      </c>
      <c r="C818" s="71" t="n">
        <v>50.2</v>
      </c>
      <c r="D818" s="71" t="n">
        <v>40.7</v>
      </c>
      <c r="E818" s="71" t="n">
        <v>37.6</v>
      </c>
      <c r="F818" s="71" t="n">
        <v>51.5</v>
      </c>
      <c r="G818" s="71" t="n">
        <v>54.1</v>
      </c>
      <c r="H818" s="71" t="n">
        <v>48.5</v>
      </c>
      <c r="I818" s="71" t="n">
        <v>49.7</v>
      </c>
      <c r="J818" s="71" t="n">
        <v>50</v>
      </c>
      <c r="K818" s="71" t="n">
        <v>45.7</v>
      </c>
      <c r="L818" s="138" t="n">
        <v>50.1</v>
      </c>
    </row>
    <row r="819">
      <c r="A819" s="54" t="n">
        <v>42278</v>
      </c>
      <c r="B819" s="71" t="n">
        <v>52.5</v>
      </c>
      <c r="C819" s="71" t="n">
        <v>48.8</v>
      </c>
      <c r="D819" s="71" t="n">
        <v>44.4</v>
      </c>
      <c r="E819" s="71" t="n">
        <v>39.8</v>
      </c>
      <c r="F819" s="71" t="n">
        <v>53.4</v>
      </c>
      <c r="G819" s="71" t="n">
        <v>51.6</v>
      </c>
      <c r="H819" s="71" t="n">
        <v>46.5</v>
      </c>
      <c r="I819" s="71" t="n">
        <v>49.7</v>
      </c>
      <c r="J819" s="71" t="n">
        <v>45.6</v>
      </c>
      <c r="K819" s="71" t="n">
        <v>49.1</v>
      </c>
      <c r="L819" s="138" t="n">
        <v>49.6</v>
      </c>
    </row>
    <row r="820">
      <c r="A820" s="54" t="n">
        <v>42309</v>
      </c>
      <c r="B820" s="71" t="n">
        <v>50.4</v>
      </c>
      <c r="C820" s="71" t="n">
        <v>49.4</v>
      </c>
      <c r="D820" s="71" t="n">
        <v>43.3</v>
      </c>
      <c r="E820" s="71" t="n">
        <v>35.7</v>
      </c>
      <c r="F820" s="71" t="n">
        <v>49.5</v>
      </c>
      <c r="G820" s="71" t="n">
        <v>50.8</v>
      </c>
      <c r="H820" s="71" t="n">
        <v>43</v>
      </c>
      <c r="I820" s="71" t="n">
        <v>49.8</v>
      </c>
      <c r="J820" s="71" t="n">
        <v>51.5</v>
      </c>
      <c r="K820" s="71" t="n">
        <v>46.9</v>
      </c>
      <c r="L820" s="138" t="n">
        <v>49.1</v>
      </c>
    </row>
    <row r="821">
      <c r="A821" s="54" t="n">
        <v>42339</v>
      </c>
      <c r="B821" s="71" t="n">
        <v>49.7</v>
      </c>
      <c r="C821" s="71" t="n">
        <v>46</v>
      </c>
      <c r="D821" s="71" t="n">
        <v>41.7</v>
      </c>
      <c r="E821" s="71" t="n">
        <v>33.9</v>
      </c>
      <c r="F821" s="71" t="n">
        <v>49.7</v>
      </c>
      <c r="G821" s="71" t="n">
        <v>49.4</v>
      </c>
      <c r="H821" s="71" t="n">
        <v>43.5</v>
      </c>
      <c r="I821" s="71" t="n">
        <v>49.8</v>
      </c>
      <c r="J821" s="71" t="n">
        <v>46.8</v>
      </c>
      <c r="K821" s="71" t="n">
        <v>51.2</v>
      </c>
      <c r="L821" s="138" t="n">
        <v>48.4</v>
      </c>
    </row>
    <row r="822">
      <c r="A822" s="54" t="n">
        <v>42370</v>
      </c>
      <c r="B822" s="71" t="n">
        <v>50.6</v>
      </c>
      <c r="C822" s="71" t="n">
        <v>51.4</v>
      </c>
      <c r="D822" s="71" t="n">
        <v>42.6</v>
      </c>
      <c r="E822" s="71" t="n">
        <v>33.9</v>
      </c>
      <c r="F822" s="71" t="n">
        <v>49.9</v>
      </c>
      <c r="G822" s="71" t="n">
        <v>50.4</v>
      </c>
      <c r="H822" s="71" t="n">
        <v>43.5</v>
      </c>
      <c r="I822" s="71" t="n">
        <v>50</v>
      </c>
      <c r="J822" s="71" t="n">
        <v>44.2</v>
      </c>
      <c r="K822" s="71" t="n">
        <v>46.7</v>
      </c>
      <c r="L822" s="138" t="n">
        <v>47.8</v>
      </c>
    </row>
    <row r="823">
      <c r="A823" s="54" t="n">
        <v>42401</v>
      </c>
      <c r="B823" s="71" t="n">
        <v>52.2</v>
      </c>
      <c r="C823" s="71" t="n">
        <v>48.6</v>
      </c>
      <c r="D823" s="71" t="n">
        <v>48.3</v>
      </c>
      <c r="E823" s="71" t="n">
        <v>38.3</v>
      </c>
      <c r="F823" s="71" t="n">
        <v>51.9</v>
      </c>
      <c r="G823" s="71" t="n">
        <v>46.9</v>
      </c>
      <c r="H823" s="71" t="n">
        <v>45</v>
      </c>
      <c r="I823" s="71" t="n">
        <v>49.2</v>
      </c>
      <c r="J823" s="71" t="n">
        <v>47.4</v>
      </c>
      <c r="K823" s="71" t="n">
        <v>46.4</v>
      </c>
      <c r="L823" s="138" t="n">
        <v>49.4</v>
      </c>
    </row>
    <row r="824">
      <c r="A824" s="54" t="n">
        <v>42430</v>
      </c>
      <c r="B824" s="71" t="n">
        <v>54.8</v>
      </c>
      <c r="C824" s="71" t="n">
        <v>48.8</v>
      </c>
      <c r="D824" s="71" t="n">
        <v>50.6</v>
      </c>
      <c r="E824" s="71" t="n">
        <v>52.1</v>
      </c>
      <c r="F824" s="71" t="n">
        <v>54.8</v>
      </c>
      <c r="G824" s="71" t="n">
        <v>50.3</v>
      </c>
      <c r="H824" s="71" t="n">
        <v>47</v>
      </c>
      <c r="I824" s="71" t="n">
        <v>50.9</v>
      </c>
      <c r="J824" s="71" t="n">
        <v>47.6</v>
      </c>
      <c r="K824" s="71" t="n">
        <v>51.8</v>
      </c>
      <c r="L824" s="138" t="n">
        <v>51.2</v>
      </c>
    </row>
    <row r="825">
      <c r="A825" s="54" t="n">
        <v>42461</v>
      </c>
      <c r="B825" s="71" t="n">
        <v>54.8</v>
      </c>
      <c r="C825" s="71" t="n">
        <v>50</v>
      </c>
      <c r="D825" s="71" t="n">
        <v>49.7</v>
      </c>
      <c r="E825" s="71" t="n">
        <v>57.9</v>
      </c>
      <c r="F825" s="71" t="n">
        <v>53.7</v>
      </c>
      <c r="G825" s="71" t="n">
        <v>46.8</v>
      </c>
      <c r="H825" s="71" t="n">
        <v>45.5</v>
      </c>
      <c r="I825" s="71" t="n">
        <v>50.5</v>
      </c>
      <c r="J825" s="71" t="n">
        <v>49.4</v>
      </c>
      <c r="K825" s="71" t="n">
        <v>53.7</v>
      </c>
      <c r="L825" s="138" t="n">
        <v>50.8</v>
      </c>
    </row>
    <row r="826">
      <c r="A826" s="54" t="n">
        <v>42491</v>
      </c>
      <c r="B826" s="71" t="n">
        <v>55</v>
      </c>
      <c r="C826" s="71" t="n">
        <v>49</v>
      </c>
      <c r="D826" s="71" t="n">
        <v>46.3</v>
      </c>
      <c r="E826" s="71" t="n">
        <v>61.4</v>
      </c>
      <c r="F826" s="71" t="n">
        <v>52.7</v>
      </c>
      <c r="G826" s="71" t="n">
        <v>49.1</v>
      </c>
      <c r="H826" s="71" t="n">
        <v>45</v>
      </c>
      <c r="I826" s="71" t="n">
        <v>53.3</v>
      </c>
      <c r="J826" s="71" t="n">
        <v>48.8</v>
      </c>
      <c r="K826" s="71" t="n">
        <v>52.2</v>
      </c>
      <c r="L826" s="138" t="n">
        <v>50.9</v>
      </c>
    </row>
    <row r="827">
      <c r="A827" s="54" t="n">
        <v>42522</v>
      </c>
      <c r="B827" s="71" t="n">
        <v>56.4</v>
      </c>
      <c r="C827" s="71" t="n">
        <v>51.1</v>
      </c>
      <c r="D827" s="71" t="n">
        <v>52.7</v>
      </c>
      <c r="E827" s="71" t="n">
        <v>59.8</v>
      </c>
      <c r="F827" s="71" t="n">
        <v>54.7</v>
      </c>
      <c r="G827" s="71" t="n">
        <v>51.2</v>
      </c>
      <c r="H827" s="71" t="n">
        <v>48.5</v>
      </c>
      <c r="I827" s="71" t="n">
        <v>54</v>
      </c>
      <c r="J827" s="71" t="n">
        <v>49.2</v>
      </c>
      <c r="K827" s="71" t="n">
        <v>54.4</v>
      </c>
      <c r="L827" s="138" t="n">
        <v>52.5</v>
      </c>
    </row>
    <row r="828">
      <c r="A828" s="54" t="n">
        <v>42552</v>
      </c>
      <c r="B828" s="71" t="n">
        <v>56.8</v>
      </c>
      <c r="C828" s="71" t="n">
        <v>52.2</v>
      </c>
      <c r="D828" s="71" t="n">
        <v>48.5</v>
      </c>
      <c r="E828" s="71" t="n">
        <v>54.9</v>
      </c>
      <c r="F828" s="71" t="n">
        <v>55.2</v>
      </c>
      <c r="G828" s="71" t="n">
        <v>51.4</v>
      </c>
      <c r="H828" s="71" t="n">
        <v>49.5</v>
      </c>
      <c r="I828" s="71" t="n">
        <v>52.4</v>
      </c>
      <c r="J828" s="71" t="n">
        <v>49.6</v>
      </c>
      <c r="K828" s="71" t="n">
        <v>52.8</v>
      </c>
      <c r="L828" s="138" t="n">
        <v>52.9</v>
      </c>
    </row>
    <row r="829">
      <c r="A829" s="54" t="n">
        <v>42583</v>
      </c>
      <c r="B829" s="71" t="n">
        <v>50.5</v>
      </c>
      <c r="C829" s="71" t="n">
        <v>46.8</v>
      </c>
      <c r="D829" s="71" t="n">
        <v>47.4</v>
      </c>
      <c r="E829" s="71" t="n">
        <v>53.6</v>
      </c>
      <c r="F829" s="71" t="n">
        <v>50</v>
      </c>
      <c r="G829" s="71" t="n">
        <v>49.1</v>
      </c>
      <c r="H829" s="71" t="n">
        <v>49</v>
      </c>
      <c r="I829" s="71" t="n">
        <v>51.6</v>
      </c>
      <c r="J829" s="71" t="n">
        <v>47.9</v>
      </c>
      <c r="K829" s="71" t="n">
        <v>51.9</v>
      </c>
      <c r="L829" s="138" t="n">
        <v>49.9</v>
      </c>
    </row>
    <row r="830">
      <c r="A830" s="54" t="n">
        <v>42614</v>
      </c>
      <c r="B830" s="71" t="n">
        <v>54.5</v>
      </c>
      <c r="C830" s="71" t="n">
        <v>49.4</v>
      </c>
      <c r="D830" s="71" t="n">
        <v>48.6</v>
      </c>
      <c r="E830" s="71" t="n">
        <v>53.1</v>
      </c>
      <c r="F830" s="71" t="n">
        <v>53.8</v>
      </c>
      <c r="G830" s="71" t="n">
        <v>52.5</v>
      </c>
      <c r="H830" s="71" t="n">
        <v>49.5</v>
      </c>
      <c r="I830" s="71" t="n">
        <v>49.8</v>
      </c>
      <c r="J830" s="71" t="n">
        <v>49.2</v>
      </c>
      <c r="K830" s="71" t="n">
        <v>52.1</v>
      </c>
      <c r="L830" s="138" t="n">
        <v>51.4</v>
      </c>
    </row>
    <row r="831">
      <c r="A831" s="54" t="n">
        <v>42644</v>
      </c>
      <c r="B831" s="71" t="n">
        <v>53.3</v>
      </c>
      <c r="C831" s="71" t="n">
        <v>51.6</v>
      </c>
      <c r="D831" s="71" t="n">
        <v>45.8</v>
      </c>
      <c r="E831" s="71" t="n">
        <v>54.8</v>
      </c>
      <c r="F831" s="71" t="n">
        <v>54.2</v>
      </c>
      <c r="G831" s="71" t="n">
        <v>49.8</v>
      </c>
      <c r="H831" s="71" t="n">
        <v>47.5</v>
      </c>
      <c r="I831" s="71" t="n">
        <v>51.7</v>
      </c>
      <c r="J831" s="71" t="n">
        <v>51.4</v>
      </c>
      <c r="K831" s="71" t="n">
        <v>51.5</v>
      </c>
      <c r="L831" s="138" t="n">
        <v>51.8</v>
      </c>
    </row>
    <row r="832">
      <c r="A832" s="54" t="n">
        <v>42675</v>
      </c>
      <c r="B832" s="71" t="n">
        <v>55.4</v>
      </c>
      <c r="C832" s="71" t="n">
        <v>50.5</v>
      </c>
      <c r="D832" s="71" t="n">
        <v>48.7</v>
      </c>
      <c r="E832" s="71" t="n">
        <v>53.5</v>
      </c>
      <c r="F832" s="71" t="n">
        <v>55.4</v>
      </c>
      <c r="G832" s="71" t="n">
        <v>49.4</v>
      </c>
      <c r="H832" s="71" t="n">
        <v>49</v>
      </c>
      <c r="I832" s="71" t="n">
        <v>55.4</v>
      </c>
      <c r="J832" s="71" t="n">
        <v>52</v>
      </c>
      <c r="K832" s="71" t="n">
        <v>51.8</v>
      </c>
      <c r="L832" s="138" t="n">
        <v>53.4</v>
      </c>
    </row>
    <row r="833">
      <c r="A833" s="54" t="n">
        <v>42705</v>
      </c>
      <c r="B833" s="71" t="n">
        <v>59.7</v>
      </c>
      <c r="C833" s="71" t="n">
        <v>49.8</v>
      </c>
      <c r="D833" s="71" t="n">
        <v>48.6</v>
      </c>
      <c r="E833" s="71" t="n">
        <v>64.2</v>
      </c>
      <c r="F833" s="71" t="n">
        <v>59.2</v>
      </c>
      <c r="G833" s="71" t="n">
        <v>49.6</v>
      </c>
      <c r="H833" s="71" t="n">
        <v>47</v>
      </c>
      <c r="I833" s="71" t="n">
        <v>53.2</v>
      </c>
      <c r="J833" s="71" t="n">
        <v>53.3</v>
      </c>
      <c r="K833" s="71" t="n">
        <v>56.2</v>
      </c>
      <c r="L833" s="138" t="n">
        <v>54.3</v>
      </c>
    </row>
    <row r="834">
      <c r="A834" s="54" t="n">
        <v>42736</v>
      </c>
      <c r="B834" s="71" t="n">
        <v>60.1</v>
      </c>
      <c r="C834" s="71" t="n">
        <v>49.2</v>
      </c>
      <c r="D834" s="71" t="n">
        <v>48.6</v>
      </c>
      <c r="E834" s="71" t="n">
        <v>67.90000000000001</v>
      </c>
      <c r="F834" s="71" t="n">
        <v>60.5</v>
      </c>
      <c r="G834" s="71" t="n">
        <v>47.7</v>
      </c>
      <c r="H834" s="71" t="n">
        <v>48.5</v>
      </c>
      <c r="I834" s="71" t="n">
        <v>53.5</v>
      </c>
      <c r="J834" s="71" t="n">
        <v>54.8</v>
      </c>
      <c r="K834" s="71" t="n">
        <v>55.2</v>
      </c>
      <c r="L834" s="138" t="n">
        <v>55.6</v>
      </c>
    </row>
    <row r="835">
      <c r="A835" s="54" t="n">
        <v>42767</v>
      </c>
      <c r="B835" s="71" t="n">
        <v>63.8</v>
      </c>
      <c r="C835" s="71" t="n">
        <v>55.1</v>
      </c>
      <c r="D835" s="71" t="n">
        <v>57.1</v>
      </c>
      <c r="E835" s="71" t="n">
        <v>66.90000000000001</v>
      </c>
      <c r="F835" s="71" t="n">
        <v>61.7</v>
      </c>
      <c r="G835" s="71" t="n">
        <v>48.4</v>
      </c>
      <c r="H835" s="71" t="n">
        <v>51.5</v>
      </c>
      <c r="I835" s="71" t="n">
        <v>55.5</v>
      </c>
      <c r="J835" s="71" t="n">
        <v>54.5</v>
      </c>
      <c r="K835" s="71" t="n">
        <v>55</v>
      </c>
      <c r="L835" s="138" t="n">
        <v>57.6</v>
      </c>
    </row>
    <row r="836">
      <c r="A836" s="54" t="n">
        <v>42795</v>
      </c>
      <c r="B836" s="71" t="n">
        <v>62</v>
      </c>
      <c r="C836" s="71" t="n">
        <v>53.5</v>
      </c>
      <c r="D836" s="71" t="n">
        <v>57.5</v>
      </c>
      <c r="E836" s="71" t="n">
        <v>68.8</v>
      </c>
      <c r="F836" s="71" t="n">
        <v>57.3</v>
      </c>
      <c r="G836" s="71" t="n">
        <v>48.6</v>
      </c>
      <c r="H836" s="71" t="n">
        <v>49</v>
      </c>
      <c r="I836" s="71" t="n">
        <v>55.6</v>
      </c>
      <c r="J836" s="71" t="n">
        <v>58.7</v>
      </c>
      <c r="K836" s="71" t="n">
        <v>59.4</v>
      </c>
      <c r="L836" s="138" t="n">
        <v>56.6</v>
      </c>
    </row>
    <row r="837">
      <c r="A837" s="54" t="n">
        <v>42826</v>
      </c>
      <c r="B837" s="71" t="n">
        <v>57.1</v>
      </c>
      <c r="C837" s="71" t="n">
        <v>54.9</v>
      </c>
      <c r="D837" s="71" t="n">
        <v>56.9</v>
      </c>
      <c r="E837" s="71" t="n">
        <v>68.3</v>
      </c>
      <c r="F837" s="71" t="n">
        <v>58.9</v>
      </c>
      <c r="G837" s="71" t="n">
        <v>46.6</v>
      </c>
      <c r="H837" s="71" t="n">
        <v>51</v>
      </c>
      <c r="I837" s="71" t="n">
        <v>55.9</v>
      </c>
      <c r="J837" s="71" t="n">
        <v>53</v>
      </c>
      <c r="K837" s="71" t="n">
        <v>58.9</v>
      </c>
      <c r="L837" s="138" t="n">
        <v>55.5</v>
      </c>
    </row>
    <row r="838">
      <c r="A838" s="54" t="n">
        <v>42856</v>
      </c>
      <c r="B838" s="71" t="n">
        <v>60</v>
      </c>
      <c r="C838" s="71" t="n">
        <v>52.3</v>
      </c>
      <c r="D838" s="71" t="n">
        <v>54</v>
      </c>
      <c r="E838" s="71" t="n">
        <v>59.5</v>
      </c>
      <c r="F838" s="71" t="n">
        <v>57.5</v>
      </c>
      <c r="G838" s="71" t="n">
        <v>49.1</v>
      </c>
      <c r="H838" s="71" t="n">
        <v>51.5</v>
      </c>
      <c r="I838" s="71" t="n">
        <v>54.4</v>
      </c>
      <c r="J838" s="71" t="n">
        <v>53.3</v>
      </c>
      <c r="K838" s="71" t="n">
        <v>57.8</v>
      </c>
      <c r="L838" s="138" t="n">
        <v>56.7</v>
      </c>
    </row>
    <row r="839">
      <c r="A839" s="54" t="n">
        <v>42887</v>
      </c>
      <c r="B839" s="71" t="n">
        <v>61.3</v>
      </c>
      <c r="C839" s="71" t="n">
        <v>53.5</v>
      </c>
      <c r="D839" s="71" t="n">
        <v>56.5</v>
      </c>
      <c r="E839" s="71" t="n">
        <v>53</v>
      </c>
      <c r="F839" s="71" t="n">
        <v>60.9</v>
      </c>
      <c r="G839" s="71" t="n">
        <v>49.9</v>
      </c>
      <c r="H839" s="71" t="n">
        <v>49</v>
      </c>
      <c r="I839" s="71" t="n">
        <v>55.7</v>
      </c>
      <c r="J839" s="71" t="n">
        <v>56.3</v>
      </c>
      <c r="K839" s="71" t="n">
        <v>58.2</v>
      </c>
      <c r="L839" s="138" t="n">
        <v>56.5</v>
      </c>
    </row>
    <row r="840">
      <c r="A840" s="54" t="n">
        <v>42917</v>
      </c>
      <c r="B840" s="71" t="n">
        <v>61</v>
      </c>
      <c r="C840" s="71" t="n">
        <v>56.4</v>
      </c>
      <c r="D840" s="71" t="n">
        <v>54.3</v>
      </c>
      <c r="E840" s="71" t="n">
        <v>61.7</v>
      </c>
      <c r="F840" s="71" t="n">
        <v>60.4</v>
      </c>
      <c r="G840" s="71" t="n">
        <v>48</v>
      </c>
      <c r="H840" s="71" t="n">
        <v>50</v>
      </c>
      <c r="I840" s="71" t="n">
        <v>56</v>
      </c>
      <c r="J840" s="71" t="n">
        <v>55.8</v>
      </c>
      <c r="K840" s="71" t="n">
        <v>57.2</v>
      </c>
      <c r="L840" s="138" t="n">
        <v>59.3</v>
      </c>
    </row>
    <row r="841">
      <c r="A841" s="54" t="n">
        <v>42948</v>
      </c>
      <c r="B841" s="71" t="n">
        <v>61.8</v>
      </c>
      <c r="C841" s="71" t="n">
        <v>54.3</v>
      </c>
      <c r="D841" s="71" t="n">
        <v>56.5</v>
      </c>
      <c r="E841" s="71" t="n">
        <v>61.7</v>
      </c>
      <c r="F841" s="71" t="n">
        <v>62</v>
      </c>
      <c r="G841" s="71" t="n">
        <v>42.3</v>
      </c>
      <c r="H841" s="71" t="n">
        <v>55.5</v>
      </c>
      <c r="I841" s="71" t="n">
        <v>57.4</v>
      </c>
      <c r="J841" s="71" t="n">
        <v>59.8</v>
      </c>
      <c r="K841" s="71" t="n">
        <v>56.1</v>
      </c>
      <c r="L841" s="138" t="n">
        <v>60.2</v>
      </c>
    </row>
    <row r="842">
      <c r="A842" s="54" t="n">
        <v>42979</v>
      </c>
      <c r="B842" s="71" t="n">
        <v>64.40000000000001</v>
      </c>
      <c r="C842" s="71" t="n">
        <v>53.8</v>
      </c>
      <c r="D842" s="71" t="n">
        <v>56.9</v>
      </c>
      <c r="E842" s="71" t="n">
        <v>71.5</v>
      </c>
      <c r="F842" s="71" t="n">
        <v>61.9</v>
      </c>
      <c r="G842" s="71" t="n">
        <v>43</v>
      </c>
      <c r="H842" s="71" t="n">
        <v>52.5</v>
      </c>
      <c r="I842" s="71" t="n">
        <v>63.4</v>
      </c>
      <c r="J842" s="71" t="n">
        <v>58.7</v>
      </c>
      <c r="K842" s="71" t="n">
        <v>56.2</v>
      </c>
      <c r="L842" s="138" t="n">
        <v>58.5</v>
      </c>
    </row>
    <row r="843">
      <c r="A843" s="54" t="n">
        <v>43009</v>
      </c>
      <c r="B843" s="71" t="n">
        <v>63.5</v>
      </c>
      <c r="C843" s="71" t="n">
        <v>54.3</v>
      </c>
      <c r="D843" s="71" t="n">
        <v>53.9</v>
      </c>
      <c r="E843" s="71" t="n">
        <v>68.09999999999999</v>
      </c>
      <c r="F843" s="71" t="n">
        <v>61</v>
      </c>
      <c r="G843" s="71" t="n">
        <v>43.5</v>
      </c>
      <c r="H843" s="71" t="n">
        <v>48</v>
      </c>
      <c r="I843" s="71" t="n">
        <v>60.1</v>
      </c>
      <c r="J843" s="71" t="n">
        <v>59.8</v>
      </c>
      <c r="K843" s="71" t="n">
        <v>55.1</v>
      </c>
      <c r="L843" s="138" t="n">
        <v>58.2</v>
      </c>
    </row>
    <row r="844">
      <c r="A844" s="54" t="n">
        <v>43040</v>
      </c>
      <c r="B844" s="71" t="n">
        <v>63.9</v>
      </c>
      <c r="C844" s="71" t="n">
        <v>54.3</v>
      </c>
      <c r="D844" s="71" t="n">
        <v>54.3</v>
      </c>
      <c r="E844" s="71" t="n">
        <v>64.8</v>
      </c>
      <c r="F844" s="71" t="n">
        <v>64.3</v>
      </c>
      <c r="G844" s="71" t="n">
        <v>45.1</v>
      </c>
      <c r="H844" s="71" t="n">
        <v>47</v>
      </c>
      <c r="I844" s="71" t="n">
        <v>56.6</v>
      </c>
      <c r="J844" s="71" t="n">
        <v>59.2</v>
      </c>
      <c r="K844" s="71" t="n">
        <v>56.3</v>
      </c>
      <c r="L844" s="138" t="n">
        <v>59.3</v>
      </c>
    </row>
    <row r="845">
      <c r="A845" s="54" t="n">
        <v>43070</v>
      </c>
      <c r="B845" s="71" t="n">
        <v>67.40000000000001</v>
      </c>
      <c r="C845" s="71" t="n">
        <v>56.5</v>
      </c>
      <c r="D845" s="71" t="n">
        <v>54.9</v>
      </c>
      <c r="E845" s="71" t="n">
        <v>68.3</v>
      </c>
      <c r="F845" s="71" t="n">
        <v>65.2</v>
      </c>
      <c r="G845" s="71" t="n">
        <v>42.9</v>
      </c>
      <c r="H845" s="71" t="n">
        <v>48.5</v>
      </c>
      <c r="I845" s="71" t="n">
        <v>57.2</v>
      </c>
      <c r="J845" s="71" t="n">
        <v>58.1</v>
      </c>
      <c r="K845" s="71" t="n">
        <v>57.6</v>
      </c>
      <c r="L845" s="138" t="n">
        <v>59.1</v>
      </c>
    </row>
    <row r="846">
      <c r="A846" s="54" t="n">
        <v>43101</v>
      </c>
      <c r="B846" s="71" t="n">
        <v>65.40000000000001</v>
      </c>
      <c r="C846" s="71" t="n">
        <v>58.4</v>
      </c>
      <c r="D846" s="71" t="n">
        <v>56.2</v>
      </c>
      <c r="E846" s="71" t="n">
        <v>72.7</v>
      </c>
      <c r="F846" s="71" t="n">
        <v>64.5</v>
      </c>
      <c r="G846" s="71" t="n">
        <v>45.6</v>
      </c>
      <c r="H846" s="71" t="n">
        <v>52.3</v>
      </c>
      <c r="I846" s="71" t="n">
        <v>59.1</v>
      </c>
      <c r="J846" s="71" t="n">
        <v>54.2</v>
      </c>
      <c r="K846" s="71" t="n">
        <v>59.8</v>
      </c>
      <c r="L846" s="138" t="n">
        <v>60.8</v>
      </c>
    </row>
    <row r="847">
      <c r="A847" s="54" t="n">
        <v>43132</v>
      </c>
      <c r="B847" s="71" t="n">
        <v>64.2</v>
      </c>
      <c r="C847" s="71" t="n">
        <v>60.5</v>
      </c>
      <c r="D847" s="71" t="n">
        <v>59.8</v>
      </c>
      <c r="E847" s="71" t="n">
        <v>74.2</v>
      </c>
      <c r="F847" s="71" t="n">
        <v>62</v>
      </c>
      <c r="G847" s="71" t="n">
        <v>43.7</v>
      </c>
      <c r="H847" s="71" t="n">
        <v>56.7</v>
      </c>
      <c r="I847" s="71" t="n">
        <v>61.1</v>
      </c>
      <c r="J847" s="71" t="n">
        <v>59.7</v>
      </c>
      <c r="K847" s="71" t="n">
        <v>62.8</v>
      </c>
      <c r="L847" s="138" t="n">
        <v>59.3</v>
      </c>
    </row>
    <row r="848">
      <c r="A848" s="54" t="n">
        <v>43160</v>
      </c>
      <c r="B848" s="71" t="n">
        <v>61.9</v>
      </c>
      <c r="C848" s="71" t="n">
        <v>59.7</v>
      </c>
      <c r="D848" s="71" t="n">
        <v>59.8</v>
      </c>
      <c r="E848" s="71" t="n">
        <v>78.09999999999999</v>
      </c>
      <c r="F848" s="71" t="n">
        <v>61</v>
      </c>
      <c r="G848" s="71" t="n">
        <v>42</v>
      </c>
      <c r="H848" s="71" t="n">
        <v>55.5</v>
      </c>
      <c r="I848" s="71" t="n">
        <v>60.6</v>
      </c>
      <c r="J848" s="71" t="n">
        <v>57.3</v>
      </c>
      <c r="K848" s="71" t="n">
        <v>58.7</v>
      </c>
      <c r="L848" s="138" t="n">
        <v>57.3</v>
      </c>
    </row>
    <row r="849">
      <c r="A849" s="54" t="n">
        <v>43191</v>
      </c>
      <c r="B849" s="71" t="n">
        <v>61.2</v>
      </c>
      <c r="C849" s="71" t="n">
        <v>57.8</v>
      </c>
      <c r="D849" s="71" t="n">
        <v>62</v>
      </c>
      <c r="E849" s="71" t="n">
        <v>79.3</v>
      </c>
      <c r="F849" s="71" t="n">
        <v>57.2</v>
      </c>
      <c r="G849" s="71" t="n">
        <v>44.3</v>
      </c>
      <c r="H849" s="71" t="n">
        <v>52.9</v>
      </c>
      <c r="I849" s="71" t="n">
        <v>61.1</v>
      </c>
      <c r="J849" s="71" t="n">
        <v>54.2</v>
      </c>
      <c r="K849" s="71" t="n">
        <v>57.7</v>
      </c>
      <c r="L849" s="138" t="n">
        <v>57.3</v>
      </c>
    </row>
    <row r="850">
      <c r="A850" s="54" t="n">
        <v>43221</v>
      </c>
      <c r="B850" s="71" t="n">
        <v>63.7</v>
      </c>
      <c r="C850" s="71" t="n">
        <v>54.1</v>
      </c>
      <c r="D850" s="71" t="n">
        <v>63.5</v>
      </c>
      <c r="E850" s="71" t="n">
        <v>79.5</v>
      </c>
      <c r="F850" s="71" t="n">
        <v>61.5</v>
      </c>
      <c r="G850" s="71" t="n">
        <v>39.6</v>
      </c>
      <c r="H850" s="71" t="n">
        <v>50.2</v>
      </c>
      <c r="I850" s="71" t="n">
        <v>62</v>
      </c>
      <c r="J850" s="71" t="n">
        <v>56.3</v>
      </c>
      <c r="K850" s="71" t="n">
        <v>55.6</v>
      </c>
      <c r="L850" s="138" t="n">
        <v>58.7</v>
      </c>
    </row>
    <row r="851">
      <c r="A851" s="54" t="n">
        <v>43252</v>
      </c>
      <c r="B851" s="71" t="n">
        <v>63.5</v>
      </c>
      <c r="C851" s="71" t="n">
        <v>59</v>
      </c>
      <c r="D851" s="71" t="n">
        <v>60.1</v>
      </c>
      <c r="E851" s="71" t="n">
        <v>76.8</v>
      </c>
      <c r="F851" s="71" t="n">
        <v>62.3</v>
      </c>
      <c r="G851" s="71" t="n">
        <v>39.7</v>
      </c>
      <c r="H851" s="71" t="n">
        <v>50.8</v>
      </c>
      <c r="I851" s="71" t="n">
        <v>68.2</v>
      </c>
      <c r="J851" s="71" t="n">
        <v>56</v>
      </c>
      <c r="K851" s="71" t="n">
        <v>56.3</v>
      </c>
      <c r="L851" s="138" t="n">
        <v>60.2</v>
      </c>
    </row>
    <row r="852">
      <c r="A852" s="54" t="n">
        <v>43282</v>
      </c>
      <c r="B852" s="71" t="n">
        <v>60.2</v>
      </c>
      <c r="C852" s="71" t="n">
        <v>54.7</v>
      </c>
      <c r="D852" s="71" t="n">
        <v>54.7</v>
      </c>
      <c r="E852" s="71" t="n">
        <v>73.2</v>
      </c>
      <c r="F852" s="71" t="n">
        <v>58.5</v>
      </c>
      <c r="G852" s="71" t="n">
        <v>39.4</v>
      </c>
      <c r="H852" s="71" t="n">
        <v>53.3</v>
      </c>
      <c r="I852" s="71" t="n">
        <v>62.1</v>
      </c>
      <c r="J852" s="71" t="n">
        <v>56.5</v>
      </c>
      <c r="K852" s="71" t="n">
        <v>55.3</v>
      </c>
      <c r="L852" s="138" t="n">
        <v>58.1</v>
      </c>
    </row>
    <row r="853">
      <c r="A853" s="54" t="n">
        <v>43313</v>
      </c>
      <c r="B853" s="71" t="n">
        <v>65.09999999999999</v>
      </c>
      <c r="C853" s="71" t="n">
        <v>53.9</v>
      </c>
      <c r="D853" s="71" t="n">
        <v>57.5</v>
      </c>
      <c r="E853" s="71" t="n">
        <v>72.09999999999999</v>
      </c>
      <c r="F853" s="71" t="n">
        <v>63.3</v>
      </c>
      <c r="G853" s="71" t="n">
        <v>41</v>
      </c>
      <c r="H853" s="71" t="n">
        <v>55.4</v>
      </c>
      <c r="I853" s="71" t="n">
        <v>64.5</v>
      </c>
      <c r="J853" s="71" t="n">
        <v>58.5</v>
      </c>
      <c r="K853" s="71" t="n">
        <v>55.2</v>
      </c>
      <c r="L853" s="138" t="n">
        <v>61.3</v>
      </c>
    </row>
    <row r="854">
      <c r="A854" s="54" t="n">
        <v>43344</v>
      </c>
      <c r="B854" s="71" t="n">
        <v>61.8</v>
      </c>
      <c r="C854" s="71" t="n">
        <v>54.5</v>
      </c>
      <c r="D854" s="71" t="n">
        <v>55.7</v>
      </c>
      <c r="E854" s="71" t="n">
        <v>66.90000000000001</v>
      </c>
      <c r="F854" s="71" t="n">
        <v>63.9</v>
      </c>
      <c r="G854" s="71" t="n">
        <v>40.5</v>
      </c>
      <c r="H854" s="71" t="n">
        <v>53.3</v>
      </c>
      <c r="I854" s="71" t="n">
        <v>61.1</v>
      </c>
      <c r="J854" s="71" t="n">
        <v>58.8</v>
      </c>
      <c r="K854" s="71" t="n">
        <v>56</v>
      </c>
      <c r="L854" s="138" t="n">
        <v>59.8</v>
      </c>
    </row>
    <row r="855">
      <c r="A855" s="54" t="n">
        <v>43374</v>
      </c>
      <c r="B855" s="71" t="n">
        <v>57.4</v>
      </c>
      <c r="C855" s="71" t="n">
        <v>54.3</v>
      </c>
      <c r="D855" s="71" t="n">
        <v>55.8</v>
      </c>
      <c r="E855" s="71" t="n">
        <v>71.59999999999999</v>
      </c>
      <c r="F855" s="71" t="n">
        <v>59.9</v>
      </c>
      <c r="G855" s="71" t="n">
        <v>43.3</v>
      </c>
      <c r="H855" s="71" t="n">
        <v>50.7</v>
      </c>
      <c r="I855" s="71" t="n">
        <v>63.8</v>
      </c>
      <c r="J855" s="71" t="n">
        <v>56.8</v>
      </c>
      <c r="K855" s="71" t="n">
        <v>52.2</v>
      </c>
      <c r="L855" s="138" t="n">
        <v>57.7</v>
      </c>
    </row>
    <row r="856">
      <c r="A856" s="54" t="n">
        <v>43405</v>
      </c>
      <c r="B856" s="71" t="n">
        <v>62.1</v>
      </c>
      <c r="C856" s="71" t="n">
        <v>53.6</v>
      </c>
      <c r="D856" s="71" t="n">
        <v>56.4</v>
      </c>
      <c r="E856" s="71" t="n">
        <v>60.7</v>
      </c>
      <c r="F856" s="71" t="n">
        <v>60.6</v>
      </c>
      <c r="G856" s="71" t="n">
        <v>41.5</v>
      </c>
      <c r="H856" s="71" t="n">
        <v>52.9</v>
      </c>
      <c r="I856" s="71" t="n">
        <v>62.5</v>
      </c>
      <c r="J856" s="71" t="n">
        <v>58.4</v>
      </c>
      <c r="K856" s="71" t="n">
        <v>52.2</v>
      </c>
      <c r="L856" s="138" t="n">
        <v>59.3</v>
      </c>
    </row>
    <row r="857">
      <c r="A857" s="54" t="n">
        <v>43435</v>
      </c>
      <c r="B857" s="71" t="n">
        <v>51.1</v>
      </c>
      <c r="C857" s="71" t="n">
        <v>52.7</v>
      </c>
      <c r="D857" s="71" t="n">
        <v>50</v>
      </c>
      <c r="E857" s="71" t="n">
        <v>54.9</v>
      </c>
      <c r="F857" s="71" t="n">
        <v>54.3</v>
      </c>
      <c r="G857" s="71" t="n">
        <v>41.7</v>
      </c>
      <c r="H857" s="71" t="n">
        <v>51.2</v>
      </c>
      <c r="I857" s="71" t="n">
        <v>59</v>
      </c>
      <c r="J857" s="71" t="n">
        <v>56</v>
      </c>
      <c r="K857" s="71" t="n">
        <v>52.8</v>
      </c>
      <c r="L857" s="138" t="n">
        <v>54.3</v>
      </c>
    </row>
    <row r="858">
      <c r="A858" s="54" t="n">
        <v>43466</v>
      </c>
      <c r="B858" s="71" t="n">
        <v>58.2</v>
      </c>
      <c r="C858" s="71" t="n">
        <v>53.8</v>
      </c>
      <c r="D858" s="71" t="n">
        <v>50.3</v>
      </c>
      <c r="E858" s="71" t="n">
        <v>49.6</v>
      </c>
      <c r="F858" s="71" t="n">
        <v>60.5</v>
      </c>
      <c r="G858" s="71" t="n">
        <v>42.8</v>
      </c>
      <c r="H858" s="71" t="n">
        <v>52.8</v>
      </c>
      <c r="I858" s="71" t="n">
        <v>56.2</v>
      </c>
      <c r="J858" s="71" t="n">
        <v>55.5</v>
      </c>
      <c r="K858" s="71" t="n">
        <v>51.8</v>
      </c>
      <c r="L858" s="138" t="n">
        <v>56.6</v>
      </c>
    </row>
    <row r="859">
      <c r="A859" s="54" t="n">
        <v>43497</v>
      </c>
      <c r="B859" s="71" t="n">
        <v>55.5</v>
      </c>
      <c r="C859" s="71" t="n">
        <v>55.3</v>
      </c>
      <c r="D859" s="71" t="n">
        <v>52.3</v>
      </c>
      <c r="E859" s="71" t="n">
        <v>49.4</v>
      </c>
      <c r="F859" s="71" t="n">
        <v>54.8</v>
      </c>
      <c r="G859" s="71" t="n">
        <v>39</v>
      </c>
      <c r="H859" s="71" t="n">
        <v>53.4</v>
      </c>
      <c r="I859" s="71" t="n">
        <v>54.9</v>
      </c>
      <c r="J859" s="71" t="n">
        <v>52.3</v>
      </c>
      <c r="K859" s="71" t="n">
        <v>52.8</v>
      </c>
      <c r="L859" s="138" t="n">
        <v>54.2</v>
      </c>
    </row>
    <row r="860">
      <c r="A860" s="54" t="n">
        <v>43525</v>
      </c>
      <c r="B860" s="71" t="n">
        <v>57.4</v>
      </c>
      <c r="C860" s="71" t="n">
        <v>51.1</v>
      </c>
      <c r="D860" s="71" t="n">
        <v>50.4</v>
      </c>
      <c r="E860" s="71" t="n">
        <v>54.3</v>
      </c>
      <c r="F860" s="71" t="n">
        <v>55.8</v>
      </c>
      <c r="G860" s="71" t="n">
        <v>42.7</v>
      </c>
      <c r="H860" s="71" t="n">
        <v>51.8</v>
      </c>
      <c r="I860" s="71" t="n">
        <v>54.2</v>
      </c>
      <c r="J860" s="71" t="n">
        <v>57.5</v>
      </c>
      <c r="K860" s="71" t="n">
        <v>51.7</v>
      </c>
      <c r="L860" s="138" t="n">
        <v>55.3</v>
      </c>
    </row>
    <row r="861">
      <c r="A861" s="54" t="n">
        <v>43556</v>
      </c>
      <c r="B861" s="71" t="n">
        <v>51.7</v>
      </c>
      <c r="C861" s="71" t="n">
        <v>49.8</v>
      </c>
      <c r="D861" s="71" t="n">
        <v>53.9</v>
      </c>
      <c r="E861" s="71" t="n">
        <v>50</v>
      </c>
      <c r="F861" s="71" t="n">
        <v>52.3</v>
      </c>
      <c r="G861" s="71" t="n">
        <v>42.6</v>
      </c>
      <c r="H861" s="71" t="n">
        <v>52.9</v>
      </c>
      <c r="I861" s="71" t="n">
        <v>54.6</v>
      </c>
      <c r="J861" s="71" t="n">
        <v>52.4</v>
      </c>
      <c r="K861" s="71" t="n">
        <v>49.5</v>
      </c>
      <c r="L861" s="138" t="n">
        <v>52.8</v>
      </c>
    </row>
    <row r="862">
      <c r="A862" s="54" t="n">
        <v>43586</v>
      </c>
      <c r="B862" s="71" t="n">
        <v>52.7</v>
      </c>
      <c r="C862" s="71" t="n">
        <v>49.4</v>
      </c>
      <c r="D862" s="71" t="n">
        <v>47.2</v>
      </c>
      <c r="E862" s="71" t="n">
        <v>53.2</v>
      </c>
      <c r="F862" s="71" t="n">
        <v>51.3</v>
      </c>
      <c r="G862" s="71" t="n">
        <v>43.7</v>
      </c>
      <c r="H862" s="71" t="n">
        <v>50.9</v>
      </c>
      <c r="I862" s="71" t="n">
        <v>52</v>
      </c>
      <c r="J862" s="71" t="n">
        <v>53.7</v>
      </c>
      <c r="K862" s="71" t="n">
        <v>51</v>
      </c>
      <c r="L862" s="138" t="n">
        <v>52.1</v>
      </c>
    </row>
    <row r="863">
      <c r="A863" s="54" t="n">
        <v>43617</v>
      </c>
      <c r="B863" s="71" t="n">
        <v>50</v>
      </c>
      <c r="C863" s="71" t="n">
        <v>50</v>
      </c>
      <c r="D863" s="71" t="n">
        <v>47.4</v>
      </c>
      <c r="E863" s="71" t="n">
        <v>47.9</v>
      </c>
      <c r="F863" s="71" t="n">
        <v>54.1</v>
      </c>
      <c r="G863" s="71" t="n">
        <v>44.6</v>
      </c>
      <c r="H863" s="71" t="n">
        <v>49.1</v>
      </c>
      <c r="I863" s="71" t="n">
        <v>50.7</v>
      </c>
      <c r="J863" s="71" t="n">
        <v>54.5</v>
      </c>
      <c r="K863" s="71" t="n">
        <v>50.5</v>
      </c>
      <c r="L863" s="138" t="n">
        <v>51.7</v>
      </c>
    </row>
    <row r="864">
      <c r="A864" s="54" t="n">
        <v>43647</v>
      </c>
      <c r="B864" s="71" t="n">
        <v>50.8</v>
      </c>
      <c r="C864" s="71" t="n">
        <v>47</v>
      </c>
      <c r="D864" s="71" t="n">
        <v>43.1</v>
      </c>
      <c r="E864" s="71" t="n">
        <v>45.1</v>
      </c>
      <c r="F864" s="71" t="n">
        <v>50.8</v>
      </c>
      <c r="G864" s="71" t="n">
        <v>45.7</v>
      </c>
      <c r="H864" s="71" t="n">
        <v>49.5</v>
      </c>
      <c r="I864" s="71" t="n">
        <v>53.3</v>
      </c>
      <c r="J864" s="71" t="n">
        <v>51.7</v>
      </c>
      <c r="K864" s="71" t="n">
        <v>48.1</v>
      </c>
      <c r="L864" s="138" t="n">
        <v>51.2</v>
      </c>
    </row>
    <row r="865">
      <c r="A865" s="54" t="n">
        <v>43678</v>
      </c>
      <c r="B865" s="71" t="n">
        <v>47.2</v>
      </c>
      <c r="C865" s="71" t="n">
        <v>46</v>
      </c>
      <c r="D865" s="71" t="n">
        <v>46.3</v>
      </c>
      <c r="E865" s="71" t="n">
        <v>46</v>
      </c>
      <c r="F865" s="71" t="n">
        <v>49.5</v>
      </c>
      <c r="G865" s="71" t="n">
        <v>44.9</v>
      </c>
      <c r="H865" s="71" t="n">
        <v>49.9</v>
      </c>
      <c r="I865" s="71" t="n">
        <v>51.4</v>
      </c>
      <c r="J865" s="71" t="n">
        <v>47.4</v>
      </c>
      <c r="K865" s="71" t="n">
        <v>43.3</v>
      </c>
      <c r="L865" s="89" t="n">
        <v>49.1</v>
      </c>
    </row>
    <row r="866">
      <c r="A866" s="54" t="n">
        <v>43709</v>
      </c>
      <c r="B866" s="71" t="n">
        <v>47.3</v>
      </c>
      <c r="C866" s="71" t="n">
        <v>48.1</v>
      </c>
      <c r="D866" s="71" t="n">
        <v>45.1</v>
      </c>
      <c r="E866" s="71" t="n">
        <v>49.7</v>
      </c>
      <c r="F866" s="71" t="n">
        <v>47.3</v>
      </c>
      <c r="G866" s="71" t="n">
        <v>45.5</v>
      </c>
      <c r="H866" s="71" t="n">
        <v>46.9</v>
      </c>
      <c r="I866" s="71" t="n">
        <v>51.1</v>
      </c>
      <c r="J866" s="71" t="n">
        <v>46.3</v>
      </c>
      <c r="K866" s="71" t="n">
        <v>41</v>
      </c>
      <c r="L866" s="138" t="n">
        <v>47.8</v>
      </c>
    </row>
    <row r="867">
      <c r="A867" s="54" t="n">
        <v>43739</v>
      </c>
      <c r="B867" s="71" t="n">
        <v>49.1</v>
      </c>
      <c r="C867" s="71" t="n">
        <v>45.3</v>
      </c>
      <c r="D867" s="71" t="n">
        <v>44.1</v>
      </c>
      <c r="E867" s="71" t="n">
        <v>45.5</v>
      </c>
      <c r="F867" s="71" t="n">
        <v>46.2</v>
      </c>
      <c r="G867" s="71" t="n">
        <v>47.8</v>
      </c>
      <c r="H867" s="71" t="n">
        <v>48.9</v>
      </c>
      <c r="I867" s="71" t="n">
        <v>49.5</v>
      </c>
      <c r="J867" s="71" t="n">
        <v>47.7</v>
      </c>
      <c r="K867" s="71" t="n">
        <v>50.4</v>
      </c>
      <c r="L867" s="89" t="n">
        <v>48.3</v>
      </c>
    </row>
    <row r="868">
      <c r="A868" s="54" t="n">
        <v>43770</v>
      </c>
      <c r="B868" s="71" t="n">
        <v>47.2</v>
      </c>
      <c r="C868" s="71" t="n">
        <v>48.3</v>
      </c>
      <c r="D868" s="71" t="n">
        <v>43</v>
      </c>
      <c r="E868" s="71" t="n">
        <v>46.7</v>
      </c>
      <c r="F868" s="71" t="n">
        <v>49.1</v>
      </c>
      <c r="G868" s="71" t="n">
        <v>45</v>
      </c>
      <c r="H868" s="71" t="n">
        <v>45.5</v>
      </c>
      <c r="I868" s="71" t="n">
        <v>52</v>
      </c>
      <c r="J868" s="71" t="n">
        <v>46.6</v>
      </c>
      <c r="K868" s="71" t="n">
        <v>47.9</v>
      </c>
      <c r="L868" s="138" t="n">
        <v>48.1</v>
      </c>
    </row>
    <row r="869">
      <c r="A869" s="54" t="n">
        <v>43800</v>
      </c>
      <c r="B869" s="71" t="n">
        <v>47.6</v>
      </c>
      <c r="C869" s="71" t="n">
        <v>48.8</v>
      </c>
      <c r="D869" s="71" t="n">
        <v>43.3</v>
      </c>
      <c r="E869" s="71" t="n">
        <v>51.7</v>
      </c>
      <c r="F869" s="71" t="n">
        <v>44.8</v>
      </c>
      <c r="G869" s="71" t="n">
        <v>41.1</v>
      </c>
      <c r="H869" s="71" t="n">
        <v>49.2</v>
      </c>
      <c r="I869" s="71" t="n">
        <v>54.6</v>
      </c>
      <c r="J869" s="71" t="n">
        <v>45.2</v>
      </c>
      <c r="K869" s="71" t="n">
        <v>47.3</v>
      </c>
      <c r="L869" s="89" t="n">
        <v>47.8</v>
      </c>
    </row>
    <row r="870">
      <c r="A870" s="54" t="n">
        <v>43831</v>
      </c>
      <c r="B870" s="71" t="n">
        <v>52</v>
      </c>
      <c r="C870" s="71" t="n">
        <v>51.3</v>
      </c>
      <c r="D870" s="71" t="n">
        <v>45.7</v>
      </c>
      <c r="E870" s="71" t="n">
        <v>53.3</v>
      </c>
      <c r="F870" s="71" t="n">
        <v>54.3</v>
      </c>
      <c r="G870" s="71" t="n">
        <v>43.8</v>
      </c>
      <c r="H870" s="71" t="n">
        <v>48.8</v>
      </c>
      <c r="I870" s="71" t="n">
        <v>52.9</v>
      </c>
      <c r="J870" s="71" t="n">
        <v>46.6</v>
      </c>
      <c r="K870" s="71" t="n">
        <v>53.3</v>
      </c>
      <c r="L870" s="138" t="n">
        <v>50.9</v>
      </c>
    </row>
    <row r="871">
      <c r="A871" s="54" t="n">
        <v>43862</v>
      </c>
      <c r="B871" s="71" t="n">
        <v>49.8</v>
      </c>
      <c r="C871" s="71" t="n">
        <v>42.6</v>
      </c>
      <c r="D871" s="71" t="n">
        <v>50.3</v>
      </c>
      <c r="E871" s="71" t="n">
        <v>45.9</v>
      </c>
      <c r="F871" s="71" t="n">
        <v>50.3</v>
      </c>
      <c r="G871" s="71" t="n">
        <v>41.8</v>
      </c>
      <c r="H871" s="71" t="n">
        <v>46.5</v>
      </c>
      <c r="I871" s="71" t="n">
        <v>57.3</v>
      </c>
      <c r="J871" s="71" t="n">
        <v>46.9</v>
      </c>
      <c r="K871" s="71" t="n">
        <v>51.2</v>
      </c>
      <c r="L871" s="89" t="n">
        <v>50.1</v>
      </c>
    </row>
    <row r="872">
      <c r="A872" s="54" t="n">
        <v>43891</v>
      </c>
      <c r="B872" s="71" t="n">
        <v>42.2</v>
      </c>
      <c r="C872" s="71" t="n">
        <v>42.1</v>
      </c>
      <c r="D872" s="71" t="n">
        <v>45.9</v>
      </c>
      <c r="E872" s="71" t="n">
        <v>37.4</v>
      </c>
      <c r="F872" s="71" t="n">
        <v>47.7</v>
      </c>
      <c r="G872" s="71" t="n">
        <v>43.4</v>
      </c>
      <c r="H872" s="71" t="n">
        <v>46.9</v>
      </c>
      <c r="I872" s="71" t="n">
        <v>65</v>
      </c>
      <c r="J872" s="71" t="n">
        <v>43.8</v>
      </c>
      <c r="K872" s="71" t="n">
        <v>46.6</v>
      </c>
      <c r="L872" s="138" t="n">
        <v>49.1</v>
      </c>
    </row>
    <row r="873">
      <c r="A873" s="54" t="n">
        <v>43922</v>
      </c>
      <c r="B873" s="71" t="n">
        <v>27.1</v>
      </c>
      <c r="C873" s="71" t="n">
        <v>42.7</v>
      </c>
      <c r="D873" s="71" t="n">
        <v>37.8</v>
      </c>
      <c r="E873" s="71" t="n">
        <v>35.3</v>
      </c>
      <c r="F873" s="71" t="n">
        <v>27.5</v>
      </c>
      <c r="G873" s="71" t="n">
        <v>48.8</v>
      </c>
      <c r="H873" s="71" t="n">
        <v>49.7</v>
      </c>
      <c r="I873" s="71" t="n">
        <v>76</v>
      </c>
      <c r="J873" s="71" t="n">
        <v>27.5</v>
      </c>
      <c r="K873" s="71" t="n">
        <v>35.3</v>
      </c>
      <c r="L873" s="89" t="n">
        <v>41.5</v>
      </c>
    </row>
    <row r="874">
      <c r="A874" s="54" t="n">
        <v>43952</v>
      </c>
      <c r="B874" s="71" t="n">
        <v>31.8</v>
      </c>
      <c r="C874" s="71" t="n">
        <v>41.3</v>
      </c>
      <c r="D874" s="71" t="n">
        <v>38.2</v>
      </c>
      <c r="E874" s="71" t="n">
        <v>40.8</v>
      </c>
      <c r="F874" s="71" t="n">
        <v>33.2</v>
      </c>
      <c r="G874" s="71" t="n">
        <v>46.2</v>
      </c>
      <c r="H874" s="71" t="n">
        <v>50.4</v>
      </c>
      <c r="I874" s="71" t="n">
        <v>68</v>
      </c>
      <c r="J874" s="71" t="n">
        <v>32.1</v>
      </c>
      <c r="K874" s="71" t="n">
        <v>39.5</v>
      </c>
      <c r="L874" s="138" t="n">
        <v>43.1</v>
      </c>
    </row>
    <row r="875">
      <c r="A875" s="54" t="n">
        <v>43983</v>
      </c>
      <c r="B875" s="71" t="n">
        <v>56.4</v>
      </c>
      <c r="C875" s="71" t="n">
        <v>48.8</v>
      </c>
      <c r="D875" s="71" t="n">
        <v>45.3</v>
      </c>
      <c r="E875" s="71" t="n">
        <v>51.3</v>
      </c>
      <c r="F875" s="71" t="n">
        <v>57.3</v>
      </c>
      <c r="G875" s="71" t="n">
        <v>44.6</v>
      </c>
      <c r="H875" s="71" t="n">
        <v>50.5</v>
      </c>
      <c r="I875" s="71" t="n">
        <v>56.9</v>
      </c>
      <c r="J875" s="71" t="n">
        <v>42.1</v>
      </c>
      <c r="K875" s="71" t="n">
        <v>47.6</v>
      </c>
      <c r="L875" s="89" t="n">
        <v>52.6</v>
      </c>
    </row>
    <row r="876">
      <c r="A876" s="54" t="n">
        <v>44013</v>
      </c>
      <c r="B876" s="71" t="n">
        <v>61.5</v>
      </c>
      <c r="C876" s="71" t="n">
        <v>53.1</v>
      </c>
      <c r="D876" s="71" t="n">
        <v>51.8</v>
      </c>
      <c r="E876" s="71" t="n">
        <v>53.2</v>
      </c>
      <c r="F876" s="71" t="n">
        <v>62.1</v>
      </c>
      <c r="G876" s="71" t="n">
        <v>41.6</v>
      </c>
      <c r="H876" s="71" t="n">
        <v>47</v>
      </c>
      <c r="I876" s="71" t="n">
        <v>55.8</v>
      </c>
      <c r="J876" s="71" t="n">
        <v>44.3</v>
      </c>
      <c r="K876" s="71" t="n">
        <v>50.4</v>
      </c>
      <c r="L876" s="138" t="n">
        <v>54.2</v>
      </c>
    </row>
    <row r="877">
      <c r="A877" s="54" t="n">
        <v>44044</v>
      </c>
      <c r="B877" s="71" t="n">
        <v>67.59999999999999</v>
      </c>
      <c r="C877" s="71" t="n">
        <v>55.6</v>
      </c>
      <c r="D877" s="71" t="n">
        <v>54.6</v>
      </c>
      <c r="E877" s="71" t="n">
        <v>59.5</v>
      </c>
      <c r="F877" s="71" t="n">
        <v>63.3</v>
      </c>
      <c r="G877" s="71" t="n">
        <v>38.1</v>
      </c>
      <c r="H877" s="71" t="n">
        <v>44.4</v>
      </c>
      <c r="I877" s="71" t="n">
        <v>58.2</v>
      </c>
      <c r="J877" s="71" t="n">
        <v>46.4</v>
      </c>
      <c r="K877" s="71" t="n">
        <v>53.3</v>
      </c>
      <c r="L877" s="89" t="n">
        <v>56</v>
      </c>
    </row>
    <row r="878">
      <c r="A878" s="54" t="n">
        <v>44075</v>
      </c>
      <c r="B878" s="71" t="n">
        <v>60.2</v>
      </c>
      <c r="C878" s="71" t="n">
        <v>54</v>
      </c>
      <c r="D878" s="71" t="n">
        <v>55.2</v>
      </c>
      <c r="E878" s="71" t="n">
        <v>62.8</v>
      </c>
      <c r="F878" s="71" t="n">
        <v>61</v>
      </c>
      <c r="G878" s="71" t="n">
        <v>37.9</v>
      </c>
      <c r="H878" s="71" t="n">
        <v>47.1</v>
      </c>
      <c r="I878" s="71" t="n">
        <v>59</v>
      </c>
      <c r="J878" s="71" t="n">
        <v>49.6</v>
      </c>
      <c r="K878" s="71" t="n">
        <v>54.3</v>
      </c>
      <c r="L878" s="138" t="n">
        <v>55.4</v>
      </c>
    </row>
    <row r="879">
      <c r="A879" s="54" t="n">
        <v>44105</v>
      </c>
      <c r="B879" s="71" t="n">
        <v>67.90000000000001</v>
      </c>
      <c r="C879" s="71" t="n">
        <v>58.1</v>
      </c>
      <c r="D879" s="71" t="n">
        <v>55.7</v>
      </c>
      <c r="E879" s="71" t="n">
        <v>65.5</v>
      </c>
      <c r="F879" s="71" t="n">
        <v>63</v>
      </c>
      <c r="G879" s="71" t="n">
        <v>36.7</v>
      </c>
      <c r="H879" s="71" t="n">
        <v>51.9</v>
      </c>
      <c r="I879" s="71" t="n">
        <v>60.5</v>
      </c>
      <c r="J879" s="71" t="n">
        <v>53.2</v>
      </c>
      <c r="K879" s="71" t="n">
        <v>55.7</v>
      </c>
      <c r="L879" s="89" t="n">
        <v>59.3</v>
      </c>
    </row>
    <row r="880">
      <c r="A880" s="54" t="n">
        <v>44136</v>
      </c>
      <c r="B880" s="71" t="n">
        <v>65.09999999999999</v>
      </c>
      <c r="C880" s="71" t="n">
        <v>55.1</v>
      </c>
      <c r="D880" s="71" t="n">
        <v>56.9</v>
      </c>
      <c r="E880" s="71" t="n">
        <v>65.40000000000001</v>
      </c>
      <c r="F880" s="71" t="n">
        <v>60.8</v>
      </c>
      <c r="G880" s="71" t="n">
        <v>36.3</v>
      </c>
      <c r="H880" s="71" t="n">
        <v>51.2</v>
      </c>
      <c r="I880" s="71" t="n">
        <v>61.7</v>
      </c>
      <c r="J880" s="71" t="n">
        <v>48.4</v>
      </c>
      <c r="K880" s="71" t="n">
        <v>57.8</v>
      </c>
      <c r="L880" s="138" t="n">
        <v>57.5</v>
      </c>
    </row>
    <row r="881">
      <c r="A881" s="54" t="n">
        <v>44166</v>
      </c>
      <c r="B881" s="71" t="n">
        <v>67.90000000000001</v>
      </c>
      <c r="C881" s="71" t="n">
        <v>54.6</v>
      </c>
      <c r="D881" s="71" t="n">
        <v>59.1</v>
      </c>
      <c r="E881" s="71" t="n">
        <v>77.59999999999999</v>
      </c>
      <c r="F881" s="71" t="n">
        <v>64.7</v>
      </c>
      <c r="G881" s="71" t="n">
        <v>37.9</v>
      </c>
      <c r="H881" s="71" t="n">
        <v>51</v>
      </c>
      <c r="I881" s="71" t="n">
        <v>67.7</v>
      </c>
      <c r="J881" s="71" t="n">
        <v>51.7</v>
      </c>
      <c r="K881" s="71" t="n">
        <v>57.5</v>
      </c>
      <c r="L881" s="89" t="n">
        <v>60.5</v>
      </c>
    </row>
    <row r="882">
      <c r="A882" s="54" t="n">
        <v>44197</v>
      </c>
      <c r="B882" s="71" t="n">
        <v>61.1</v>
      </c>
      <c r="C882" s="71" t="n">
        <v>56.8</v>
      </c>
      <c r="D882" s="71" t="n">
        <v>59.7</v>
      </c>
      <c r="E882" s="71" t="n">
        <v>82.09999999999999</v>
      </c>
      <c r="F882" s="71" t="n">
        <v>60.7</v>
      </c>
      <c r="G882" s="71" t="n">
        <v>33.1</v>
      </c>
      <c r="H882" s="71" t="n">
        <v>50.8</v>
      </c>
      <c r="I882" s="71" t="n">
        <v>68.2</v>
      </c>
      <c r="J882" s="71" t="n">
        <v>52.6</v>
      </c>
      <c r="K882" s="71" t="n">
        <v>54.9</v>
      </c>
      <c r="L882" s="138" t="n">
        <v>58.7</v>
      </c>
    </row>
    <row r="883">
      <c r="A883" s="54" t="n">
        <v>44228</v>
      </c>
      <c r="B883" s="71" t="n">
        <v>64.8</v>
      </c>
      <c r="C883" s="71" t="n">
        <v>56.1</v>
      </c>
      <c r="D883" s="71" t="n">
        <v>64</v>
      </c>
      <c r="E883" s="71" t="n">
        <v>86</v>
      </c>
      <c r="F883" s="71" t="n">
        <v>63.2</v>
      </c>
      <c r="G883" s="71" t="n">
        <v>32.5</v>
      </c>
      <c r="H883" s="71" t="n">
        <v>49.7</v>
      </c>
      <c r="I883" s="71" t="n">
        <v>72</v>
      </c>
      <c r="J883" s="71" t="n">
        <v>54.4</v>
      </c>
      <c r="K883" s="71" t="n">
        <v>57.2</v>
      </c>
      <c r="L883" s="89" t="n">
        <v>60.8</v>
      </c>
    </row>
    <row r="884">
      <c r="A884" s="54" t="n">
        <v>44256</v>
      </c>
      <c r="B884" s="71" t="n">
        <v>68</v>
      </c>
      <c r="C884" s="71" t="n">
        <v>56.7</v>
      </c>
      <c r="D884" s="71" t="n">
        <v>67.5</v>
      </c>
      <c r="E884" s="71" t="n">
        <v>85.59999999999999</v>
      </c>
      <c r="F884" s="71" t="n">
        <v>68.09999999999999</v>
      </c>
      <c r="G884" s="71" t="n">
        <v>29.9</v>
      </c>
      <c r="H884" s="71" t="n">
        <v>50.8</v>
      </c>
      <c r="I884" s="71" t="n">
        <v>76.59999999999999</v>
      </c>
      <c r="J884" s="71" t="n">
        <v>59.6</v>
      </c>
      <c r="K884" s="71" t="n">
        <v>54.5</v>
      </c>
      <c r="L884" s="138" t="n">
        <v>64.7</v>
      </c>
    </row>
    <row r="885">
      <c r="A885" s="54" t="n">
        <v>44287</v>
      </c>
      <c r="B885" s="71" t="n">
        <v>64.3</v>
      </c>
      <c r="C885" s="71" t="n">
        <v>52.2</v>
      </c>
      <c r="D885" s="71" t="n">
        <v>68.2</v>
      </c>
      <c r="E885" s="71" t="n">
        <v>89.59999999999999</v>
      </c>
      <c r="F885" s="71" t="n">
        <v>62.5</v>
      </c>
      <c r="G885" s="71" t="n">
        <v>28.4</v>
      </c>
      <c r="H885" s="71" t="n">
        <v>46.5</v>
      </c>
      <c r="I885" s="71" t="n">
        <v>75</v>
      </c>
      <c r="J885" s="71" t="n">
        <v>55.1</v>
      </c>
      <c r="K885" s="71" t="n">
        <v>54.9</v>
      </c>
      <c r="L885" s="89" t="n">
        <v>60.7</v>
      </c>
    </row>
    <row r="886">
      <c r="A886" s="54" t="n">
        <v>44317</v>
      </c>
      <c r="B886" s="71" t="n">
        <v>67</v>
      </c>
      <c r="C886" s="71" t="n">
        <v>54</v>
      </c>
      <c r="D886" s="71" t="n">
        <v>70.59999999999999</v>
      </c>
      <c r="E886" s="71" t="n">
        <v>88</v>
      </c>
      <c r="F886" s="71" t="n">
        <v>58.5</v>
      </c>
      <c r="G886" s="71" t="n">
        <v>28</v>
      </c>
      <c r="H886" s="71" t="n">
        <v>50.8</v>
      </c>
      <c r="I886" s="71" t="n">
        <v>78.8</v>
      </c>
      <c r="J886" s="71" t="n">
        <v>50.9</v>
      </c>
      <c r="K886" s="71" t="n">
        <v>55.4</v>
      </c>
      <c r="L886" s="138" t="n">
        <v>61.2</v>
      </c>
    </row>
    <row r="887">
      <c r="A887" s="54" t="n">
        <v>44348</v>
      </c>
      <c r="B887" s="71" t="n">
        <v>66</v>
      </c>
      <c r="C887" s="71" t="n">
        <v>61</v>
      </c>
      <c r="D887" s="71" t="n">
        <v>64.5</v>
      </c>
      <c r="E887" s="71" t="n">
        <v>92.09999999999999</v>
      </c>
      <c r="F887" s="71" t="n">
        <v>60.8</v>
      </c>
      <c r="G887" s="71" t="n">
        <v>30.8</v>
      </c>
      <c r="H887" s="71" t="n">
        <v>51.1</v>
      </c>
      <c r="I887" s="71" t="n">
        <v>75.09999999999999</v>
      </c>
      <c r="J887" s="71" t="n">
        <v>49.9</v>
      </c>
      <c r="K887" s="71" t="n">
        <v>56.2</v>
      </c>
      <c r="L887" s="89" t="n">
        <v>60.6</v>
      </c>
    </row>
    <row r="888">
      <c r="A888" s="54" t="n">
        <v>44378</v>
      </c>
      <c r="B888" s="71" t="n">
        <v>64.90000000000001</v>
      </c>
      <c r="C888" s="71" t="n">
        <v>53.7</v>
      </c>
      <c r="D888" s="71" t="n">
        <v>65</v>
      </c>
      <c r="E888" s="71" t="n">
        <v>85.7</v>
      </c>
      <c r="F888" s="71" t="n">
        <v>58.4</v>
      </c>
      <c r="G888" s="71" t="n">
        <v>25</v>
      </c>
      <c r="H888" s="71" t="n">
        <v>48.9</v>
      </c>
      <c r="I888" s="71" t="n">
        <v>72.5</v>
      </c>
      <c r="J888" s="71" t="n">
        <v>52.9</v>
      </c>
      <c r="K888" s="71" t="n">
        <v>55.7</v>
      </c>
      <c r="L888" s="138" t="n">
        <v>59.5</v>
      </c>
    </row>
    <row r="889">
      <c r="A889" s="54" t="n">
        <v>44409</v>
      </c>
      <c r="B889" s="71" t="n">
        <v>66.7</v>
      </c>
      <c r="C889" s="71" t="n">
        <v>54.3</v>
      </c>
      <c r="D889" s="71" t="n">
        <v>68.2</v>
      </c>
      <c r="E889" s="71" t="n">
        <v>79.40000000000001</v>
      </c>
      <c r="F889" s="71" t="n">
        <v>60</v>
      </c>
      <c r="G889" s="71" t="n">
        <v>30.2</v>
      </c>
      <c r="H889" s="71" t="n">
        <v>54.2</v>
      </c>
      <c r="I889" s="71" t="n">
        <v>69.5</v>
      </c>
      <c r="J889" s="71" t="n">
        <v>49</v>
      </c>
      <c r="K889" s="71" t="n">
        <v>56.6</v>
      </c>
      <c r="L889" s="89" t="n">
        <v>59.9</v>
      </c>
    </row>
    <row r="890">
      <c r="A890" s="54" t="n">
        <v>44440</v>
      </c>
      <c r="B890" s="71" t="n">
        <v>66.7</v>
      </c>
      <c r="C890" s="71" t="n">
        <v>54.9</v>
      </c>
      <c r="D890" s="71" t="n">
        <v>64.8</v>
      </c>
      <c r="E890" s="71" t="n">
        <v>81.2</v>
      </c>
      <c r="F890" s="71" t="n">
        <v>59.4</v>
      </c>
      <c r="G890" s="71" t="n">
        <v>31.7</v>
      </c>
      <c r="H890" s="71" t="n">
        <v>55.6</v>
      </c>
      <c r="I890" s="71" t="n">
        <v>73.40000000000001</v>
      </c>
      <c r="J890" s="71" t="n">
        <v>50.2</v>
      </c>
      <c r="K890" s="71" t="n">
        <v>53.4</v>
      </c>
      <c r="L890" s="138" t="n">
        <v>61.1</v>
      </c>
    </row>
  </sheetData>
  <conditionalFormatting sqref="B750:B890">
    <cfRule type="colorScale" priority="11">
      <colorScale>
        <cfvo type="min"/>
        <cfvo type="percentile" val="50"/>
        <cfvo type="max"/>
        <color rgb="FFF8696B"/>
        <color rgb="FFFFEB84"/>
        <color rgb="FF63BE7B"/>
      </colorScale>
    </cfRule>
  </conditionalFormatting>
  <conditionalFormatting sqref="C750:C890">
    <cfRule type="colorScale" priority="10">
      <colorScale>
        <cfvo type="min"/>
        <cfvo type="percentile" val="50"/>
        <cfvo type="max"/>
        <color rgb="FFF8696B"/>
        <color rgb="FFFFEB84"/>
        <color rgb="FF63BE7B"/>
      </colorScale>
    </cfRule>
  </conditionalFormatting>
  <conditionalFormatting sqref="D750:D890">
    <cfRule type="colorScale" priority="9">
      <colorScale>
        <cfvo type="min"/>
        <cfvo type="percentile" val="50"/>
        <cfvo type="max"/>
        <color rgb="FFF8696B"/>
        <color rgb="FFFFEB84"/>
        <color rgb="FF63BE7B"/>
      </colorScale>
    </cfRule>
  </conditionalFormatting>
  <conditionalFormatting sqref="E750:E890">
    <cfRule type="colorScale" priority="8">
      <colorScale>
        <cfvo type="min"/>
        <cfvo type="percentile" val="50"/>
        <cfvo type="max"/>
        <color rgb="FFF8696B"/>
        <color rgb="FFFFEB84"/>
        <color rgb="FF63BE7B"/>
      </colorScale>
    </cfRule>
  </conditionalFormatting>
  <conditionalFormatting sqref="F750:F890">
    <cfRule type="colorScale" priority="7">
      <colorScale>
        <cfvo type="min"/>
        <cfvo type="percentile" val="50"/>
        <cfvo type="max"/>
        <color rgb="FFF8696B"/>
        <color rgb="FFFFEB84"/>
        <color rgb="FF63BE7B"/>
      </colorScale>
    </cfRule>
  </conditionalFormatting>
  <conditionalFormatting sqref="G750:G890">
    <cfRule type="colorScale" priority="6">
      <colorScale>
        <cfvo type="min"/>
        <cfvo type="percentile" val="50"/>
        <cfvo type="max"/>
        <color rgb="FFF8696B"/>
        <color rgb="FFFFEB84"/>
        <color rgb="FF63BE7B"/>
      </colorScale>
    </cfRule>
  </conditionalFormatting>
  <conditionalFormatting sqref="H750:H890">
    <cfRule type="colorScale" priority="5">
      <colorScale>
        <cfvo type="min"/>
        <cfvo type="percentile" val="50"/>
        <cfvo type="max"/>
        <color rgb="FFF8696B"/>
        <color rgb="FFFFEB84"/>
        <color rgb="FF63BE7B"/>
      </colorScale>
    </cfRule>
  </conditionalFormatting>
  <conditionalFormatting sqref="I750:I890">
    <cfRule type="colorScale" priority="4">
      <colorScale>
        <cfvo type="min"/>
        <cfvo type="percentile" val="50"/>
        <cfvo type="max"/>
        <color rgb="FFF8696B"/>
        <color rgb="FFFFEB84"/>
        <color rgb="FF63BE7B"/>
      </colorScale>
    </cfRule>
  </conditionalFormatting>
  <conditionalFormatting sqref="J750:J890">
    <cfRule type="colorScale" priority="3">
      <colorScale>
        <cfvo type="min"/>
        <cfvo type="percentile" val="50"/>
        <cfvo type="max"/>
        <color rgb="FFF8696B"/>
        <color rgb="FFFFEB84"/>
        <color rgb="FF63BE7B"/>
      </colorScale>
    </cfRule>
  </conditionalFormatting>
  <conditionalFormatting sqref="K750:K890">
    <cfRule type="colorScale" priority="2">
      <colorScale>
        <cfvo type="min"/>
        <cfvo type="percentile" val="50"/>
        <cfvo type="max"/>
        <color rgb="FFF8696B"/>
        <color rgb="FFFFEB84"/>
        <color rgb="FF63BE7B"/>
      </colorScale>
    </cfRule>
  </conditionalFormatting>
  <conditionalFormatting sqref="L750:L890">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4.xml><?xml version="1.0" encoding="utf-8"?>
<worksheet xmlns="http://schemas.openxmlformats.org/spreadsheetml/2006/main">
  <sheetPr codeName="Sheet7">
    <outlinePr summaryBelow="1" summaryRight="1"/>
    <pageSetUpPr/>
  </sheetPr>
  <dimension ref="A1:A1"/>
  <sheetViews>
    <sheetView zoomScale="140" zoomScaleNormal="140" workbookViewId="0">
      <selection activeCell="AA29" sqref="AA29"/>
    </sheetView>
  </sheetViews>
  <sheetFormatPr baseColWidth="10" defaultColWidth="9.1640625" defaultRowHeight="15"/>
  <cols>
    <col width="9.1640625" customWidth="1" style="116" min="1" max="7"/>
    <col width="9.1640625" customWidth="1" style="116" min="8" max="16384"/>
  </cols>
  <sheetData/>
  <pageMargins left="0.7" right="0.7" top="0.75" bottom="0.75" header="0.3" footer="0.3"/>
  <drawing xmlns:r="http://schemas.openxmlformats.org/officeDocument/2006/relationships" r:id="rId1"/>
</worksheet>
</file>

<file path=xl/worksheets/sheet15.xml><?xml version="1.0" encoding="utf-8"?>
<worksheet xmlns="http://schemas.openxmlformats.org/spreadsheetml/2006/main">
  <sheetPr codeName="Sheet10">
    <tabColor rgb="FFFF0000"/>
    <outlinePr summaryBelow="1" summaryRight="1"/>
    <pageSetUpPr/>
  </sheetPr>
  <dimension ref="A1:E890"/>
  <sheetViews>
    <sheetView zoomScale="170" zoomScaleNormal="170" workbookViewId="0">
      <pane ySplit="5" topLeftCell="A836" activePane="bottomLeft" state="frozen"/>
      <selection pane="bottomLeft" activeCell="B890" sqref="B890"/>
    </sheetView>
  </sheetViews>
  <sheetFormatPr baseColWidth="10" defaultColWidth="9.1640625" defaultRowHeight="15"/>
  <cols>
    <col width="12.33203125" customWidth="1" style="116" min="1" max="1"/>
    <col width="14.6640625" customWidth="1" style="116" min="2" max="5"/>
    <col width="9.1640625" customWidth="1" style="116" min="6" max="12"/>
    <col width="9.1640625" customWidth="1" style="116" min="13" max="16384"/>
  </cols>
  <sheetData>
    <row r="1">
      <c r="A1" s="117" t="inlineStr">
        <is>
          <t>ISM vs GDP</t>
        </is>
      </c>
    </row>
    <row r="2" ht="3.75" customHeight="1"/>
    <row r="3" ht="3.75" customHeight="1"/>
    <row r="4" ht="16" customHeight="1" thickBot="1"/>
    <row r="5" ht="25" customHeight="1" thickBot="1">
      <c r="A5" s="66" t="inlineStr">
        <is>
          <t>Date</t>
        </is>
      </c>
      <c r="B5" s="67" t="inlineStr">
        <is>
          <t>PMI</t>
        </is>
      </c>
      <c r="C5" s="68" t="inlineStr">
        <is>
          <t>GDP growth yoy %</t>
        </is>
      </c>
      <c r="D5" s="69" t="inlineStr">
        <is>
          <t>GDP growth qoq %</t>
        </is>
      </c>
      <c r="E5" s="70" t="inlineStr">
        <is>
          <t>GDP growth q/q % (annualised)</t>
        </is>
      </c>
    </row>
    <row r="6">
      <c r="A6" s="63" t="n">
        <v>17533</v>
      </c>
      <c r="B6" s="64" t="n">
        <v>51.7</v>
      </c>
      <c r="C6" s="65" t="n">
        <v>0.02604733466047333</v>
      </c>
      <c r="D6" s="65" t="n">
        <v>0.01504200324044458</v>
      </c>
      <c r="E6" s="65" t="n">
        <v>0.06153924905173591</v>
      </c>
    </row>
    <row r="7">
      <c r="A7" s="53" t="n">
        <v>17564</v>
      </c>
      <c r="B7" s="61" t="n">
        <v>50.2</v>
      </c>
      <c r="C7" s="62" t="n">
        <v>0.02604733466047333</v>
      </c>
      <c r="D7" s="62" t="n">
        <v>0.01504200324044458</v>
      </c>
      <c r="E7" s="62" t="n">
        <v>0.06153924905173591</v>
      </c>
    </row>
    <row r="8">
      <c r="A8" s="53" t="n">
        <v>17593</v>
      </c>
      <c r="B8" s="61" t="n">
        <v>43.3</v>
      </c>
      <c r="C8" s="62" t="n">
        <v>0.02604733466047333</v>
      </c>
      <c r="D8" s="62" t="n">
        <v>0.01504200324044458</v>
      </c>
      <c r="E8" s="62" t="n">
        <v>0.06153924905173591</v>
      </c>
    </row>
    <row r="9">
      <c r="A9" s="53" t="n">
        <v>17624</v>
      </c>
      <c r="B9" s="61" t="n">
        <v>45.4</v>
      </c>
      <c r="C9" s="62" t="n">
        <v>0.04577323875912755</v>
      </c>
      <c r="D9" s="62" t="n">
        <v>0.01650680593760204</v>
      </c>
      <c r="E9" s="62" t="n">
        <v>0.06768013659058014</v>
      </c>
    </row>
    <row r="10">
      <c r="A10" s="53" t="n">
        <v>17654</v>
      </c>
      <c r="B10" s="61" t="n">
        <v>49.5</v>
      </c>
      <c r="C10" s="62" t="n">
        <v>0.04577323875912755</v>
      </c>
      <c r="D10" s="62" t="n">
        <v>0.01650680593760204</v>
      </c>
      <c r="E10" s="62" t="n">
        <v>0.06768013659058014</v>
      </c>
    </row>
    <row r="11">
      <c r="A11" s="53" t="n">
        <v>17685</v>
      </c>
      <c r="B11" s="61" t="n">
        <v>53</v>
      </c>
      <c r="C11" s="62" t="n">
        <v>0.04577323875912755</v>
      </c>
      <c r="D11" s="62" t="n">
        <v>0.01650680593760204</v>
      </c>
      <c r="E11" s="62" t="n">
        <v>0.06768013659058014</v>
      </c>
    </row>
    <row r="12">
      <c r="A12" s="53" t="n">
        <v>17715</v>
      </c>
      <c r="B12" s="61" t="n">
        <v>48.4</v>
      </c>
      <c r="C12" s="62" t="n">
        <v>0.05394121197095662</v>
      </c>
      <c r="D12" s="62" t="n">
        <v>0.0057293019130506</v>
      </c>
      <c r="E12" s="62" t="n">
        <v>0.02311491038720104</v>
      </c>
    </row>
    <row r="13">
      <c r="A13" s="53" t="n">
        <v>17746</v>
      </c>
      <c r="B13" s="61" t="n">
        <v>45.1</v>
      </c>
      <c r="C13" s="62" t="n">
        <v>0.05394121197095662</v>
      </c>
      <c r="D13" s="62" t="n">
        <v>0.0057293019130506</v>
      </c>
      <c r="E13" s="62" t="n">
        <v>0.02311491038720104</v>
      </c>
    </row>
    <row r="14">
      <c r="A14" s="53" t="n">
        <v>17777</v>
      </c>
      <c r="B14" s="61" t="n">
        <v>42.1</v>
      </c>
      <c r="C14" s="62" t="n">
        <v>0.05394121197095662</v>
      </c>
      <c r="D14" s="62" t="n">
        <v>0.0057293019130506</v>
      </c>
      <c r="E14" s="62" t="n">
        <v>0.02311491038720104</v>
      </c>
    </row>
    <row r="15">
      <c r="A15" s="53" t="n">
        <v>17807</v>
      </c>
      <c r="B15" s="61" t="n">
        <v>47.2</v>
      </c>
      <c r="C15" s="62" t="n">
        <v>0.03886782837703537</v>
      </c>
      <c r="D15" s="62" t="n">
        <v>0.001117121575066453</v>
      </c>
      <c r="E15" s="62" t="n">
        <v>0.004475979641999306</v>
      </c>
    </row>
    <row r="16">
      <c r="A16" s="53" t="n">
        <v>17838</v>
      </c>
      <c r="B16" s="61" t="n">
        <v>42.4</v>
      </c>
      <c r="C16" s="62" t="n">
        <v>0.03886782837703537</v>
      </c>
      <c r="D16" s="62" t="n">
        <v>0.001117121575066453</v>
      </c>
      <c r="E16" s="62" t="n">
        <v>0.004475979641999306</v>
      </c>
    </row>
    <row r="17">
      <c r="A17" s="53" t="n">
        <v>17868</v>
      </c>
      <c r="B17" s="61" t="n">
        <v>35</v>
      </c>
      <c r="C17" s="62" t="n">
        <v>0.03886782837703537</v>
      </c>
      <c r="D17" s="62" t="n">
        <v>0.001117121575066453</v>
      </c>
      <c r="E17" s="62" t="n">
        <v>0.004475979641999306</v>
      </c>
    </row>
    <row r="18">
      <c r="A18" s="53" t="n">
        <v>17899</v>
      </c>
      <c r="B18" s="61" t="n">
        <v>32.9</v>
      </c>
      <c r="C18" s="62" t="n">
        <v>0.009369841174030318</v>
      </c>
      <c r="D18" s="62" t="n">
        <v>-0.01377946490423314</v>
      </c>
      <c r="E18" s="62" t="n">
        <v>-0.05398904707599983</v>
      </c>
    </row>
    <row r="19">
      <c r="A19" s="53" t="n">
        <v>17930</v>
      </c>
      <c r="B19" s="61" t="n">
        <v>31.3</v>
      </c>
      <c r="C19" s="62" t="n">
        <v>0.009369841174030318</v>
      </c>
      <c r="D19" s="62" t="n">
        <v>-0.01377946490423314</v>
      </c>
      <c r="E19" s="62" t="n">
        <v>-0.05398904707599983</v>
      </c>
    </row>
    <row r="20">
      <c r="A20" s="53" t="n">
        <v>17958</v>
      </c>
      <c r="B20" s="61" t="n">
        <v>34.5</v>
      </c>
      <c r="C20" s="62" t="n">
        <v>0.009369841174030318</v>
      </c>
      <c r="D20" s="62" t="n">
        <v>-0.01377946490423314</v>
      </c>
      <c r="E20" s="62" t="n">
        <v>-0.05398904707599983</v>
      </c>
    </row>
    <row r="21">
      <c r="A21" s="53" t="n">
        <v>17989</v>
      </c>
      <c r="B21" s="61" t="n">
        <v>35.5</v>
      </c>
      <c r="C21" s="62" t="n">
        <v>-0.01040812969891594</v>
      </c>
      <c r="D21" s="62" t="n">
        <v>-0.003411009297100643</v>
      </c>
      <c r="E21" s="62" t="n">
        <v>-0.01357438589464066</v>
      </c>
    </row>
    <row r="22">
      <c r="A22" s="53" t="n">
        <v>18019</v>
      </c>
      <c r="B22" s="61" t="n">
        <v>32.6</v>
      </c>
      <c r="C22" s="62" t="n">
        <v>-0.01040812969891594</v>
      </c>
      <c r="D22" s="62" t="n">
        <v>-0.003411009297100643</v>
      </c>
      <c r="E22" s="62" t="n">
        <v>-0.01357438589464066</v>
      </c>
    </row>
    <row r="23">
      <c r="A23" s="53" t="n">
        <v>18050</v>
      </c>
      <c r="B23" s="61" t="n">
        <v>31.6</v>
      </c>
      <c r="C23" s="62" t="n">
        <v>-0.01040812969891594</v>
      </c>
      <c r="D23" s="62" t="n">
        <v>-0.003411009297100643</v>
      </c>
      <c r="E23" s="62" t="n">
        <v>-0.01357438589464066</v>
      </c>
    </row>
    <row r="24">
      <c r="A24" s="53" t="n">
        <v>18080</v>
      </c>
      <c r="B24" s="61" t="n">
        <v>39</v>
      </c>
      <c r="C24" s="62" t="n">
        <v>-0.005886912058540217</v>
      </c>
      <c r="D24" s="62" t="n">
        <v>0.010324247766707</v>
      </c>
      <c r="E24" s="62" t="n">
        <v>0.04194094483004052</v>
      </c>
    </row>
    <row r="25">
      <c r="A25" s="53" t="n">
        <v>18111</v>
      </c>
      <c r="B25" s="61" t="n">
        <v>47</v>
      </c>
      <c r="C25" s="62" t="n">
        <v>-0.005886912058540217</v>
      </c>
      <c r="D25" s="62" t="n">
        <v>0.010324247766707</v>
      </c>
      <c r="E25" s="62" t="n">
        <v>0.04194094483004052</v>
      </c>
    </row>
    <row r="26">
      <c r="A26" s="53" t="n">
        <v>18142</v>
      </c>
      <c r="B26" s="61" t="n">
        <v>52.3</v>
      </c>
      <c r="C26" s="62" t="n">
        <v>-0.005886912058540217</v>
      </c>
      <c r="D26" s="62" t="n">
        <v>0.010324247766707</v>
      </c>
      <c r="E26" s="62" t="n">
        <v>0.04194094483004052</v>
      </c>
    </row>
    <row r="27">
      <c r="A27" s="53" t="n">
        <v>18172</v>
      </c>
      <c r="B27" s="61" t="n">
        <v>51</v>
      </c>
      <c r="C27" s="62" t="n">
        <v>-0.01533017543202709</v>
      </c>
      <c r="D27" s="62" t="n">
        <v>-0.008392674404299159</v>
      </c>
      <c r="E27" s="62" t="n">
        <v>-0.03315043537256779</v>
      </c>
    </row>
    <row r="28">
      <c r="A28" s="53" t="n">
        <v>18203</v>
      </c>
      <c r="B28" s="61" t="n">
        <v>51</v>
      </c>
      <c r="C28" s="62" t="n">
        <v>-0.01533017543202709</v>
      </c>
      <c r="D28" s="62" t="n">
        <v>-0.008392674404299159</v>
      </c>
      <c r="E28" s="62" t="n">
        <v>-0.03315043537256779</v>
      </c>
    </row>
    <row r="29">
      <c r="A29" s="53" t="n">
        <v>18233</v>
      </c>
      <c r="B29" s="61" t="n">
        <v>57.3</v>
      </c>
      <c r="C29" s="62" t="n">
        <v>-0.01533017543202709</v>
      </c>
      <c r="D29" s="62" t="n">
        <v>-0.008392674404299159</v>
      </c>
      <c r="E29" s="62" t="n">
        <v>-0.03315043537256779</v>
      </c>
    </row>
    <row r="30">
      <c r="A30" s="53" t="n">
        <v>18264</v>
      </c>
      <c r="B30" s="61" t="n">
        <v>59.1</v>
      </c>
      <c r="C30" s="62" t="n">
        <v>0.03766680699249766</v>
      </c>
      <c r="D30" s="62" t="n">
        <v>0.03930097999323078</v>
      </c>
      <c r="E30" s="62" t="n">
        <v>0.1667165198223279</v>
      </c>
    </row>
    <row r="31">
      <c r="A31" s="53" t="n">
        <v>18295</v>
      </c>
      <c r="B31" s="61" t="n">
        <v>60.5</v>
      </c>
      <c r="C31" s="62" t="n">
        <v>0.03766680699249766</v>
      </c>
      <c r="D31" s="62" t="n">
        <v>0.03930097999323078</v>
      </c>
      <c r="E31" s="62" t="n">
        <v>0.1667165198223279</v>
      </c>
    </row>
    <row r="32">
      <c r="A32" s="53" t="n">
        <v>18323</v>
      </c>
      <c r="B32" s="61" t="n">
        <v>62.1</v>
      </c>
      <c r="C32" s="62" t="n">
        <v>0.03766680699249766</v>
      </c>
      <c r="D32" s="62" t="n">
        <v>0.03930097999323078</v>
      </c>
      <c r="E32" s="62" t="n">
        <v>0.1667165198223279</v>
      </c>
    </row>
    <row r="33">
      <c r="A33" s="53" t="n">
        <v>18354</v>
      </c>
      <c r="B33" s="61" t="n">
        <v>68.09999999999999</v>
      </c>
      <c r="C33" s="62" t="n">
        <v>0.0729736062336951</v>
      </c>
      <c r="D33" s="62" t="n">
        <v>0.03049810987643888</v>
      </c>
      <c r="E33" s="62" t="n">
        <v>0.1276875822943975</v>
      </c>
    </row>
    <row r="34">
      <c r="A34" s="53" t="n">
        <v>18384</v>
      </c>
      <c r="B34" s="61" t="n">
        <v>74.7</v>
      </c>
      <c r="C34" s="62" t="n">
        <v>0.0729736062336951</v>
      </c>
      <c r="D34" s="62" t="n">
        <v>0.03049810987643888</v>
      </c>
      <c r="E34" s="62" t="n">
        <v>0.1276875822943975</v>
      </c>
    </row>
    <row r="35">
      <c r="A35" s="53" t="n">
        <v>18415</v>
      </c>
      <c r="B35" s="61" t="n">
        <v>76.59999999999999</v>
      </c>
      <c r="C35" s="62" t="n">
        <v>0.0729736062336951</v>
      </c>
      <c r="D35" s="62" t="n">
        <v>0.03049810987643888</v>
      </c>
      <c r="E35" s="62" t="n">
        <v>0.1276875822943975</v>
      </c>
    </row>
    <row r="36">
      <c r="A36" s="53" t="n">
        <v>18445</v>
      </c>
      <c r="B36" s="61" t="n">
        <v>77.5</v>
      </c>
      <c r="C36" s="62" t="n">
        <v>0.1030495976182812</v>
      </c>
      <c r="D36" s="62" t="n">
        <v>0.03864414603347914</v>
      </c>
      <c r="E36" s="62" t="n">
        <v>0.1637698744608331</v>
      </c>
    </row>
    <row r="37">
      <c r="A37" s="53" t="n">
        <v>18476</v>
      </c>
      <c r="B37" s="61" t="n">
        <v>75.8</v>
      </c>
      <c r="C37" s="62" t="n">
        <v>0.1030495976182812</v>
      </c>
      <c r="D37" s="62" t="n">
        <v>0.03864414603347914</v>
      </c>
      <c r="E37" s="62" t="n">
        <v>0.1637698744608331</v>
      </c>
    </row>
    <row r="38">
      <c r="A38" s="53" t="n">
        <v>18507</v>
      </c>
      <c r="B38" s="61" t="n">
        <v>68.09999999999999</v>
      </c>
      <c r="C38" s="62" t="n">
        <v>0.1030495976182812</v>
      </c>
      <c r="D38" s="62" t="n">
        <v>0.03864414603347914</v>
      </c>
      <c r="E38" s="62" t="n">
        <v>0.1637698744608331</v>
      </c>
    </row>
    <row r="39">
      <c r="A39" s="53" t="n">
        <v>18537</v>
      </c>
      <c r="B39" s="61" t="n">
        <v>59.2</v>
      </c>
      <c r="C39" s="62" t="n">
        <v>0.1336852232840611</v>
      </c>
      <c r="D39" s="62" t="n">
        <v>0.01914780147275002</v>
      </c>
      <c r="E39" s="62" t="n">
        <v>0.07881925139170098</v>
      </c>
    </row>
    <row r="40">
      <c r="A40" s="53" t="n">
        <v>18568</v>
      </c>
      <c r="B40" s="61" t="n">
        <v>63.1</v>
      </c>
      <c r="C40" s="62" t="n">
        <v>0.1336852232840611</v>
      </c>
      <c r="D40" s="62" t="n">
        <v>0.01914780147275002</v>
      </c>
      <c r="E40" s="62" t="n">
        <v>0.07881925139170098</v>
      </c>
    </row>
    <row r="41">
      <c r="A41" s="53" t="n">
        <v>18598</v>
      </c>
      <c r="B41" s="61" t="n">
        <v>67.09999999999999</v>
      </c>
      <c r="C41" s="62" t="n">
        <v>0.1336852232840611</v>
      </c>
      <c r="D41" s="62" t="n">
        <v>0.01914780147275002</v>
      </c>
      <c r="E41" s="62" t="n">
        <v>0.07881925139170098</v>
      </c>
    </row>
    <row r="42">
      <c r="A42" s="53" t="n">
        <v>18629</v>
      </c>
      <c r="B42" s="61" t="n">
        <v>67.8</v>
      </c>
      <c r="C42" s="62" t="n">
        <v>0.1056301212286148</v>
      </c>
      <c r="D42" s="62" t="n">
        <v>0.01358158764235281</v>
      </c>
      <c r="E42" s="62" t="n">
        <v>0.05544316274475447</v>
      </c>
    </row>
    <row r="43">
      <c r="A43" s="53" t="n">
        <v>18660</v>
      </c>
      <c r="B43" s="61" t="n">
        <v>69.3</v>
      </c>
      <c r="C43" s="62" t="n">
        <v>0.1056301212286148</v>
      </c>
      <c r="D43" s="62" t="n">
        <v>0.01358158764235281</v>
      </c>
      <c r="E43" s="62" t="n">
        <v>0.05544316274475447</v>
      </c>
    </row>
    <row r="44">
      <c r="A44" s="53" t="n">
        <v>18688</v>
      </c>
      <c r="B44" s="61" t="n">
        <v>65.5</v>
      </c>
      <c r="C44" s="62" t="n">
        <v>0.1056301212286148</v>
      </c>
      <c r="D44" s="62" t="n">
        <v>0.01358158764235281</v>
      </c>
      <c r="E44" s="62" t="n">
        <v>0.05544316274475447</v>
      </c>
    </row>
    <row r="45">
      <c r="A45" s="53" t="n">
        <v>18719</v>
      </c>
      <c r="B45" s="61" t="n">
        <v>53.5</v>
      </c>
      <c r="C45" s="62" t="n">
        <v>0.09149883823891659</v>
      </c>
      <c r="D45" s="62" t="n">
        <v>0.01732710437341317</v>
      </c>
      <c r="E45" s="62" t="n">
        <v>0.07113068727204275</v>
      </c>
    </row>
    <row r="46">
      <c r="A46" s="53" t="n">
        <v>18749</v>
      </c>
      <c r="B46" s="61" t="n">
        <v>50.7</v>
      </c>
      <c r="C46" s="62" t="n">
        <v>0.09149883823891659</v>
      </c>
      <c r="D46" s="62" t="n">
        <v>0.01732710437341317</v>
      </c>
      <c r="E46" s="62" t="n">
        <v>0.07113068727204275</v>
      </c>
    </row>
    <row r="47">
      <c r="A47" s="53" t="n">
        <v>18780</v>
      </c>
      <c r="B47" s="61" t="n">
        <v>45.5</v>
      </c>
      <c r="C47" s="62" t="n">
        <v>0.09149883823891659</v>
      </c>
      <c r="D47" s="62" t="n">
        <v>0.01732710437341317</v>
      </c>
      <c r="E47" s="62" t="n">
        <v>0.07113068727204275</v>
      </c>
    </row>
    <row r="48">
      <c r="A48" s="53" t="n">
        <v>18810</v>
      </c>
      <c r="B48" s="61" t="n">
        <v>42.1</v>
      </c>
      <c r="C48" s="62" t="n">
        <v>0.07254695501753763</v>
      </c>
      <c r="D48" s="62" t="n">
        <v>0.02060998797981137</v>
      </c>
      <c r="E48" s="62" t="n">
        <v>0.08502378012798339</v>
      </c>
    </row>
    <row r="49">
      <c r="A49" s="53" t="n">
        <v>18841</v>
      </c>
      <c r="B49" s="61" t="n">
        <v>43.6</v>
      </c>
      <c r="C49" s="62" t="n">
        <v>0.07254695501753763</v>
      </c>
      <c r="D49" s="62" t="n">
        <v>0.02060998797981137</v>
      </c>
      <c r="E49" s="62" t="n">
        <v>0.08502378012798339</v>
      </c>
    </row>
    <row r="50">
      <c r="A50" s="53" t="n">
        <v>18872</v>
      </c>
      <c r="B50" s="61" t="n">
        <v>48.1</v>
      </c>
      <c r="C50" s="62" t="n">
        <v>0.07254695501753763</v>
      </c>
      <c r="D50" s="62" t="n">
        <v>0.02060998797981137</v>
      </c>
      <c r="E50" s="62" t="n">
        <v>0.08502378012798339</v>
      </c>
    </row>
    <row r="51">
      <c r="A51" s="53" t="n">
        <v>18902</v>
      </c>
      <c r="B51" s="61" t="n">
        <v>49.6</v>
      </c>
      <c r="C51" s="62" t="n">
        <v>0.05471378494876131</v>
      </c>
      <c r="D51" s="62" t="n">
        <v>0.002202495736847894</v>
      </c>
      <c r="E51" s="62" t="n">
        <v>0.008839131632865316</v>
      </c>
    </row>
    <row r="52">
      <c r="A52" s="53" t="n">
        <v>18933</v>
      </c>
      <c r="B52" s="61" t="n">
        <v>47.2</v>
      </c>
      <c r="C52" s="62" t="n">
        <v>0.05471378494876131</v>
      </c>
      <c r="D52" s="62" t="n">
        <v>0.002202495736847894</v>
      </c>
      <c r="E52" s="62" t="n">
        <v>0.008839131632865316</v>
      </c>
    </row>
    <row r="53">
      <c r="A53" s="53" t="n">
        <v>18963</v>
      </c>
      <c r="B53" s="61" t="n">
        <v>46.5</v>
      </c>
      <c r="C53" s="62" t="n">
        <v>0.05471378494876131</v>
      </c>
      <c r="D53" s="62" t="n">
        <v>0.002202495736847894</v>
      </c>
      <c r="E53" s="62" t="n">
        <v>0.008839131632865316</v>
      </c>
    </row>
    <row r="54">
      <c r="A54" s="53" t="n">
        <v>18994</v>
      </c>
      <c r="B54" s="61" t="n">
        <v>44.7</v>
      </c>
      <c r="C54" s="62" t="n">
        <v>0.05170000881144375</v>
      </c>
      <c r="D54" s="62" t="n">
        <v>0.01068534408732109</v>
      </c>
      <c r="E54" s="62" t="n">
        <v>0.04343132891926405</v>
      </c>
    </row>
    <row r="55">
      <c r="A55" s="53" t="n">
        <v>19025</v>
      </c>
      <c r="B55" s="61" t="n">
        <v>41.8</v>
      </c>
      <c r="C55" s="62" t="n">
        <v>0.05170000881144375</v>
      </c>
      <c r="D55" s="62" t="n">
        <v>0.01068534408732109</v>
      </c>
      <c r="E55" s="62" t="n">
        <v>0.04343132891926405</v>
      </c>
    </row>
    <row r="56">
      <c r="A56" s="53" t="n">
        <v>19054</v>
      </c>
      <c r="B56" s="61" t="n">
        <v>40</v>
      </c>
      <c r="C56" s="62" t="n">
        <v>0.05170000881144375</v>
      </c>
      <c r="D56" s="62" t="n">
        <v>0.01068534408732109</v>
      </c>
      <c r="E56" s="62" t="n">
        <v>0.04343132891926405</v>
      </c>
    </row>
    <row r="57">
      <c r="A57" s="53" t="n">
        <v>19085</v>
      </c>
      <c r="B57" s="61" t="n">
        <v>36.7</v>
      </c>
      <c r="C57" s="62" t="n">
        <v>0.03601420952213661</v>
      </c>
      <c r="D57" s="62" t="n">
        <v>0.002153966941563661</v>
      </c>
      <c r="E57" s="62" t="n">
        <v>0.008643745203244402</v>
      </c>
    </row>
    <row r="58">
      <c r="A58" s="53" t="n">
        <v>19115</v>
      </c>
      <c r="B58" s="61" t="n">
        <v>39.5</v>
      </c>
      <c r="C58" s="62" t="n">
        <v>0.03601420952213661</v>
      </c>
      <c r="D58" s="62" t="n">
        <v>0.002153966941563661</v>
      </c>
      <c r="E58" s="62" t="n">
        <v>0.008643745203244402</v>
      </c>
    </row>
    <row r="59">
      <c r="A59" s="53" t="n">
        <v>19146</v>
      </c>
      <c r="B59" s="61" t="n">
        <v>43.3</v>
      </c>
      <c r="C59" s="62" t="n">
        <v>0.03601420952213661</v>
      </c>
      <c r="D59" s="62" t="n">
        <v>0.002153966941563661</v>
      </c>
      <c r="E59" s="62" t="n">
        <v>0.008643745203244402</v>
      </c>
    </row>
    <row r="60">
      <c r="A60" s="53" t="n">
        <v>19176</v>
      </c>
      <c r="B60" s="61" t="n">
        <v>48.3</v>
      </c>
      <c r="C60" s="62" t="n">
        <v>0.02242059381324991</v>
      </c>
      <c r="D60" s="62" t="n">
        <v>0.007218492151150547</v>
      </c>
      <c r="E60" s="62" t="n">
        <v>0.02918811561848811</v>
      </c>
    </row>
    <row r="61">
      <c r="A61" s="53" t="n">
        <v>19207</v>
      </c>
      <c r="B61" s="61" t="n">
        <v>60.4</v>
      </c>
      <c r="C61" s="62" t="n">
        <v>0.02242059381324991</v>
      </c>
      <c r="D61" s="62" t="n">
        <v>0.007218492151150547</v>
      </c>
      <c r="E61" s="62" t="n">
        <v>0.02918811561848811</v>
      </c>
    </row>
    <row r="62">
      <c r="A62" s="53" t="n">
        <v>19238</v>
      </c>
      <c r="B62" s="61" t="n">
        <v>56.1</v>
      </c>
      <c r="C62" s="62" t="n">
        <v>0.02242059381324991</v>
      </c>
      <c r="D62" s="62" t="n">
        <v>0.007218492151150547</v>
      </c>
      <c r="E62" s="62" t="n">
        <v>0.02918811561848811</v>
      </c>
    </row>
    <row r="63">
      <c r="A63" s="53" t="n">
        <v>19268</v>
      </c>
      <c r="B63" s="61" t="n">
        <v>56.2</v>
      </c>
      <c r="C63" s="62" t="n">
        <v>0.05367836947326245</v>
      </c>
      <c r="D63" s="62" t="n">
        <v>0.03284215711222217</v>
      </c>
      <c r="E63" s="62" t="n">
        <v>0.1379831307047701</v>
      </c>
    </row>
    <row r="64">
      <c r="A64" s="53" t="n">
        <v>19299</v>
      </c>
      <c r="B64" s="61" t="n">
        <v>56.8</v>
      </c>
      <c r="C64" s="62" t="n">
        <v>0.05367836947326245</v>
      </c>
      <c r="D64" s="62" t="n">
        <v>0.03284215711222217</v>
      </c>
      <c r="E64" s="62" t="n">
        <v>0.1379831307047701</v>
      </c>
    </row>
    <row r="65">
      <c r="A65" s="53" t="n">
        <v>19329</v>
      </c>
      <c r="B65" s="61" t="n">
        <v>55.8</v>
      </c>
      <c r="C65" s="62" t="n">
        <v>0.05367836947326245</v>
      </c>
      <c r="D65" s="62" t="n">
        <v>0.03284215711222217</v>
      </c>
      <c r="E65" s="62" t="n">
        <v>0.1379831307047701</v>
      </c>
    </row>
    <row r="66">
      <c r="A66" s="53" t="n">
        <v>19360</v>
      </c>
      <c r="B66" s="61" t="n">
        <v>59.4</v>
      </c>
      <c r="C66" s="62" t="n">
        <v>0.06191789594089729</v>
      </c>
      <c r="D66" s="62" t="n">
        <v>0.01858867482307595</v>
      </c>
      <c r="E66" s="62" t="n">
        <v>0.0764537441153792</v>
      </c>
    </row>
    <row r="67">
      <c r="A67" s="53" t="n">
        <v>19391</v>
      </c>
      <c r="B67" s="61" t="n">
        <v>55.4</v>
      </c>
      <c r="C67" s="62" t="n">
        <v>0.06191789594089729</v>
      </c>
      <c r="D67" s="62" t="n">
        <v>0.01858867482307595</v>
      </c>
      <c r="E67" s="62" t="n">
        <v>0.0764537441153792</v>
      </c>
    </row>
    <row r="68">
      <c r="A68" s="53" t="n">
        <v>19419</v>
      </c>
      <c r="B68" s="61" t="n">
        <v>50.5</v>
      </c>
      <c r="C68" s="62" t="n">
        <v>0.06191789594089729</v>
      </c>
      <c r="D68" s="62" t="n">
        <v>0.01858867482307595</v>
      </c>
      <c r="E68" s="62" t="n">
        <v>0.0764537441153792</v>
      </c>
    </row>
    <row r="69">
      <c r="A69" s="53" t="n">
        <v>19450</v>
      </c>
      <c r="B69" s="61" t="n">
        <v>51.1</v>
      </c>
      <c r="C69" s="62" t="n">
        <v>0.0678258016251124</v>
      </c>
      <c r="D69" s="62" t="n">
        <v>0.007729380201274192</v>
      </c>
      <c r="E69" s="62" t="n">
        <v>0.03127783139942197</v>
      </c>
    </row>
    <row r="70">
      <c r="A70" s="53" t="n">
        <v>19480</v>
      </c>
      <c r="B70" s="61" t="n">
        <v>48.9</v>
      </c>
      <c r="C70" s="62" t="n">
        <v>0.0678258016251124</v>
      </c>
      <c r="D70" s="62" t="n">
        <v>0.007729380201274192</v>
      </c>
      <c r="E70" s="62" t="n">
        <v>0.03127783139942197</v>
      </c>
    </row>
    <row r="71">
      <c r="A71" s="53" t="n">
        <v>19511</v>
      </c>
      <c r="B71" s="61" t="n">
        <v>48.5</v>
      </c>
      <c r="C71" s="62" t="n">
        <v>0.0678258016251124</v>
      </c>
      <c r="D71" s="62" t="n">
        <v>0.007729380201274192</v>
      </c>
      <c r="E71" s="62" t="n">
        <v>0.03127783139942197</v>
      </c>
    </row>
    <row r="72">
      <c r="A72" s="53" t="n">
        <v>19541</v>
      </c>
      <c r="B72" s="61" t="n">
        <v>46.3</v>
      </c>
      <c r="C72" s="62" t="n">
        <v>0.05420760180706296</v>
      </c>
      <c r="D72" s="62" t="n">
        <v>-0.005626770311766005</v>
      </c>
      <c r="E72" s="62" t="n">
        <v>-0.02231782956626527</v>
      </c>
    </row>
    <row r="73">
      <c r="A73" s="53" t="n">
        <v>19572</v>
      </c>
      <c r="B73" s="61" t="n">
        <v>43.5</v>
      </c>
      <c r="C73" s="62" t="n">
        <v>0.05420760180706296</v>
      </c>
      <c r="D73" s="62" t="n">
        <v>-0.005626770311766005</v>
      </c>
      <c r="E73" s="62" t="n">
        <v>-0.02231782956626527</v>
      </c>
    </row>
    <row r="74">
      <c r="A74" s="53" t="n">
        <v>19603</v>
      </c>
      <c r="B74" s="61" t="n">
        <v>40.2</v>
      </c>
      <c r="C74" s="62" t="n">
        <v>0.05420760180706296</v>
      </c>
      <c r="D74" s="62" t="n">
        <v>-0.005626770311766005</v>
      </c>
      <c r="E74" s="62" t="n">
        <v>-0.02231782956626527</v>
      </c>
    </row>
    <row r="75">
      <c r="A75" s="53" t="n">
        <v>19633</v>
      </c>
      <c r="B75" s="61" t="n">
        <v>37.4</v>
      </c>
      <c r="C75" s="62" t="n">
        <v>0.005233488440182029</v>
      </c>
      <c r="D75" s="62" t="n">
        <v>-0.01513940629692239</v>
      </c>
      <c r="E75" s="62" t="n">
        <v>-0.05919624282214508</v>
      </c>
    </row>
    <row r="76">
      <c r="A76" s="53" t="n">
        <v>19664</v>
      </c>
      <c r="B76" s="61" t="n">
        <v>36.9</v>
      </c>
      <c r="C76" s="62" t="n">
        <v>0.005233488440182029</v>
      </c>
      <c r="D76" s="62" t="n">
        <v>-0.01513940629692239</v>
      </c>
      <c r="E76" s="62" t="n">
        <v>-0.05919624282214508</v>
      </c>
    </row>
    <row r="77">
      <c r="A77" s="53" t="n">
        <v>19694</v>
      </c>
      <c r="B77" s="61" t="n">
        <v>35.6</v>
      </c>
      <c r="C77" s="62" t="n">
        <v>0.005233488440182029</v>
      </c>
      <c r="D77" s="62" t="n">
        <v>-0.01513940629692239</v>
      </c>
      <c r="E77" s="62" t="n">
        <v>-0.05919624282214508</v>
      </c>
    </row>
    <row r="78">
      <c r="A78" s="53" t="n">
        <v>19725</v>
      </c>
      <c r="B78" s="61" t="n">
        <v>37.4</v>
      </c>
      <c r="C78" s="62" t="n">
        <v>-0.01782902464311772</v>
      </c>
      <c r="D78" s="62" t="n">
        <v>-0.004780238876824148</v>
      </c>
      <c r="E78" s="62" t="n">
        <v>-0.01898428780973227</v>
      </c>
    </row>
    <row r="79">
      <c r="A79" s="53" t="n">
        <v>19756</v>
      </c>
      <c r="B79" s="61" t="n">
        <v>40.7</v>
      </c>
      <c r="C79" s="62" t="n">
        <v>-0.01782902464311772</v>
      </c>
      <c r="D79" s="62" t="n">
        <v>-0.004780238876824148</v>
      </c>
      <c r="E79" s="62" t="n">
        <v>-0.01898428780973227</v>
      </c>
    </row>
    <row r="80">
      <c r="A80" s="53" t="n">
        <v>19784</v>
      </c>
      <c r="B80" s="61" t="n">
        <v>44.7</v>
      </c>
      <c r="C80" s="62" t="n">
        <v>-0.01782902464311772</v>
      </c>
      <c r="D80" s="62" t="n">
        <v>-0.004780238876824148</v>
      </c>
      <c r="E80" s="62" t="n">
        <v>-0.01898428780973227</v>
      </c>
    </row>
    <row r="81">
      <c r="A81" s="53" t="n">
        <v>19815</v>
      </c>
      <c r="B81" s="61" t="n">
        <v>47.7</v>
      </c>
      <c r="C81" s="62" t="n">
        <v>-0.02430009049587464</v>
      </c>
      <c r="D81" s="62" t="n">
        <v>0.001089921955553936</v>
      </c>
      <c r="E81" s="62" t="n">
        <v>0.004366820581845676</v>
      </c>
    </row>
    <row r="82">
      <c r="A82" s="53" t="n">
        <v>19845</v>
      </c>
      <c r="B82" s="61" t="n">
        <v>50.1</v>
      </c>
      <c r="C82" s="62" t="n">
        <v>-0.02430009049587464</v>
      </c>
      <c r="D82" s="62" t="n">
        <v>0.001089921955553936</v>
      </c>
      <c r="E82" s="62" t="n">
        <v>0.004366820581845676</v>
      </c>
    </row>
    <row r="83">
      <c r="A83" s="53" t="n">
        <v>19876</v>
      </c>
      <c r="B83" s="61" t="n">
        <v>52.1</v>
      </c>
      <c r="C83" s="62" t="n">
        <v>-0.02430009049587464</v>
      </c>
      <c r="D83" s="62" t="n">
        <v>0.001089921955553936</v>
      </c>
      <c r="E83" s="62" t="n">
        <v>0.004366820581845676</v>
      </c>
    </row>
    <row r="84">
      <c r="A84" s="53" t="n">
        <v>19906</v>
      </c>
      <c r="B84" s="61" t="n">
        <v>51.7</v>
      </c>
      <c r="C84" s="62" t="n">
        <v>-0.007697602225000209</v>
      </c>
      <c r="D84" s="62" t="n">
        <v>0.01129346276600556</v>
      </c>
      <c r="E84" s="62" t="n">
        <v>0.04594488271546471</v>
      </c>
    </row>
    <row r="85">
      <c r="A85" s="53" t="n">
        <v>19937</v>
      </c>
      <c r="B85" s="61" t="n">
        <v>54.4</v>
      </c>
      <c r="C85" s="62" t="n">
        <v>-0.007697602225000209</v>
      </c>
      <c r="D85" s="62" t="n">
        <v>0.01129346276600556</v>
      </c>
      <c r="E85" s="62" t="n">
        <v>0.04594488271546471</v>
      </c>
    </row>
    <row r="86">
      <c r="A86" s="53" t="n">
        <v>19968</v>
      </c>
      <c r="B86" s="61" t="n">
        <v>53.5</v>
      </c>
      <c r="C86" s="62" t="n">
        <v>-0.007697602225000209</v>
      </c>
      <c r="D86" s="62" t="n">
        <v>0.01129346276600556</v>
      </c>
      <c r="E86" s="62" t="n">
        <v>0.04594488271546471</v>
      </c>
    </row>
    <row r="87">
      <c r="A87" s="53" t="n">
        <v>19998</v>
      </c>
      <c r="B87" s="61" t="n">
        <v>58.2</v>
      </c>
      <c r="C87" s="62" t="n">
        <v>0.0272709324993938</v>
      </c>
      <c r="D87" s="62" t="n">
        <v>0.01956688076518173</v>
      </c>
      <c r="E87" s="62" t="n">
        <v>0.08059481230675947</v>
      </c>
    </row>
    <row r="88">
      <c r="A88" s="53" t="n">
        <v>20029</v>
      </c>
      <c r="B88" s="61" t="n">
        <v>58.8</v>
      </c>
      <c r="C88" s="62" t="n">
        <v>0.0272709324993938</v>
      </c>
      <c r="D88" s="62" t="n">
        <v>0.01956688076518173</v>
      </c>
      <c r="E88" s="62" t="n">
        <v>0.08059481230675947</v>
      </c>
    </row>
    <row r="89">
      <c r="A89" s="53" t="n">
        <v>20059</v>
      </c>
      <c r="B89" s="61" t="n">
        <v>63.8</v>
      </c>
      <c r="C89" s="62" t="n">
        <v>0.0272709324993938</v>
      </c>
      <c r="D89" s="62" t="n">
        <v>0.01956688076518173</v>
      </c>
      <c r="E89" s="62" t="n">
        <v>0.08059481230675947</v>
      </c>
    </row>
    <row r="90">
      <c r="A90" s="53" t="n">
        <v>20090</v>
      </c>
      <c r="B90" s="61" t="n">
        <v>63</v>
      </c>
      <c r="C90" s="62" t="n">
        <v>0.06168731987059731</v>
      </c>
      <c r="D90" s="62" t="n">
        <v>0.0285623465450719</v>
      </c>
      <c r="E90" s="62" t="n">
        <v>0.1192381030854877</v>
      </c>
    </row>
    <row r="91">
      <c r="A91" s="53" t="n">
        <v>20121</v>
      </c>
      <c r="B91" s="61" t="n">
        <v>67.8</v>
      </c>
      <c r="C91" s="62" t="n">
        <v>0.06168731987059731</v>
      </c>
      <c r="D91" s="62" t="n">
        <v>0.0285623465450719</v>
      </c>
      <c r="E91" s="62" t="n">
        <v>0.1192381030854877</v>
      </c>
    </row>
    <row r="92">
      <c r="A92" s="53" t="n">
        <v>20149</v>
      </c>
      <c r="B92" s="61" t="n">
        <v>67.5</v>
      </c>
      <c r="C92" s="62" t="n">
        <v>0.06168731987059731</v>
      </c>
      <c r="D92" s="62" t="n">
        <v>0.0285623465450719</v>
      </c>
      <c r="E92" s="62" t="n">
        <v>0.1192381030854877</v>
      </c>
    </row>
    <row r="93">
      <c r="A93" s="53" t="n">
        <v>20180</v>
      </c>
      <c r="B93" s="61" t="n">
        <v>68.7</v>
      </c>
      <c r="C93" s="62" t="n">
        <v>0.07778844328178726</v>
      </c>
      <c r="D93" s="62" t="n">
        <v>0.016272049572063</v>
      </c>
      <c r="E93" s="62" t="n">
        <v>0.06669418000707128</v>
      </c>
    </row>
    <row r="94">
      <c r="A94" s="53" t="n">
        <v>20210</v>
      </c>
      <c r="B94" s="61" t="n">
        <v>69.5</v>
      </c>
      <c r="C94" s="62" t="n">
        <v>0.07778844328178726</v>
      </c>
      <c r="D94" s="62" t="n">
        <v>0.016272049572063</v>
      </c>
      <c r="E94" s="62" t="n">
        <v>0.06669418000707128</v>
      </c>
    </row>
    <row r="95">
      <c r="A95" s="53" t="n">
        <v>20241</v>
      </c>
      <c r="B95" s="61" t="n">
        <v>63.3</v>
      </c>
      <c r="C95" s="62" t="n">
        <v>0.07778844328178726</v>
      </c>
      <c r="D95" s="62" t="n">
        <v>0.016272049572063</v>
      </c>
      <c r="E95" s="62" t="n">
        <v>0.06669418000707128</v>
      </c>
    </row>
    <row r="96">
      <c r="A96" s="53" t="n">
        <v>20271</v>
      </c>
      <c r="B96" s="61" t="n">
        <v>66.2</v>
      </c>
      <c r="C96" s="62" t="n">
        <v>0.08014501380924238</v>
      </c>
      <c r="D96" s="62" t="n">
        <v>0.01350464287636728</v>
      </c>
      <c r="E96" s="62" t="n">
        <v>0.05512270869902025</v>
      </c>
    </row>
    <row r="97">
      <c r="A97" s="53" t="n">
        <v>20302</v>
      </c>
      <c r="B97" s="61" t="n">
        <v>64.8</v>
      </c>
      <c r="C97" s="62" t="n">
        <v>0.08014501380924238</v>
      </c>
      <c r="D97" s="62" t="n">
        <v>0.01350464287636728</v>
      </c>
      <c r="E97" s="62" t="n">
        <v>0.05512270869902025</v>
      </c>
    </row>
    <row r="98">
      <c r="A98" s="53" t="n">
        <v>20333</v>
      </c>
      <c r="B98" s="61" t="n">
        <v>62.4</v>
      </c>
      <c r="C98" s="62" t="n">
        <v>0.08014501380924238</v>
      </c>
      <c r="D98" s="62" t="n">
        <v>0.01350464287636728</v>
      </c>
      <c r="E98" s="62" t="n">
        <v>0.05512270869902025</v>
      </c>
    </row>
    <row r="99">
      <c r="A99" s="53" t="n">
        <v>20363</v>
      </c>
      <c r="B99" s="61" t="n">
        <v>63.7</v>
      </c>
      <c r="C99" s="62" t="n">
        <v>0.06577553197708409</v>
      </c>
      <c r="D99" s="62" t="n">
        <v>0.006003287374921507</v>
      </c>
      <c r="E99" s="62" t="n">
        <v>0.0242302529752878</v>
      </c>
    </row>
    <row r="100">
      <c r="A100" s="53" t="n">
        <v>20394</v>
      </c>
      <c r="B100" s="61" t="n">
        <v>62</v>
      </c>
      <c r="C100" s="62" t="n">
        <v>0.06577553197708409</v>
      </c>
      <c r="D100" s="62" t="n">
        <v>0.006003287374921507</v>
      </c>
      <c r="E100" s="62" t="n">
        <v>0.0242302529752878</v>
      </c>
    </row>
    <row r="101">
      <c r="A101" s="53" t="n">
        <v>20424</v>
      </c>
      <c r="B101" s="61" t="n">
        <v>65.59999999999999</v>
      </c>
      <c r="C101" s="62" t="n">
        <v>0.06577553197708409</v>
      </c>
      <c r="D101" s="62" t="n">
        <v>0.006003287374921507</v>
      </c>
      <c r="E101" s="62" t="n">
        <v>0.0242302529752878</v>
      </c>
    </row>
    <row r="102">
      <c r="A102" s="53" t="n">
        <v>20455</v>
      </c>
      <c r="B102" s="61" t="n">
        <v>60.2</v>
      </c>
      <c r="C102" s="62" t="n">
        <v>0.03215548531615189</v>
      </c>
      <c r="D102" s="62" t="n">
        <v>-0.003883804681889066</v>
      </c>
      <c r="E102" s="62" t="n">
        <v>-0.01544494919947736</v>
      </c>
    </row>
    <row r="103">
      <c r="A103" s="53" t="n">
        <v>20486</v>
      </c>
      <c r="B103" s="61" t="n">
        <v>58.2</v>
      </c>
      <c r="C103" s="62" t="n">
        <v>0.03215548531615189</v>
      </c>
      <c r="D103" s="62" t="n">
        <v>-0.003883804681889066</v>
      </c>
      <c r="E103" s="62" t="n">
        <v>-0.01544494919947736</v>
      </c>
    </row>
    <row r="104">
      <c r="A104" s="53" t="n">
        <v>20515</v>
      </c>
      <c r="B104" s="61" t="n">
        <v>57.2</v>
      </c>
      <c r="C104" s="62" t="n">
        <v>0.03215548531615189</v>
      </c>
      <c r="D104" s="62" t="n">
        <v>-0.003883804681889066</v>
      </c>
      <c r="E104" s="62" t="n">
        <v>-0.01544494919947736</v>
      </c>
    </row>
    <row r="105">
      <c r="A105" s="53" t="n">
        <v>20546</v>
      </c>
      <c r="B105" s="61" t="n">
        <v>55.9</v>
      </c>
      <c r="C105" s="62" t="n">
        <v>0.02402145866641133</v>
      </c>
      <c r="D105" s="62" t="n">
        <v>0.0082631942666304</v>
      </c>
      <c r="E105" s="62" t="n">
        <v>0.03346472086182173</v>
      </c>
    </row>
    <row r="106">
      <c r="A106" s="53" t="n">
        <v>20576</v>
      </c>
      <c r="B106" s="61" t="n">
        <v>51.2</v>
      </c>
      <c r="C106" s="62" t="n">
        <v>0.02402145866641133</v>
      </c>
      <c r="D106" s="62" t="n">
        <v>0.0082631942666304</v>
      </c>
      <c r="E106" s="62" t="n">
        <v>0.03346472086182173</v>
      </c>
    </row>
    <row r="107">
      <c r="A107" s="53" t="n">
        <v>20607</v>
      </c>
      <c r="B107" s="61" t="n">
        <v>47.7</v>
      </c>
      <c r="C107" s="62" t="n">
        <v>0.02402145866641133</v>
      </c>
      <c r="D107" s="62" t="n">
        <v>0.0082631942666304</v>
      </c>
      <c r="E107" s="62" t="n">
        <v>0.03346472086182173</v>
      </c>
    </row>
    <row r="108">
      <c r="A108" s="53" t="n">
        <v>20637</v>
      </c>
      <c r="B108" s="61" t="n">
        <v>44.2</v>
      </c>
      <c r="C108" s="62" t="n">
        <v>0.009468964104431793</v>
      </c>
      <c r="D108" s="62" t="n">
        <v>-0.0008983959263615927</v>
      </c>
      <c r="E108" s="62" t="n">
        <v>-0.003588743913787829</v>
      </c>
    </row>
    <row r="109">
      <c r="A109" s="53" t="n">
        <v>20668</v>
      </c>
      <c r="B109" s="61" t="n">
        <v>51.5</v>
      </c>
      <c r="C109" s="62" t="n">
        <v>0.009468964104431793</v>
      </c>
      <c r="D109" s="62" t="n">
        <v>-0.0008983959263615927</v>
      </c>
      <c r="E109" s="62" t="n">
        <v>-0.003588743913787829</v>
      </c>
    </row>
    <row r="110">
      <c r="A110" s="53" t="n">
        <v>20699</v>
      </c>
      <c r="B110" s="61" t="n">
        <v>55.5</v>
      </c>
      <c r="C110" s="62" t="n">
        <v>0.009468964104431793</v>
      </c>
      <c r="D110" s="62" t="n">
        <v>-0.0008983959263615927</v>
      </c>
      <c r="E110" s="62" t="n">
        <v>-0.003588743913787829</v>
      </c>
    </row>
    <row r="111">
      <c r="A111" s="53" t="n">
        <v>20729</v>
      </c>
      <c r="B111" s="61" t="n">
        <v>52.7</v>
      </c>
      <c r="C111" s="62" t="n">
        <v>0.01996033575764006</v>
      </c>
      <c r="D111" s="62" t="n">
        <v>0.01645864038477166</v>
      </c>
      <c r="E111" s="62" t="n">
        <v>0.06747778969521656</v>
      </c>
    </row>
    <row r="112">
      <c r="A112" s="53" t="n">
        <v>20760</v>
      </c>
      <c r="B112" s="61" t="n">
        <v>55</v>
      </c>
      <c r="C112" s="62" t="n">
        <v>0.01996033575764006</v>
      </c>
      <c r="D112" s="62" t="n">
        <v>0.01645864038477166</v>
      </c>
      <c r="E112" s="62" t="n">
        <v>0.06747778969521656</v>
      </c>
    </row>
    <row r="113">
      <c r="A113" s="53" t="n">
        <v>20790</v>
      </c>
      <c r="B113" s="61" t="n">
        <v>52.7</v>
      </c>
      <c r="C113" s="62" t="n">
        <v>0.01996033575764006</v>
      </c>
      <c r="D113" s="62" t="n">
        <v>0.01645864038477166</v>
      </c>
      <c r="E113" s="62" t="n">
        <v>0.06747778969521656</v>
      </c>
    </row>
    <row r="114">
      <c r="A114" s="53" t="n">
        <v>20821</v>
      </c>
      <c r="B114" s="61" t="n">
        <v>53.6</v>
      </c>
      <c r="C114" s="62" t="n">
        <v>0.03049328619767793</v>
      </c>
      <c r="D114" s="62" t="n">
        <v>0.006402911526551642</v>
      </c>
      <c r="E114" s="62" t="n">
        <v>0.02585868145080883</v>
      </c>
    </row>
    <row r="115">
      <c r="A115" s="53" t="n">
        <v>20852</v>
      </c>
      <c r="B115" s="61" t="n">
        <v>51</v>
      </c>
      <c r="C115" s="62" t="n">
        <v>0.03049328619767793</v>
      </c>
      <c r="D115" s="62" t="n">
        <v>0.006402911526551642</v>
      </c>
      <c r="E115" s="62" t="n">
        <v>0.02585868145080883</v>
      </c>
    </row>
    <row r="116">
      <c r="A116" s="53" t="n">
        <v>20880</v>
      </c>
      <c r="B116" s="61" t="n">
        <v>47.5</v>
      </c>
      <c r="C116" s="62" t="n">
        <v>0.03049328619767793</v>
      </c>
      <c r="D116" s="62" t="n">
        <v>0.006402911526551642</v>
      </c>
      <c r="E116" s="62" t="n">
        <v>0.02585868145080883</v>
      </c>
    </row>
    <row r="117">
      <c r="A117" s="53" t="n">
        <v>20911</v>
      </c>
      <c r="B117" s="61" t="n">
        <v>43.1</v>
      </c>
      <c r="C117" s="62" t="n">
        <v>0.01980874270309308</v>
      </c>
      <c r="D117" s="62" t="n">
        <v>-0.002190859240967446</v>
      </c>
      <c r="E117" s="62" t="n">
        <v>-0.008734679818855895</v>
      </c>
    </row>
    <row r="118">
      <c r="A118" s="53" t="n">
        <v>20941</v>
      </c>
      <c r="B118" s="61" t="n">
        <v>43.4</v>
      </c>
      <c r="C118" s="62" t="n">
        <v>0.01980874270309308</v>
      </c>
      <c r="D118" s="62" t="n">
        <v>-0.002190859240967446</v>
      </c>
      <c r="E118" s="62" t="n">
        <v>-0.008734679818855895</v>
      </c>
    </row>
    <row r="119">
      <c r="A119" s="53" t="n">
        <v>20972</v>
      </c>
      <c r="B119" s="61" t="n">
        <v>45.9</v>
      </c>
      <c r="C119" s="62" t="n">
        <v>0.01980874270309308</v>
      </c>
      <c r="D119" s="62" t="n">
        <v>-0.002190859240967446</v>
      </c>
      <c r="E119" s="62" t="n">
        <v>-0.008734679818855895</v>
      </c>
    </row>
    <row r="120">
      <c r="A120" s="53" t="n">
        <v>21002</v>
      </c>
      <c r="B120" s="61" t="n">
        <v>45.7</v>
      </c>
      <c r="C120" s="62" t="n">
        <v>0.03072905883566768</v>
      </c>
      <c r="D120" s="62" t="n">
        <v>0.009800184021214903</v>
      </c>
      <c r="E120" s="62" t="n">
        <v>0.03978077193041729</v>
      </c>
    </row>
    <row r="121">
      <c r="A121" s="53" t="n">
        <v>21033</v>
      </c>
      <c r="B121" s="61" t="n">
        <v>45.3</v>
      </c>
      <c r="C121" s="62" t="n">
        <v>0.03072905883566768</v>
      </c>
      <c r="D121" s="62" t="n">
        <v>0.009800184021214903</v>
      </c>
      <c r="E121" s="62" t="n">
        <v>0.03978077193041729</v>
      </c>
    </row>
    <row r="122">
      <c r="A122" s="53" t="n">
        <v>21064</v>
      </c>
      <c r="B122" s="61" t="n">
        <v>45.8</v>
      </c>
      <c r="C122" s="62" t="n">
        <v>0.03072905883566768</v>
      </c>
      <c r="D122" s="62" t="n">
        <v>0.009800184021214903</v>
      </c>
      <c r="E122" s="62" t="n">
        <v>0.03978077193041729</v>
      </c>
    </row>
    <row r="123">
      <c r="A123" s="53" t="n">
        <v>21094</v>
      </c>
      <c r="B123" s="61" t="n">
        <v>41.1</v>
      </c>
      <c r="C123" s="62" t="n">
        <v>0.003551347149057514</v>
      </c>
      <c r="D123" s="62" t="n">
        <v>-0.01034279655244525</v>
      </c>
      <c r="E123" s="62" t="n">
        <v>-0.04073375974144011</v>
      </c>
    </row>
    <row r="124">
      <c r="A124" s="53" t="n">
        <v>21125</v>
      </c>
      <c r="B124" s="61" t="n">
        <v>40.4</v>
      </c>
      <c r="C124" s="62" t="n">
        <v>0.003551347149057514</v>
      </c>
      <c r="D124" s="62" t="n">
        <v>-0.01034279655244525</v>
      </c>
      <c r="E124" s="62" t="n">
        <v>-0.04073375974144011</v>
      </c>
    </row>
    <row r="125">
      <c r="A125" s="53" t="n">
        <v>21155</v>
      </c>
      <c r="B125" s="61" t="n">
        <v>36.8</v>
      </c>
      <c r="C125" s="62" t="n">
        <v>0.003551347149057514</v>
      </c>
      <c r="D125" s="62" t="n">
        <v>-0.01034279655244525</v>
      </c>
      <c r="E125" s="62" t="n">
        <v>-0.04073375974144011</v>
      </c>
    </row>
    <row r="126">
      <c r="A126" s="53" t="n">
        <v>21186</v>
      </c>
      <c r="B126" s="61" t="n">
        <v>33.4</v>
      </c>
      <c r="C126" s="62" t="n">
        <v>-0.02871428289937513</v>
      </c>
      <c r="D126" s="62" t="n">
        <v>-0.02595440044879475</v>
      </c>
      <c r="E126" s="62" t="n">
        <v>-0.09984529734545644</v>
      </c>
    </row>
    <row r="127">
      <c r="A127" s="53" t="n">
        <v>21217</v>
      </c>
      <c r="B127" s="61" t="n">
        <v>37.2</v>
      </c>
      <c r="C127" s="62" t="n">
        <v>-0.02871428289937513</v>
      </c>
      <c r="D127" s="62" t="n">
        <v>-0.02595440044879475</v>
      </c>
      <c r="E127" s="62" t="n">
        <v>-0.09984529734545644</v>
      </c>
    </row>
    <row r="128">
      <c r="A128" s="53" t="n">
        <v>21245</v>
      </c>
      <c r="B128" s="61" t="n">
        <v>39.8</v>
      </c>
      <c r="C128" s="62" t="n">
        <v>-0.02871428289937513</v>
      </c>
      <c r="D128" s="62" t="n">
        <v>-0.02595440044879475</v>
      </c>
      <c r="E128" s="62" t="n">
        <v>-0.09984529734545644</v>
      </c>
    </row>
    <row r="129">
      <c r="A129" s="53" t="n">
        <v>21276</v>
      </c>
      <c r="B129" s="61" t="n">
        <v>39.1</v>
      </c>
      <c r="C129" s="62" t="n">
        <v>-0.02018409485025101</v>
      </c>
      <c r="D129" s="62" t="n">
        <v>0.006572267260281944</v>
      </c>
      <c r="E129" s="62" t="n">
        <v>0.0265493746369232</v>
      </c>
    </row>
    <row r="130">
      <c r="A130" s="53" t="n">
        <v>21306</v>
      </c>
      <c r="B130" s="61" t="n">
        <v>46.6</v>
      </c>
      <c r="C130" s="62" t="n">
        <v>-0.02018409485025101</v>
      </c>
      <c r="D130" s="62" t="n">
        <v>0.006572267260281944</v>
      </c>
      <c r="E130" s="62" t="n">
        <v>0.0265493746369232</v>
      </c>
    </row>
    <row r="131">
      <c r="A131" s="53" t="n">
        <v>21337</v>
      </c>
      <c r="B131" s="61" t="n">
        <v>51.4</v>
      </c>
      <c r="C131" s="62" t="n">
        <v>-0.02018409485025101</v>
      </c>
      <c r="D131" s="62" t="n">
        <v>0.006572267260281944</v>
      </c>
      <c r="E131" s="62" t="n">
        <v>0.0265493746369232</v>
      </c>
    </row>
    <row r="132">
      <c r="A132" s="53" t="n">
        <v>21367</v>
      </c>
      <c r="B132" s="61" t="n">
        <v>54.7</v>
      </c>
      <c r="C132" s="62" t="n">
        <v>-0.007247978855669773</v>
      </c>
      <c r="D132" s="62" t="n">
        <v>0.02313217041089436</v>
      </c>
      <c r="E132" s="62" t="n">
        <v>0.09578906366867113</v>
      </c>
    </row>
    <row r="133">
      <c r="A133" s="53" t="n">
        <v>21398</v>
      </c>
      <c r="B133" s="61" t="n">
        <v>57.3</v>
      </c>
      <c r="C133" s="62" t="n">
        <v>-0.007247978855669773</v>
      </c>
      <c r="D133" s="62" t="n">
        <v>0.02313217041089436</v>
      </c>
      <c r="E133" s="62" t="n">
        <v>0.09578906366867113</v>
      </c>
    </row>
    <row r="134">
      <c r="A134" s="53" t="n">
        <v>21429</v>
      </c>
      <c r="B134" s="61" t="n">
        <v>59.8</v>
      </c>
      <c r="C134" s="62" t="n">
        <v>-0.007247978855669773</v>
      </c>
      <c r="D134" s="62" t="n">
        <v>0.02313217041089436</v>
      </c>
      <c r="E134" s="62" t="n">
        <v>0.09578906366867113</v>
      </c>
    </row>
    <row r="135">
      <c r="A135" s="53" t="n">
        <v>21459</v>
      </c>
      <c r="B135" s="61" t="n">
        <v>62.3</v>
      </c>
      <c r="C135" s="62" t="n">
        <v>0.02658137334527886</v>
      </c>
      <c r="D135" s="62" t="n">
        <v>0.02338109559842837</v>
      </c>
      <c r="E135" s="62" t="n">
        <v>0.09685586253705125</v>
      </c>
    </row>
    <row r="136">
      <c r="A136" s="53" t="n">
        <v>21490</v>
      </c>
      <c r="B136" s="61" t="n">
        <v>62.7</v>
      </c>
      <c r="C136" s="62" t="n">
        <v>0.02658137334527886</v>
      </c>
      <c r="D136" s="62" t="n">
        <v>0.02338109559842837</v>
      </c>
      <c r="E136" s="62" t="n">
        <v>0.09685586253705125</v>
      </c>
    </row>
    <row r="137">
      <c r="A137" s="53" t="n">
        <v>21520</v>
      </c>
      <c r="B137" s="61" t="n">
        <v>60.5</v>
      </c>
      <c r="C137" s="62" t="n">
        <v>0.02658137334527886</v>
      </c>
      <c r="D137" s="62" t="n">
        <v>0.02338109559842837</v>
      </c>
      <c r="E137" s="62" t="n">
        <v>0.09685586253705125</v>
      </c>
    </row>
    <row r="138">
      <c r="A138" s="53" t="n">
        <v>21551</v>
      </c>
      <c r="B138" s="61" t="n">
        <v>64.40000000000001</v>
      </c>
      <c r="C138" s="62" t="n">
        <v>0.07416649216495934</v>
      </c>
      <c r="D138" s="62" t="n">
        <v>0.0191955280360675</v>
      </c>
      <c r="E138" s="62" t="n">
        <v>0.07902134946672668</v>
      </c>
    </row>
    <row r="139">
      <c r="A139" s="53" t="n">
        <v>21582</v>
      </c>
      <c r="B139" s="61" t="n">
        <v>66.90000000000001</v>
      </c>
      <c r="C139" s="62" t="n">
        <v>0.07416649216495934</v>
      </c>
      <c r="D139" s="62" t="n">
        <v>0.0191955280360675</v>
      </c>
      <c r="E139" s="62" t="n">
        <v>0.07902134946672668</v>
      </c>
    </row>
    <row r="140">
      <c r="A140" s="53" t="n">
        <v>21610</v>
      </c>
      <c r="B140" s="61" t="n">
        <v>67.09999999999999</v>
      </c>
      <c r="C140" s="62" t="n">
        <v>0.07416649216495934</v>
      </c>
      <c r="D140" s="62" t="n">
        <v>0.0191955280360675</v>
      </c>
      <c r="E140" s="62" t="n">
        <v>0.07902134946672668</v>
      </c>
    </row>
    <row r="141">
      <c r="A141" s="53" t="n">
        <v>21641</v>
      </c>
      <c r="B141" s="61" t="n">
        <v>66.90000000000001</v>
      </c>
      <c r="C141" s="62" t="n">
        <v>0.09121898479706364</v>
      </c>
      <c r="D141" s="62" t="n">
        <v>0.02255169530643302</v>
      </c>
      <c r="E141" s="62" t="n">
        <v>0.09330439091654585</v>
      </c>
    </row>
    <row r="142">
      <c r="A142" s="53" t="n">
        <v>21671</v>
      </c>
      <c r="B142" s="61" t="n">
        <v>68.2</v>
      </c>
      <c r="C142" s="62" t="n">
        <v>0.09121898479706364</v>
      </c>
      <c r="D142" s="62" t="n">
        <v>0.02255169530643302</v>
      </c>
      <c r="E142" s="62" t="n">
        <v>0.09330439091654585</v>
      </c>
    </row>
    <row r="143">
      <c r="A143" s="53" t="n">
        <v>21702</v>
      </c>
      <c r="B143" s="61" t="n">
        <v>64.40000000000001</v>
      </c>
      <c r="C143" s="62" t="n">
        <v>0.09121898479706364</v>
      </c>
      <c r="D143" s="62" t="n">
        <v>0.02255169530643302</v>
      </c>
      <c r="E143" s="62" t="n">
        <v>0.09330439091654585</v>
      </c>
    </row>
    <row r="144">
      <c r="A144" s="53" t="n">
        <v>21732</v>
      </c>
      <c r="B144" s="61" t="n">
        <v>61.5</v>
      </c>
      <c r="C144" s="62" t="n">
        <v>0.06729998744621234</v>
      </c>
      <c r="D144" s="62" t="n">
        <v>0.0007056034114390727</v>
      </c>
      <c r="E144" s="62" t="n">
        <v>0.002825402308261893</v>
      </c>
    </row>
    <row r="145">
      <c r="A145" s="53" t="n">
        <v>21763</v>
      </c>
      <c r="B145" s="61" t="n">
        <v>55.1</v>
      </c>
      <c r="C145" s="62" t="n">
        <v>0.06729998744621234</v>
      </c>
      <c r="D145" s="62" t="n">
        <v>0.0007056034114390727</v>
      </c>
      <c r="E145" s="62" t="n">
        <v>0.002825402308261893</v>
      </c>
    </row>
    <row r="146">
      <c r="A146" s="53" t="n">
        <v>21794</v>
      </c>
      <c r="B146" s="61" t="n">
        <v>48.3</v>
      </c>
      <c r="C146" s="62" t="n">
        <v>0.06729998744621234</v>
      </c>
      <c r="D146" s="62" t="n">
        <v>0.0007056034114390727</v>
      </c>
      <c r="E146" s="62" t="n">
        <v>0.002825402308261893</v>
      </c>
    </row>
    <row r="147">
      <c r="A147" s="53" t="n">
        <v>21824</v>
      </c>
      <c r="B147" s="61" t="n">
        <v>49.7</v>
      </c>
      <c r="C147" s="62" t="n">
        <v>0.04588663294771754</v>
      </c>
      <c r="D147" s="62" t="n">
        <v>0.002848890553113953</v>
      </c>
      <c r="E147" s="62" t="n">
        <v>0.01144435183103409</v>
      </c>
    </row>
    <row r="148">
      <c r="A148" s="53" t="n">
        <v>21855</v>
      </c>
      <c r="B148" s="61" t="n">
        <v>50.6</v>
      </c>
      <c r="C148" s="62" t="n">
        <v>0.04588663294771754</v>
      </c>
      <c r="D148" s="62" t="n">
        <v>0.002848890553113953</v>
      </c>
      <c r="E148" s="62" t="n">
        <v>0.01144435183103409</v>
      </c>
    </row>
    <row r="149">
      <c r="A149" s="53" t="n">
        <v>21885</v>
      </c>
      <c r="B149" s="61" t="n">
        <v>58.2</v>
      </c>
      <c r="C149" s="62" t="n">
        <v>0.04588663294771754</v>
      </c>
      <c r="D149" s="62" t="n">
        <v>0.002848890553113953</v>
      </c>
      <c r="E149" s="62" t="n">
        <v>0.01144435183103409</v>
      </c>
    </row>
    <row r="150">
      <c r="A150" s="53" t="n">
        <v>21916</v>
      </c>
      <c r="B150" s="61" t="n">
        <v>61.5</v>
      </c>
      <c r="C150" s="62" t="n">
        <v>0.04925418808967289</v>
      </c>
      <c r="D150" s="62" t="n">
        <v>0.02247714291953005</v>
      </c>
      <c r="E150" s="62" t="n">
        <v>0.0929855824345418</v>
      </c>
    </row>
    <row r="151">
      <c r="A151" s="53" t="n">
        <v>21947</v>
      </c>
      <c r="B151" s="61" t="n">
        <v>52.3</v>
      </c>
      <c r="C151" s="62" t="n">
        <v>0.04925418808967289</v>
      </c>
      <c r="D151" s="62" t="n">
        <v>0.02247714291953005</v>
      </c>
      <c r="E151" s="62" t="n">
        <v>0.0929855824345418</v>
      </c>
    </row>
    <row r="152">
      <c r="A152" s="53" t="n">
        <v>21976</v>
      </c>
      <c r="B152" s="61" t="n">
        <v>47.8</v>
      </c>
      <c r="C152" s="62" t="n">
        <v>0.04925418808967289</v>
      </c>
      <c r="D152" s="62" t="n">
        <v>0.02247714291953005</v>
      </c>
      <c r="E152" s="62" t="n">
        <v>0.0929855824345418</v>
      </c>
    </row>
    <row r="153">
      <c r="A153" s="53" t="n">
        <v>22007</v>
      </c>
      <c r="B153" s="61" t="n">
        <v>45.3</v>
      </c>
      <c r="C153" s="62" t="n">
        <v>0.02058208211858835</v>
      </c>
      <c r="D153" s="62" t="n">
        <v>-0.005390733612642711</v>
      </c>
      <c r="E153" s="62" t="n">
        <v>-0.02138920017185875</v>
      </c>
    </row>
    <row r="154">
      <c r="A154" s="53" t="n">
        <v>22037</v>
      </c>
      <c r="B154" s="61" t="n">
        <v>42.6</v>
      </c>
      <c r="C154" s="62" t="n">
        <v>0.02058208211858835</v>
      </c>
      <c r="D154" s="62" t="n">
        <v>-0.005390733612642711</v>
      </c>
      <c r="E154" s="62" t="n">
        <v>-0.02138920017185875</v>
      </c>
    </row>
    <row r="155">
      <c r="A155" s="53" t="n">
        <v>22068</v>
      </c>
      <c r="B155" s="61" t="n">
        <v>44.4</v>
      </c>
      <c r="C155" s="62" t="n">
        <v>0.02058208211858835</v>
      </c>
      <c r="D155" s="62" t="n">
        <v>-0.005390733612642711</v>
      </c>
      <c r="E155" s="62" t="n">
        <v>-0.02138920017185875</v>
      </c>
    </row>
    <row r="156">
      <c r="A156" s="53" t="n">
        <v>22098</v>
      </c>
      <c r="B156" s="61" t="n">
        <v>43.7</v>
      </c>
      <c r="C156" s="62" t="n">
        <v>0.02485388760787348</v>
      </c>
      <c r="D156" s="62" t="n">
        <v>0.004894212798875544</v>
      </c>
      <c r="E156" s="62" t="n">
        <v>0.0197210406133479</v>
      </c>
    </row>
    <row r="157">
      <c r="A157" s="53" t="n">
        <v>22129</v>
      </c>
      <c r="B157" s="61" t="n">
        <v>47.6</v>
      </c>
      <c r="C157" s="62" t="n">
        <v>0.02485388760787348</v>
      </c>
      <c r="D157" s="62" t="n">
        <v>0.004894212798875544</v>
      </c>
      <c r="E157" s="62" t="n">
        <v>0.0197210406133479</v>
      </c>
    </row>
    <row r="158">
      <c r="A158" s="53" t="n">
        <v>22160</v>
      </c>
      <c r="B158" s="61" t="n">
        <v>45.4</v>
      </c>
      <c r="C158" s="62" t="n">
        <v>0.02485388760787348</v>
      </c>
      <c r="D158" s="62" t="n">
        <v>0.004894212798875544</v>
      </c>
      <c r="E158" s="62" t="n">
        <v>0.0197210406133479</v>
      </c>
    </row>
    <row r="159">
      <c r="A159" s="53" t="n">
        <v>22190</v>
      </c>
      <c r="B159" s="61" t="n">
        <v>46</v>
      </c>
      <c r="C159" s="62" t="n">
        <v>0.008826841433780762</v>
      </c>
      <c r="D159" s="62" t="n">
        <v>-0.01283403329474103</v>
      </c>
      <c r="E159" s="62" t="n">
        <v>-0.05035628728337027</v>
      </c>
    </row>
    <row r="160">
      <c r="A160" s="53" t="n">
        <v>22221</v>
      </c>
      <c r="B160" s="61" t="n">
        <v>44.3</v>
      </c>
      <c r="C160" s="62" t="n">
        <v>0.008826841433780762</v>
      </c>
      <c r="D160" s="62" t="n">
        <v>-0.01283403329474103</v>
      </c>
      <c r="E160" s="62" t="n">
        <v>-0.05035628728337027</v>
      </c>
    </row>
    <row r="161">
      <c r="A161" s="53" t="n">
        <v>22251</v>
      </c>
      <c r="B161" s="61" t="n">
        <v>44.3</v>
      </c>
      <c r="C161" s="62" t="n">
        <v>0.008826841433780762</v>
      </c>
      <c r="D161" s="62" t="n">
        <v>-0.01283403329474103</v>
      </c>
      <c r="E161" s="62" t="n">
        <v>-0.05035628728337027</v>
      </c>
    </row>
    <row r="162">
      <c r="A162" s="53" t="n">
        <v>22282</v>
      </c>
      <c r="B162" s="61" t="n">
        <v>43.9</v>
      </c>
      <c r="C162" s="62" t="n">
        <v>-0.006691282418001814</v>
      </c>
      <c r="D162" s="62" t="n">
        <v>0.006749045402922131</v>
      </c>
      <c r="E162" s="62" t="n">
        <v>0.02727071103520817</v>
      </c>
    </row>
    <row r="163">
      <c r="A163" s="53" t="n">
        <v>22313</v>
      </c>
      <c r="B163" s="61" t="n">
        <v>43.6</v>
      </c>
      <c r="C163" s="62" t="n">
        <v>-0.006691282418001814</v>
      </c>
      <c r="D163" s="62" t="n">
        <v>0.006749045402922131</v>
      </c>
      <c r="E163" s="62" t="n">
        <v>0.02727071103520817</v>
      </c>
    </row>
    <row r="164">
      <c r="A164" s="53" t="n">
        <v>22341</v>
      </c>
      <c r="B164" s="61" t="n">
        <v>49.1</v>
      </c>
      <c r="C164" s="62" t="n">
        <v>-0.006691282418001814</v>
      </c>
      <c r="D164" s="62" t="n">
        <v>0.006749045402922131</v>
      </c>
      <c r="E164" s="62" t="n">
        <v>0.02727071103520817</v>
      </c>
    </row>
    <row r="165">
      <c r="A165" s="53" t="n">
        <v>22372</v>
      </c>
      <c r="B165" s="61" t="n">
        <v>57.6</v>
      </c>
      <c r="C165" s="62" t="n">
        <v>0.01564454936035679</v>
      </c>
      <c r="D165" s="62" t="n">
        <v>0.01697434268841248</v>
      </c>
      <c r="E165" s="62" t="n">
        <v>0.06964578678446354</v>
      </c>
    </row>
    <row r="166">
      <c r="A166" s="53" t="n">
        <v>22402</v>
      </c>
      <c r="B166" s="61" t="n">
        <v>58.9</v>
      </c>
      <c r="C166" s="62" t="n">
        <v>0.01564454936035679</v>
      </c>
      <c r="D166" s="62" t="n">
        <v>0.01697434268841248</v>
      </c>
      <c r="E166" s="62" t="n">
        <v>0.06964578678446354</v>
      </c>
    </row>
    <row r="167">
      <c r="A167" s="53" t="n">
        <v>22433</v>
      </c>
      <c r="B167" s="61" t="n">
        <v>58.1</v>
      </c>
      <c r="C167" s="62" t="n">
        <v>0.01564454936035679</v>
      </c>
      <c r="D167" s="62" t="n">
        <v>0.01697434268841248</v>
      </c>
      <c r="E167" s="62" t="n">
        <v>0.06964578678446354</v>
      </c>
    </row>
    <row r="168">
      <c r="A168" s="53" t="n">
        <v>22463</v>
      </c>
      <c r="B168" s="61" t="n">
        <v>58.2</v>
      </c>
      <c r="C168" s="62" t="n">
        <v>0.03009920537414091</v>
      </c>
      <c r="D168" s="62" t="n">
        <v>0.01919586999321395</v>
      </c>
      <c r="E168" s="62" t="n">
        <v>0.07902279758629582</v>
      </c>
    </row>
    <row r="169">
      <c r="A169" s="53" t="n">
        <v>22494</v>
      </c>
      <c r="B169" s="61" t="n">
        <v>60.7</v>
      </c>
      <c r="C169" s="62" t="n">
        <v>0.03009920537414091</v>
      </c>
      <c r="D169" s="62" t="n">
        <v>0.01919586999321395</v>
      </c>
      <c r="E169" s="62" t="n">
        <v>0.07902279758629582</v>
      </c>
    </row>
    <row r="170">
      <c r="A170" s="53" t="n">
        <v>22525</v>
      </c>
      <c r="B170" s="61" t="n">
        <v>63</v>
      </c>
      <c r="C170" s="62" t="n">
        <v>0.03009920537414091</v>
      </c>
      <c r="D170" s="62" t="n">
        <v>0.01919586999321395</v>
      </c>
      <c r="E170" s="62" t="n">
        <v>0.07902279758629582</v>
      </c>
    </row>
    <row r="171">
      <c r="A171" s="53" t="n">
        <v>22555</v>
      </c>
      <c r="B171" s="61" t="n">
        <v>62.2</v>
      </c>
      <c r="C171" s="62" t="n">
        <v>0.06395529866698081</v>
      </c>
      <c r="D171" s="62" t="n">
        <v>0.01961098063200084</v>
      </c>
      <c r="E171" s="62" t="n">
        <v>0.08078178259819491</v>
      </c>
    </row>
    <row r="172">
      <c r="A172" s="53" t="n">
        <v>22586</v>
      </c>
      <c r="B172" s="61" t="n">
        <v>59</v>
      </c>
      <c r="C172" s="62" t="n">
        <v>0.06395529866698081</v>
      </c>
      <c r="D172" s="62" t="n">
        <v>0.01961098063200084</v>
      </c>
      <c r="E172" s="62" t="n">
        <v>0.08078178259819491</v>
      </c>
    </row>
    <row r="173">
      <c r="A173" s="53" t="n">
        <v>22616</v>
      </c>
      <c r="B173" s="61" t="n">
        <v>64.2</v>
      </c>
      <c r="C173" s="62" t="n">
        <v>0.06395529866698081</v>
      </c>
      <c r="D173" s="62" t="n">
        <v>0.01961098063200084</v>
      </c>
      <c r="E173" s="62" t="n">
        <v>0.08078178259819491</v>
      </c>
    </row>
    <row r="174">
      <c r="A174" s="53" t="n">
        <v>22647</v>
      </c>
      <c r="B174" s="61" t="n">
        <v>60.9</v>
      </c>
      <c r="C174" s="62" t="n">
        <v>0.07567276039846248</v>
      </c>
      <c r="D174" s="62" t="n">
        <v>0.01783648810610167</v>
      </c>
      <c r="E174" s="62" t="n">
        <v>0.0732775935086929</v>
      </c>
    </row>
    <row r="175">
      <c r="A175" s="53" t="n">
        <v>22678</v>
      </c>
      <c r="B175" s="61" t="n">
        <v>61.1</v>
      </c>
      <c r="C175" s="62" t="n">
        <v>0.07567276039846248</v>
      </c>
      <c r="D175" s="62" t="n">
        <v>0.01783648810610167</v>
      </c>
      <c r="E175" s="62" t="n">
        <v>0.0732775935086929</v>
      </c>
    </row>
    <row r="176">
      <c r="A176" s="53" t="n">
        <v>22706</v>
      </c>
      <c r="B176" s="61" t="n">
        <v>60.6</v>
      </c>
      <c r="C176" s="62" t="n">
        <v>0.07567276039846248</v>
      </c>
      <c r="D176" s="62" t="n">
        <v>0.01783648810610167</v>
      </c>
      <c r="E176" s="62" t="n">
        <v>0.0732775935086929</v>
      </c>
    </row>
    <row r="177">
      <c r="A177" s="53" t="n">
        <v>22737</v>
      </c>
      <c r="B177" s="61" t="n">
        <v>55.1</v>
      </c>
      <c r="C177" s="62" t="n">
        <v>0.06727690210834143</v>
      </c>
      <c r="D177" s="62" t="n">
        <v>0.009036638230099307</v>
      </c>
      <c r="E177" s="62" t="n">
        <v>0.03663947632942954</v>
      </c>
    </row>
    <row r="178">
      <c r="A178" s="53" t="n">
        <v>22767</v>
      </c>
      <c r="B178" s="61" t="n">
        <v>52.2</v>
      </c>
      <c r="C178" s="62" t="n">
        <v>0.06727690210834143</v>
      </c>
      <c r="D178" s="62" t="n">
        <v>0.009036638230099307</v>
      </c>
      <c r="E178" s="62" t="n">
        <v>0.03663947632942954</v>
      </c>
    </row>
    <row r="179">
      <c r="A179" s="53" t="n">
        <v>22798</v>
      </c>
      <c r="B179" s="61" t="n">
        <v>50.8</v>
      </c>
      <c r="C179" s="62" t="n">
        <v>0.06727690210834143</v>
      </c>
      <c r="D179" s="62" t="n">
        <v>0.009036638230099307</v>
      </c>
      <c r="E179" s="62" t="n">
        <v>0.03663947632942954</v>
      </c>
    </row>
    <row r="180">
      <c r="A180" s="53" t="n">
        <v>22828</v>
      </c>
      <c r="B180" s="61" t="n">
        <v>51</v>
      </c>
      <c r="C180" s="62" t="n">
        <v>0.06004014529110666</v>
      </c>
      <c r="D180" s="62" t="n">
        <v>0.01228513047875363</v>
      </c>
      <c r="E180" s="62" t="n">
        <v>0.05005350778378159</v>
      </c>
    </row>
    <row r="181">
      <c r="A181" s="53" t="n">
        <v>22859</v>
      </c>
      <c r="B181" s="61" t="n">
        <v>49.5</v>
      </c>
      <c r="C181" s="62" t="n">
        <v>0.06004014529110666</v>
      </c>
      <c r="D181" s="62" t="n">
        <v>0.01228513047875363</v>
      </c>
      <c r="E181" s="62" t="n">
        <v>0.05005350778378159</v>
      </c>
    </row>
    <row r="182">
      <c r="A182" s="53" t="n">
        <v>22890</v>
      </c>
      <c r="B182" s="61" t="n">
        <v>50</v>
      </c>
      <c r="C182" s="62" t="n">
        <v>0.06004014529110666</v>
      </c>
      <c r="D182" s="62" t="n">
        <v>0.01228513047875363</v>
      </c>
      <c r="E182" s="62" t="n">
        <v>0.05005350778378159</v>
      </c>
    </row>
    <row r="183">
      <c r="A183" s="53" t="n">
        <v>22920</v>
      </c>
      <c r="B183" s="61" t="n">
        <v>51.2</v>
      </c>
      <c r="C183" s="62" t="n">
        <v>0.04307098907154014</v>
      </c>
      <c r="D183" s="62" t="n">
        <v>0.003289015760775699</v>
      </c>
      <c r="E183" s="62" t="n">
        <v>0.01322111122552383</v>
      </c>
    </row>
    <row r="184">
      <c r="A184" s="53" t="n">
        <v>22951</v>
      </c>
      <c r="B184" s="61" t="n">
        <v>53.8</v>
      </c>
      <c r="C184" s="62" t="n">
        <v>0.04307098907154014</v>
      </c>
      <c r="D184" s="62" t="n">
        <v>0.003289015760775699</v>
      </c>
      <c r="E184" s="62" t="n">
        <v>0.01322111122552383</v>
      </c>
    </row>
    <row r="185">
      <c r="A185" s="53" t="n">
        <v>22981</v>
      </c>
      <c r="B185" s="61" t="n">
        <v>57.2</v>
      </c>
      <c r="C185" s="62" t="n">
        <v>0.04307098907154014</v>
      </c>
      <c r="D185" s="62" t="n">
        <v>0.003289015760775699</v>
      </c>
      <c r="E185" s="62" t="n">
        <v>0.01322111122552383</v>
      </c>
    </row>
    <row r="186">
      <c r="A186" s="53" t="n">
        <v>23012</v>
      </c>
      <c r="B186" s="61" t="n">
        <v>55.2</v>
      </c>
      <c r="C186" s="62" t="n">
        <v>0.03597866315202198</v>
      </c>
      <c r="D186" s="62" t="n">
        <v>0.01091574332261203</v>
      </c>
      <c r="E186" s="62" t="n">
        <v>0.04438311079570911</v>
      </c>
    </row>
    <row r="187">
      <c r="A187" s="53" t="n">
        <v>23043</v>
      </c>
      <c r="B187" s="61" t="n">
        <v>55.1</v>
      </c>
      <c r="C187" s="62" t="n">
        <v>0.03597866315202198</v>
      </c>
      <c r="D187" s="62" t="n">
        <v>0.01091574332261203</v>
      </c>
      <c r="E187" s="62" t="n">
        <v>0.04438311079570911</v>
      </c>
    </row>
    <row r="188">
      <c r="A188" s="53" t="n">
        <v>23071</v>
      </c>
      <c r="B188" s="61" t="n">
        <v>54.7</v>
      </c>
      <c r="C188" s="62" t="n">
        <v>0.03597866315202198</v>
      </c>
      <c r="D188" s="62" t="n">
        <v>0.01091574332261203</v>
      </c>
      <c r="E188" s="62" t="n">
        <v>0.04438311079570911</v>
      </c>
    </row>
    <row r="189">
      <c r="A189" s="53" t="n">
        <v>23102</v>
      </c>
      <c r="B189" s="61" t="n">
        <v>57.6</v>
      </c>
      <c r="C189" s="62" t="n">
        <v>0.03822156925386823</v>
      </c>
      <c r="D189" s="62" t="n">
        <v>0.01122121452821232</v>
      </c>
      <c r="E189" s="62" t="n">
        <v>0.0456460196068611</v>
      </c>
    </row>
    <row r="190">
      <c r="A190" s="53" t="n">
        <v>23132</v>
      </c>
      <c r="B190" s="61" t="n">
        <v>59.8</v>
      </c>
      <c r="C190" s="62" t="n">
        <v>0.03822156925386823</v>
      </c>
      <c r="D190" s="62" t="n">
        <v>0.01122121452821232</v>
      </c>
      <c r="E190" s="62" t="n">
        <v>0.0456460196068611</v>
      </c>
    </row>
    <row r="191">
      <c r="A191" s="53" t="n">
        <v>23163</v>
      </c>
      <c r="B191" s="61" t="n">
        <v>58.2</v>
      </c>
      <c r="C191" s="62" t="n">
        <v>0.03822156925386823</v>
      </c>
      <c r="D191" s="62" t="n">
        <v>0.01122121452821232</v>
      </c>
      <c r="E191" s="62" t="n">
        <v>0.0456460196068611</v>
      </c>
    </row>
    <row r="192">
      <c r="A192" s="53" t="n">
        <v>23193</v>
      </c>
      <c r="B192" s="61" t="n">
        <v>55.5</v>
      </c>
      <c r="C192" s="62" t="n">
        <v>0.04816929346261294</v>
      </c>
      <c r="D192" s="62" t="n">
        <v>0.02198434459337918</v>
      </c>
      <c r="E192" s="62" t="n">
        <v>0.09087998154472299</v>
      </c>
    </row>
    <row r="193">
      <c r="A193" s="53" t="n">
        <v>23224</v>
      </c>
      <c r="B193" s="61" t="n">
        <v>55.1</v>
      </c>
      <c r="C193" s="62" t="n">
        <v>0.04816929346261294</v>
      </c>
      <c r="D193" s="62" t="n">
        <v>0.02198434459337918</v>
      </c>
      <c r="E193" s="62" t="n">
        <v>0.09087998154472299</v>
      </c>
    </row>
    <row r="194">
      <c r="A194" s="53" t="n">
        <v>23255</v>
      </c>
      <c r="B194" s="61" t="n">
        <v>56.9</v>
      </c>
      <c r="C194" s="62" t="n">
        <v>0.04816929346261294</v>
      </c>
      <c r="D194" s="62" t="n">
        <v>0.02198434459337918</v>
      </c>
      <c r="E194" s="62" t="n">
        <v>0.09087998154472299</v>
      </c>
    </row>
    <row r="195">
      <c r="A195" s="53" t="n">
        <v>23285</v>
      </c>
      <c r="B195" s="61" t="n">
        <v>57.7</v>
      </c>
      <c r="C195" s="62" t="n">
        <v>0.05158244565253732</v>
      </c>
      <c r="D195" s="62" t="n">
        <v>0.006556024365806074</v>
      </c>
      <c r="E195" s="62" t="n">
        <v>0.02648311519341751</v>
      </c>
    </row>
    <row r="196">
      <c r="A196" s="53" t="n">
        <v>23316</v>
      </c>
      <c r="B196" s="61" t="n">
        <v>57.5</v>
      </c>
      <c r="C196" s="62" t="n">
        <v>0.05158244565253732</v>
      </c>
      <c r="D196" s="62" t="n">
        <v>0.006556024365806074</v>
      </c>
      <c r="E196" s="62" t="n">
        <v>0.02648311519341751</v>
      </c>
    </row>
    <row r="197">
      <c r="A197" s="53" t="n">
        <v>23346</v>
      </c>
      <c r="B197" s="61" t="n">
        <v>54</v>
      </c>
      <c r="C197" s="62" t="n">
        <v>0.05158244565253732</v>
      </c>
      <c r="D197" s="62" t="n">
        <v>0.006556024365806074</v>
      </c>
      <c r="E197" s="62" t="n">
        <v>0.02648311519341751</v>
      </c>
    </row>
    <row r="198">
      <c r="A198" s="53" t="n">
        <v>23377</v>
      </c>
      <c r="B198" s="61" t="n">
        <v>57.1</v>
      </c>
      <c r="C198" s="62" t="n">
        <v>0.06215820826578574</v>
      </c>
      <c r="D198" s="62" t="n">
        <v>0.0210825209895227</v>
      </c>
      <c r="E198" s="62" t="n">
        <v>0.087034600081078</v>
      </c>
    </row>
    <row r="199">
      <c r="A199" s="53" t="n">
        <v>23408</v>
      </c>
      <c r="B199" s="61" t="n">
        <v>57.9</v>
      </c>
      <c r="C199" s="62" t="n">
        <v>0.06215820826578574</v>
      </c>
      <c r="D199" s="62" t="n">
        <v>0.0210825209895227</v>
      </c>
      <c r="E199" s="62" t="n">
        <v>0.087034600081078</v>
      </c>
    </row>
    <row r="200">
      <c r="A200" s="53" t="n">
        <v>23437</v>
      </c>
      <c r="B200" s="61" t="n">
        <v>60.2</v>
      </c>
      <c r="C200" s="62" t="n">
        <v>0.06215820826578574</v>
      </c>
      <c r="D200" s="62" t="n">
        <v>0.0210825209895227</v>
      </c>
      <c r="E200" s="62" t="n">
        <v>0.087034600081078</v>
      </c>
    </row>
    <row r="201">
      <c r="A201" s="53" t="n">
        <v>23468</v>
      </c>
      <c r="B201" s="61" t="n">
        <v>59.2</v>
      </c>
      <c r="C201" s="62" t="n">
        <v>0.06180751263280117</v>
      </c>
      <c r="D201" s="62" t="n">
        <v>0.01088733689947807</v>
      </c>
      <c r="E201" s="62" t="n">
        <v>0.04426572835975362</v>
      </c>
    </row>
    <row r="202">
      <c r="A202" s="53" t="n">
        <v>23498</v>
      </c>
      <c r="B202" s="61" t="n">
        <v>58.7</v>
      </c>
      <c r="C202" s="62" t="n">
        <v>0.06180751263280117</v>
      </c>
      <c r="D202" s="62" t="n">
        <v>0.01088733689947807</v>
      </c>
      <c r="E202" s="62" t="n">
        <v>0.04426572835975362</v>
      </c>
    </row>
    <row r="203">
      <c r="A203" s="53" t="n">
        <v>23529</v>
      </c>
      <c r="B203" s="61" t="n">
        <v>60.1</v>
      </c>
      <c r="C203" s="62" t="n">
        <v>0.06180751263280117</v>
      </c>
      <c r="D203" s="62" t="n">
        <v>0.01088733689947807</v>
      </c>
      <c r="E203" s="62" t="n">
        <v>0.04426572835975362</v>
      </c>
    </row>
    <row r="204">
      <c r="A204" s="53" t="n">
        <v>23559</v>
      </c>
      <c r="B204" s="61" t="n">
        <v>62.9</v>
      </c>
      <c r="C204" s="62" t="n">
        <v>0.05519829553500687</v>
      </c>
      <c r="D204" s="62" t="n">
        <v>0.01562300666385509</v>
      </c>
      <c r="E204" s="62" t="n">
        <v>0.063971809202924</v>
      </c>
    </row>
    <row r="205">
      <c r="A205" s="53" t="n">
        <v>23590</v>
      </c>
      <c r="B205" s="61" t="n">
        <v>63.3</v>
      </c>
      <c r="C205" s="62" t="n">
        <v>0.05519829553500687</v>
      </c>
      <c r="D205" s="62" t="n">
        <v>0.01562300666385509</v>
      </c>
      <c r="E205" s="62" t="n">
        <v>0.063971809202924</v>
      </c>
    </row>
    <row r="206">
      <c r="A206" s="53" t="n">
        <v>23621</v>
      </c>
      <c r="B206" s="61" t="n">
        <v>63.3</v>
      </c>
      <c r="C206" s="62" t="n">
        <v>0.05519829553500687</v>
      </c>
      <c r="D206" s="62" t="n">
        <v>0.01562300666385509</v>
      </c>
      <c r="E206" s="62" t="n">
        <v>0.063971809202924</v>
      </c>
    </row>
    <row r="207">
      <c r="A207" s="53" t="n">
        <v>23651</v>
      </c>
      <c r="B207" s="61" t="n">
        <v>60.7</v>
      </c>
      <c r="C207" s="62" t="n">
        <v>0.05156343064502113</v>
      </c>
      <c r="D207" s="62" t="n">
        <v>0.003088718582379014</v>
      </c>
      <c r="E207" s="62" t="n">
        <v>0.0124122333831731</v>
      </c>
    </row>
    <row r="208">
      <c r="A208" s="53" t="n">
        <v>23682</v>
      </c>
      <c r="B208" s="61" t="n">
        <v>61.8</v>
      </c>
      <c r="C208" s="62" t="n">
        <v>0.05156343064502113</v>
      </c>
      <c r="D208" s="62" t="n">
        <v>0.003088718582379014</v>
      </c>
      <c r="E208" s="62" t="n">
        <v>0.0124122333831731</v>
      </c>
    </row>
    <row r="209">
      <c r="A209" s="53" t="n">
        <v>23712</v>
      </c>
      <c r="B209" s="61" t="n">
        <v>62.4</v>
      </c>
      <c r="C209" s="62" t="n">
        <v>0.05156343064502113</v>
      </c>
      <c r="D209" s="62" t="n">
        <v>0.003088718582379014</v>
      </c>
      <c r="E209" s="62" t="n">
        <v>0.0124122333831731</v>
      </c>
    </row>
    <row r="210">
      <c r="A210" s="53" t="n">
        <v>23743</v>
      </c>
      <c r="B210" s="61" t="n">
        <v>61</v>
      </c>
      <c r="C210" s="62" t="n">
        <v>0.0547714160050962</v>
      </c>
      <c r="D210" s="62" t="n">
        <v>0.02419751879498433</v>
      </c>
      <c r="E210" s="62" t="n">
        <v>0.1003602100251837</v>
      </c>
    </row>
    <row r="211">
      <c r="A211" s="53" t="n">
        <v>23774</v>
      </c>
      <c r="B211" s="61" t="n">
        <v>62.1</v>
      </c>
      <c r="C211" s="62" t="n">
        <v>0.0547714160050962</v>
      </c>
      <c r="D211" s="62" t="n">
        <v>0.02419751879498433</v>
      </c>
      <c r="E211" s="62" t="n">
        <v>0.1003602100251837</v>
      </c>
    </row>
    <row r="212">
      <c r="A212" s="53" t="n">
        <v>23802</v>
      </c>
      <c r="B212" s="61" t="n">
        <v>64.90000000000001</v>
      </c>
      <c r="C212" s="62" t="n">
        <v>0.0547714160050962</v>
      </c>
      <c r="D212" s="62" t="n">
        <v>0.02419751879498433</v>
      </c>
      <c r="E212" s="62" t="n">
        <v>0.1003602100251837</v>
      </c>
    </row>
    <row r="213">
      <c r="A213" s="53" t="n">
        <v>23833</v>
      </c>
      <c r="B213" s="61" t="n">
        <v>62</v>
      </c>
      <c r="C213" s="62" t="n">
        <v>0.05659284258686221</v>
      </c>
      <c r="D213" s="62" t="n">
        <v>0.01263298248548859</v>
      </c>
      <c r="E213" s="62" t="n">
        <v>0.0514975733947296</v>
      </c>
    </row>
    <row r="214">
      <c r="A214" s="53" t="n">
        <v>23863</v>
      </c>
      <c r="B214" s="61" t="n">
        <v>61.3</v>
      </c>
      <c r="C214" s="62" t="n">
        <v>0.05659284258686221</v>
      </c>
      <c r="D214" s="62" t="n">
        <v>0.01263298248548859</v>
      </c>
      <c r="E214" s="62" t="n">
        <v>0.0514975733947296</v>
      </c>
    </row>
    <row r="215">
      <c r="A215" s="53" t="n">
        <v>23894</v>
      </c>
      <c r="B215" s="61" t="n">
        <v>58.7</v>
      </c>
      <c r="C215" s="62" t="n">
        <v>0.05659284258686221</v>
      </c>
      <c r="D215" s="62" t="n">
        <v>0.01263298248548859</v>
      </c>
      <c r="E215" s="62" t="n">
        <v>0.0514975733947296</v>
      </c>
    </row>
    <row r="216">
      <c r="A216" s="53" t="n">
        <v>23924</v>
      </c>
      <c r="B216" s="61" t="n">
        <v>58.1</v>
      </c>
      <c r="C216" s="62" t="n">
        <v>0.06346898404385318</v>
      </c>
      <c r="D216" s="62" t="n">
        <v>0.02223252281739749</v>
      </c>
      <c r="E216" s="62" t="n">
        <v>0.09194000282873915</v>
      </c>
    </row>
    <row r="217">
      <c r="A217" s="53" t="n">
        <v>23955</v>
      </c>
      <c r="B217" s="61" t="n">
        <v>58.1</v>
      </c>
      <c r="C217" s="62" t="n">
        <v>0.06346898404385318</v>
      </c>
      <c r="D217" s="62" t="n">
        <v>0.02223252281739749</v>
      </c>
      <c r="E217" s="62" t="n">
        <v>0.09194000282873915</v>
      </c>
    </row>
    <row r="218">
      <c r="A218" s="53" t="n">
        <v>23986</v>
      </c>
      <c r="B218" s="61" t="n">
        <v>61</v>
      </c>
      <c r="C218" s="62" t="n">
        <v>0.06346898404385318</v>
      </c>
      <c r="D218" s="62" t="n">
        <v>0.02223252281739749</v>
      </c>
      <c r="E218" s="62" t="n">
        <v>0.09194000282873915</v>
      </c>
    </row>
    <row r="219">
      <c r="A219" s="53" t="n">
        <v>24016</v>
      </c>
      <c r="B219" s="61" t="n">
        <v>58.6</v>
      </c>
      <c r="C219" s="62" t="n">
        <v>0.08462164873800596</v>
      </c>
      <c r="D219" s="62" t="n">
        <v>0.02304040465974701</v>
      </c>
      <c r="E219" s="62" t="n">
        <v>0.09539598687252315</v>
      </c>
    </row>
    <row r="220">
      <c r="A220" s="53" t="n">
        <v>24047</v>
      </c>
      <c r="B220" s="61" t="n">
        <v>59.4</v>
      </c>
      <c r="C220" s="62" t="n">
        <v>0.08462164873800596</v>
      </c>
      <c r="D220" s="62" t="n">
        <v>0.02304040465974701</v>
      </c>
      <c r="E220" s="62" t="n">
        <v>0.09539598687252315</v>
      </c>
    </row>
    <row r="221">
      <c r="A221" s="53" t="n">
        <v>24077</v>
      </c>
      <c r="B221" s="61" t="n">
        <v>62.8</v>
      </c>
      <c r="C221" s="62" t="n">
        <v>0.08462164873800596</v>
      </c>
      <c r="D221" s="62" t="n">
        <v>0.02304040465974701</v>
      </c>
      <c r="E221" s="62" t="n">
        <v>0.09539598687252315</v>
      </c>
    </row>
    <row r="222">
      <c r="A222" s="53" t="n">
        <v>24108</v>
      </c>
      <c r="B222" s="61" t="n">
        <v>65.8</v>
      </c>
      <c r="C222" s="62" t="n">
        <v>0.08477495839396397</v>
      </c>
      <c r="D222" s="62" t="n">
        <v>0.0243422875900957</v>
      </c>
      <c r="E222" s="62" t="n">
        <v>0.100982479057544</v>
      </c>
    </row>
    <row r="223">
      <c r="A223" s="53" t="n">
        <v>24139</v>
      </c>
      <c r="B223" s="61" t="n">
        <v>65.5</v>
      </c>
      <c r="C223" s="62" t="n">
        <v>0.08477495839396397</v>
      </c>
      <c r="D223" s="62" t="n">
        <v>0.0243422875900957</v>
      </c>
      <c r="E223" s="62" t="n">
        <v>0.100982479057544</v>
      </c>
    </row>
    <row r="224">
      <c r="A224" s="53" t="n">
        <v>24167</v>
      </c>
      <c r="B224" s="61" t="n">
        <v>65.7</v>
      </c>
      <c r="C224" s="62" t="n">
        <v>0.08477495839396397</v>
      </c>
      <c r="D224" s="62" t="n">
        <v>0.0243422875900957</v>
      </c>
      <c r="E224" s="62" t="n">
        <v>0.100982479057544</v>
      </c>
    </row>
    <row r="225">
      <c r="A225" s="53" t="n">
        <v>24198</v>
      </c>
      <c r="B225" s="61" t="n">
        <v>64.2</v>
      </c>
      <c r="C225" s="62" t="n">
        <v>0.07490136086896218</v>
      </c>
      <c r="D225" s="62" t="n">
        <v>0.003416019619377923</v>
      </c>
      <c r="E225" s="62" t="n">
        <v>0.01373425320265032</v>
      </c>
    </row>
    <row r="226">
      <c r="A226" s="53" t="n">
        <v>24228</v>
      </c>
      <c r="B226" s="61" t="n">
        <v>57.7</v>
      </c>
      <c r="C226" s="62" t="n">
        <v>0.07490136086896218</v>
      </c>
      <c r="D226" s="62" t="n">
        <v>0.003416019619377923</v>
      </c>
      <c r="E226" s="62" t="n">
        <v>0.01373425320265032</v>
      </c>
    </row>
    <row r="227">
      <c r="A227" s="53" t="n">
        <v>24259</v>
      </c>
      <c r="B227" s="61" t="n">
        <v>59</v>
      </c>
      <c r="C227" s="62" t="n">
        <v>0.07490136086896218</v>
      </c>
      <c r="D227" s="62" t="n">
        <v>0.003416019619377923</v>
      </c>
      <c r="E227" s="62" t="n">
        <v>0.01373425320265032</v>
      </c>
    </row>
    <row r="228">
      <c r="A228" s="53" t="n">
        <v>24289</v>
      </c>
      <c r="B228" s="61" t="n">
        <v>60.3</v>
      </c>
      <c r="C228" s="62" t="n">
        <v>0.06042874844751932</v>
      </c>
      <c r="D228" s="62" t="n">
        <v>0.008469050515743695</v>
      </c>
      <c r="E228" s="62" t="n">
        <v>0.03430898587163456</v>
      </c>
    </row>
    <row r="229">
      <c r="A229" s="53" t="n">
        <v>24320</v>
      </c>
      <c r="B229" s="61" t="n">
        <v>58.5</v>
      </c>
      <c r="C229" s="62" t="n">
        <v>0.06042874844751932</v>
      </c>
      <c r="D229" s="62" t="n">
        <v>0.008469050515743695</v>
      </c>
      <c r="E229" s="62" t="n">
        <v>0.03430898587163456</v>
      </c>
    </row>
    <row r="230">
      <c r="A230" s="53" t="n">
        <v>24351</v>
      </c>
      <c r="B230" s="61" t="n">
        <v>58.7</v>
      </c>
      <c r="C230" s="62" t="n">
        <v>0.06042874844751932</v>
      </c>
      <c r="D230" s="62" t="n">
        <v>0.008469050515743695</v>
      </c>
      <c r="E230" s="62" t="n">
        <v>0.03430898587163456</v>
      </c>
    </row>
    <row r="231">
      <c r="A231" s="53" t="n">
        <v>24381</v>
      </c>
      <c r="B231" s="61" t="n">
        <v>57.2</v>
      </c>
      <c r="C231" s="62" t="n">
        <v>0.04505020174315192</v>
      </c>
      <c r="D231" s="62" t="n">
        <v>0.008204071085663924</v>
      </c>
      <c r="E231" s="62" t="n">
        <v>0.03322233832563914</v>
      </c>
    </row>
    <row r="232">
      <c r="A232" s="53" t="n">
        <v>24412</v>
      </c>
      <c r="B232" s="61" t="n">
        <v>53.7</v>
      </c>
      <c r="C232" s="62" t="n">
        <v>0.04505020174315192</v>
      </c>
      <c r="D232" s="62" t="n">
        <v>0.008204071085663924</v>
      </c>
      <c r="E232" s="62" t="n">
        <v>0.03322233832563914</v>
      </c>
    </row>
    <row r="233">
      <c r="A233" s="53" t="n">
        <v>24442</v>
      </c>
      <c r="B233" s="61" t="n">
        <v>52.4</v>
      </c>
      <c r="C233" s="62" t="n">
        <v>0.04505020174315192</v>
      </c>
      <c r="D233" s="62" t="n">
        <v>0.008204071085663924</v>
      </c>
      <c r="E233" s="62" t="n">
        <v>0.03322233832563914</v>
      </c>
    </row>
    <row r="234">
      <c r="A234" s="53" t="n">
        <v>24473</v>
      </c>
      <c r="B234" s="61" t="n">
        <v>49.1</v>
      </c>
      <c r="C234" s="62" t="n">
        <v>0.02925036251127664</v>
      </c>
      <c r="D234" s="62" t="n">
        <v>0.008855525867702769</v>
      </c>
      <c r="E234" s="62" t="n">
        <v>0.03589540946426251</v>
      </c>
    </row>
    <row r="235">
      <c r="A235" s="53" t="n">
        <v>24504</v>
      </c>
      <c r="B235" s="61" t="n">
        <v>47.6</v>
      </c>
      <c r="C235" s="62" t="n">
        <v>0.02925036251127664</v>
      </c>
      <c r="D235" s="62" t="n">
        <v>0.008855525867702769</v>
      </c>
      <c r="E235" s="62" t="n">
        <v>0.03589540946426251</v>
      </c>
    </row>
    <row r="236">
      <c r="A236" s="53" t="n">
        <v>24532</v>
      </c>
      <c r="B236" s="61" t="n">
        <v>45.3</v>
      </c>
      <c r="C236" s="62" t="n">
        <v>0.02925036251127664</v>
      </c>
      <c r="D236" s="62" t="n">
        <v>0.008855525867702769</v>
      </c>
      <c r="E236" s="62" t="n">
        <v>0.03589540946426251</v>
      </c>
    </row>
    <row r="237">
      <c r="A237" s="53" t="n">
        <v>24563</v>
      </c>
      <c r="B237" s="61" t="n">
        <v>42.8</v>
      </c>
      <c r="C237" s="62" t="n">
        <v>0.02637515281107965</v>
      </c>
      <c r="D237" s="62" t="n">
        <v>0.0006129781262435619</v>
      </c>
      <c r="E237" s="62" t="n">
        <v>0.002454167879501812</v>
      </c>
    </row>
    <row r="238">
      <c r="A238" s="53" t="n">
        <v>24593</v>
      </c>
      <c r="B238" s="61" t="n">
        <v>44.5</v>
      </c>
      <c r="C238" s="62" t="n">
        <v>0.02637515281107965</v>
      </c>
      <c r="D238" s="62" t="n">
        <v>0.0006129781262435619</v>
      </c>
      <c r="E238" s="62" t="n">
        <v>0.002454167879501812</v>
      </c>
    </row>
    <row r="239">
      <c r="A239" s="53" t="n">
        <v>24624</v>
      </c>
      <c r="B239" s="61" t="n">
        <v>46.8</v>
      </c>
      <c r="C239" s="62" t="n">
        <v>0.02637515281107965</v>
      </c>
      <c r="D239" s="62" t="n">
        <v>0.0006129781262435619</v>
      </c>
      <c r="E239" s="62" t="n">
        <v>0.002454167879501812</v>
      </c>
    </row>
    <row r="240">
      <c r="A240" s="53" t="n">
        <v>24654</v>
      </c>
      <c r="B240" s="61" t="n">
        <v>49.5</v>
      </c>
      <c r="C240" s="62" t="n">
        <v>0.02738492796925546</v>
      </c>
      <c r="D240" s="62" t="n">
        <v>0.009461209174505944</v>
      </c>
      <c r="E240" s="62" t="n">
        <v>0.03838531924596955</v>
      </c>
    </row>
    <row r="241">
      <c r="A241" s="53" t="n">
        <v>24685</v>
      </c>
      <c r="B241" s="61" t="n">
        <v>52.2</v>
      </c>
      <c r="C241" s="62" t="n">
        <v>0.02738492796925546</v>
      </c>
      <c r="D241" s="62" t="n">
        <v>0.009461209174505944</v>
      </c>
      <c r="E241" s="62" t="n">
        <v>0.03838531924596955</v>
      </c>
    </row>
    <row r="242">
      <c r="A242" s="53" t="n">
        <v>24716</v>
      </c>
      <c r="B242" s="61" t="n">
        <v>54.9</v>
      </c>
      <c r="C242" s="62" t="n">
        <v>0.02738492796925546</v>
      </c>
      <c r="D242" s="62" t="n">
        <v>0.009461209174505944</v>
      </c>
      <c r="E242" s="62" t="n">
        <v>0.03838531924596955</v>
      </c>
    </row>
    <row r="243">
      <c r="A243" s="53" t="n">
        <v>24746</v>
      </c>
      <c r="B243" s="61" t="n">
        <v>54.1</v>
      </c>
      <c r="C243" s="62" t="n">
        <v>0.02670839761173328</v>
      </c>
      <c r="D243" s="62" t="n">
        <v>0.007540171273531089</v>
      </c>
      <c r="E243" s="62" t="n">
        <v>0.03050352818463176</v>
      </c>
    </row>
    <row r="244">
      <c r="A244" s="53" t="n">
        <v>24777</v>
      </c>
      <c r="B244" s="61" t="n">
        <v>54.2</v>
      </c>
      <c r="C244" s="62" t="n">
        <v>0.02670839761173328</v>
      </c>
      <c r="D244" s="62" t="n">
        <v>0.007540171273531089</v>
      </c>
      <c r="E244" s="62" t="n">
        <v>0.03050352818463176</v>
      </c>
    </row>
    <row r="245">
      <c r="A245" s="53" t="n">
        <v>24807</v>
      </c>
      <c r="B245" s="61" t="n">
        <v>55.6</v>
      </c>
      <c r="C245" s="62" t="n">
        <v>0.02670839761173328</v>
      </c>
      <c r="D245" s="62" t="n">
        <v>0.007540171273531089</v>
      </c>
      <c r="E245" s="62" t="n">
        <v>0.03050352818463176</v>
      </c>
    </row>
    <row r="246">
      <c r="A246" s="53" t="n">
        <v>24838</v>
      </c>
      <c r="B246" s="61" t="n">
        <v>56.6</v>
      </c>
      <c r="C246" s="62" t="n">
        <v>0.0384521487064664</v>
      </c>
      <c r="D246" s="62" t="n">
        <v>0.02039507128672915</v>
      </c>
      <c r="E246" s="62" t="n">
        <v>0.08411014581384135</v>
      </c>
    </row>
    <row r="247">
      <c r="A247" s="53" t="n">
        <v>24869</v>
      </c>
      <c r="B247" s="61" t="n">
        <v>55</v>
      </c>
      <c r="C247" s="62" t="n">
        <v>0.0384521487064664</v>
      </c>
      <c r="D247" s="62" t="n">
        <v>0.02039507128672915</v>
      </c>
      <c r="E247" s="62" t="n">
        <v>0.08411014581384135</v>
      </c>
    </row>
    <row r="248">
      <c r="A248" s="53" t="n">
        <v>24898</v>
      </c>
      <c r="B248" s="61" t="n">
        <v>53.8</v>
      </c>
      <c r="C248" s="62" t="n">
        <v>0.0384521487064664</v>
      </c>
      <c r="D248" s="62" t="n">
        <v>0.02039507128672915</v>
      </c>
      <c r="E248" s="62" t="n">
        <v>0.08411014581384135</v>
      </c>
    </row>
    <row r="249">
      <c r="A249" s="53" t="n">
        <v>24929</v>
      </c>
      <c r="B249" s="61" t="n">
        <v>58</v>
      </c>
      <c r="C249" s="62" t="n">
        <v>0.0551558151005884</v>
      </c>
      <c r="D249" s="62" t="n">
        <v>0.01670799550096719</v>
      </c>
      <c r="E249" s="62" t="n">
        <v>0.06852565923772169</v>
      </c>
    </row>
    <row r="250">
      <c r="A250" s="53" t="n">
        <v>24959</v>
      </c>
      <c r="B250" s="61" t="n">
        <v>55.3</v>
      </c>
      <c r="C250" s="62" t="n">
        <v>0.0551558151005884</v>
      </c>
      <c r="D250" s="62" t="n">
        <v>0.01670799550096719</v>
      </c>
      <c r="E250" s="62" t="n">
        <v>0.06852565923772169</v>
      </c>
    </row>
    <row r="251">
      <c r="A251" s="53" t="n">
        <v>24990</v>
      </c>
      <c r="B251" s="61" t="n">
        <v>53.5</v>
      </c>
      <c r="C251" s="62" t="n">
        <v>0.0551558151005884</v>
      </c>
      <c r="D251" s="62" t="n">
        <v>0.01670799550096719</v>
      </c>
      <c r="E251" s="62" t="n">
        <v>0.06852565923772169</v>
      </c>
    </row>
    <row r="252">
      <c r="A252" s="53" t="n">
        <v>25020</v>
      </c>
      <c r="B252" s="61" t="n">
        <v>54.1</v>
      </c>
      <c r="C252" s="62" t="n">
        <v>0.05336668232900235</v>
      </c>
      <c r="D252" s="62" t="n">
        <v>0.007749556634537891</v>
      </c>
      <c r="E252" s="62" t="n">
        <v>0.03136042553098384</v>
      </c>
    </row>
    <row r="253">
      <c r="A253" s="53" t="n">
        <v>25051</v>
      </c>
      <c r="B253" s="61" t="n">
        <v>52.7</v>
      </c>
      <c r="C253" s="62" t="n">
        <v>0.05336668232900235</v>
      </c>
      <c r="D253" s="62" t="n">
        <v>0.007749556634537891</v>
      </c>
      <c r="E253" s="62" t="n">
        <v>0.03136042553098384</v>
      </c>
    </row>
    <row r="254">
      <c r="A254" s="53" t="n">
        <v>25082</v>
      </c>
      <c r="B254" s="61" t="n">
        <v>51.8</v>
      </c>
      <c r="C254" s="62" t="n">
        <v>0.05336668232900235</v>
      </c>
      <c r="D254" s="62" t="n">
        <v>0.007749556634537891</v>
      </c>
      <c r="E254" s="62" t="n">
        <v>0.03136042553098384</v>
      </c>
    </row>
    <row r="255">
      <c r="A255" s="53" t="n">
        <v>25112</v>
      </c>
      <c r="B255" s="61" t="n">
        <v>55.8</v>
      </c>
      <c r="C255" s="62" t="n">
        <v>0.04959565360096933</v>
      </c>
      <c r="D255" s="62" t="n">
        <v>0.003933200411191717</v>
      </c>
      <c r="E255" s="62" t="n">
        <v>0.01582586566440858</v>
      </c>
    </row>
    <row r="256">
      <c r="A256" s="53" t="n">
        <v>25143</v>
      </c>
      <c r="B256" s="61" t="n">
        <v>58.1</v>
      </c>
      <c r="C256" s="62" t="n">
        <v>0.04959565360096933</v>
      </c>
      <c r="D256" s="62" t="n">
        <v>0.003933200411191717</v>
      </c>
      <c r="E256" s="62" t="n">
        <v>0.01582586566440858</v>
      </c>
    </row>
    <row r="257">
      <c r="A257" s="53" t="n">
        <v>25173</v>
      </c>
      <c r="B257" s="61" t="n">
        <v>56.1</v>
      </c>
      <c r="C257" s="62" t="n">
        <v>0.04959565360096933</v>
      </c>
      <c r="D257" s="62" t="n">
        <v>0.003933200411191717</v>
      </c>
      <c r="E257" s="62" t="n">
        <v>0.01582586566440858</v>
      </c>
    </row>
    <row r="258">
      <c r="A258" s="53" t="n">
        <v>25204</v>
      </c>
      <c r="B258" s="61" t="n">
        <v>54.9</v>
      </c>
      <c r="C258" s="62" t="n">
        <v>0.04471598105076313</v>
      </c>
      <c r="D258" s="62" t="n">
        <v>0.01565115509134396</v>
      </c>
      <c r="E258" s="62" t="n">
        <v>0.06408976784792331</v>
      </c>
    </row>
    <row r="259">
      <c r="A259" s="53" t="n">
        <v>25235</v>
      </c>
      <c r="B259" s="61" t="n">
        <v>57</v>
      </c>
      <c r="C259" s="62" t="n">
        <v>0.04471598105076313</v>
      </c>
      <c r="D259" s="62" t="n">
        <v>0.01565115509134396</v>
      </c>
      <c r="E259" s="62" t="n">
        <v>0.06408976784792331</v>
      </c>
    </row>
    <row r="260">
      <c r="A260" s="53" t="n">
        <v>25263</v>
      </c>
      <c r="B260" s="61" t="n">
        <v>57.1</v>
      </c>
      <c r="C260" s="62" t="n">
        <v>0.04471598105076313</v>
      </c>
      <c r="D260" s="62" t="n">
        <v>0.01565115509134396</v>
      </c>
      <c r="E260" s="62" t="n">
        <v>0.06408976784792331</v>
      </c>
    </row>
    <row r="261">
      <c r="A261" s="53" t="n">
        <v>25294</v>
      </c>
      <c r="B261" s="61" t="n">
        <v>55.2</v>
      </c>
      <c r="C261" s="62" t="n">
        <v>0.03067141537615219</v>
      </c>
      <c r="D261" s="62" t="n">
        <v>0.003039953206492568</v>
      </c>
      <c r="E261" s="62" t="n">
        <v>0.01221537317702537</v>
      </c>
    </row>
    <row r="262">
      <c r="A262" s="53" t="n">
        <v>25324</v>
      </c>
      <c r="B262" s="61" t="n">
        <v>56.7</v>
      </c>
      <c r="C262" s="62" t="n">
        <v>0.03067141537615219</v>
      </c>
      <c r="D262" s="62" t="n">
        <v>0.003039953206492568</v>
      </c>
      <c r="E262" s="62" t="n">
        <v>0.01221537317702537</v>
      </c>
    </row>
    <row r="263">
      <c r="A263" s="53" t="n">
        <v>25355</v>
      </c>
      <c r="B263" s="61" t="n">
        <v>55.5</v>
      </c>
      <c r="C263" s="62" t="n">
        <v>0.03067141537615219</v>
      </c>
      <c r="D263" s="62" t="n">
        <v>0.003039953206492568</v>
      </c>
      <c r="E263" s="62" t="n">
        <v>0.01221537317702537</v>
      </c>
    </row>
    <row r="264">
      <c r="A264" s="53" t="n">
        <v>25385</v>
      </c>
      <c r="B264" s="61" t="n">
        <v>53.1</v>
      </c>
      <c r="C264" s="62" t="n">
        <v>0.02950097040894688</v>
      </c>
      <c r="D264" s="62" t="n">
        <v>0.006605142052771502</v>
      </c>
      <c r="E264" s="62" t="n">
        <v>0.02668349019765204</v>
      </c>
    </row>
    <row r="265">
      <c r="A265" s="53" t="n">
        <v>25416</v>
      </c>
      <c r="B265" s="61" t="n">
        <v>54.8</v>
      </c>
      <c r="C265" s="62" t="n">
        <v>0.02950097040894688</v>
      </c>
      <c r="D265" s="62" t="n">
        <v>0.006605142052771502</v>
      </c>
      <c r="E265" s="62" t="n">
        <v>0.02668349019765204</v>
      </c>
    </row>
    <row r="266">
      <c r="A266" s="53" t="n">
        <v>25447</v>
      </c>
      <c r="B266" s="61" t="n">
        <v>54.1</v>
      </c>
      <c r="C266" s="62" t="n">
        <v>0.02950097040894688</v>
      </c>
      <c r="D266" s="62" t="n">
        <v>0.006605142052771502</v>
      </c>
      <c r="E266" s="62" t="n">
        <v>0.02668349019765204</v>
      </c>
    </row>
    <row r="267">
      <c r="A267" s="53" t="n">
        <v>25477</v>
      </c>
      <c r="B267" s="61" t="n">
        <v>54.6</v>
      </c>
      <c r="C267" s="62" t="n">
        <v>0.02046645083371409</v>
      </c>
      <c r="D267" s="62" t="n">
        <v>-0.004876945875254361</v>
      </c>
      <c r="E267" s="62" t="n">
        <v>-0.01936553931373752</v>
      </c>
    </row>
    <row r="268">
      <c r="A268" s="53" t="n">
        <v>25508</v>
      </c>
      <c r="B268" s="61" t="n">
        <v>53.2</v>
      </c>
      <c r="C268" s="62" t="n">
        <v>0.02046645083371409</v>
      </c>
      <c r="D268" s="62" t="n">
        <v>-0.004876945875254361</v>
      </c>
      <c r="E268" s="62" t="n">
        <v>-0.01936553931373752</v>
      </c>
    </row>
    <row r="269">
      <c r="A269" s="53" t="n">
        <v>25538</v>
      </c>
      <c r="B269" s="61" t="n">
        <v>52</v>
      </c>
      <c r="C269" s="62" t="n">
        <v>0.02046645083371409</v>
      </c>
      <c r="D269" s="62" t="n">
        <v>-0.004876945875254361</v>
      </c>
      <c r="E269" s="62" t="n">
        <v>-0.01936553931373752</v>
      </c>
    </row>
    <row r="270">
      <c r="A270" s="53" t="n">
        <v>25569</v>
      </c>
      <c r="B270" s="61" t="n">
        <v>48.7</v>
      </c>
      <c r="C270" s="62" t="n">
        <v>0.003249346028238541</v>
      </c>
      <c r="D270" s="62" t="n">
        <v>-0.001484707012425907</v>
      </c>
      <c r="E270" s="62" t="n">
        <v>-0.005925615006652674</v>
      </c>
    </row>
    <row r="271">
      <c r="A271" s="53" t="n">
        <v>25600</v>
      </c>
      <c r="B271" s="61" t="n">
        <v>47.4</v>
      </c>
      <c r="C271" s="62" t="n">
        <v>0.003249346028238541</v>
      </c>
      <c r="D271" s="62" t="n">
        <v>-0.001484707012425907</v>
      </c>
      <c r="E271" s="62" t="n">
        <v>-0.005925615006652674</v>
      </c>
    </row>
    <row r="272">
      <c r="A272" s="53" t="n">
        <v>25628</v>
      </c>
      <c r="B272" s="61" t="n">
        <v>46.9</v>
      </c>
      <c r="C272" s="62" t="n">
        <v>0.003249346028238541</v>
      </c>
      <c r="D272" s="62" t="n">
        <v>-0.001484707012425907</v>
      </c>
      <c r="E272" s="62" t="n">
        <v>-0.005925615006652674</v>
      </c>
    </row>
    <row r="273">
      <c r="A273" s="53" t="n">
        <v>25659</v>
      </c>
      <c r="B273" s="61" t="n">
        <v>45</v>
      </c>
      <c r="C273" s="62" t="n">
        <v>0.001628354507476494</v>
      </c>
      <c r="D273" s="62" t="n">
        <v>0.001419300010385208</v>
      </c>
      <c r="E273" s="62" t="n">
        <v>0.00568929795693851</v>
      </c>
    </row>
    <row r="274">
      <c r="A274" s="53" t="n">
        <v>25689</v>
      </c>
      <c r="B274" s="61" t="n">
        <v>47.2</v>
      </c>
      <c r="C274" s="62" t="n">
        <v>0.001628354507476494</v>
      </c>
      <c r="D274" s="62" t="n">
        <v>0.001419300010385208</v>
      </c>
      <c r="E274" s="62" t="n">
        <v>0.00568929795693851</v>
      </c>
    </row>
    <row r="275">
      <c r="A275" s="53" t="n">
        <v>25720</v>
      </c>
      <c r="B275" s="61" t="n">
        <v>51.1</v>
      </c>
      <c r="C275" s="62" t="n">
        <v>0.001628354507476494</v>
      </c>
      <c r="D275" s="62" t="n">
        <v>0.001419300010385208</v>
      </c>
      <c r="E275" s="62" t="n">
        <v>0.00568929795693851</v>
      </c>
    </row>
    <row r="276">
      <c r="A276" s="53" t="n">
        <v>25750</v>
      </c>
      <c r="B276" s="61" t="n">
        <v>49.5</v>
      </c>
      <c r="C276" s="62" t="n">
        <v>0.004225814763759255</v>
      </c>
      <c r="D276" s="62" t="n">
        <v>0.009215508301376359</v>
      </c>
      <c r="E276" s="62" t="n">
        <v>0.0373747245074163</v>
      </c>
    </row>
    <row r="277">
      <c r="A277" s="53" t="n">
        <v>25781</v>
      </c>
      <c r="B277" s="61" t="n">
        <v>47.3</v>
      </c>
      <c r="C277" s="62" t="n">
        <v>0.004225814763759255</v>
      </c>
      <c r="D277" s="62" t="n">
        <v>0.009215508301376359</v>
      </c>
      <c r="E277" s="62" t="n">
        <v>0.0373747245074163</v>
      </c>
    </row>
    <row r="278">
      <c r="A278" s="53" t="n">
        <v>25812</v>
      </c>
      <c r="B278" s="61" t="n">
        <v>44.1</v>
      </c>
      <c r="C278" s="62" t="n">
        <v>0.004225814763759255</v>
      </c>
      <c r="D278" s="62" t="n">
        <v>0.009215508301376359</v>
      </c>
      <c r="E278" s="62" t="n">
        <v>0.0373747245074163</v>
      </c>
    </row>
    <row r="279">
      <c r="A279" s="53" t="n">
        <v>25842</v>
      </c>
      <c r="B279" s="61" t="n">
        <v>42.4</v>
      </c>
      <c r="C279" s="62" t="n">
        <v>-0.001667035906259561</v>
      </c>
      <c r="D279" s="62" t="n">
        <v>-0.01071638106008845</v>
      </c>
      <c r="E279" s="62" t="n">
        <v>-0.04218138882587208</v>
      </c>
    </row>
    <row r="280">
      <c r="A280" s="53" t="n">
        <v>25873</v>
      </c>
      <c r="B280" s="61" t="n">
        <v>39.7</v>
      </c>
      <c r="C280" s="62" t="n">
        <v>-0.001667035906259561</v>
      </c>
      <c r="D280" s="62" t="n">
        <v>-0.01071638106008845</v>
      </c>
      <c r="E280" s="62" t="n">
        <v>-0.04218138882587208</v>
      </c>
    </row>
    <row r="281">
      <c r="A281" s="53" t="n">
        <v>25903</v>
      </c>
      <c r="B281" s="61" t="n">
        <v>45.4</v>
      </c>
      <c r="C281" s="62" t="n">
        <v>-0.001667035906259561</v>
      </c>
      <c r="D281" s="62" t="n">
        <v>-0.01071638106008845</v>
      </c>
      <c r="E281" s="62" t="n">
        <v>-0.04218138882587208</v>
      </c>
    </row>
    <row r="282">
      <c r="A282" s="53" t="n">
        <v>25934</v>
      </c>
      <c r="B282" s="61" t="n">
        <v>47.9</v>
      </c>
      <c r="C282" s="62" t="n">
        <v>0.02697236849004174</v>
      </c>
      <c r="D282" s="62" t="n">
        <v>0.02715992789424762</v>
      </c>
      <c r="E282" s="62" t="n">
        <v>0.11314636517358</v>
      </c>
    </row>
    <row r="283">
      <c r="A283" s="53" t="n">
        <v>25965</v>
      </c>
      <c r="B283" s="61" t="n">
        <v>54.8</v>
      </c>
      <c r="C283" s="62" t="n">
        <v>0.02697236849004174</v>
      </c>
      <c r="D283" s="62" t="n">
        <v>0.02715992789424762</v>
      </c>
      <c r="E283" s="62" t="n">
        <v>0.11314636517358</v>
      </c>
    </row>
    <row r="284">
      <c r="A284" s="53" t="n">
        <v>25993</v>
      </c>
      <c r="B284" s="61" t="n">
        <v>51.2</v>
      </c>
      <c r="C284" s="62" t="n">
        <v>0.02697236849004174</v>
      </c>
      <c r="D284" s="62" t="n">
        <v>0.02715992789424762</v>
      </c>
      <c r="E284" s="62" t="n">
        <v>0.11314636517358</v>
      </c>
    </row>
    <row r="285">
      <c r="A285" s="53" t="n">
        <v>26024</v>
      </c>
      <c r="B285" s="61" t="n">
        <v>54.5</v>
      </c>
      <c r="C285" s="62" t="n">
        <v>0.03106613002019493</v>
      </c>
      <c r="D285" s="62" t="n">
        <v>0.005411200797319773</v>
      </c>
      <c r="E285" s="62" t="n">
        <v>0.02182112439459316</v>
      </c>
    </row>
    <row r="286">
      <c r="A286" s="53" t="n">
        <v>26054</v>
      </c>
      <c r="B286" s="61" t="n">
        <v>54.2</v>
      </c>
      <c r="C286" s="62" t="n">
        <v>0.03106613002019493</v>
      </c>
      <c r="D286" s="62" t="n">
        <v>0.005411200797319773</v>
      </c>
      <c r="E286" s="62" t="n">
        <v>0.02182112439459316</v>
      </c>
    </row>
    <row r="287">
      <c r="A287" s="53" t="n">
        <v>26085</v>
      </c>
      <c r="B287" s="61" t="n">
        <v>53.8</v>
      </c>
      <c r="C287" s="62" t="n">
        <v>0.03106613002019493</v>
      </c>
      <c r="D287" s="62" t="n">
        <v>0.005411200797319773</v>
      </c>
      <c r="E287" s="62" t="n">
        <v>0.02182112439459316</v>
      </c>
    </row>
    <row r="288">
      <c r="A288" s="53" t="n">
        <v>26115</v>
      </c>
      <c r="B288" s="61" t="n">
        <v>54.4</v>
      </c>
      <c r="C288" s="62" t="n">
        <v>0.03005894810807793</v>
      </c>
      <c r="D288" s="62" t="n">
        <v>0.008229670850417514</v>
      </c>
      <c r="E288" s="62" t="n">
        <v>0.03332728238206673</v>
      </c>
    </row>
    <row r="289">
      <c r="A289" s="53" t="n">
        <v>26146</v>
      </c>
      <c r="B289" s="61" t="n">
        <v>53.6</v>
      </c>
      <c r="C289" s="62" t="n">
        <v>0.03005894810807793</v>
      </c>
      <c r="D289" s="62" t="n">
        <v>0.008229670850417514</v>
      </c>
      <c r="E289" s="62" t="n">
        <v>0.03332728238206673</v>
      </c>
    </row>
    <row r="290">
      <c r="A290" s="53" t="n">
        <v>26177</v>
      </c>
      <c r="B290" s="61" t="n">
        <v>55.1</v>
      </c>
      <c r="C290" s="62" t="n">
        <v>0.03005894810807793</v>
      </c>
      <c r="D290" s="62" t="n">
        <v>0.008229670850417514</v>
      </c>
      <c r="E290" s="62" t="n">
        <v>0.03332728238206673</v>
      </c>
    </row>
    <row r="291">
      <c r="A291" s="53" t="n">
        <v>26207</v>
      </c>
      <c r="B291" s="61" t="n">
        <v>55</v>
      </c>
      <c r="C291" s="62" t="n">
        <v>0.04367204800624914</v>
      </c>
      <c r="D291" s="62" t="n">
        <v>0.002357838388214737</v>
      </c>
      <c r="E291" s="62" t="n">
        <v>0.00946476242764005</v>
      </c>
    </row>
    <row r="292">
      <c r="A292" s="53" t="n">
        <v>26238</v>
      </c>
      <c r="B292" s="61" t="n">
        <v>52.3</v>
      </c>
      <c r="C292" s="62" t="n">
        <v>0.04367204800624914</v>
      </c>
      <c r="D292" s="62" t="n">
        <v>0.002357838388214737</v>
      </c>
      <c r="E292" s="62" t="n">
        <v>0.00946476242764005</v>
      </c>
    </row>
    <row r="293">
      <c r="A293" s="53" t="n">
        <v>26268</v>
      </c>
      <c r="B293" s="61" t="n">
        <v>57.6</v>
      </c>
      <c r="C293" s="62" t="n">
        <v>0.04367204800624914</v>
      </c>
      <c r="D293" s="62" t="n">
        <v>0.002357838388214737</v>
      </c>
      <c r="E293" s="62" t="n">
        <v>0.00946476242764005</v>
      </c>
    </row>
    <row r="294">
      <c r="A294" s="53" t="n">
        <v>26299</v>
      </c>
      <c r="B294" s="61" t="n">
        <v>59.6</v>
      </c>
      <c r="C294" s="62" t="n">
        <v>0.03476072127791947</v>
      </c>
      <c r="D294" s="62" t="n">
        <v>0.01838958884262785</v>
      </c>
      <c r="E294" s="62" t="n">
        <v>0.07561240734329577</v>
      </c>
    </row>
    <row r="295">
      <c r="A295" s="53" t="n">
        <v>26330</v>
      </c>
      <c r="B295" s="61" t="n">
        <v>60.6</v>
      </c>
      <c r="C295" s="62" t="n">
        <v>0.03476072127791947</v>
      </c>
      <c r="D295" s="62" t="n">
        <v>0.01838958884262785</v>
      </c>
      <c r="E295" s="62" t="n">
        <v>0.07561240734329577</v>
      </c>
    </row>
    <row r="296">
      <c r="A296" s="53" t="n">
        <v>26359</v>
      </c>
      <c r="B296" s="61" t="n">
        <v>59.8</v>
      </c>
      <c r="C296" s="62" t="n">
        <v>0.03476072127791947</v>
      </c>
      <c r="D296" s="62" t="n">
        <v>0.01838958884262785</v>
      </c>
      <c r="E296" s="62" t="n">
        <v>0.07561240734329577</v>
      </c>
    </row>
    <row r="297">
      <c r="A297" s="53" t="n">
        <v>26390</v>
      </c>
      <c r="B297" s="61" t="n">
        <v>59.3</v>
      </c>
      <c r="C297" s="62" t="n">
        <v>0.05255186457186979</v>
      </c>
      <c r="D297" s="62" t="n">
        <v>0.02269772354108704</v>
      </c>
      <c r="E297" s="62" t="n">
        <v>0.09392905376229566</v>
      </c>
    </row>
    <row r="298">
      <c r="A298" s="53" t="n">
        <v>26420</v>
      </c>
      <c r="B298" s="61" t="n">
        <v>61.4</v>
      </c>
      <c r="C298" s="62" t="n">
        <v>0.05255186457186979</v>
      </c>
      <c r="D298" s="62" t="n">
        <v>0.02269772354108704</v>
      </c>
      <c r="E298" s="62" t="n">
        <v>0.09392905376229566</v>
      </c>
    </row>
    <row r="299">
      <c r="A299" s="53" t="n">
        <v>26451</v>
      </c>
      <c r="B299" s="61" t="n">
        <v>58.6</v>
      </c>
      <c r="C299" s="62" t="n">
        <v>0.05255186457186979</v>
      </c>
      <c r="D299" s="62" t="n">
        <v>0.02269772354108704</v>
      </c>
      <c r="E299" s="62" t="n">
        <v>0.09392905376229566</v>
      </c>
    </row>
    <row r="300">
      <c r="A300" s="53" t="n">
        <v>26481</v>
      </c>
      <c r="B300" s="61" t="n">
        <v>60.1</v>
      </c>
      <c r="C300" s="62" t="n">
        <v>0.05381938705147121</v>
      </c>
      <c r="D300" s="62" t="n">
        <v>0.009443818880000693</v>
      </c>
      <c r="E300" s="62" t="n">
        <v>0.03831376677928255</v>
      </c>
    </row>
    <row r="301">
      <c r="A301" s="53" t="n">
        <v>26512</v>
      </c>
      <c r="B301" s="61" t="n">
        <v>61.7</v>
      </c>
      <c r="C301" s="62" t="n">
        <v>0.05381938705147121</v>
      </c>
      <c r="D301" s="62" t="n">
        <v>0.009443818880000693</v>
      </c>
      <c r="E301" s="62" t="n">
        <v>0.03831376677928255</v>
      </c>
    </row>
    <row r="302">
      <c r="A302" s="53" t="n">
        <v>26543</v>
      </c>
      <c r="B302" s="61" t="n">
        <v>65.09999999999999</v>
      </c>
      <c r="C302" s="62" t="n">
        <v>0.05381938705147121</v>
      </c>
      <c r="D302" s="62" t="n">
        <v>0.009443818880000693</v>
      </c>
      <c r="E302" s="62" t="n">
        <v>0.03831376677928255</v>
      </c>
    </row>
    <row r="303">
      <c r="A303" s="53" t="n">
        <v>26573</v>
      </c>
      <c r="B303" s="61" t="n">
        <v>67</v>
      </c>
      <c r="C303" s="62" t="n">
        <v>0.06894475887017829</v>
      </c>
      <c r="D303" s="62" t="n">
        <v>0.01674458737699258</v>
      </c>
      <c r="E303" s="62" t="n">
        <v>0.06867949483058577</v>
      </c>
    </row>
    <row r="304">
      <c r="A304" s="53" t="n">
        <v>26604</v>
      </c>
      <c r="B304" s="61" t="n">
        <v>69.90000000000001</v>
      </c>
      <c r="C304" s="62" t="n">
        <v>0.06894475887017829</v>
      </c>
      <c r="D304" s="62" t="n">
        <v>0.01674458737699258</v>
      </c>
      <c r="E304" s="62" t="n">
        <v>0.06867949483058577</v>
      </c>
    </row>
    <row r="305">
      <c r="A305" s="53" t="n">
        <v>26634</v>
      </c>
      <c r="B305" s="61" t="n">
        <v>70.5</v>
      </c>
      <c r="C305" s="62" t="n">
        <v>0.06894475887017829</v>
      </c>
      <c r="D305" s="62" t="n">
        <v>0.01674458737699258</v>
      </c>
      <c r="E305" s="62" t="n">
        <v>0.06867949483058577</v>
      </c>
    </row>
    <row r="306">
      <c r="A306" s="53" t="n">
        <v>26665</v>
      </c>
      <c r="B306" s="61" t="n">
        <v>72.09999999999999</v>
      </c>
      <c r="C306" s="62" t="n">
        <v>0.07561888291797604</v>
      </c>
      <c r="D306" s="62" t="n">
        <v>0.02474806376709953</v>
      </c>
      <c r="E306" s="62" t="n">
        <v>0.1027280596009805</v>
      </c>
    </row>
    <row r="307">
      <c r="A307" s="53" t="n">
        <v>26696</v>
      </c>
      <c r="B307" s="61" t="n">
        <v>69.59999999999999</v>
      </c>
      <c r="C307" s="62" t="n">
        <v>0.07561888291797604</v>
      </c>
      <c r="D307" s="62" t="n">
        <v>0.02474806376709953</v>
      </c>
      <c r="E307" s="62" t="n">
        <v>0.1027280596009805</v>
      </c>
    </row>
    <row r="308">
      <c r="A308" s="53" t="n">
        <v>26724</v>
      </c>
      <c r="B308" s="61" t="n">
        <v>69.59999999999999</v>
      </c>
      <c r="C308" s="62" t="n">
        <v>0.07561888291797604</v>
      </c>
      <c r="D308" s="62" t="n">
        <v>0.02474806376709953</v>
      </c>
      <c r="E308" s="62" t="n">
        <v>0.1027280596009805</v>
      </c>
    </row>
    <row r="309">
      <c r="A309" s="53" t="n">
        <v>26755</v>
      </c>
      <c r="B309" s="61" t="n">
        <v>67.7</v>
      </c>
      <c r="C309" s="62" t="n">
        <v>0.06319660015814527</v>
      </c>
      <c r="D309" s="62" t="n">
        <v>0.01088662529669947</v>
      </c>
      <c r="E309" s="62" t="n">
        <v>0.04426278796636973</v>
      </c>
    </row>
    <row r="310">
      <c r="A310" s="53" t="n">
        <v>26785</v>
      </c>
      <c r="B310" s="61" t="n">
        <v>64.8</v>
      </c>
      <c r="C310" s="62" t="n">
        <v>0.06319660015814527</v>
      </c>
      <c r="D310" s="62" t="n">
        <v>0.01088662529669947</v>
      </c>
      <c r="E310" s="62" t="n">
        <v>0.04426278796636973</v>
      </c>
    </row>
    <row r="311">
      <c r="A311" s="53" t="n">
        <v>26816</v>
      </c>
      <c r="B311" s="61" t="n">
        <v>65</v>
      </c>
      <c r="C311" s="62" t="n">
        <v>0.06319660015814527</v>
      </c>
      <c r="D311" s="62" t="n">
        <v>0.01088662529669947</v>
      </c>
      <c r="E311" s="62" t="n">
        <v>0.04426278796636973</v>
      </c>
    </row>
    <row r="312">
      <c r="A312" s="53" t="n">
        <v>26846</v>
      </c>
      <c r="B312" s="61" t="n">
        <v>57.8</v>
      </c>
      <c r="C312" s="62" t="n">
        <v>0.04771087307609412</v>
      </c>
      <c r="D312" s="62" t="n">
        <v>-0.005258985362896589</v>
      </c>
      <c r="E312" s="62" t="n">
        <v>-0.02087058091389582</v>
      </c>
    </row>
    <row r="313">
      <c r="A313" s="53" t="n">
        <v>26877</v>
      </c>
      <c r="B313" s="61" t="n">
        <v>62.7</v>
      </c>
      <c r="C313" s="62" t="n">
        <v>0.04771087307609412</v>
      </c>
      <c r="D313" s="62" t="n">
        <v>-0.005258985362896589</v>
      </c>
      <c r="E313" s="62" t="n">
        <v>-0.02087058091389582</v>
      </c>
    </row>
    <row r="314">
      <c r="A314" s="53" t="n">
        <v>26908</v>
      </c>
      <c r="B314" s="61" t="n">
        <v>63.5</v>
      </c>
      <c r="C314" s="62" t="n">
        <v>0.04771087307609412</v>
      </c>
      <c r="D314" s="62" t="n">
        <v>-0.005258985362896589</v>
      </c>
      <c r="E314" s="62" t="n">
        <v>-0.02087058091389582</v>
      </c>
    </row>
    <row r="315">
      <c r="A315" s="53" t="n">
        <v>26938</v>
      </c>
      <c r="B315" s="61" t="n">
        <v>66.2</v>
      </c>
      <c r="C315" s="62" t="n">
        <v>0.0402375639890625</v>
      </c>
      <c r="D315" s="62" t="n">
        <v>0.009492160434313687</v>
      </c>
      <c r="E315" s="62" t="n">
        <v>0.03851267753048382</v>
      </c>
    </row>
    <row r="316">
      <c r="A316" s="53" t="n">
        <v>26969</v>
      </c>
      <c r="B316" s="61" t="n">
        <v>68.09999999999999</v>
      </c>
      <c r="C316" s="62" t="n">
        <v>0.0402375639890625</v>
      </c>
      <c r="D316" s="62" t="n">
        <v>0.009492160434313687</v>
      </c>
      <c r="E316" s="62" t="n">
        <v>0.03851267753048382</v>
      </c>
    </row>
    <row r="317">
      <c r="A317" s="53" t="n">
        <v>26999</v>
      </c>
      <c r="B317" s="61" t="n">
        <v>63.6</v>
      </c>
      <c r="C317" s="62" t="n">
        <v>0.0402375639890625</v>
      </c>
      <c r="D317" s="62" t="n">
        <v>0.009492160434313687</v>
      </c>
      <c r="E317" s="62" t="n">
        <v>0.03851267753048382</v>
      </c>
    </row>
    <row r="318">
      <c r="A318" s="53" t="n">
        <v>27030</v>
      </c>
      <c r="B318" s="61" t="n">
        <v>62.1</v>
      </c>
      <c r="C318" s="62" t="n">
        <v>0.006387738771999861</v>
      </c>
      <c r="D318" s="62" t="n">
        <v>-0.008597725743732246</v>
      </c>
      <c r="E318" s="62" t="n">
        <v>-0.03394991438893069</v>
      </c>
    </row>
    <row r="319">
      <c r="A319" s="53" t="n">
        <v>27061</v>
      </c>
      <c r="B319" s="61" t="n">
        <v>58.6</v>
      </c>
      <c r="C319" s="62" t="n">
        <v>0.006387738771999861</v>
      </c>
      <c r="D319" s="62" t="n">
        <v>-0.008597725743732246</v>
      </c>
      <c r="E319" s="62" t="n">
        <v>-0.03394991438893069</v>
      </c>
    </row>
    <row r="320">
      <c r="A320" s="53" t="n">
        <v>27089</v>
      </c>
      <c r="B320" s="61" t="n">
        <v>61.8</v>
      </c>
      <c r="C320" s="62" t="n">
        <v>0.006387738771999861</v>
      </c>
      <c r="D320" s="62" t="n">
        <v>-0.008597725743732246</v>
      </c>
      <c r="E320" s="62" t="n">
        <v>-0.03394991438893069</v>
      </c>
    </row>
    <row r="321">
      <c r="A321" s="53" t="n">
        <v>27120</v>
      </c>
      <c r="B321" s="61" t="n">
        <v>59.9</v>
      </c>
      <c r="C321" s="62" t="n">
        <v>-0.002084181959456867</v>
      </c>
      <c r="D321" s="62" t="n">
        <v>0.002376832273531812</v>
      </c>
      <c r="E321" s="62" t="n">
        <v>0.009541278826036281</v>
      </c>
    </row>
    <row r="322">
      <c r="A322" s="53" t="n">
        <v>27150</v>
      </c>
      <c r="B322" s="61" t="n">
        <v>55.7</v>
      </c>
      <c r="C322" s="62" t="n">
        <v>-0.002084181959456867</v>
      </c>
      <c r="D322" s="62" t="n">
        <v>0.002376832273531812</v>
      </c>
      <c r="E322" s="62" t="n">
        <v>0.009541278826036281</v>
      </c>
    </row>
    <row r="323">
      <c r="A323" s="53" t="n">
        <v>27181</v>
      </c>
      <c r="B323" s="61" t="n">
        <v>54.7</v>
      </c>
      <c r="C323" s="62" t="n">
        <v>-0.002084181959456867</v>
      </c>
      <c r="D323" s="62" t="n">
        <v>0.002376832273531812</v>
      </c>
      <c r="E323" s="62" t="n">
        <v>0.009541278826036281</v>
      </c>
    </row>
    <row r="324">
      <c r="A324" s="53" t="n">
        <v>27211</v>
      </c>
      <c r="B324" s="61" t="n">
        <v>54.8</v>
      </c>
      <c r="C324" s="62" t="n">
        <v>-0.006290004928018983</v>
      </c>
      <c r="D324" s="62" t="n">
        <v>-0.009451427782885907</v>
      </c>
      <c r="E324" s="62" t="n">
        <v>-0.03727310339376166</v>
      </c>
    </row>
    <row r="325">
      <c r="A325" s="53" t="n">
        <v>27242</v>
      </c>
      <c r="B325" s="61" t="n">
        <v>52.9</v>
      </c>
      <c r="C325" s="62" t="n">
        <v>-0.006290004928018983</v>
      </c>
      <c r="D325" s="62" t="n">
        <v>-0.009451427782885907</v>
      </c>
      <c r="E325" s="62" t="n">
        <v>-0.03727310339376166</v>
      </c>
    </row>
    <row r="326">
      <c r="A326" s="53" t="n">
        <v>27273</v>
      </c>
      <c r="B326" s="61" t="n">
        <v>46.2</v>
      </c>
      <c r="C326" s="62" t="n">
        <v>-0.006290004928018983</v>
      </c>
      <c r="D326" s="62" t="n">
        <v>-0.009451427782885907</v>
      </c>
      <c r="E326" s="62" t="n">
        <v>-0.03727310339376166</v>
      </c>
    </row>
    <row r="327">
      <c r="A327" s="53" t="n">
        <v>27303</v>
      </c>
      <c r="B327" s="61" t="n">
        <v>42.7</v>
      </c>
      <c r="C327" s="62" t="n">
        <v>-0.01945449393820109</v>
      </c>
      <c r="D327" s="62" t="n">
        <v>-0.003881407827863123</v>
      </c>
      <c r="E327" s="62" t="n">
        <v>-0.01543547302283965</v>
      </c>
    </row>
    <row r="328">
      <c r="A328" s="53" t="n">
        <v>27334</v>
      </c>
      <c r="B328" s="61" t="n">
        <v>37.9</v>
      </c>
      <c r="C328" s="62" t="n">
        <v>-0.01945449393820109</v>
      </c>
      <c r="D328" s="62" t="n">
        <v>-0.003881407827863123</v>
      </c>
      <c r="E328" s="62" t="n">
        <v>-0.01543547302283965</v>
      </c>
    </row>
    <row r="329">
      <c r="A329" s="53" t="n">
        <v>27364</v>
      </c>
      <c r="B329" s="61" t="n">
        <v>30.9</v>
      </c>
      <c r="C329" s="62" t="n">
        <v>-0.01945449393820109</v>
      </c>
      <c r="D329" s="62" t="n">
        <v>-0.003881407827863123</v>
      </c>
      <c r="E329" s="62" t="n">
        <v>-0.01543547302283965</v>
      </c>
    </row>
    <row r="330">
      <c r="A330" s="53" t="n">
        <v>27395</v>
      </c>
      <c r="B330" s="61" t="n">
        <v>30.7</v>
      </c>
      <c r="C330" s="62" t="n">
        <v>-0.0229904759524796</v>
      </c>
      <c r="D330" s="62" t="n">
        <v>-0.01217285875797099</v>
      </c>
      <c r="E330" s="62" t="n">
        <v>-0.04780955715630553</v>
      </c>
    </row>
    <row r="331">
      <c r="A331" s="53" t="n">
        <v>27426</v>
      </c>
      <c r="B331" s="61" t="n">
        <v>34.4</v>
      </c>
      <c r="C331" s="62" t="n">
        <v>-0.0229904759524796</v>
      </c>
      <c r="D331" s="62" t="n">
        <v>-0.01217285875797099</v>
      </c>
      <c r="E331" s="62" t="n">
        <v>-0.04780955715630553</v>
      </c>
    </row>
    <row r="332">
      <c r="A332" s="53" t="n">
        <v>27454</v>
      </c>
      <c r="B332" s="61" t="n">
        <v>31.6</v>
      </c>
      <c r="C332" s="62" t="n">
        <v>-0.0229904759524796</v>
      </c>
      <c r="D332" s="62" t="n">
        <v>-0.01217285875797099</v>
      </c>
      <c r="E332" s="62" t="n">
        <v>-0.04780955715630553</v>
      </c>
    </row>
    <row r="333">
      <c r="A333" s="53" t="n">
        <v>27485</v>
      </c>
      <c r="B333" s="61" t="n">
        <v>37.5</v>
      </c>
      <c r="C333" s="62" t="n">
        <v>-0.01834262400105072</v>
      </c>
      <c r="D333" s="62" t="n">
        <v>0.007145362161192387</v>
      </c>
      <c r="E333" s="62" t="n">
        <v>0.02888924771416268</v>
      </c>
    </row>
    <row r="334">
      <c r="A334" s="53" t="n">
        <v>27515</v>
      </c>
      <c r="B334" s="61" t="n">
        <v>41.2</v>
      </c>
      <c r="C334" s="62" t="n">
        <v>-0.01834262400105072</v>
      </c>
      <c r="D334" s="62" t="n">
        <v>0.007145362161192387</v>
      </c>
      <c r="E334" s="62" t="n">
        <v>0.02888924771416268</v>
      </c>
    </row>
    <row r="335">
      <c r="A335" s="53" t="n">
        <v>27546</v>
      </c>
      <c r="B335" s="61" t="n">
        <v>45.1</v>
      </c>
      <c r="C335" s="62" t="n">
        <v>-0.01834262400105072</v>
      </c>
      <c r="D335" s="62" t="n">
        <v>0.007145362161192387</v>
      </c>
      <c r="E335" s="62" t="n">
        <v>0.02888924771416268</v>
      </c>
    </row>
    <row r="336">
      <c r="A336" s="53" t="n">
        <v>27576</v>
      </c>
      <c r="B336" s="61" t="n">
        <v>47.2</v>
      </c>
      <c r="C336" s="62" t="n">
        <v>0.007986848693510009</v>
      </c>
      <c r="D336" s="62" t="n">
        <v>0.0171165196725963</v>
      </c>
      <c r="E336" s="62" t="n">
        <v>0.07024407486532014</v>
      </c>
    </row>
    <row r="337">
      <c r="A337" s="53" t="n">
        <v>27607</v>
      </c>
      <c r="B337" s="61" t="n">
        <v>51.4</v>
      </c>
      <c r="C337" s="62" t="n">
        <v>0.007986848693510009</v>
      </c>
      <c r="D337" s="62" t="n">
        <v>0.0171165196725963</v>
      </c>
      <c r="E337" s="62" t="n">
        <v>0.07024407486532014</v>
      </c>
    </row>
    <row r="338">
      <c r="A338" s="53" t="n">
        <v>27638</v>
      </c>
      <c r="B338" s="61" t="n">
        <v>54.4</v>
      </c>
      <c r="C338" s="62" t="n">
        <v>0.007986848693510009</v>
      </c>
      <c r="D338" s="62" t="n">
        <v>0.0171165196725963</v>
      </c>
      <c r="E338" s="62" t="n">
        <v>0.07024407486532014</v>
      </c>
    </row>
    <row r="339">
      <c r="A339" s="53" t="n">
        <v>27668</v>
      </c>
      <c r="B339" s="61" t="n">
        <v>55.5</v>
      </c>
      <c r="C339" s="62" t="n">
        <v>0.02554017472206135</v>
      </c>
      <c r="D339" s="62" t="n">
        <v>0.01346524151995556</v>
      </c>
      <c r="E339" s="62" t="n">
        <v>0.05495864100802961</v>
      </c>
    </row>
    <row r="340">
      <c r="A340" s="53" t="n">
        <v>27699</v>
      </c>
      <c r="B340" s="61" t="n">
        <v>54.5</v>
      </c>
      <c r="C340" s="62" t="n">
        <v>0.02554017472206135</v>
      </c>
      <c r="D340" s="62" t="n">
        <v>0.01346524151995556</v>
      </c>
      <c r="E340" s="62" t="n">
        <v>0.05495864100802961</v>
      </c>
    </row>
    <row r="341">
      <c r="A341" s="53" t="n">
        <v>27729</v>
      </c>
      <c r="B341" s="61" t="n">
        <v>54.9</v>
      </c>
      <c r="C341" s="62" t="n">
        <v>0.02554017472206135</v>
      </c>
      <c r="D341" s="62" t="n">
        <v>0.01346524151995556</v>
      </c>
      <c r="E341" s="62" t="n">
        <v>0.05495864100802961</v>
      </c>
    </row>
    <row r="342">
      <c r="A342" s="53" t="n">
        <v>27760</v>
      </c>
      <c r="B342" s="61" t="n">
        <v>58.8</v>
      </c>
      <c r="C342" s="62" t="n">
        <v>0.06152389361625864</v>
      </c>
      <c r="D342" s="62" t="n">
        <v>0.02248760120513595</v>
      </c>
      <c r="E342" s="62" t="n">
        <v>0.09303030101174126</v>
      </c>
    </row>
    <row r="343">
      <c r="A343" s="53" t="n">
        <v>27791</v>
      </c>
      <c r="B343" s="61" t="n">
        <v>61.5</v>
      </c>
      <c r="C343" s="62" t="n">
        <v>0.06152389361625864</v>
      </c>
      <c r="D343" s="62" t="n">
        <v>0.02248760120513595</v>
      </c>
      <c r="E343" s="62" t="n">
        <v>0.09303030101174126</v>
      </c>
    </row>
    <row r="344">
      <c r="A344" s="53" t="n">
        <v>27820</v>
      </c>
      <c r="B344" s="61" t="n">
        <v>58.4</v>
      </c>
      <c r="C344" s="62" t="n">
        <v>0.06152389361625864</v>
      </c>
      <c r="D344" s="62" t="n">
        <v>0.02248760120513595</v>
      </c>
      <c r="E344" s="62" t="n">
        <v>0.09303030101174126</v>
      </c>
    </row>
    <row r="345">
      <c r="A345" s="53" t="n">
        <v>27851</v>
      </c>
      <c r="B345" s="61" t="n">
        <v>60.6</v>
      </c>
      <c r="C345" s="62" t="n">
        <v>0.06172588458452682</v>
      </c>
      <c r="D345" s="62" t="n">
        <v>0.00733700576725076</v>
      </c>
      <c r="E345" s="62" t="n">
        <v>0.02967259574123493</v>
      </c>
    </row>
    <row r="346">
      <c r="A346" s="53" t="n">
        <v>27881</v>
      </c>
      <c r="B346" s="61" t="n">
        <v>58.8</v>
      </c>
      <c r="C346" s="62" t="n">
        <v>0.06172588458452682</v>
      </c>
      <c r="D346" s="62" t="n">
        <v>0.00733700576725076</v>
      </c>
      <c r="E346" s="62" t="n">
        <v>0.02967259574123493</v>
      </c>
    </row>
    <row r="347">
      <c r="A347" s="53" t="n">
        <v>27912</v>
      </c>
      <c r="B347" s="61" t="n">
        <v>58.2</v>
      </c>
      <c r="C347" s="62" t="n">
        <v>0.06172588458452682</v>
      </c>
      <c r="D347" s="62" t="n">
        <v>0.00733700576725076</v>
      </c>
      <c r="E347" s="62" t="n">
        <v>0.02967259574123493</v>
      </c>
    </row>
    <row r="348">
      <c r="A348" s="53" t="n">
        <v>27942</v>
      </c>
      <c r="B348" s="61" t="n">
        <v>55.9</v>
      </c>
      <c r="C348" s="62" t="n">
        <v>0.04958636996409576</v>
      </c>
      <c r="D348" s="62" t="n">
        <v>0.005487057642404611</v>
      </c>
      <c r="E348" s="62" t="n">
        <v>0.02212953909849547</v>
      </c>
    </row>
    <row r="349">
      <c r="A349" s="53" t="n">
        <v>27973</v>
      </c>
      <c r="B349" s="61" t="n">
        <v>54.5</v>
      </c>
      <c r="C349" s="62" t="n">
        <v>0.04958636996409576</v>
      </c>
      <c r="D349" s="62" t="n">
        <v>0.005487057642404611</v>
      </c>
      <c r="E349" s="62" t="n">
        <v>0.02212953909849547</v>
      </c>
    </row>
    <row r="350">
      <c r="A350" s="53" t="n">
        <v>28004</v>
      </c>
      <c r="B350" s="61" t="n">
        <v>53.6</v>
      </c>
      <c r="C350" s="62" t="n">
        <v>0.04958636996409576</v>
      </c>
      <c r="D350" s="62" t="n">
        <v>0.005487057642404611</v>
      </c>
      <c r="E350" s="62" t="n">
        <v>0.02212953909849547</v>
      </c>
    </row>
    <row r="351">
      <c r="A351" s="53" t="n">
        <v>28034</v>
      </c>
      <c r="B351" s="61" t="n">
        <v>53.5</v>
      </c>
      <c r="C351" s="62" t="n">
        <v>0.04314806637790361</v>
      </c>
      <c r="D351" s="62" t="n">
        <v>0.007248509780973248</v>
      </c>
      <c r="E351" s="62" t="n">
        <v>0.02931081062144569</v>
      </c>
    </row>
    <row r="352">
      <c r="A352" s="53" t="n">
        <v>28065</v>
      </c>
      <c r="B352" s="61" t="n">
        <v>51.7</v>
      </c>
      <c r="C352" s="62" t="n">
        <v>0.04314806637790361</v>
      </c>
      <c r="D352" s="62" t="n">
        <v>0.007248509780973248</v>
      </c>
      <c r="E352" s="62" t="n">
        <v>0.02931081062144569</v>
      </c>
    </row>
    <row r="353">
      <c r="A353" s="53" t="n">
        <v>28095</v>
      </c>
      <c r="B353" s="61" t="n">
        <v>56.6</v>
      </c>
      <c r="C353" s="62" t="n">
        <v>0.04314806637790361</v>
      </c>
      <c r="D353" s="62" t="n">
        <v>0.007248509780973248</v>
      </c>
      <c r="E353" s="62" t="n">
        <v>0.02931081062144569</v>
      </c>
    </row>
    <row r="354">
      <c r="A354" s="53" t="n">
        <v>28126</v>
      </c>
      <c r="B354" s="61" t="n">
        <v>54.8</v>
      </c>
      <c r="C354" s="62" t="n">
        <v>0.03225964641737461</v>
      </c>
      <c r="D354" s="62" t="n">
        <v>0.01181483598110289</v>
      </c>
      <c r="E354" s="62" t="n">
        <v>0.04810350245376416</v>
      </c>
    </row>
    <row r="355">
      <c r="A355" s="53" t="n">
        <v>28157</v>
      </c>
      <c r="B355" s="61" t="n">
        <v>55</v>
      </c>
      <c r="C355" s="62" t="n">
        <v>0.03225964641737461</v>
      </c>
      <c r="D355" s="62" t="n">
        <v>0.01181483598110289</v>
      </c>
      <c r="E355" s="62" t="n">
        <v>0.04810350245376416</v>
      </c>
    </row>
    <row r="356">
      <c r="A356" s="53" t="n">
        <v>28185</v>
      </c>
      <c r="B356" s="61" t="n">
        <v>58.4</v>
      </c>
      <c r="C356" s="62" t="n">
        <v>0.03225964641737461</v>
      </c>
      <c r="D356" s="62" t="n">
        <v>0.01181483598110289</v>
      </c>
      <c r="E356" s="62" t="n">
        <v>0.04810350245376416</v>
      </c>
    </row>
    <row r="357">
      <c r="A357" s="53" t="n">
        <v>28216</v>
      </c>
      <c r="B357" s="61" t="n">
        <v>56.9</v>
      </c>
      <c r="C357" s="62" t="n">
        <v>0.04466324097555541</v>
      </c>
      <c r="D357" s="62" t="n">
        <v>0.01944113077722606</v>
      </c>
      <c r="E357" s="62" t="n">
        <v>0.08006180304607646</v>
      </c>
    </row>
    <row r="358">
      <c r="A358" s="53" t="n">
        <v>28246</v>
      </c>
      <c r="B358" s="61" t="n">
        <v>59.7</v>
      </c>
      <c r="C358" s="62" t="n">
        <v>0.04466324097555541</v>
      </c>
      <c r="D358" s="62" t="n">
        <v>0.01944113077722606</v>
      </c>
      <c r="E358" s="62" t="n">
        <v>0.08006180304607646</v>
      </c>
    </row>
    <row r="359">
      <c r="A359" s="53" t="n">
        <v>28277</v>
      </c>
      <c r="B359" s="61" t="n">
        <v>56.8</v>
      </c>
      <c r="C359" s="62" t="n">
        <v>0.04466324097555541</v>
      </c>
      <c r="D359" s="62" t="n">
        <v>0.01944113077722606</v>
      </c>
      <c r="E359" s="62" t="n">
        <v>0.08006180304607646</v>
      </c>
    </row>
    <row r="360">
      <c r="A360" s="53" t="n">
        <v>28307</v>
      </c>
      <c r="B360" s="61" t="n">
        <v>57.7</v>
      </c>
      <c r="C360" s="62" t="n">
        <v>0.05770897368090847</v>
      </c>
      <c r="D360" s="62" t="n">
        <v>0.01804355898961884</v>
      </c>
      <c r="E360" s="62" t="n">
        <v>0.07415125984790261</v>
      </c>
    </row>
    <row r="361">
      <c r="A361" s="53" t="n">
        <v>28338</v>
      </c>
      <c r="B361" s="61" t="n">
        <v>54.9</v>
      </c>
      <c r="C361" s="62" t="n">
        <v>0.05770897368090847</v>
      </c>
      <c r="D361" s="62" t="n">
        <v>0.01804355898961884</v>
      </c>
      <c r="E361" s="62" t="n">
        <v>0.07415125984790261</v>
      </c>
    </row>
    <row r="362">
      <c r="A362" s="53" t="n">
        <v>28369</v>
      </c>
      <c r="B362" s="61" t="n">
        <v>53.9</v>
      </c>
      <c r="C362" s="62" t="n">
        <v>0.05770897368090847</v>
      </c>
      <c r="D362" s="62" t="n">
        <v>0.01804355898961884</v>
      </c>
      <c r="E362" s="62" t="n">
        <v>0.07415125984790261</v>
      </c>
    </row>
    <row r="363">
      <c r="A363" s="53" t="n">
        <v>28399</v>
      </c>
      <c r="B363" s="61" t="n">
        <v>55.4</v>
      </c>
      <c r="C363" s="62" t="n">
        <v>0.05012028562513603</v>
      </c>
      <c r="D363" s="62" t="n">
        <v>2.185771923568307e-05</v>
      </c>
      <c r="E363" s="62" t="n">
        <v>8.743374354369671e-05</v>
      </c>
    </row>
    <row r="364">
      <c r="A364" s="53" t="n">
        <v>28430</v>
      </c>
      <c r="B364" s="61" t="n">
        <v>56.1</v>
      </c>
      <c r="C364" s="62" t="n">
        <v>0.05012028562513603</v>
      </c>
      <c r="D364" s="62" t="n">
        <v>2.185771923568307e-05</v>
      </c>
      <c r="E364" s="62" t="n">
        <v>8.743374354369671e-05</v>
      </c>
    </row>
    <row r="365">
      <c r="A365" s="53" t="n">
        <v>28460</v>
      </c>
      <c r="B365" s="61" t="n">
        <v>59.8</v>
      </c>
      <c r="C365" s="62" t="n">
        <v>0.05012028562513603</v>
      </c>
      <c r="D365" s="62" t="n">
        <v>2.185771923568307e-05</v>
      </c>
      <c r="E365" s="62" t="n">
        <v>8.743374354369671e-05</v>
      </c>
    </row>
    <row r="366">
      <c r="A366" s="53" t="n">
        <v>28491</v>
      </c>
      <c r="B366" s="61" t="n">
        <v>57.4</v>
      </c>
      <c r="C366" s="62" t="n">
        <v>0.04117062342367939</v>
      </c>
      <c r="D366" s="62" t="n">
        <v>0.003191632414415807</v>
      </c>
      <c r="E366" s="62" t="n">
        <v>0.01282777891271847</v>
      </c>
    </row>
    <row r="367">
      <c r="A367" s="53" t="n">
        <v>28522</v>
      </c>
      <c r="B367" s="61" t="n">
        <v>55.9</v>
      </c>
      <c r="C367" s="62" t="n">
        <v>0.04117062342367939</v>
      </c>
      <c r="D367" s="62" t="n">
        <v>0.003191632414415807</v>
      </c>
      <c r="E367" s="62" t="n">
        <v>0.01282777891271847</v>
      </c>
    </row>
    <row r="368">
      <c r="A368" s="53" t="n">
        <v>28550</v>
      </c>
      <c r="B368" s="61" t="n">
        <v>55</v>
      </c>
      <c r="C368" s="62" t="n">
        <v>0.04117062342367939</v>
      </c>
      <c r="D368" s="62" t="n">
        <v>0.003191632414415807</v>
      </c>
      <c r="E368" s="62" t="n">
        <v>0.01282777891271847</v>
      </c>
    </row>
    <row r="369">
      <c r="A369" s="53" t="n">
        <v>28581</v>
      </c>
      <c r="B369" s="61" t="n">
        <v>57.7</v>
      </c>
      <c r="C369" s="62" t="n">
        <v>0.06078147798838987</v>
      </c>
      <c r="D369" s="62" t="n">
        <v>0.03864270187727897</v>
      </c>
      <c r="E369" s="62" t="n">
        <v>0.1637634019380503</v>
      </c>
    </row>
    <row r="370">
      <c r="A370" s="53" t="n">
        <v>28611</v>
      </c>
      <c r="B370" s="61" t="n">
        <v>60.2</v>
      </c>
      <c r="C370" s="62" t="n">
        <v>0.06078147798838987</v>
      </c>
      <c r="D370" s="62" t="n">
        <v>0.03864270187727897</v>
      </c>
      <c r="E370" s="62" t="n">
        <v>0.1637634019380503</v>
      </c>
    </row>
    <row r="371">
      <c r="A371" s="53" t="n">
        <v>28642</v>
      </c>
      <c r="B371" s="61" t="n">
        <v>60.5</v>
      </c>
      <c r="C371" s="62" t="n">
        <v>0.06078147798838987</v>
      </c>
      <c r="D371" s="62" t="n">
        <v>0.03864270187727897</v>
      </c>
      <c r="E371" s="62" t="n">
        <v>0.1637634019380503</v>
      </c>
    </row>
    <row r="372">
      <c r="A372" s="53" t="n">
        <v>28672</v>
      </c>
      <c r="B372" s="61" t="n">
        <v>62.2</v>
      </c>
      <c r="C372" s="62" t="n">
        <v>0.05245773421932062</v>
      </c>
      <c r="D372" s="62" t="n">
        <v>0.010055171271113</v>
      </c>
      <c r="E372" s="62" t="n">
        <v>0.04083140069418012</v>
      </c>
    </row>
    <row r="373">
      <c r="A373" s="53" t="n">
        <v>28703</v>
      </c>
      <c r="B373" s="61" t="n">
        <v>60.3</v>
      </c>
      <c r="C373" s="62" t="n">
        <v>0.05245773421932062</v>
      </c>
      <c r="D373" s="62" t="n">
        <v>0.010055171271113</v>
      </c>
      <c r="E373" s="62" t="n">
        <v>0.04083140069418012</v>
      </c>
    </row>
    <row r="374">
      <c r="A374" s="53" t="n">
        <v>28734</v>
      </c>
      <c r="B374" s="61" t="n">
        <v>60.5</v>
      </c>
      <c r="C374" s="62" t="n">
        <v>0.05245773421932062</v>
      </c>
      <c r="D374" s="62" t="n">
        <v>0.010055171271113</v>
      </c>
      <c r="E374" s="62" t="n">
        <v>0.04083140069418012</v>
      </c>
    </row>
    <row r="375">
      <c r="A375" s="53" t="n">
        <v>28764</v>
      </c>
      <c r="B375" s="61" t="n">
        <v>60.1</v>
      </c>
      <c r="C375" s="62" t="n">
        <v>0.06658095882650059</v>
      </c>
      <c r="D375" s="62" t="n">
        <v>0.01344143063836532</v>
      </c>
      <c r="E375" s="62" t="n">
        <v>0.05485950150521179</v>
      </c>
    </row>
    <row r="376">
      <c r="A376" s="53" t="n">
        <v>28795</v>
      </c>
      <c r="B376" s="61" t="n">
        <v>61.3</v>
      </c>
      <c r="C376" s="62" t="n">
        <v>0.06658095882650059</v>
      </c>
      <c r="D376" s="62" t="n">
        <v>0.01344143063836532</v>
      </c>
      <c r="E376" s="62" t="n">
        <v>0.05485950150521179</v>
      </c>
    </row>
    <row r="377">
      <c r="A377" s="53" t="n">
        <v>28825</v>
      </c>
      <c r="B377" s="61" t="n">
        <v>59.4</v>
      </c>
      <c r="C377" s="62" t="n">
        <v>0.06658095882650059</v>
      </c>
      <c r="D377" s="62" t="n">
        <v>0.01344143063836532</v>
      </c>
      <c r="E377" s="62" t="n">
        <v>0.05485950150521179</v>
      </c>
    </row>
    <row r="378">
      <c r="A378" s="53" t="n">
        <v>28856</v>
      </c>
      <c r="B378" s="61" t="n">
        <v>58.5</v>
      </c>
      <c r="C378" s="62" t="n">
        <v>0.06509913089167918</v>
      </c>
      <c r="D378" s="62" t="n">
        <v>0.001797872875968448</v>
      </c>
      <c r="E378" s="62" t="n">
        <v>0.007210908840985741</v>
      </c>
    </row>
    <row r="379">
      <c r="A379" s="53" t="n">
        <v>28887</v>
      </c>
      <c r="B379" s="61" t="n">
        <v>58.2</v>
      </c>
      <c r="C379" s="62" t="n">
        <v>0.06509913089167918</v>
      </c>
      <c r="D379" s="62" t="n">
        <v>0.001797872875968448</v>
      </c>
      <c r="E379" s="62" t="n">
        <v>0.007210908840985741</v>
      </c>
    </row>
    <row r="380">
      <c r="A380" s="53" t="n">
        <v>28915</v>
      </c>
      <c r="B380" s="61" t="n">
        <v>57.7</v>
      </c>
      <c r="C380" s="62" t="n">
        <v>0.06509913089167918</v>
      </c>
      <c r="D380" s="62" t="n">
        <v>0.001797872875968448</v>
      </c>
      <c r="E380" s="62" t="n">
        <v>0.007210908840985741</v>
      </c>
    </row>
    <row r="381">
      <c r="A381" s="53" t="n">
        <v>28946</v>
      </c>
      <c r="B381" s="61" t="n">
        <v>56.2</v>
      </c>
      <c r="C381" s="62" t="n">
        <v>0.02656855062737474</v>
      </c>
      <c r="D381" s="62" t="n">
        <v>0.001069198313236971</v>
      </c>
      <c r="E381" s="62" t="n">
        <v>0.0042836572536189</v>
      </c>
    </row>
    <row r="382">
      <c r="A382" s="53" t="n">
        <v>28976</v>
      </c>
      <c r="B382" s="61" t="n">
        <v>54.4</v>
      </c>
      <c r="C382" s="62" t="n">
        <v>0.02656855062737474</v>
      </c>
      <c r="D382" s="62" t="n">
        <v>0.001069198313236971</v>
      </c>
      <c r="E382" s="62" t="n">
        <v>0.0042836572536189</v>
      </c>
    </row>
    <row r="383">
      <c r="A383" s="53" t="n">
        <v>29007</v>
      </c>
      <c r="B383" s="61" t="n">
        <v>52.7</v>
      </c>
      <c r="C383" s="62" t="n">
        <v>0.02656855062737474</v>
      </c>
      <c r="D383" s="62" t="n">
        <v>0.001069198313236971</v>
      </c>
      <c r="E383" s="62" t="n">
        <v>0.0042836572536189</v>
      </c>
    </row>
    <row r="384">
      <c r="A384" s="53" t="n">
        <v>29037</v>
      </c>
      <c r="B384" s="61" t="n">
        <v>51.3</v>
      </c>
      <c r="C384" s="62" t="n">
        <v>0.02389915412970895</v>
      </c>
      <c r="D384" s="62" t="n">
        <v>0.007428714679400205</v>
      </c>
      <c r="E384" s="62" t="n">
        <v>0.03004761641210396</v>
      </c>
    </row>
    <row r="385">
      <c r="A385" s="53" t="n">
        <v>29068</v>
      </c>
      <c r="B385" s="61" t="n">
        <v>49.5</v>
      </c>
      <c r="C385" s="62" t="n">
        <v>0.02389915412970895</v>
      </c>
      <c r="D385" s="62" t="n">
        <v>0.007428714679400205</v>
      </c>
      <c r="E385" s="62" t="n">
        <v>0.03004761641210396</v>
      </c>
    </row>
    <row r="386">
      <c r="A386" s="53" t="n">
        <v>29099</v>
      </c>
      <c r="B386" s="61" t="n">
        <v>49.6</v>
      </c>
      <c r="C386" s="62" t="n">
        <v>0.02389915412970895</v>
      </c>
      <c r="D386" s="62" t="n">
        <v>0.007428714679400205</v>
      </c>
      <c r="E386" s="62" t="n">
        <v>0.03004761641210396</v>
      </c>
    </row>
    <row r="387">
      <c r="A387" s="53" t="n">
        <v>29129</v>
      </c>
      <c r="B387" s="61" t="n">
        <v>49</v>
      </c>
      <c r="C387" s="62" t="n">
        <v>0.01284557672337478</v>
      </c>
      <c r="D387" s="62" t="n">
        <v>0.002500750342688359</v>
      </c>
      <c r="E387" s="62" t="n">
        <v>0.01004058647981432</v>
      </c>
    </row>
    <row r="388">
      <c r="A388" s="53" t="n">
        <v>29160</v>
      </c>
      <c r="B388" s="61" t="n">
        <v>48</v>
      </c>
      <c r="C388" s="62" t="n">
        <v>0.01284557672337478</v>
      </c>
      <c r="D388" s="62" t="n">
        <v>0.002500750342688359</v>
      </c>
      <c r="E388" s="62" t="n">
        <v>0.01004058647981432</v>
      </c>
    </row>
    <row r="389">
      <c r="A389" s="53" t="n">
        <v>29190</v>
      </c>
      <c r="B389" s="61" t="n">
        <v>44.8</v>
      </c>
      <c r="C389" s="62" t="n">
        <v>0.01284557672337478</v>
      </c>
      <c r="D389" s="62" t="n">
        <v>0.002500750342688359</v>
      </c>
      <c r="E389" s="62" t="n">
        <v>0.01004058647981432</v>
      </c>
    </row>
    <row r="390">
      <c r="A390" s="53" t="n">
        <v>29221</v>
      </c>
      <c r="B390" s="61" t="n">
        <v>46.2</v>
      </c>
      <c r="C390" s="62" t="n">
        <v>0.01420775265869138</v>
      </c>
      <c r="D390" s="62" t="n">
        <v>0.003145190755262202</v>
      </c>
      <c r="E390" s="62" t="n">
        <v>0.01264024091996396</v>
      </c>
    </row>
    <row r="391">
      <c r="A391" s="53" t="n">
        <v>29252</v>
      </c>
      <c r="B391" s="61" t="n">
        <v>50.2</v>
      </c>
      <c r="C391" s="62" t="n">
        <v>0.01420775265869138</v>
      </c>
      <c r="D391" s="62" t="n">
        <v>0.003145190755262202</v>
      </c>
      <c r="E391" s="62" t="n">
        <v>0.01264024091996396</v>
      </c>
    </row>
    <row r="392">
      <c r="A392" s="53" t="n">
        <v>29281</v>
      </c>
      <c r="B392" s="61" t="n">
        <v>43.6</v>
      </c>
      <c r="C392" s="62" t="n">
        <v>0.01420775265869138</v>
      </c>
      <c r="D392" s="62" t="n">
        <v>0.003145190755262202</v>
      </c>
      <c r="E392" s="62" t="n">
        <v>0.01264024091996396</v>
      </c>
    </row>
    <row r="393">
      <c r="A393" s="53" t="n">
        <v>29312</v>
      </c>
      <c r="B393" s="61" t="n">
        <v>37.4</v>
      </c>
      <c r="C393" s="62" t="n">
        <v>-0.007750627129578919</v>
      </c>
      <c r="D393" s="62" t="n">
        <v>-0.02060472164377091</v>
      </c>
      <c r="E393" s="62" t="n">
        <v>-0.07990637031804315</v>
      </c>
    </row>
    <row r="394">
      <c r="A394" s="53" t="n">
        <v>29342</v>
      </c>
      <c r="B394" s="61" t="n">
        <v>29.4</v>
      </c>
      <c r="C394" s="62" t="n">
        <v>-0.007750627129578919</v>
      </c>
      <c r="D394" s="62" t="n">
        <v>-0.02060472164377091</v>
      </c>
      <c r="E394" s="62" t="n">
        <v>-0.07990637031804315</v>
      </c>
    </row>
    <row r="395">
      <c r="A395" s="53" t="n">
        <v>29373</v>
      </c>
      <c r="B395" s="61" t="n">
        <v>30.3</v>
      </c>
      <c r="C395" s="62" t="n">
        <v>-0.007750627129578919</v>
      </c>
      <c r="D395" s="62" t="n">
        <v>-0.02060472164377091</v>
      </c>
      <c r="E395" s="62" t="n">
        <v>-0.07990637031804315</v>
      </c>
    </row>
    <row r="396">
      <c r="A396" s="53" t="n">
        <v>29403</v>
      </c>
      <c r="B396" s="61" t="n">
        <v>35</v>
      </c>
      <c r="C396" s="62" t="n">
        <v>-0.01623797430697286</v>
      </c>
      <c r="D396" s="62" t="n">
        <v>-0.001188471173007907</v>
      </c>
      <c r="E396" s="62" t="n">
        <v>-0.004745416622351839</v>
      </c>
    </row>
    <row r="397">
      <c r="A397" s="53" t="n">
        <v>29434</v>
      </c>
      <c r="B397" s="61" t="n">
        <v>45.5</v>
      </c>
      <c r="C397" s="62" t="n">
        <v>-0.01623797430697286</v>
      </c>
      <c r="D397" s="62" t="n">
        <v>-0.001188471173007907</v>
      </c>
      <c r="E397" s="62" t="n">
        <v>-0.004745416622351839</v>
      </c>
    </row>
    <row r="398">
      <c r="A398" s="53" t="n">
        <v>29465</v>
      </c>
      <c r="B398" s="61" t="n">
        <v>50.1</v>
      </c>
      <c r="C398" s="62" t="n">
        <v>-0.01623797430697286</v>
      </c>
      <c r="D398" s="62" t="n">
        <v>-0.001188471173007907</v>
      </c>
      <c r="E398" s="62" t="n">
        <v>-0.004745416622351839</v>
      </c>
    </row>
    <row r="399">
      <c r="A399" s="53" t="n">
        <v>29495</v>
      </c>
      <c r="B399" s="61" t="n">
        <v>55.5</v>
      </c>
      <c r="C399" s="62" t="n">
        <v>-0.0003913161535425283</v>
      </c>
      <c r="D399" s="62" t="n">
        <v>0.01864925605274221</v>
      </c>
      <c r="E399" s="62" t="n">
        <v>0.07670985813356745</v>
      </c>
    </row>
    <row r="400">
      <c r="A400" s="53" t="n">
        <v>29526</v>
      </c>
      <c r="B400" s="61" t="n">
        <v>58.2</v>
      </c>
      <c r="C400" s="62" t="n">
        <v>-0.0003913161535425283</v>
      </c>
      <c r="D400" s="62" t="n">
        <v>0.01864925605274221</v>
      </c>
      <c r="E400" s="62" t="n">
        <v>0.07670985813356745</v>
      </c>
    </row>
    <row r="401">
      <c r="A401" s="53" t="n">
        <v>29556</v>
      </c>
      <c r="B401" s="61" t="n">
        <v>53</v>
      </c>
      <c r="C401" s="62" t="n">
        <v>-0.0003913161535425283</v>
      </c>
      <c r="D401" s="62" t="n">
        <v>0.01864925605274221</v>
      </c>
      <c r="E401" s="62" t="n">
        <v>0.07670985813356745</v>
      </c>
    </row>
    <row r="402">
      <c r="A402" s="53" t="n">
        <v>29587</v>
      </c>
      <c r="B402" s="61" t="n">
        <v>49.2</v>
      </c>
      <c r="C402" s="62" t="n">
        <v>0.0159997977206744</v>
      </c>
      <c r="D402" s="62" t="n">
        <v>0.01959429460935417</v>
      </c>
      <c r="E402" s="62" t="n">
        <v>0.08071103598225116</v>
      </c>
    </row>
    <row r="403">
      <c r="A403" s="53" t="n">
        <v>29618</v>
      </c>
      <c r="B403" s="61" t="n">
        <v>48.8</v>
      </c>
      <c r="C403" s="62" t="n">
        <v>0.0159997977206744</v>
      </c>
      <c r="D403" s="62" t="n">
        <v>0.01959429460935417</v>
      </c>
      <c r="E403" s="62" t="n">
        <v>0.08071103598225116</v>
      </c>
    </row>
    <row r="404">
      <c r="A404" s="53" t="n">
        <v>29646</v>
      </c>
      <c r="B404" s="61" t="n">
        <v>49.6</v>
      </c>
      <c r="C404" s="62" t="n">
        <v>0.0159997977206744</v>
      </c>
      <c r="D404" s="62" t="n">
        <v>0.01959429460935417</v>
      </c>
      <c r="E404" s="62" t="n">
        <v>0.08071103598225116</v>
      </c>
    </row>
    <row r="405">
      <c r="A405" s="53" t="n">
        <v>29677</v>
      </c>
      <c r="B405" s="61" t="n">
        <v>51.6</v>
      </c>
      <c r="C405" s="62" t="n">
        <v>0.02968700707322398</v>
      </c>
      <c r="D405" s="62" t="n">
        <v>-0.00741063612935064</v>
      </c>
      <c r="E405" s="62" t="n">
        <v>-0.02931466422968187</v>
      </c>
    </row>
    <row r="406">
      <c r="A406" s="53" t="n">
        <v>29707</v>
      </c>
      <c r="B406" s="61" t="n">
        <v>53.5</v>
      </c>
      <c r="C406" s="62" t="n">
        <v>0.02968700707322398</v>
      </c>
      <c r="D406" s="62" t="n">
        <v>-0.00741063612935064</v>
      </c>
      <c r="E406" s="62" t="n">
        <v>-0.02931466422968187</v>
      </c>
    </row>
    <row r="407">
      <c r="A407" s="53" t="n">
        <v>29738</v>
      </c>
      <c r="B407" s="61" t="n">
        <v>50.7</v>
      </c>
      <c r="C407" s="62" t="n">
        <v>0.02968700707322398</v>
      </c>
      <c r="D407" s="62" t="n">
        <v>-0.00741063612935064</v>
      </c>
      <c r="E407" s="62" t="n">
        <v>-0.02931466422968187</v>
      </c>
    </row>
    <row r="408">
      <c r="A408" s="53" t="n">
        <v>29768</v>
      </c>
      <c r="B408" s="61" t="n">
        <v>46.7</v>
      </c>
      <c r="C408" s="62" t="n">
        <v>0.04325765021256277</v>
      </c>
      <c r="D408" s="62" t="n">
        <v>0.01197525210218013</v>
      </c>
      <c r="E408" s="62" t="n">
        <v>0.04876833827542182</v>
      </c>
    </row>
    <row r="409">
      <c r="A409" s="53" t="n">
        <v>29799</v>
      </c>
      <c r="B409" s="61" t="n">
        <v>48.3</v>
      </c>
      <c r="C409" s="62" t="n">
        <v>0.04325765021256277</v>
      </c>
      <c r="D409" s="62" t="n">
        <v>0.01197525210218013</v>
      </c>
      <c r="E409" s="62" t="n">
        <v>0.04876833827542182</v>
      </c>
    </row>
    <row r="410">
      <c r="A410" s="53" t="n">
        <v>29830</v>
      </c>
      <c r="B410" s="61" t="n">
        <v>42.5</v>
      </c>
      <c r="C410" s="62" t="n">
        <v>0.04325765021256277</v>
      </c>
      <c r="D410" s="62" t="n">
        <v>0.01197525210218013</v>
      </c>
      <c r="E410" s="62" t="n">
        <v>0.04876833827542182</v>
      </c>
    </row>
    <row r="411">
      <c r="A411" s="53" t="n">
        <v>29860</v>
      </c>
      <c r="B411" s="61" t="n">
        <v>40</v>
      </c>
      <c r="C411" s="62" t="n">
        <v>0.01299901157291328</v>
      </c>
      <c r="D411" s="62" t="n">
        <v>-0.010895640870053</v>
      </c>
      <c r="E411" s="62" t="n">
        <v>-0.04287543335073452</v>
      </c>
    </row>
    <row r="412">
      <c r="A412" s="53" t="n">
        <v>29891</v>
      </c>
      <c r="B412" s="61" t="n">
        <v>36.1</v>
      </c>
      <c r="C412" s="62" t="n">
        <v>0.01299901157291328</v>
      </c>
      <c r="D412" s="62" t="n">
        <v>-0.010895640870053</v>
      </c>
      <c r="E412" s="62" t="n">
        <v>-0.04287543335073452</v>
      </c>
    </row>
    <row r="413">
      <c r="A413" s="53" t="n">
        <v>29921</v>
      </c>
      <c r="B413" s="61" t="n">
        <v>37.8</v>
      </c>
      <c r="C413" s="62" t="n">
        <v>0.01299901157291328</v>
      </c>
      <c r="D413" s="62" t="n">
        <v>-0.010895640870053</v>
      </c>
      <c r="E413" s="62" t="n">
        <v>-0.04287543335073452</v>
      </c>
    </row>
    <row r="414">
      <c r="A414" s="53" t="n">
        <v>29952</v>
      </c>
      <c r="B414" s="61" t="n">
        <v>38.2</v>
      </c>
      <c r="C414" s="62" t="n">
        <v>-0.02190348982485059</v>
      </c>
      <c r="D414" s="62" t="n">
        <v>-0.01553544479433885</v>
      </c>
      <c r="E414" s="62" t="n">
        <v>-0.06070861857896181</v>
      </c>
    </row>
    <row r="415">
      <c r="A415" s="53" t="n">
        <v>29983</v>
      </c>
      <c r="B415" s="61" t="n">
        <v>38.3</v>
      </c>
      <c r="C415" s="62" t="n">
        <v>-0.02190348982485059</v>
      </c>
      <c r="D415" s="62" t="n">
        <v>-0.01553544479433885</v>
      </c>
      <c r="E415" s="62" t="n">
        <v>-0.06070861857896181</v>
      </c>
    </row>
    <row r="416">
      <c r="A416" s="53" t="n">
        <v>30011</v>
      </c>
      <c r="B416" s="61" t="n">
        <v>36.8</v>
      </c>
      <c r="C416" s="62" t="n">
        <v>-0.02190348982485059</v>
      </c>
      <c r="D416" s="62" t="n">
        <v>-0.01553544479433885</v>
      </c>
      <c r="E416" s="62" t="n">
        <v>-0.06070861857896181</v>
      </c>
    </row>
    <row r="417">
      <c r="A417" s="53" t="n">
        <v>30042</v>
      </c>
      <c r="B417" s="61" t="n">
        <v>37.8</v>
      </c>
      <c r="C417" s="62" t="n">
        <v>-0.01010568146574329</v>
      </c>
      <c r="D417" s="62" t="n">
        <v>0.004561985153325386</v>
      </c>
      <c r="E417" s="62" t="n">
        <v>0.01837319106848523</v>
      </c>
    </row>
    <row r="418">
      <c r="A418" s="53" t="n">
        <v>30072</v>
      </c>
      <c r="B418" s="61" t="n">
        <v>35.5</v>
      </c>
      <c r="C418" s="62" t="n">
        <v>-0.01010568146574329</v>
      </c>
      <c r="D418" s="62" t="n">
        <v>0.004561985153325386</v>
      </c>
      <c r="E418" s="62" t="n">
        <v>0.01837319106848523</v>
      </c>
    </row>
    <row r="419">
      <c r="A419" s="53" t="n">
        <v>30103</v>
      </c>
      <c r="B419" s="61" t="n">
        <v>38.3</v>
      </c>
      <c r="C419" s="62" t="n">
        <v>-0.01010568146574329</v>
      </c>
      <c r="D419" s="62" t="n">
        <v>0.004561985153325386</v>
      </c>
      <c r="E419" s="62" t="n">
        <v>0.01837319106848523</v>
      </c>
    </row>
    <row r="420">
      <c r="A420" s="53" t="n">
        <v>30133</v>
      </c>
      <c r="B420" s="61" t="n">
        <v>38.4</v>
      </c>
      <c r="C420" s="62" t="n">
        <v>-0.02555921432805421</v>
      </c>
      <c r="D420" s="62" t="n">
        <v>-0.00382299274214082</v>
      </c>
      <c r="E420" s="62" t="n">
        <v>-0.01520450261025652</v>
      </c>
    </row>
    <row r="421">
      <c r="A421" s="53" t="n">
        <v>30164</v>
      </c>
      <c r="B421" s="61" t="n">
        <v>38.3</v>
      </c>
      <c r="C421" s="62" t="n">
        <v>-0.02555921432805421</v>
      </c>
      <c r="D421" s="62" t="n">
        <v>-0.00382299274214082</v>
      </c>
      <c r="E421" s="62" t="n">
        <v>-0.01520450261025652</v>
      </c>
    </row>
    <row r="422">
      <c r="A422" s="53" t="n">
        <v>30195</v>
      </c>
      <c r="B422" s="61" t="n">
        <v>38.8</v>
      </c>
      <c r="C422" s="62" t="n">
        <v>-0.02555921432805421</v>
      </c>
      <c r="D422" s="62" t="n">
        <v>-0.00382299274214082</v>
      </c>
      <c r="E422" s="62" t="n">
        <v>-0.01520450261025652</v>
      </c>
    </row>
    <row r="423">
      <c r="A423" s="53" t="n">
        <v>30225</v>
      </c>
      <c r="B423" s="61" t="n">
        <v>39.4</v>
      </c>
      <c r="C423" s="62" t="n">
        <v>-0.01443156178740442</v>
      </c>
      <c r="D423" s="62" t="n">
        <v>0.0003994627387829448</v>
      </c>
      <c r="E423" s="62" t="n">
        <v>0.001598808633004989</v>
      </c>
    </row>
    <row r="424">
      <c r="A424" s="53" t="n">
        <v>30256</v>
      </c>
      <c r="B424" s="61" t="n">
        <v>39.2</v>
      </c>
      <c r="C424" s="62" t="n">
        <v>-0.01443156178740442</v>
      </c>
      <c r="D424" s="62" t="n">
        <v>0.0003994627387829448</v>
      </c>
      <c r="E424" s="62" t="n">
        <v>0.001598808633004989</v>
      </c>
    </row>
    <row r="425">
      <c r="A425" s="53" t="n">
        <v>30286</v>
      </c>
      <c r="B425" s="61" t="n">
        <v>42.8</v>
      </c>
      <c r="C425" s="62" t="n">
        <v>-0.01443156178740442</v>
      </c>
      <c r="D425" s="62" t="n">
        <v>0.0003994627387829448</v>
      </c>
      <c r="E425" s="62" t="n">
        <v>0.001598808633004989</v>
      </c>
    </row>
    <row r="426">
      <c r="A426" s="53" t="n">
        <v>30317</v>
      </c>
      <c r="B426" s="61" t="n">
        <v>46</v>
      </c>
      <c r="C426" s="62" t="n">
        <v>0.01431455577415857</v>
      </c>
      <c r="D426" s="62" t="n">
        <v>0.01317847576348375</v>
      </c>
      <c r="E426" s="62" t="n">
        <v>0.05376512149741886</v>
      </c>
    </row>
    <row r="427">
      <c r="A427" s="53" t="n">
        <v>30348</v>
      </c>
      <c r="B427" s="61" t="n">
        <v>54.4</v>
      </c>
      <c r="C427" s="62" t="n">
        <v>0.01431455577415857</v>
      </c>
      <c r="D427" s="62" t="n">
        <v>0.01317847576348375</v>
      </c>
      <c r="E427" s="62" t="n">
        <v>0.05376512149741886</v>
      </c>
    </row>
    <row r="428">
      <c r="A428" s="53" t="n">
        <v>30376</v>
      </c>
      <c r="B428" s="61" t="n">
        <v>53.9</v>
      </c>
      <c r="C428" s="62" t="n">
        <v>0.01431455577415857</v>
      </c>
      <c r="D428" s="62" t="n">
        <v>0.01317847576348375</v>
      </c>
      <c r="E428" s="62" t="n">
        <v>0.05376512149741886</v>
      </c>
    </row>
    <row r="429">
      <c r="A429" s="53" t="n">
        <v>30407</v>
      </c>
      <c r="B429" s="61" t="n">
        <v>54.2</v>
      </c>
      <c r="C429" s="62" t="n">
        <v>0.03268532884077024</v>
      </c>
      <c r="D429" s="62" t="n">
        <v>0.02275612439301274</v>
      </c>
      <c r="E429" s="62" t="n">
        <v>0.09417894915071301</v>
      </c>
    </row>
    <row r="430">
      <c r="A430" s="53" t="n">
        <v>30437</v>
      </c>
      <c r="B430" s="61" t="n">
        <v>56.1</v>
      </c>
      <c r="C430" s="62" t="n">
        <v>0.03268532884077024</v>
      </c>
      <c r="D430" s="62" t="n">
        <v>0.02275612439301274</v>
      </c>
      <c r="E430" s="62" t="n">
        <v>0.09417894915071301</v>
      </c>
    </row>
    <row r="431">
      <c r="A431" s="53" t="n">
        <v>30468</v>
      </c>
      <c r="B431" s="61" t="n">
        <v>57.5</v>
      </c>
      <c r="C431" s="62" t="n">
        <v>0.03268532884077024</v>
      </c>
      <c r="D431" s="62" t="n">
        <v>0.02275612439301274</v>
      </c>
      <c r="E431" s="62" t="n">
        <v>0.09417894915071301</v>
      </c>
    </row>
    <row r="432">
      <c r="A432" s="53" t="n">
        <v>30498</v>
      </c>
      <c r="B432" s="61" t="n">
        <v>63.6</v>
      </c>
      <c r="C432" s="62" t="n">
        <v>0.05737169684511145</v>
      </c>
      <c r="D432" s="62" t="n">
        <v>0.01999064294321967</v>
      </c>
      <c r="E432" s="62" t="n">
        <v>0.08239244141250035</v>
      </c>
    </row>
    <row r="433">
      <c r="A433" s="53" t="n">
        <v>30529</v>
      </c>
      <c r="B433" s="61" t="n">
        <v>63.1</v>
      </c>
      <c r="C433" s="62" t="n">
        <v>0.05737169684511145</v>
      </c>
      <c r="D433" s="62" t="n">
        <v>0.01999064294321967</v>
      </c>
      <c r="E433" s="62" t="n">
        <v>0.08239244141250035</v>
      </c>
    </row>
    <row r="434">
      <c r="A434" s="53" t="n">
        <v>30560</v>
      </c>
      <c r="B434" s="61" t="n">
        <v>62.5</v>
      </c>
      <c r="C434" s="62" t="n">
        <v>0.05737169684511145</v>
      </c>
      <c r="D434" s="62" t="n">
        <v>0.01999064294321967</v>
      </c>
      <c r="E434" s="62" t="n">
        <v>0.08239244141250035</v>
      </c>
    </row>
    <row r="435">
      <c r="A435" s="53" t="n">
        <v>30590</v>
      </c>
      <c r="B435" s="61" t="n">
        <v>64.40000000000001</v>
      </c>
      <c r="C435" s="62" t="n">
        <v>0.07899974981110956</v>
      </c>
      <c r="D435" s="62" t="n">
        <v>0.02086217479342563</v>
      </c>
      <c r="E435" s="62" t="n">
        <v>0.08609659002729031</v>
      </c>
    </row>
    <row r="436">
      <c r="A436" s="53" t="n">
        <v>30621</v>
      </c>
      <c r="B436" s="61" t="n">
        <v>66</v>
      </c>
      <c r="C436" s="62" t="n">
        <v>0.07899974981110956</v>
      </c>
      <c r="D436" s="62" t="n">
        <v>0.02086217479342563</v>
      </c>
      <c r="E436" s="62" t="n">
        <v>0.08609659002729031</v>
      </c>
    </row>
    <row r="437">
      <c r="A437" s="53" t="n">
        <v>30651</v>
      </c>
      <c r="B437" s="61" t="n">
        <v>69.90000000000001</v>
      </c>
      <c r="C437" s="62" t="n">
        <v>0.07899974981110956</v>
      </c>
      <c r="D437" s="62" t="n">
        <v>0.02086217479342563</v>
      </c>
      <c r="E437" s="62" t="n">
        <v>0.08609659002729031</v>
      </c>
    </row>
    <row r="438">
      <c r="A438" s="53" t="n">
        <v>30682</v>
      </c>
      <c r="B438" s="61" t="n">
        <v>60.5</v>
      </c>
      <c r="C438" s="62" t="n">
        <v>0.08578275462219513</v>
      </c>
      <c r="D438" s="62" t="n">
        <v>0.01954770288962085</v>
      </c>
      <c r="E438" s="62" t="n">
        <v>0.08051351139935736</v>
      </c>
    </row>
    <row r="439">
      <c r="A439" s="53" t="n">
        <v>30713</v>
      </c>
      <c r="B439" s="61" t="n">
        <v>61.3</v>
      </c>
      <c r="C439" s="62" t="n">
        <v>0.08578275462219513</v>
      </c>
      <c r="D439" s="62" t="n">
        <v>0.01954770288962085</v>
      </c>
      <c r="E439" s="62" t="n">
        <v>0.08051351139935736</v>
      </c>
    </row>
    <row r="440">
      <c r="A440" s="53" t="n">
        <v>30742</v>
      </c>
      <c r="B440" s="61" t="n">
        <v>58.9</v>
      </c>
      <c r="C440" s="62" t="n">
        <v>0.08578275462219513</v>
      </c>
      <c r="D440" s="62" t="n">
        <v>0.01954770288962085</v>
      </c>
      <c r="E440" s="62" t="n">
        <v>0.08051351139935736</v>
      </c>
    </row>
    <row r="441">
      <c r="A441" s="53" t="n">
        <v>30773</v>
      </c>
      <c r="B441" s="61" t="n">
        <v>61</v>
      </c>
      <c r="C441" s="62" t="n">
        <v>0.07996696675409365</v>
      </c>
      <c r="D441" s="62" t="n">
        <v>0.01727792662743756</v>
      </c>
      <c r="E441" s="62" t="n">
        <v>0.0709235878122596</v>
      </c>
    </row>
    <row r="442">
      <c r="A442" s="53" t="n">
        <v>30803</v>
      </c>
      <c r="B442" s="61" t="n">
        <v>58.6</v>
      </c>
      <c r="C442" s="62" t="n">
        <v>0.07996696675409365</v>
      </c>
      <c r="D442" s="62" t="n">
        <v>0.01727792662743756</v>
      </c>
      <c r="E442" s="62" t="n">
        <v>0.0709235878122596</v>
      </c>
    </row>
    <row r="443">
      <c r="A443" s="53" t="n">
        <v>30834</v>
      </c>
      <c r="B443" s="61" t="n">
        <v>58.1</v>
      </c>
      <c r="C443" s="62" t="n">
        <v>0.07996696675409365</v>
      </c>
      <c r="D443" s="62" t="n">
        <v>0.01727792662743756</v>
      </c>
      <c r="E443" s="62" t="n">
        <v>0.0709235878122596</v>
      </c>
    </row>
    <row r="444">
      <c r="A444" s="53" t="n">
        <v>30864</v>
      </c>
      <c r="B444" s="61" t="n">
        <v>56.1</v>
      </c>
      <c r="C444" s="62" t="n">
        <v>0.06900837083418117</v>
      </c>
      <c r="D444" s="62" t="n">
        <v>0.00964063628357004</v>
      </c>
      <c r="E444" s="62" t="n">
        <v>0.03912378905516167</v>
      </c>
    </row>
    <row r="445">
      <c r="A445" s="53" t="n">
        <v>30895</v>
      </c>
      <c r="B445" s="61" t="n">
        <v>53</v>
      </c>
      <c r="C445" s="62" t="n">
        <v>0.06900837083418117</v>
      </c>
      <c r="D445" s="62" t="n">
        <v>0.00964063628357004</v>
      </c>
      <c r="E445" s="62" t="n">
        <v>0.03912378905516167</v>
      </c>
    </row>
    <row r="446">
      <c r="A446" s="53" t="n">
        <v>30926</v>
      </c>
      <c r="B446" s="61" t="n">
        <v>50</v>
      </c>
      <c r="C446" s="62" t="n">
        <v>0.06900837083418117</v>
      </c>
      <c r="D446" s="62" t="n">
        <v>0.00964063628357004</v>
      </c>
      <c r="E446" s="62" t="n">
        <v>0.03912378905516167</v>
      </c>
    </row>
    <row r="447">
      <c r="A447" s="53" t="n">
        <v>30956</v>
      </c>
      <c r="B447" s="61" t="n">
        <v>50.8</v>
      </c>
      <c r="C447" s="62" t="n">
        <v>0.05575799461835693</v>
      </c>
      <c r="D447" s="62" t="n">
        <v>0.008208571463863279</v>
      </c>
      <c r="E447" s="62" t="n">
        <v>0.03324078666384356</v>
      </c>
    </row>
    <row r="448">
      <c r="A448" s="53" t="n">
        <v>30987</v>
      </c>
      <c r="B448" s="61" t="n">
        <v>50.3</v>
      </c>
      <c r="C448" s="62" t="n">
        <v>0.05575799461835693</v>
      </c>
      <c r="D448" s="62" t="n">
        <v>0.008208571463863279</v>
      </c>
      <c r="E448" s="62" t="n">
        <v>0.03324078666384356</v>
      </c>
    </row>
    <row r="449">
      <c r="A449" s="53" t="n">
        <v>31017</v>
      </c>
      <c r="B449" s="61" t="n">
        <v>50.6</v>
      </c>
      <c r="C449" s="62" t="n">
        <v>0.05575799461835693</v>
      </c>
      <c r="D449" s="62" t="n">
        <v>0.008208571463863279</v>
      </c>
      <c r="E449" s="62" t="n">
        <v>0.03324078666384356</v>
      </c>
    </row>
    <row r="450">
      <c r="A450" s="53" t="n">
        <v>31048</v>
      </c>
      <c r="B450" s="61" t="n">
        <v>50.3</v>
      </c>
      <c r="C450" s="62" t="n">
        <v>0.04555093389343478</v>
      </c>
      <c r="D450" s="62" t="n">
        <v>0.00969072300559819</v>
      </c>
      <c r="E450" s="62" t="n">
        <v>0.03933000174327517</v>
      </c>
    </row>
    <row r="451">
      <c r="A451" s="53" t="n">
        <v>31079</v>
      </c>
      <c r="B451" s="61" t="n">
        <v>49.9</v>
      </c>
      <c r="C451" s="62" t="n">
        <v>0.04555093389343478</v>
      </c>
      <c r="D451" s="62" t="n">
        <v>0.00969072300559819</v>
      </c>
      <c r="E451" s="62" t="n">
        <v>0.03933000174327517</v>
      </c>
    </row>
    <row r="452">
      <c r="A452" s="53" t="n">
        <v>31107</v>
      </c>
      <c r="B452" s="61" t="n">
        <v>47.8</v>
      </c>
      <c r="C452" s="62" t="n">
        <v>0.04555093389343478</v>
      </c>
      <c r="D452" s="62" t="n">
        <v>0.00969072300559819</v>
      </c>
      <c r="E452" s="62" t="n">
        <v>0.03933000174327517</v>
      </c>
    </row>
    <row r="453">
      <c r="A453" s="53" t="n">
        <v>31138</v>
      </c>
      <c r="B453" s="61" t="n">
        <v>48.2</v>
      </c>
      <c r="C453" s="62" t="n">
        <v>0.03684217504663914</v>
      </c>
      <c r="D453" s="62" t="n">
        <v>0.008804663531419342</v>
      </c>
      <c r="E453" s="62" t="n">
        <v>0.03568652295878594</v>
      </c>
    </row>
    <row r="454">
      <c r="A454" s="53" t="n">
        <v>31168</v>
      </c>
      <c r="B454" s="61" t="n">
        <v>47.1</v>
      </c>
      <c r="C454" s="62" t="n">
        <v>0.03684217504663914</v>
      </c>
      <c r="D454" s="62" t="n">
        <v>0.008804663531419342</v>
      </c>
      <c r="E454" s="62" t="n">
        <v>0.03568652295878594</v>
      </c>
    </row>
    <row r="455">
      <c r="A455" s="53" t="n">
        <v>31199</v>
      </c>
      <c r="B455" s="61" t="n">
        <v>47.8</v>
      </c>
      <c r="C455" s="62" t="n">
        <v>0.03684217504663914</v>
      </c>
      <c r="D455" s="62" t="n">
        <v>0.008804663531419342</v>
      </c>
      <c r="E455" s="62" t="n">
        <v>0.03568652295878594</v>
      </c>
    </row>
    <row r="456">
      <c r="A456" s="53" t="n">
        <v>31229</v>
      </c>
      <c r="B456" s="61" t="n">
        <v>47.9</v>
      </c>
      <c r="C456" s="62" t="n">
        <v>0.04262444927405274</v>
      </c>
      <c r="D456" s="62" t="n">
        <v>0.01527121263417938</v>
      </c>
      <c r="E456" s="62" t="n">
        <v>0.06249841012954427</v>
      </c>
    </row>
    <row r="457">
      <c r="A457" s="53" t="n">
        <v>31260</v>
      </c>
      <c r="B457" s="61" t="n">
        <v>47.7</v>
      </c>
      <c r="C457" s="62" t="n">
        <v>0.04262444927405274</v>
      </c>
      <c r="D457" s="62" t="n">
        <v>0.01527121263417938</v>
      </c>
      <c r="E457" s="62" t="n">
        <v>0.06249841012954427</v>
      </c>
    </row>
    <row r="458">
      <c r="A458" s="53" t="n">
        <v>31291</v>
      </c>
      <c r="B458" s="61" t="n">
        <v>49.9</v>
      </c>
      <c r="C458" s="62" t="n">
        <v>0.04262444927405274</v>
      </c>
      <c r="D458" s="62" t="n">
        <v>0.01527121263417938</v>
      </c>
      <c r="E458" s="62" t="n">
        <v>0.06249841012954427</v>
      </c>
    </row>
    <row r="459">
      <c r="A459" s="53" t="n">
        <v>31321</v>
      </c>
      <c r="B459" s="61" t="n">
        <v>50.9</v>
      </c>
      <c r="C459" s="62" t="n">
        <v>0.04182268593574223</v>
      </c>
      <c r="D459" s="62" t="n">
        <v>0.007433273444971662</v>
      </c>
      <c r="E459" s="62" t="n">
        <v>0.0300662610165936</v>
      </c>
    </row>
    <row r="460">
      <c r="A460" s="53" t="n">
        <v>31352</v>
      </c>
      <c r="B460" s="61" t="n">
        <v>52</v>
      </c>
      <c r="C460" s="62" t="n">
        <v>0.04182268593574223</v>
      </c>
      <c r="D460" s="62" t="n">
        <v>0.007433273444971662</v>
      </c>
      <c r="E460" s="62" t="n">
        <v>0.0300662610165936</v>
      </c>
    </row>
    <row r="461">
      <c r="A461" s="53" t="n">
        <v>31382</v>
      </c>
      <c r="B461" s="61" t="n">
        <v>50.7</v>
      </c>
      <c r="C461" s="62" t="n">
        <v>0.04182268593574223</v>
      </c>
      <c r="D461" s="62" t="n">
        <v>0.007433273444971662</v>
      </c>
      <c r="E461" s="62" t="n">
        <v>0.0300662610165936</v>
      </c>
    </row>
    <row r="462">
      <c r="A462" s="53" t="n">
        <v>31413</v>
      </c>
      <c r="B462" s="61" t="n">
        <v>51.2</v>
      </c>
      <c r="C462" s="62" t="n">
        <v>0.04145589749222781</v>
      </c>
      <c r="D462" s="62" t="n">
        <v>0.009335247075075961</v>
      </c>
      <c r="E462" s="62" t="n">
        <v>0.03786713107164807</v>
      </c>
    </row>
    <row r="463">
      <c r="A463" s="53" t="n">
        <v>31444</v>
      </c>
      <c r="B463" s="61" t="n">
        <v>51</v>
      </c>
      <c r="C463" s="62" t="n">
        <v>0.04145589749222781</v>
      </c>
      <c r="D463" s="62" t="n">
        <v>0.009335247075075961</v>
      </c>
      <c r="E463" s="62" t="n">
        <v>0.03786713107164807</v>
      </c>
    </row>
    <row r="464">
      <c r="A464" s="53" t="n">
        <v>31472</v>
      </c>
      <c r="B464" s="61" t="n">
        <v>51</v>
      </c>
      <c r="C464" s="62" t="n">
        <v>0.04145589749222781</v>
      </c>
      <c r="D464" s="62" t="n">
        <v>0.009335247075075961</v>
      </c>
      <c r="E464" s="62" t="n">
        <v>0.03786713107164807</v>
      </c>
    </row>
    <row r="465">
      <c r="A465" s="53" t="n">
        <v>31503</v>
      </c>
      <c r="B465" s="61" t="n">
        <v>49.7</v>
      </c>
      <c r="C465" s="62" t="n">
        <v>0.03701580386604827</v>
      </c>
      <c r="D465" s="62" t="n">
        <v>0.004503773625863378</v>
      </c>
      <c r="E465" s="62" t="n">
        <v>0.01813716419389122</v>
      </c>
    </row>
    <row r="466">
      <c r="A466" s="53" t="n">
        <v>31533</v>
      </c>
      <c r="B466" s="61" t="n">
        <v>53.4</v>
      </c>
      <c r="C466" s="62" t="n">
        <v>0.03701580386604827</v>
      </c>
      <c r="D466" s="62" t="n">
        <v>0.004503773625863378</v>
      </c>
      <c r="E466" s="62" t="n">
        <v>0.01813716419389122</v>
      </c>
    </row>
    <row r="467">
      <c r="A467" s="53" t="n">
        <v>31564</v>
      </c>
      <c r="B467" s="61" t="n">
        <v>50.5</v>
      </c>
      <c r="C467" s="62" t="n">
        <v>0.03701580386604827</v>
      </c>
      <c r="D467" s="62" t="n">
        <v>0.004503773625863378</v>
      </c>
      <c r="E467" s="62" t="n">
        <v>0.01813716419389122</v>
      </c>
    </row>
    <row r="468">
      <c r="A468" s="53" t="n">
        <v>31594</v>
      </c>
      <c r="B468" s="61" t="n">
        <v>48</v>
      </c>
      <c r="C468" s="62" t="n">
        <v>0.03119241273859987</v>
      </c>
      <c r="D468" s="62" t="n">
        <v>0.009569928864379325</v>
      </c>
      <c r="E468" s="62" t="n">
        <v>0.03883273086767103</v>
      </c>
    </row>
    <row r="469">
      <c r="A469" s="53" t="n">
        <v>31625</v>
      </c>
      <c r="B469" s="61" t="n">
        <v>52.6</v>
      </c>
      <c r="C469" s="62" t="n">
        <v>0.03119241273859987</v>
      </c>
      <c r="D469" s="62" t="n">
        <v>0.009569928864379325</v>
      </c>
      <c r="E469" s="62" t="n">
        <v>0.03883273086767103</v>
      </c>
    </row>
    <row r="470">
      <c r="A470" s="53" t="n">
        <v>31656</v>
      </c>
      <c r="B470" s="61" t="n">
        <v>52.4</v>
      </c>
      <c r="C470" s="62" t="n">
        <v>0.03119241273859987</v>
      </c>
      <c r="D470" s="62" t="n">
        <v>0.009569928864379325</v>
      </c>
      <c r="E470" s="62" t="n">
        <v>0.03883273086767103</v>
      </c>
    </row>
    <row r="471">
      <c r="A471" s="53" t="n">
        <v>31686</v>
      </c>
      <c r="B471" s="61" t="n">
        <v>51.2</v>
      </c>
      <c r="C471" s="62" t="n">
        <v>0.02908033320892772</v>
      </c>
      <c r="D471" s="62" t="n">
        <v>0.005369857182333668</v>
      </c>
      <c r="E471" s="62" t="n">
        <v>0.02165306112495746</v>
      </c>
    </row>
    <row r="472">
      <c r="A472" s="53" t="n">
        <v>31717</v>
      </c>
      <c r="B472" s="61" t="n">
        <v>51.2</v>
      </c>
      <c r="C472" s="62" t="n">
        <v>0.02908033320892772</v>
      </c>
      <c r="D472" s="62" t="n">
        <v>0.005369857182333668</v>
      </c>
      <c r="E472" s="62" t="n">
        <v>0.02165306112495746</v>
      </c>
    </row>
    <row r="473">
      <c r="A473" s="53" t="n">
        <v>31747</v>
      </c>
      <c r="B473" s="61" t="n">
        <v>50.5</v>
      </c>
      <c r="C473" s="62" t="n">
        <v>0.02908033320892772</v>
      </c>
      <c r="D473" s="62" t="n">
        <v>0.005369857182333668</v>
      </c>
      <c r="E473" s="62" t="n">
        <v>0.02165306112495746</v>
      </c>
    </row>
    <row r="474">
      <c r="A474" s="53" t="n">
        <v>31778</v>
      </c>
      <c r="B474" s="61" t="n">
        <v>54.9</v>
      </c>
      <c r="C474" s="62" t="n">
        <v>0.02715840619174129</v>
      </c>
      <c r="D474" s="62" t="n">
        <v>0.007450196299007655</v>
      </c>
      <c r="E474" s="62" t="n">
        <v>0.03013547493149016</v>
      </c>
    </row>
    <row r="475">
      <c r="A475" s="53" t="n">
        <v>31809</v>
      </c>
      <c r="B475" s="61" t="n">
        <v>52.6</v>
      </c>
      <c r="C475" s="62" t="n">
        <v>0.02715840619174129</v>
      </c>
      <c r="D475" s="62" t="n">
        <v>0.007450196299007655</v>
      </c>
      <c r="E475" s="62" t="n">
        <v>0.03013547493149016</v>
      </c>
    </row>
    <row r="476">
      <c r="A476" s="53" t="n">
        <v>31837</v>
      </c>
      <c r="B476" s="61" t="n">
        <v>55</v>
      </c>
      <c r="C476" s="62" t="n">
        <v>0.02715840619174129</v>
      </c>
      <c r="D476" s="62" t="n">
        <v>0.007450196299007655</v>
      </c>
      <c r="E476" s="62" t="n">
        <v>0.03013547493149016</v>
      </c>
    </row>
    <row r="477">
      <c r="A477" s="53" t="n">
        <v>31868</v>
      </c>
      <c r="B477" s="61" t="n">
        <v>55.5</v>
      </c>
      <c r="C477" s="62" t="n">
        <v>0.03358479379655969</v>
      </c>
      <c r="D477" s="62" t="n">
        <v>0.01078842316084223</v>
      </c>
      <c r="E477" s="62" t="n">
        <v>0.04385706929729527</v>
      </c>
    </row>
    <row r="478">
      <c r="A478" s="53" t="n">
        <v>31898</v>
      </c>
      <c r="B478" s="61" t="n">
        <v>57.2</v>
      </c>
      <c r="C478" s="62" t="n">
        <v>0.03358479379655969</v>
      </c>
      <c r="D478" s="62" t="n">
        <v>0.01078842316084223</v>
      </c>
      <c r="E478" s="62" t="n">
        <v>0.04385706929729527</v>
      </c>
    </row>
    <row r="479">
      <c r="A479" s="53" t="n">
        <v>31929</v>
      </c>
      <c r="B479" s="61" t="n">
        <v>57.4</v>
      </c>
      <c r="C479" s="62" t="n">
        <v>0.03358479379655969</v>
      </c>
      <c r="D479" s="62" t="n">
        <v>0.01078842316084223</v>
      </c>
      <c r="E479" s="62" t="n">
        <v>0.04385706929729527</v>
      </c>
    </row>
    <row r="480">
      <c r="A480" s="53" t="n">
        <v>31959</v>
      </c>
      <c r="B480" s="61" t="n">
        <v>57.5</v>
      </c>
      <c r="C480" s="62" t="n">
        <v>0.03266926151916798</v>
      </c>
      <c r="D480" s="62" t="n">
        <v>0.008675668556268291</v>
      </c>
      <c r="E480" s="62" t="n">
        <v>0.03515689521360343</v>
      </c>
    </row>
    <row r="481">
      <c r="A481" s="53" t="n">
        <v>31990</v>
      </c>
      <c r="B481" s="61" t="n">
        <v>59.3</v>
      </c>
      <c r="C481" s="62" t="n">
        <v>0.03266926151916798</v>
      </c>
      <c r="D481" s="62" t="n">
        <v>0.008675668556268291</v>
      </c>
      <c r="E481" s="62" t="n">
        <v>0.03515689521360343</v>
      </c>
    </row>
    <row r="482">
      <c r="A482" s="53" t="n">
        <v>32021</v>
      </c>
      <c r="B482" s="61" t="n">
        <v>60</v>
      </c>
      <c r="C482" s="62" t="n">
        <v>0.03266926151916798</v>
      </c>
      <c r="D482" s="62" t="n">
        <v>0.008675668556268291</v>
      </c>
      <c r="E482" s="62" t="n">
        <v>0.03515689521360343</v>
      </c>
    </row>
    <row r="483">
      <c r="A483" s="53" t="n">
        <v>32051</v>
      </c>
      <c r="B483" s="61" t="n">
        <v>60.7</v>
      </c>
      <c r="C483" s="62" t="n">
        <v>0.04479019137679711</v>
      </c>
      <c r="D483" s="62" t="n">
        <v>0.01717036095830037</v>
      </c>
      <c r="E483" s="62" t="n">
        <v>0.07047070727767069</v>
      </c>
    </row>
    <row r="484">
      <c r="A484" s="53" t="n">
        <v>32082</v>
      </c>
      <c r="B484" s="61" t="n">
        <v>58.8</v>
      </c>
      <c r="C484" s="62" t="n">
        <v>0.04479019137679711</v>
      </c>
      <c r="D484" s="62" t="n">
        <v>0.01717036095830037</v>
      </c>
      <c r="E484" s="62" t="n">
        <v>0.07047070727767069</v>
      </c>
    </row>
    <row r="485">
      <c r="A485" s="53" t="n">
        <v>32112</v>
      </c>
      <c r="B485" s="61" t="n">
        <v>61</v>
      </c>
      <c r="C485" s="62" t="n">
        <v>0.04479019137679711</v>
      </c>
      <c r="D485" s="62" t="n">
        <v>0.01717036095830037</v>
      </c>
      <c r="E485" s="62" t="n">
        <v>0.07047070727767069</v>
      </c>
    </row>
    <row r="486">
      <c r="A486" s="53" t="n">
        <v>32143</v>
      </c>
      <c r="B486" s="61" t="n">
        <v>57.5</v>
      </c>
      <c r="C486" s="62" t="n">
        <v>0.04242189568962163</v>
      </c>
      <c r="D486" s="62" t="n">
        <v>0.005166541671857194</v>
      </c>
      <c r="E486" s="62" t="n">
        <v>0.02082687796218119</v>
      </c>
    </row>
    <row r="487">
      <c r="A487" s="53" t="n">
        <v>32174</v>
      </c>
      <c r="B487" s="61" t="n">
        <v>56.2</v>
      </c>
      <c r="C487" s="62" t="n">
        <v>0.04242189568962163</v>
      </c>
      <c r="D487" s="62" t="n">
        <v>0.005166541671857194</v>
      </c>
      <c r="E487" s="62" t="n">
        <v>0.02082687796218119</v>
      </c>
    </row>
    <row r="488">
      <c r="A488" s="53" t="n">
        <v>32203</v>
      </c>
      <c r="B488" s="61" t="n">
        <v>54.6</v>
      </c>
      <c r="C488" s="62" t="n">
        <v>0.04242189568962163</v>
      </c>
      <c r="D488" s="62" t="n">
        <v>0.005166541671857194</v>
      </c>
      <c r="E488" s="62" t="n">
        <v>0.02082687796218119</v>
      </c>
    </row>
    <row r="489">
      <c r="A489" s="53" t="n">
        <v>32234</v>
      </c>
      <c r="B489" s="61" t="n">
        <v>55.8</v>
      </c>
      <c r="C489" s="62" t="n">
        <v>0.0448460421728804</v>
      </c>
      <c r="D489" s="62" t="n">
        <v>0.01313900617474086</v>
      </c>
      <c r="E489" s="62" t="n">
        <v>0.05360092833045282</v>
      </c>
    </row>
    <row r="490">
      <c r="A490" s="53" t="n">
        <v>32264</v>
      </c>
      <c r="B490" s="61" t="n">
        <v>55.5</v>
      </c>
      <c r="C490" s="62" t="n">
        <v>0.0448460421728804</v>
      </c>
      <c r="D490" s="62" t="n">
        <v>0.01313900617474086</v>
      </c>
      <c r="E490" s="62" t="n">
        <v>0.05360092833045282</v>
      </c>
    </row>
    <row r="491">
      <c r="A491" s="53" t="n">
        <v>32295</v>
      </c>
      <c r="B491" s="61" t="n">
        <v>59.3</v>
      </c>
      <c r="C491" s="62" t="n">
        <v>0.0448460421728804</v>
      </c>
      <c r="D491" s="62" t="n">
        <v>0.01313900617474086</v>
      </c>
      <c r="E491" s="62" t="n">
        <v>0.05360092833045282</v>
      </c>
    </row>
    <row r="492">
      <c r="A492" s="53" t="n">
        <v>32325</v>
      </c>
      <c r="B492" s="61" t="n">
        <v>58.2</v>
      </c>
      <c r="C492" s="62" t="n">
        <v>0.04192866323342976</v>
      </c>
      <c r="D492" s="62" t="n">
        <v>0.005859283143099971</v>
      </c>
      <c r="E492" s="62" t="n">
        <v>0.02364392556959816</v>
      </c>
    </row>
    <row r="493">
      <c r="A493" s="53" t="n">
        <v>32356</v>
      </c>
      <c r="B493" s="61" t="n">
        <v>56</v>
      </c>
      <c r="C493" s="62" t="n">
        <v>0.04192866323342976</v>
      </c>
      <c r="D493" s="62" t="n">
        <v>0.005859283143099971</v>
      </c>
      <c r="E493" s="62" t="n">
        <v>0.02364392556959816</v>
      </c>
    </row>
    <row r="494">
      <c r="A494" s="53" t="n">
        <v>32387</v>
      </c>
      <c r="B494" s="61" t="n">
        <v>54.5</v>
      </c>
      <c r="C494" s="62" t="n">
        <v>0.04192866323342976</v>
      </c>
      <c r="D494" s="62" t="n">
        <v>0.005859283143099971</v>
      </c>
      <c r="E494" s="62" t="n">
        <v>0.02364392556959816</v>
      </c>
    </row>
    <row r="495">
      <c r="A495" s="53" t="n">
        <v>32417</v>
      </c>
      <c r="B495" s="61" t="n">
        <v>55.4</v>
      </c>
      <c r="C495" s="62" t="n">
        <v>0.03798971043649484</v>
      </c>
      <c r="D495" s="62" t="n">
        <v>0.01332500553269732</v>
      </c>
      <c r="E495" s="62" t="n">
        <v>0.05437485201812042</v>
      </c>
    </row>
    <row r="496">
      <c r="A496" s="53" t="n">
        <v>32448</v>
      </c>
      <c r="B496" s="61" t="n">
        <v>55.6</v>
      </c>
      <c r="C496" s="62" t="n">
        <v>0.03798971043649484</v>
      </c>
      <c r="D496" s="62" t="n">
        <v>0.01332500553269732</v>
      </c>
      <c r="E496" s="62" t="n">
        <v>0.05437485201812042</v>
      </c>
    </row>
    <row r="497">
      <c r="A497" s="53" t="n">
        <v>32478</v>
      </c>
      <c r="B497" s="61" t="n">
        <v>56</v>
      </c>
      <c r="C497" s="62" t="n">
        <v>0.03798971043649484</v>
      </c>
      <c r="D497" s="62" t="n">
        <v>0.01332500553269732</v>
      </c>
      <c r="E497" s="62" t="n">
        <v>0.05437485201812042</v>
      </c>
    </row>
    <row r="498">
      <c r="A498" s="53" t="n">
        <v>32509</v>
      </c>
      <c r="B498" s="61" t="n">
        <v>54.7</v>
      </c>
      <c r="C498" s="62" t="n">
        <v>0.04315239934533486</v>
      </c>
      <c r="D498" s="62" t="n">
        <v>0.01016597673759032</v>
      </c>
      <c r="E498" s="62" t="n">
        <v>0.04128820262532407</v>
      </c>
    </row>
    <row r="499">
      <c r="A499" s="53" t="n">
        <v>32540</v>
      </c>
      <c r="B499" s="61" t="n">
        <v>54.1</v>
      </c>
      <c r="C499" s="62" t="n">
        <v>0.04315239934533486</v>
      </c>
      <c r="D499" s="62" t="n">
        <v>0.01016597673759032</v>
      </c>
      <c r="E499" s="62" t="n">
        <v>0.04128820262532407</v>
      </c>
    </row>
    <row r="500">
      <c r="A500" s="53" t="n">
        <v>32568</v>
      </c>
      <c r="B500" s="61" t="n">
        <v>51.5</v>
      </c>
      <c r="C500" s="62" t="n">
        <v>0.04315239934533486</v>
      </c>
      <c r="D500" s="62" t="n">
        <v>0.01016597673759032</v>
      </c>
      <c r="E500" s="62" t="n">
        <v>0.04128820262532407</v>
      </c>
    </row>
    <row r="501">
      <c r="A501" s="53" t="n">
        <v>32599</v>
      </c>
      <c r="B501" s="61" t="n">
        <v>52.2</v>
      </c>
      <c r="C501" s="62" t="n">
        <v>0.03748292874843969</v>
      </c>
      <c r="D501" s="62" t="n">
        <v>0.007632656565920425</v>
      </c>
      <c r="E501" s="62" t="n">
        <v>0.03088195297144991</v>
      </c>
    </row>
    <row r="502">
      <c r="A502" s="53" t="n">
        <v>32629</v>
      </c>
      <c r="B502" s="61" t="n">
        <v>49.3</v>
      </c>
      <c r="C502" s="62" t="n">
        <v>0.03748292874843969</v>
      </c>
      <c r="D502" s="62" t="n">
        <v>0.007632656565920425</v>
      </c>
      <c r="E502" s="62" t="n">
        <v>0.03088195297144991</v>
      </c>
    </row>
    <row r="503">
      <c r="A503" s="53" t="n">
        <v>32660</v>
      </c>
      <c r="B503" s="61" t="n">
        <v>47.3</v>
      </c>
      <c r="C503" s="62" t="n">
        <v>0.03748292874843969</v>
      </c>
      <c r="D503" s="62" t="n">
        <v>0.007632656565920425</v>
      </c>
      <c r="E503" s="62" t="n">
        <v>0.03088195297144991</v>
      </c>
    </row>
    <row r="504">
      <c r="A504" s="53" t="n">
        <v>32690</v>
      </c>
      <c r="B504" s="61" t="n">
        <v>45.9</v>
      </c>
      <c r="C504" s="62" t="n">
        <v>0.03908113052928337</v>
      </c>
      <c r="D504" s="62" t="n">
        <v>0.007408769937583154</v>
      </c>
      <c r="E504" s="62" t="n">
        <v>0.02996604866089259</v>
      </c>
    </row>
    <row r="505">
      <c r="A505" s="53" t="n">
        <v>32721</v>
      </c>
      <c r="B505" s="61" t="n">
        <v>45.1</v>
      </c>
      <c r="C505" s="62" t="n">
        <v>0.03908113052928337</v>
      </c>
      <c r="D505" s="62" t="n">
        <v>0.007408769937583154</v>
      </c>
      <c r="E505" s="62" t="n">
        <v>0.02996604866089259</v>
      </c>
    </row>
    <row r="506">
      <c r="A506" s="53" t="n">
        <v>32752</v>
      </c>
      <c r="B506" s="61" t="n">
        <v>46</v>
      </c>
      <c r="C506" s="62" t="n">
        <v>0.03908113052928337</v>
      </c>
      <c r="D506" s="62" t="n">
        <v>0.007408769937583154</v>
      </c>
      <c r="E506" s="62" t="n">
        <v>0.02996604866089259</v>
      </c>
    </row>
    <row r="507">
      <c r="A507" s="53" t="n">
        <v>32782</v>
      </c>
      <c r="B507" s="61" t="n">
        <v>46.8</v>
      </c>
      <c r="C507" s="62" t="n">
        <v>0.02743803255246614</v>
      </c>
      <c r="D507" s="62" t="n">
        <v>0.001970509742973655</v>
      </c>
      <c r="E507" s="62" t="n">
        <v>0.007905367044091616</v>
      </c>
    </row>
    <row r="508">
      <c r="A508" s="53" t="n">
        <v>32813</v>
      </c>
      <c r="B508" s="61" t="n">
        <v>46.8</v>
      </c>
      <c r="C508" s="62" t="n">
        <v>0.02743803255246614</v>
      </c>
      <c r="D508" s="62" t="n">
        <v>0.001970509742973655</v>
      </c>
      <c r="E508" s="62" t="n">
        <v>0.007905367044091616</v>
      </c>
    </row>
    <row r="509">
      <c r="A509" s="53" t="n">
        <v>32843</v>
      </c>
      <c r="B509" s="61" t="n">
        <v>47.4</v>
      </c>
      <c r="C509" s="62" t="n">
        <v>0.02743803255246614</v>
      </c>
      <c r="D509" s="62" t="n">
        <v>0.001970509742973655</v>
      </c>
      <c r="E509" s="62" t="n">
        <v>0.007905367044091616</v>
      </c>
    </row>
    <row r="510">
      <c r="A510" s="53" t="n">
        <v>32874</v>
      </c>
      <c r="B510" s="61" t="n">
        <v>47.2</v>
      </c>
      <c r="C510" s="62" t="n">
        <v>0.02821303844360694</v>
      </c>
      <c r="D510" s="62" t="n">
        <v>0.01092795415929108</v>
      </c>
      <c r="E510" s="62" t="n">
        <v>0.04443357206409249</v>
      </c>
    </row>
    <row r="511">
      <c r="A511" s="53" t="n">
        <v>32905</v>
      </c>
      <c r="B511" s="61" t="n">
        <v>49.1</v>
      </c>
      <c r="C511" s="62" t="n">
        <v>0.02821303844360694</v>
      </c>
      <c r="D511" s="62" t="n">
        <v>0.01092795415929108</v>
      </c>
      <c r="E511" s="62" t="n">
        <v>0.04443357206409249</v>
      </c>
    </row>
    <row r="512">
      <c r="A512" s="53" t="n">
        <v>32933</v>
      </c>
      <c r="B512" s="61" t="n">
        <v>49.9</v>
      </c>
      <c r="C512" s="62" t="n">
        <v>0.02821303844360694</v>
      </c>
      <c r="D512" s="62" t="n">
        <v>0.01092795415929108</v>
      </c>
      <c r="E512" s="62" t="n">
        <v>0.04443357206409249</v>
      </c>
    </row>
    <row r="513">
      <c r="A513" s="53" t="n">
        <v>32964</v>
      </c>
      <c r="B513" s="61" t="n">
        <v>50</v>
      </c>
      <c r="C513" s="62" t="n">
        <v>0.02412772955183759</v>
      </c>
      <c r="D513" s="62" t="n">
        <v>0.003629117904577434</v>
      </c>
      <c r="E513" s="62" t="n">
        <v>0.01459568596150684</v>
      </c>
    </row>
    <row r="514">
      <c r="A514" s="53" t="n">
        <v>32994</v>
      </c>
      <c r="B514" s="61" t="n">
        <v>49.5</v>
      </c>
      <c r="C514" s="62" t="n">
        <v>0.02412772955183759</v>
      </c>
      <c r="D514" s="62" t="n">
        <v>0.003629117904577434</v>
      </c>
      <c r="E514" s="62" t="n">
        <v>0.01459568596150684</v>
      </c>
    </row>
    <row r="515">
      <c r="A515" s="53" t="n">
        <v>33025</v>
      </c>
      <c r="B515" s="61" t="n">
        <v>49.2</v>
      </c>
      <c r="C515" s="62" t="n">
        <v>0.02412772955183759</v>
      </c>
      <c r="D515" s="62" t="n">
        <v>0.003629117904577434</v>
      </c>
      <c r="E515" s="62" t="n">
        <v>0.01459568596150684</v>
      </c>
    </row>
    <row r="516">
      <c r="A516" s="53" t="n">
        <v>33055</v>
      </c>
      <c r="B516" s="61" t="n">
        <v>46.6</v>
      </c>
      <c r="C516" s="62" t="n">
        <v>0.01727216636869786</v>
      </c>
      <c r="D516" s="62" t="n">
        <v>0.0006651243216418434</v>
      </c>
      <c r="E516" s="62" t="n">
        <v>0.002663152805920666</v>
      </c>
    </row>
    <row r="517">
      <c r="A517" s="53" t="n">
        <v>33086</v>
      </c>
      <c r="B517" s="61" t="n">
        <v>46.1</v>
      </c>
      <c r="C517" s="62" t="n">
        <v>0.01727216636869786</v>
      </c>
      <c r="D517" s="62" t="n">
        <v>0.0006651243216418434</v>
      </c>
      <c r="E517" s="62" t="n">
        <v>0.002663152805920666</v>
      </c>
    </row>
    <row r="518">
      <c r="A518" s="53" t="n">
        <v>33117</v>
      </c>
      <c r="B518" s="61" t="n">
        <v>44.5</v>
      </c>
      <c r="C518" s="62" t="n">
        <v>0.01727216636869786</v>
      </c>
      <c r="D518" s="62" t="n">
        <v>0.0006651243216418434</v>
      </c>
      <c r="E518" s="62" t="n">
        <v>0.002663152805920666</v>
      </c>
    </row>
    <row r="519">
      <c r="A519" s="53" t="n">
        <v>33147</v>
      </c>
      <c r="B519" s="61" t="n">
        <v>43.2</v>
      </c>
      <c r="C519" s="62" t="n">
        <v>0.006028586964982286</v>
      </c>
      <c r="D519" s="62" t="n">
        <v>-0.009103945411629843</v>
      </c>
      <c r="E519" s="62" t="n">
        <v>-0.03592150205110978</v>
      </c>
    </row>
    <row r="520">
      <c r="A520" s="53" t="n">
        <v>33178</v>
      </c>
      <c r="B520" s="61" t="n">
        <v>41.3</v>
      </c>
      <c r="C520" s="62" t="n">
        <v>0.006028586964982286</v>
      </c>
      <c r="D520" s="62" t="n">
        <v>-0.009103945411629843</v>
      </c>
      <c r="E520" s="62" t="n">
        <v>-0.03592150205110978</v>
      </c>
    </row>
    <row r="521">
      <c r="A521" s="53" t="n">
        <v>33208</v>
      </c>
      <c r="B521" s="61" t="n">
        <v>40.8</v>
      </c>
      <c r="C521" s="62" t="n">
        <v>0.006028586964982286</v>
      </c>
      <c r="D521" s="62" t="n">
        <v>-0.009103945411629843</v>
      </c>
      <c r="E521" s="62" t="n">
        <v>-0.03592150205110978</v>
      </c>
    </row>
    <row r="522">
      <c r="A522" s="53" t="n">
        <v>33239</v>
      </c>
      <c r="B522" s="61" t="n">
        <v>39.2</v>
      </c>
      <c r="C522" s="62" t="n">
        <v>-0.009502406971016092</v>
      </c>
      <c r="D522" s="62" t="n">
        <v>-0.004678675840305243</v>
      </c>
      <c r="E522" s="62" t="n">
        <v>-0.01858377250133569</v>
      </c>
    </row>
    <row r="523">
      <c r="A523" s="53" t="n">
        <v>33270</v>
      </c>
      <c r="B523" s="61" t="n">
        <v>39.4</v>
      </c>
      <c r="C523" s="62" t="n">
        <v>-0.009502406971016092</v>
      </c>
      <c r="D523" s="62" t="n">
        <v>-0.004678675840305243</v>
      </c>
      <c r="E523" s="62" t="n">
        <v>-0.01858377250133569</v>
      </c>
    </row>
    <row r="524">
      <c r="A524" s="53" t="n">
        <v>33298</v>
      </c>
      <c r="B524" s="61" t="n">
        <v>40.7</v>
      </c>
      <c r="C524" s="62" t="n">
        <v>-0.009502406971016092</v>
      </c>
      <c r="D524" s="62" t="n">
        <v>-0.004678675840305243</v>
      </c>
      <c r="E524" s="62" t="n">
        <v>-0.01858377250133569</v>
      </c>
    </row>
    <row r="525">
      <c r="A525" s="53" t="n">
        <v>33329</v>
      </c>
      <c r="B525" s="61" t="n">
        <v>42.8</v>
      </c>
      <c r="C525" s="62" t="n">
        <v>-0.005388879602283176</v>
      </c>
      <c r="D525" s="62" t="n">
        <v>0.007797180375009856</v>
      </c>
      <c r="E525" s="62" t="n">
        <v>0.03155539747719049</v>
      </c>
    </row>
    <row r="526">
      <c r="A526" s="53" t="n">
        <v>33359</v>
      </c>
      <c r="B526" s="61" t="n">
        <v>44.5</v>
      </c>
      <c r="C526" s="62" t="n">
        <v>-0.005388879602283176</v>
      </c>
      <c r="D526" s="62" t="n">
        <v>0.007797180375009856</v>
      </c>
      <c r="E526" s="62" t="n">
        <v>0.03155539747719049</v>
      </c>
    </row>
    <row r="527">
      <c r="A527" s="53" t="n">
        <v>33390</v>
      </c>
      <c r="B527" s="61" t="n">
        <v>50.3</v>
      </c>
      <c r="C527" s="62" t="n">
        <v>-0.005388879602283176</v>
      </c>
      <c r="D527" s="62" t="n">
        <v>0.007797180375009856</v>
      </c>
      <c r="E527" s="62" t="n">
        <v>0.03155539747719049</v>
      </c>
    </row>
    <row r="528">
      <c r="A528" s="53" t="n">
        <v>33420</v>
      </c>
      <c r="B528" s="61" t="n">
        <v>50.6</v>
      </c>
      <c r="C528" s="62" t="n">
        <v>-0.001027168500506232</v>
      </c>
      <c r="D528" s="62" t="n">
        <v>0.005053384308288108</v>
      </c>
      <c r="E528" s="62" t="n">
        <v>0.02036727422997275</v>
      </c>
    </row>
    <row r="529">
      <c r="A529" s="53" t="n">
        <v>33451</v>
      </c>
      <c r="B529" s="61" t="n">
        <v>52.9</v>
      </c>
      <c r="C529" s="62" t="n">
        <v>-0.001027168500506232</v>
      </c>
      <c r="D529" s="62" t="n">
        <v>0.005053384308288108</v>
      </c>
      <c r="E529" s="62" t="n">
        <v>0.02036727422997275</v>
      </c>
    </row>
    <row r="530">
      <c r="A530" s="53" t="n">
        <v>33482</v>
      </c>
      <c r="B530" s="61" t="n">
        <v>54.9</v>
      </c>
      <c r="C530" s="62" t="n">
        <v>-0.001027168500506232</v>
      </c>
      <c r="D530" s="62" t="n">
        <v>0.005053384308288108</v>
      </c>
      <c r="E530" s="62" t="n">
        <v>0.02036727422997275</v>
      </c>
    </row>
    <row r="531">
      <c r="A531" s="53" t="n">
        <v>33512</v>
      </c>
      <c r="B531" s="61" t="n">
        <v>53.1</v>
      </c>
      <c r="C531" s="62" t="n">
        <v>0.01166503342248571</v>
      </c>
      <c r="D531" s="62" t="n">
        <v>0.003485639022466963</v>
      </c>
      <c r="E531" s="62" t="n">
        <v>0.01401562371143861</v>
      </c>
    </row>
    <row r="532">
      <c r="A532" s="53" t="n">
        <v>33543</v>
      </c>
      <c r="B532" s="61" t="n">
        <v>49.5</v>
      </c>
      <c r="C532" s="62" t="n">
        <v>0.01166503342248571</v>
      </c>
      <c r="D532" s="62" t="n">
        <v>0.003485639022466963</v>
      </c>
      <c r="E532" s="62" t="n">
        <v>0.01401562371143861</v>
      </c>
    </row>
    <row r="533">
      <c r="A533" s="53" t="n">
        <v>33573</v>
      </c>
      <c r="B533" s="61" t="n">
        <v>46.8</v>
      </c>
      <c r="C533" s="62" t="n">
        <v>0.01166503342248571</v>
      </c>
      <c r="D533" s="62" t="n">
        <v>0.003485639022466963</v>
      </c>
      <c r="E533" s="62" t="n">
        <v>0.01401562371143861</v>
      </c>
    </row>
    <row r="534">
      <c r="A534" s="53" t="n">
        <v>33604</v>
      </c>
      <c r="B534" s="61" t="n">
        <v>47.3</v>
      </c>
      <c r="C534" s="62" t="n">
        <v>0.02858869105350608</v>
      </c>
      <c r="D534" s="62" t="n">
        <v>0.0119715757414335</v>
      </c>
      <c r="E534" s="62" t="n">
        <v>0.04875309825949259</v>
      </c>
    </row>
    <row r="535">
      <c r="A535" s="53" t="n">
        <v>33635</v>
      </c>
      <c r="B535" s="61" t="n">
        <v>52.7</v>
      </c>
      <c r="C535" s="62" t="n">
        <v>0.02858869105350608</v>
      </c>
      <c r="D535" s="62" t="n">
        <v>0.0119715757414335</v>
      </c>
      <c r="E535" s="62" t="n">
        <v>0.04875309825949259</v>
      </c>
    </row>
    <row r="536">
      <c r="A536" s="53" t="n">
        <v>33664</v>
      </c>
      <c r="B536" s="61" t="n">
        <v>54.6</v>
      </c>
      <c r="C536" s="62" t="n">
        <v>0.02858869105350608</v>
      </c>
      <c r="D536" s="62" t="n">
        <v>0.0119715757414335</v>
      </c>
      <c r="E536" s="62" t="n">
        <v>0.04875309825949259</v>
      </c>
    </row>
    <row r="537">
      <c r="A537" s="53" t="n">
        <v>33695</v>
      </c>
      <c r="B537" s="61" t="n">
        <v>52.6</v>
      </c>
      <c r="C537" s="62" t="n">
        <v>0.03169755820667069</v>
      </c>
      <c r="D537" s="62" t="n">
        <v>0.0108432060394674</v>
      </c>
      <c r="E537" s="62" t="n">
        <v>0.04408338824994851</v>
      </c>
    </row>
    <row r="538">
      <c r="A538" s="53" t="n">
        <v>33725</v>
      </c>
      <c r="B538" s="61" t="n">
        <v>55.7</v>
      </c>
      <c r="C538" s="62" t="n">
        <v>0.03169755820667069</v>
      </c>
      <c r="D538" s="62" t="n">
        <v>0.0108432060394674</v>
      </c>
      <c r="E538" s="62" t="n">
        <v>0.04408338824994851</v>
      </c>
    </row>
    <row r="539">
      <c r="A539" s="53" t="n">
        <v>33756</v>
      </c>
      <c r="B539" s="61" t="n">
        <v>53.6</v>
      </c>
      <c r="C539" s="62" t="n">
        <v>0.03169755820667069</v>
      </c>
      <c r="D539" s="62" t="n">
        <v>0.0108432060394674</v>
      </c>
      <c r="E539" s="62" t="n">
        <v>0.04408338824994851</v>
      </c>
    </row>
    <row r="540">
      <c r="A540" s="53" t="n">
        <v>33786</v>
      </c>
      <c r="B540" s="61" t="n">
        <v>53.9</v>
      </c>
      <c r="C540" s="62" t="n">
        <v>0.03665322878509601</v>
      </c>
      <c r="D540" s="62" t="n">
        <v>0.009881071886633277</v>
      </c>
      <c r="E540" s="62" t="n">
        <v>0.04011396954581636</v>
      </c>
    </row>
    <row r="541">
      <c r="A541" s="53" t="n">
        <v>33817</v>
      </c>
      <c r="B541" s="61" t="n">
        <v>53.4</v>
      </c>
      <c r="C541" s="62" t="n">
        <v>0.03665322878509601</v>
      </c>
      <c r="D541" s="62" t="n">
        <v>0.009881071886633277</v>
      </c>
      <c r="E541" s="62" t="n">
        <v>0.04011396954581636</v>
      </c>
    </row>
    <row r="542">
      <c r="A542" s="53" t="n">
        <v>33848</v>
      </c>
      <c r="B542" s="61" t="n">
        <v>49.7</v>
      </c>
      <c r="C542" s="62" t="n">
        <v>0.03665322878509601</v>
      </c>
      <c r="D542" s="62" t="n">
        <v>0.009881071886633277</v>
      </c>
      <c r="E542" s="62" t="n">
        <v>0.04011396954581636</v>
      </c>
    </row>
    <row r="543">
      <c r="A543" s="53" t="n">
        <v>33878</v>
      </c>
      <c r="B543" s="61" t="n">
        <v>50.3</v>
      </c>
      <c r="C543" s="62" t="n">
        <v>0.04382587643638389</v>
      </c>
      <c r="D543" s="62" t="n">
        <v>0.01042879871365018</v>
      </c>
      <c r="E543" s="62" t="n">
        <v>0.04237230267699021</v>
      </c>
    </row>
    <row r="544">
      <c r="A544" s="53" t="n">
        <v>33909</v>
      </c>
      <c r="B544" s="61" t="n">
        <v>53.6</v>
      </c>
      <c r="C544" s="62" t="n">
        <v>0.04382587643638389</v>
      </c>
      <c r="D544" s="62" t="n">
        <v>0.01042879871365018</v>
      </c>
      <c r="E544" s="62" t="n">
        <v>0.04237230267699021</v>
      </c>
    </row>
    <row r="545">
      <c r="A545" s="53" t="n">
        <v>33939</v>
      </c>
      <c r="B545" s="61" t="n">
        <v>54.2</v>
      </c>
      <c r="C545" s="62" t="n">
        <v>0.04382587643638389</v>
      </c>
      <c r="D545" s="62" t="n">
        <v>0.01042879871365018</v>
      </c>
      <c r="E545" s="62" t="n">
        <v>0.04237230267699021</v>
      </c>
    </row>
    <row r="546">
      <c r="A546" s="53" t="n">
        <v>33970</v>
      </c>
      <c r="B546" s="61" t="n">
        <v>55.8</v>
      </c>
      <c r="C546" s="62" t="n">
        <v>0.03319981753469755</v>
      </c>
      <c r="D546" s="62" t="n">
        <v>0.001669790919454932</v>
      </c>
      <c r="E546" s="62" t="n">
        <v>0.006695911518737496</v>
      </c>
    </row>
    <row r="547">
      <c r="A547" s="53" t="n">
        <v>34001</v>
      </c>
      <c r="B547" s="61" t="n">
        <v>55.2</v>
      </c>
      <c r="C547" s="62" t="n">
        <v>0.03319981753469755</v>
      </c>
      <c r="D547" s="62" t="n">
        <v>0.001669790919454932</v>
      </c>
      <c r="E547" s="62" t="n">
        <v>0.006695911518737496</v>
      </c>
    </row>
    <row r="548">
      <c r="A548" s="53" t="n">
        <v>34029</v>
      </c>
      <c r="B548" s="61" t="n">
        <v>53.5</v>
      </c>
      <c r="C548" s="62" t="n">
        <v>0.03319981753469755</v>
      </c>
      <c r="D548" s="62" t="n">
        <v>0.001669790919454932</v>
      </c>
      <c r="E548" s="62" t="n">
        <v>0.006695911518737496</v>
      </c>
    </row>
    <row r="549">
      <c r="A549" s="53" t="n">
        <v>34060</v>
      </c>
      <c r="B549" s="61" t="n">
        <v>50.2</v>
      </c>
      <c r="C549" s="62" t="n">
        <v>0.02806667390440774</v>
      </c>
      <c r="D549" s="62" t="n">
        <v>0.005821134532830724</v>
      </c>
      <c r="E549" s="62" t="n">
        <v>0.02348864193376721</v>
      </c>
    </row>
    <row r="550">
      <c r="A550" s="53" t="n">
        <v>34090</v>
      </c>
      <c r="B550" s="61" t="n">
        <v>51.2</v>
      </c>
      <c r="C550" s="62" t="n">
        <v>0.02806667390440774</v>
      </c>
      <c r="D550" s="62" t="n">
        <v>0.005821134532830724</v>
      </c>
      <c r="E550" s="62" t="n">
        <v>0.02348864193376721</v>
      </c>
    </row>
    <row r="551">
      <c r="A551" s="53" t="n">
        <v>34121</v>
      </c>
      <c r="B551" s="61" t="n">
        <v>49.6</v>
      </c>
      <c r="C551" s="62" t="n">
        <v>0.02806667390440774</v>
      </c>
      <c r="D551" s="62" t="n">
        <v>0.005821134532830724</v>
      </c>
      <c r="E551" s="62" t="n">
        <v>0.02348864193376721</v>
      </c>
    </row>
    <row r="552">
      <c r="A552" s="53" t="n">
        <v>34151</v>
      </c>
      <c r="B552" s="61" t="n">
        <v>50.2</v>
      </c>
      <c r="C552" s="62" t="n">
        <v>0.02286515760815716</v>
      </c>
      <c r="D552" s="62" t="n">
        <v>0.004771565873036193</v>
      </c>
      <c r="E552" s="62" t="n">
        <v>0.01922330560881402</v>
      </c>
    </row>
    <row r="553">
      <c r="A553" s="53" t="n">
        <v>34182</v>
      </c>
      <c r="B553" s="61" t="n">
        <v>50.7</v>
      </c>
      <c r="C553" s="62" t="n">
        <v>0.02286515760815716</v>
      </c>
      <c r="D553" s="62" t="n">
        <v>0.004771565873036193</v>
      </c>
      <c r="E553" s="62" t="n">
        <v>0.01922330560881402</v>
      </c>
    </row>
    <row r="554">
      <c r="A554" s="53" t="n">
        <v>34213</v>
      </c>
      <c r="B554" s="61" t="n">
        <v>50.8</v>
      </c>
      <c r="C554" s="62" t="n">
        <v>0.02286515760815716</v>
      </c>
      <c r="D554" s="62" t="n">
        <v>0.004771565873036193</v>
      </c>
      <c r="E554" s="62" t="n">
        <v>0.01922330560881402</v>
      </c>
    </row>
    <row r="555">
      <c r="A555" s="53" t="n">
        <v>34243</v>
      </c>
      <c r="B555" s="61" t="n">
        <v>53.4</v>
      </c>
      <c r="C555" s="62" t="n">
        <v>0.02607615494464687</v>
      </c>
      <c r="D555" s="62" t="n">
        <v>0.01360075560087943</v>
      </c>
      <c r="E555" s="62" t="n">
        <v>0.05552300343997629</v>
      </c>
    </row>
    <row r="556">
      <c r="A556" s="53" t="n">
        <v>34274</v>
      </c>
      <c r="B556" s="61" t="n">
        <v>53.8</v>
      </c>
      <c r="C556" s="62" t="n">
        <v>0.02607615494464687</v>
      </c>
      <c r="D556" s="62" t="n">
        <v>0.01360075560087943</v>
      </c>
      <c r="E556" s="62" t="n">
        <v>0.05552300343997629</v>
      </c>
    </row>
    <row r="557">
      <c r="A557" s="53" t="n">
        <v>34304</v>
      </c>
      <c r="B557" s="61" t="n">
        <v>55.6</v>
      </c>
      <c r="C557" s="62" t="n">
        <v>0.02607615494464687</v>
      </c>
      <c r="D557" s="62" t="n">
        <v>0.01360075560087943</v>
      </c>
      <c r="E557" s="62" t="n">
        <v>0.05552300343997629</v>
      </c>
    </row>
    <row r="558">
      <c r="A558" s="53" t="n">
        <v>34335</v>
      </c>
      <c r="B558" s="61" t="n">
        <v>56</v>
      </c>
      <c r="C558" s="62" t="n">
        <v>0.03430523014430593</v>
      </c>
      <c r="D558" s="62" t="n">
        <v>0.009703128401259713</v>
      </c>
      <c r="E558" s="62" t="n">
        <v>0.03938108089937553</v>
      </c>
    </row>
    <row r="559">
      <c r="A559" s="53" t="n">
        <v>34366</v>
      </c>
      <c r="B559" s="61" t="n">
        <v>56.5</v>
      </c>
      <c r="C559" s="62" t="n">
        <v>0.03430523014430593</v>
      </c>
      <c r="D559" s="62" t="n">
        <v>0.009703128401259713</v>
      </c>
      <c r="E559" s="62" t="n">
        <v>0.03938108089937553</v>
      </c>
    </row>
    <row r="560">
      <c r="A560" s="53" t="n">
        <v>34394</v>
      </c>
      <c r="B560" s="61" t="n">
        <v>56.9</v>
      </c>
      <c r="C560" s="62" t="n">
        <v>0.03430523014430593</v>
      </c>
      <c r="D560" s="62" t="n">
        <v>0.009703128401259713</v>
      </c>
      <c r="E560" s="62" t="n">
        <v>0.03938108089937553</v>
      </c>
    </row>
    <row r="561">
      <c r="A561" s="53" t="n">
        <v>34425</v>
      </c>
      <c r="B561" s="61" t="n">
        <v>57.4</v>
      </c>
      <c r="C561" s="62" t="n">
        <v>0.0422539970235709</v>
      </c>
      <c r="D561" s="62" t="n">
        <v>0.01355099752455496</v>
      </c>
      <c r="E561" s="62" t="n">
        <v>0.05531575447492632</v>
      </c>
    </row>
    <row r="562">
      <c r="A562" s="53" t="n">
        <v>34455</v>
      </c>
      <c r="B562" s="61" t="n">
        <v>58.2</v>
      </c>
      <c r="C562" s="62" t="n">
        <v>0.0422539970235709</v>
      </c>
      <c r="D562" s="62" t="n">
        <v>0.01355099752455496</v>
      </c>
      <c r="E562" s="62" t="n">
        <v>0.05531575447492632</v>
      </c>
    </row>
    <row r="563">
      <c r="A563" s="53" t="n">
        <v>34486</v>
      </c>
      <c r="B563" s="61" t="n">
        <v>58.8</v>
      </c>
      <c r="C563" s="62" t="n">
        <v>0.0422539970235709</v>
      </c>
      <c r="D563" s="62" t="n">
        <v>0.01355099752455496</v>
      </c>
      <c r="E563" s="62" t="n">
        <v>0.05531575447492632</v>
      </c>
    </row>
    <row r="564">
      <c r="A564" s="53" t="n">
        <v>34516</v>
      </c>
      <c r="B564" s="61" t="n">
        <v>58.5</v>
      </c>
      <c r="C564" s="62" t="n">
        <v>0.04336784859634325</v>
      </c>
      <c r="D564" s="62" t="n">
        <v>0.005845360161300549</v>
      </c>
      <c r="E564" s="62" t="n">
        <v>0.02358725012773011</v>
      </c>
    </row>
    <row r="565">
      <c r="A565" s="53" t="n">
        <v>34547</v>
      </c>
      <c r="B565" s="61" t="n">
        <v>58</v>
      </c>
      <c r="C565" s="62" t="n">
        <v>0.04336784859634325</v>
      </c>
      <c r="D565" s="62" t="n">
        <v>0.005845360161300549</v>
      </c>
      <c r="E565" s="62" t="n">
        <v>0.02358725012773011</v>
      </c>
    </row>
    <row r="566">
      <c r="A566" s="53" t="n">
        <v>34578</v>
      </c>
      <c r="B566" s="61" t="n">
        <v>59</v>
      </c>
      <c r="C566" s="62" t="n">
        <v>0.04336784859634325</v>
      </c>
      <c r="D566" s="62" t="n">
        <v>0.005845360161300549</v>
      </c>
      <c r="E566" s="62" t="n">
        <v>0.02358725012773011</v>
      </c>
    </row>
    <row r="567">
      <c r="A567" s="53" t="n">
        <v>34608</v>
      </c>
      <c r="B567" s="61" t="n">
        <v>59.4</v>
      </c>
      <c r="C567" s="62" t="n">
        <v>0.04115926516252467</v>
      </c>
      <c r="D567" s="62" t="n">
        <v>0.01145518264658748</v>
      </c>
      <c r="E567" s="62" t="n">
        <v>0.04661408771384168</v>
      </c>
    </row>
    <row r="568">
      <c r="A568" s="53" t="n">
        <v>34639</v>
      </c>
      <c r="B568" s="61" t="n">
        <v>59.2</v>
      </c>
      <c r="C568" s="62" t="n">
        <v>0.04115926516252467</v>
      </c>
      <c r="D568" s="62" t="n">
        <v>0.01145518264658748</v>
      </c>
      <c r="E568" s="62" t="n">
        <v>0.04661408771384168</v>
      </c>
    </row>
    <row r="569">
      <c r="A569" s="53" t="n">
        <v>34669</v>
      </c>
      <c r="B569" s="61" t="n">
        <v>56.1</v>
      </c>
      <c r="C569" s="62" t="n">
        <v>0.04115926516252467</v>
      </c>
      <c r="D569" s="62" t="n">
        <v>0.01145518264658748</v>
      </c>
      <c r="E569" s="62" t="n">
        <v>0.04661408771384168</v>
      </c>
    </row>
    <row r="570">
      <c r="A570" s="53" t="n">
        <v>34700</v>
      </c>
      <c r="B570" s="61" t="n">
        <v>57.4</v>
      </c>
      <c r="C570" s="62" t="n">
        <v>0.0348113029700438</v>
      </c>
      <c r="D570" s="62" t="n">
        <v>0.003546954702204828</v>
      </c>
      <c r="E570" s="62" t="n">
        <v>0.01426348278840961</v>
      </c>
    </row>
    <row r="571">
      <c r="A571" s="53" t="n">
        <v>34731</v>
      </c>
      <c r="B571" s="61" t="n">
        <v>55.1</v>
      </c>
      <c r="C571" s="62" t="n">
        <v>0.0348113029700438</v>
      </c>
      <c r="D571" s="62" t="n">
        <v>0.003546954702204828</v>
      </c>
      <c r="E571" s="62" t="n">
        <v>0.01426348278840961</v>
      </c>
    </row>
    <row r="572">
      <c r="A572" s="53" t="n">
        <v>34759</v>
      </c>
      <c r="B572" s="61" t="n">
        <v>52.1</v>
      </c>
      <c r="C572" s="62" t="n">
        <v>0.0348113029700438</v>
      </c>
      <c r="D572" s="62" t="n">
        <v>0.003546954702204828</v>
      </c>
      <c r="E572" s="62" t="n">
        <v>0.01426348278840961</v>
      </c>
    </row>
    <row r="573">
      <c r="A573" s="53" t="n">
        <v>34790</v>
      </c>
      <c r="B573" s="61" t="n">
        <v>51.5</v>
      </c>
      <c r="C573" s="62" t="n">
        <v>0.02402168869293488</v>
      </c>
      <c r="D573" s="62" t="n">
        <v>0.002983056990776784</v>
      </c>
      <c r="E573" s="62" t="n">
        <v>0.0119857259968239</v>
      </c>
    </row>
    <row r="574">
      <c r="A574" s="53" t="n">
        <v>34820</v>
      </c>
      <c r="B574" s="61" t="n">
        <v>46.7</v>
      </c>
      <c r="C574" s="62" t="n">
        <v>0.02402168869293488</v>
      </c>
      <c r="D574" s="62" t="n">
        <v>0.002983056990776784</v>
      </c>
      <c r="E574" s="62" t="n">
        <v>0.0119857259968239</v>
      </c>
    </row>
    <row r="575">
      <c r="A575" s="53" t="n">
        <v>34851</v>
      </c>
      <c r="B575" s="61" t="n">
        <v>45.9</v>
      </c>
      <c r="C575" s="62" t="n">
        <v>0.02402168869293488</v>
      </c>
      <c r="D575" s="62" t="n">
        <v>0.002983056990776784</v>
      </c>
      <c r="E575" s="62" t="n">
        <v>0.0119857259968239</v>
      </c>
    </row>
    <row r="576">
      <c r="A576" s="53" t="n">
        <v>34881</v>
      </c>
      <c r="B576" s="61" t="n">
        <v>50.7</v>
      </c>
      <c r="C576" s="62" t="n">
        <v>0.02673106855580074</v>
      </c>
      <c r="D576" s="62" t="n">
        <v>0.008506648680937822</v>
      </c>
      <c r="E576" s="62" t="n">
        <v>0.03446324065976714</v>
      </c>
    </row>
    <row r="577">
      <c r="A577" s="53" t="n">
        <v>34912</v>
      </c>
      <c r="B577" s="61" t="n">
        <v>47.1</v>
      </c>
      <c r="C577" s="62" t="n">
        <v>0.02673106855580074</v>
      </c>
      <c r="D577" s="62" t="n">
        <v>0.008506648680937822</v>
      </c>
      <c r="E577" s="62" t="n">
        <v>0.03446324065976714</v>
      </c>
    </row>
    <row r="578">
      <c r="A578" s="53" t="n">
        <v>34943</v>
      </c>
      <c r="B578" s="61" t="n">
        <v>48.1</v>
      </c>
      <c r="C578" s="62" t="n">
        <v>0.02673106855580074</v>
      </c>
      <c r="D578" s="62" t="n">
        <v>0.008506648680937822</v>
      </c>
      <c r="E578" s="62" t="n">
        <v>0.03446324065976714</v>
      </c>
    </row>
    <row r="579">
      <c r="A579" s="53" t="n">
        <v>34973</v>
      </c>
      <c r="B579" s="61" t="n">
        <v>46.7</v>
      </c>
      <c r="C579" s="62" t="n">
        <v>0.02199579909068443</v>
      </c>
      <c r="D579" s="62" t="n">
        <v>0.006790365355671227</v>
      </c>
      <c r="E579" s="62" t="n">
        <v>0.02743937030821053</v>
      </c>
    </row>
    <row r="580">
      <c r="A580" s="53" t="n">
        <v>35004</v>
      </c>
      <c r="B580" s="61" t="n">
        <v>45.9</v>
      </c>
      <c r="C580" s="62" t="n">
        <v>0.02199579909068443</v>
      </c>
      <c r="D580" s="62" t="n">
        <v>0.006790365355671227</v>
      </c>
      <c r="E580" s="62" t="n">
        <v>0.02743937030821053</v>
      </c>
    </row>
    <row r="581">
      <c r="A581" s="53" t="n">
        <v>35034</v>
      </c>
      <c r="B581" s="61" t="n">
        <v>46.2</v>
      </c>
      <c r="C581" s="62" t="n">
        <v>0.02199579909068443</v>
      </c>
      <c r="D581" s="62" t="n">
        <v>0.006790365355671227</v>
      </c>
      <c r="E581" s="62" t="n">
        <v>0.02743937030821053</v>
      </c>
    </row>
    <row r="582">
      <c r="A582" s="53" t="n">
        <v>35065</v>
      </c>
      <c r="B582" s="61" t="n">
        <v>45.5</v>
      </c>
      <c r="C582" s="62" t="n">
        <v>0.02601103992691744</v>
      </c>
      <c r="D582" s="62" t="n">
        <v>0.007489713290041279</v>
      </c>
      <c r="E582" s="62" t="n">
        <v>0.0302971117038966</v>
      </c>
    </row>
    <row r="583">
      <c r="A583" s="53" t="n">
        <v>35096</v>
      </c>
      <c r="B583" s="61" t="n">
        <v>45.9</v>
      </c>
      <c r="C583" s="62" t="n">
        <v>0.02601103992691744</v>
      </c>
      <c r="D583" s="62" t="n">
        <v>0.007489713290041279</v>
      </c>
      <c r="E583" s="62" t="n">
        <v>0.0302971117038966</v>
      </c>
    </row>
    <row r="584">
      <c r="A584" s="53" t="n">
        <v>35125</v>
      </c>
      <c r="B584" s="61" t="n">
        <v>46.9</v>
      </c>
      <c r="C584" s="62" t="n">
        <v>0.02601103992691744</v>
      </c>
      <c r="D584" s="62" t="n">
        <v>0.007489713290041279</v>
      </c>
      <c r="E584" s="62" t="n">
        <v>0.0302971117038966</v>
      </c>
    </row>
    <row r="585">
      <c r="A585" s="53" t="n">
        <v>35156</v>
      </c>
      <c r="B585" s="61" t="n">
        <v>49.3</v>
      </c>
      <c r="C585" s="62" t="n">
        <v>0.04002127063806155</v>
      </c>
      <c r="D585" s="62" t="n">
        <v>0.0166788394735952</v>
      </c>
      <c r="E585" s="62" t="n">
        <v>0.06840309652184451</v>
      </c>
    </row>
    <row r="586">
      <c r="A586" s="53" t="n">
        <v>35186</v>
      </c>
      <c r="B586" s="61" t="n">
        <v>49.1</v>
      </c>
      <c r="C586" s="62" t="n">
        <v>0.04002127063806155</v>
      </c>
      <c r="D586" s="62" t="n">
        <v>0.0166788394735952</v>
      </c>
      <c r="E586" s="62" t="n">
        <v>0.06840309652184451</v>
      </c>
    </row>
    <row r="587">
      <c r="A587" s="53" t="n">
        <v>35217</v>
      </c>
      <c r="B587" s="61" t="n">
        <v>53.6</v>
      </c>
      <c r="C587" s="62" t="n">
        <v>0.04002127063806155</v>
      </c>
      <c r="D587" s="62" t="n">
        <v>0.0166788394735952</v>
      </c>
      <c r="E587" s="62" t="n">
        <v>0.06840309652184451</v>
      </c>
    </row>
    <row r="588">
      <c r="A588" s="53" t="n">
        <v>35247</v>
      </c>
      <c r="B588" s="61" t="n">
        <v>49.7</v>
      </c>
      <c r="C588" s="62" t="n">
        <v>0.04049921390498906</v>
      </c>
      <c r="D588" s="62" t="n">
        <v>0.008970109358134323</v>
      </c>
      <c r="E588" s="62" t="n">
        <v>0.03636610812087238</v>
      </c>
    </row>
    <row r="589">
      <c r="A589" s="53" t="n">
        <v>35278</v>
      </c>
      <c r="B589" s="61" t="n">
        <v>51.6</v>
      </c>
      <c r="C589" s="62" t="n">
        <v>0.04049921390498906</v>
      </c>
      <c r="D589" s="62" t="n">
        <v>0.008970109358134323</v>
      </c>
      <c r="E589" s="62" t="n">
        <v>0.03636610812087238</v>
      </c>
    </row>
    <row r="590">
      <c r="A590" s="53" t="n">
        <v>35309</v>
      </c>
      <c r="B590" s="61" t="n">
        <v>51.1</v>
      </c>
      <c r="C590" s="62" t="n">
        <v>0.04049921390498906</v>
      </c>
      <c r="D590" s="62" t="n">
        <v>0.008970109358134323</v>
      </c>
      <c r="E590" s="62" t="n">
        <v>0.03636610812087238</v>
      </c>
    </row>
    <row r="591">
      <c r="A591" s="53" t="n">
        <v>35339</v>
      </c>
      <c r="B591" s="61" t="n">
        <v>50.5</v>
      </c>
      <c r="C591" s="62" t="n">
        <v>0.0442131445208174</v>
      </c>
      <c r="D591" s="62" t="n">
        <v>0.01038397649121684</v>
      </c>
      <c r="E591" s="62" t="n">
        <v>0.0421873580889367</v>
      </c>
    </row>
    <row r="592">
      <c r="A592" s="53" t="n">
        <v>35370</v>
      </c>
      <c r="B592" s="61" t="n">
        <v>53</v>
      </c>
      <c r="C592" s="62" t="n">
        <v>0.0442131445208174</v>
      </c>
      <c r="D592" s="62" t="n">
        <v>0.01038397649121684</v>
      </c>
      <c r="E592" s="62" t="n">
        <v>0.0421873580889367</v>
      </c>
    </row>
    <row r="593">
      <c r="A593" s="53" t="n">
        <v>35400</v>
      </c>
      <c r="B593" s="61" t="n">
        <v>55.2</v>
      </c>
      <c r="C593" s="62" t="n">
        <v>0.0442131445208174</v>
      </c>
      <c r="D593" s="62" t="n">
        <v>0.01038397649121684</v>
      </c>
      <c r="E593" s="62" t="n">
        <v>0.0421873580889367</v>
      </c>
    </row>
    <row r="594">
      <c r="A594" s="53" t="n">
        <v>35431</v>
      </c>
      <c r="B594" s="61" t="n">
        <v>53.8</v>
      </c>
      <c r="C594" s="62" t="n">
        <v>0.04314134541141839</v>
      </c>
      <c r="D594" s="62" t="n">
        <v>0.006455607769440447</v>
      </c>
      <c r="E594" s="62" t="n">
        <v>0.02607355819109536</v>
      </c>
    </row>
    <row r="595">
      <c r="A595" s="53" t="n">
        <v>35462</v>
      </c>
      <c r="B595" s="61" t="n">
        <v>53.1</v>
      </c>
      <c r="C595" s="62" t="n">
        <v>0.04314134541141839</v>
      </c>
      <c r="D595" s="62" t="n">
        <v>0.006455607769440447</v>
      </c>
      <c r="E595" s="62" t="n">
        <v>0.02607355819109536</v>
      </c>
    </row>
    <row r="596">
      <c r="A596" s="53" t="n">
        <v>35490</v>
      </c>
      <c r="B596" s="61" t="n">
        <v>53.8</v>
      </c>
      <c r="C596" s="62" t="n">
        <v>0.04314134541141839</v>
      </c>
      <c r="D596" s="62" t="n">
        <v>0.006455607769440447</v>
      </c>
      <c r="E596" s="62" t="n">
        <v>0.02607355819109536</v>
      </c>
    </row>
    <row r="597">
      <c r="A597" s="53" t="n">
        <v>35521</v>
      </c>
      <c r="B597" s="61" t="n">
        <v>53.7</v>
      </c>
      <c r="C597" s="62" t="n">
        <v>0.04308074979348425</v>
      </c>
      <c r="D597" s="62" t="n">
        <v>0.01661978105089011</v>
      </c>
      <c r="E597" s="62" t="n">
        <v>0.06815486590490871</v>
      </c>
    </row>
    <row r="598">
      <c r="A598" s="53" t="n">
        <v>35551</v>
      </c>
      <c r="B598" s="61" t="n">
        <v>56.1</v>
      </c>
      <c r="C598" s="62" t="n">
        <v>0.04308074979348425</v>
      </c>
      <c r="D598" s="62" t="n">
        <v>0.01661978105089011</v>
      </c>
      <c r="E598" s="62" t="n">
        <v>0.06815486590490871</v>
      </c>
    </row>
    <row r="599">
      <c r="A599" s="53" t="n">
        <v>35582</v>
      </c>
      <c r="B599" s="61" t="n">
        <v>54.9</v>
      </c>
      <c r="C599" s="62" t="n">
        <v>0.04308074979348425</v>
      </c>
      <c r="D599" s="62" t="n">
        <v>0.01661978105089011</v>
      </c>
      <c r="E599" s="62" t="n">
        <v>0.06815486590490871</v>
      </c>
    </row>
    <row r="600">
      <c r="A600" s="53" t="n">
        <v>35612</v>
      </c>
      <c r="B600" s="61" t="n">
        <v>57.7</v>
      </c>
      <c r="C600" s="62" t="n">
        <v>0.04673802575393323</v>
      </c>
      <c r="D600" s="62" t="n">
        <v>0.01250778573313949</v>
      </c>
      <c r="E600" s="62" t="n">
        <v>0.05097766273852433</v>
      </c>
    </row>
    <row r="601">
      <c r="A601" s="53" t="n">
        <v>35643</v>
      </c>
      <c r="B601" s="61" t="n">
        <v>56.3</v>
      </c>
      <c r="C601" s="62" t="n">
        <v>0.04673802575393323</v>
      </c>
      <c r="D601" s="62" t="n">
        <v>0.01250778573313949</v>
      </c>
      <c r="E601" s="62" t="n">
        <v>0.05097766273852433</v>
      </c>
    </row>
    <row r="602">
      <c r="A602" s="53" t="n">
        <v>35674</v>
      </c>
      <c r="B602" s="61" t="n">
        <v>53.9</v>
      </c>
      <c r="C602" s="62" t="n">
        <v>0.04673802575393323</v>
      </c>
      <c r="D602" s="62" t="n">
        <v>0.01250778573313949</v>
      </c>
      <c r="E602" s="62" t="n">
        <v>0.05097766273852433</v>
      </c>
    </row>
    <row r="603">
      <c r="A603" s="53" t="n">
        <v>35704</v>
      </c>
      <c r="B603" s="61" t="n">
        <v>56.4</v>
      </c>
      <c r="C603" s="62" t="n">
        <v>0.04487684457714512</v>
      </c>
      <c r="D603" s="62" t="n">
        <v>0.008587435626066455</v>
      </c>
      <c r="E603" s="62" t="n">
        <v>0.03479474533539206</v>
      </c>
    </row>
    <row r="604">
      <c r="A604" s="53" t="n">
        <v>35735</v>
      </c>
      <c r="B604" s="61" t="n">
        <v>55.7</v>
      </c>
      <c r="C604" s="62" t="n">
        <v>0.04487684457714512</v>
      </c>
      <c r="D604" s="62" t="n">
        <v>0.008587435626066455</v>
      </c>
      <c r="E604" s="62" t="n">
        <v>0.03479474533539206</v>
      </c>
    </row>
    <row r="605">
      <c r="A605" s="53" t="n">
        <v>35765</v>
      </c>
      <c r="B605" s="61" t="n">
        <v>54.5</v>
      </c>
      <c r="C605" s="62" t="n">
        <v>0.04487684457714512</v>
      </c>
      <c r="D605" s="62" t="n">
        <v>0.008587435626066455</v>
      </c>
      <c r="E605" s="62" t="n">
        <v>0.03479474533539206</v>
      </c>
    </row>
    <row r="606">
      <c r="A606" s="53" t="n">
        <v>35796</v>
      </c>
      <c r="B606" s="61" t="n">
        <v>53.8</v>
      </c>
      <c r="C606" s="62" t="n">
        <v>0.04855005882657688</v>
      </c>
      <c r="D606" s="62" t="n">
        <v>0.009993754010374081</v>
      </c>
      <c r="E606" s="62" t="n">
        <v>0.04057826924134766</v>
      </c>
    </row>
    <row r="607">
      <c r="A607" s="53" t="n">
        <v>35827</v>
      </c>
      <c r="B607" s="61" t="n">
        <v>52.9</v>
      </c>
      <c r="C607" s="62" t="n">
        <v>0.04855005882657688</v>
      </c>
      <c r="D607" s="62" t="n">
        <v>0.009993754010374081</v>
      </c>
      <c r="E607" s="62" t="n">
        <v>0.04057826924134766</v>
      </c>
    </row>
    <row r="608">
      <c r="A608" s="53" t="n">
        <v>35855</v>
      </c>
      <c r="B608" s="61" t="n">
        <v>52.9</v>
      </c>
      <c r="C608" s="62" t="n">
        <v>0.04855005882657688</v>
      </c>
      <c r="D608" s="62" t="n">
        <v>0.009993754010374081</v>
      </c>
      <c r="E608" s="62" t="n">
        <v>0.04057826924134766</v>
      </c>
    </row>
    <row r="609">
      <c r="A609" s="53" t="n">
        <v>35886</v>
      </c>
      <c r="B609" s="61" t="n">
        <v>52.2</v>
      </c>
      <c r="C609" s="62" t="n">
        <v>0.04095726841200665</v>
      </c>
      <c r="D609" s="62" t="n">
        <v>0.009258205069039573</v>
      </c>
      <c r="E609" s="62" t="n">
        <v>0.03755028803424176</v>
      </c>
    </row>
    <row r="610">
      <c r="A610" s="53" t="n">
        <v>35916</v>
      </c>
      <c r="B610" s="61" t="n">
        <v>50.9</v>
      </c>
      <c r="C610" s="62" t="n">
        <v>0.04095726841200665</v>
      </c>
      <c r="D610" s="62" t="n">
        <v>0.009258205069039573</v>
      </c>
      <c r="E610" s="62" t="n">
        <v>0.03755028803424176</v>
      </c>
    </row>
    <row r="611">
      <c r="A611" s="53" t="n">
        <v>35947</v>
      </c>
      <c r="B611" s="61" t="n">
        <v>48.9</v>
      </c>
      <c r="C611" s="62" t="n">
        <v>0.04095726841200665</v>
      </c>
      <c r="D611" s="62" t="n">
        <v>0.009258205069039573</v>
      </c>
      <c r="E611" s="62" t="n">
        <v>0.03755028803424176</v>
      </c>
    </row>
    <row r="612">
      <c r="A612" s="53" t="n">
        <v>35977</v>
      </c>
      <c r="B612" s="61" t="n">
        <v>49.2</v>
      </c>
      <c r="C612" s="62" t="n">
        <v>0.04097768622679814</v>
      </c>
      <c r="D612" s="62" t="n">
        <v>0.01252764552668854</v>
      </c>
      <c r="E612" s="62" t="n">
        <v>0.05106012260225712</v>
      </c>
    </row>
    <row r="613">
      <c r="A613" s="53" t="n">
        <v>36008</v>
      </c>
      <c r="B613" s="61" t="n">
        <v>49.3</v>
      </c>
      <c r="C613" s="62" t="n">
        <v>0.04097768622679814</v>
      </c>
      <c r="D613" s="62" t="n">
        <v>0.01252764552668854</v>
      </c>
      <c r="E613" s="62" t="n">
        <v>0.05106012260225712</v>
      </c>
    </row>
    <row r="614">
      <c r="A614" s="53" t="n">
        <v>36039</v>
      </c>
      <c r="B614" s="61" t="n">
        <v>48.7</v>
      </c>
      <c r="C614" s="62" t="n">
        <v>0.04097768622679814</v>
      </c>
      <c r="D614" s="62" t="n">
        <v>0.01252764552668854</v>
      </c>
      <c r="E614" s="62" t="n">
        <v>0.05106012260225712</v>
      </c>
    </row>
    <row r="615">
      <c r="A615" s="53" t="n">
        <v>36069</v>
      </c>
      <c r="B615" s="61" t="n">
        <v>48.7</v>
      </c>
      <c r="C615" s="62" t="n">
        <v>0.04879540775598017</v>
      </c>
      <c r="D615" s="62" t="n">
        <v>0.01616190702337028</v>
      </c>
      <c r="E615" s="62" t="n">
        <v>0.06623182618291357</v>
      </c>
    </row>
    <row r="616">
      <c r="A616" s="53" t="n">
        <v>36100</v>
      </c>
      <c r="B616" s="61" t="n">
        <v>48.2</v>
      </c>
      <c r="C616" s="62" t="n">
        <v>0.04879540775598017</v>
      </c>
      <c r="D616" s="62" t="n">
        <v>0.01616190702337028</v>
      </c>
      <c r="E616" s="62" t="n">
        <v>0.06623182618291357</v>
      </c>
    </row>
    <row r="617">
      <c r="A617" s="53" t="n">
        <v>36130</v>
      </c>
      <c r="B617" s="61" t="n">
        <v>46.8</v>
      </c>
      <c r="C617" s="62" t="n">
        <v>0.04879540775598017</v>
      </c>
      <c r="D617" s="62" t="n">
        <v>0.01616190702337028</v>
      </c>
      <c r="E617" s="62" t="n">
        <v>0.06623182618291357</v>
      </c>
    </row>
    <row r="618">
      <c r="A618" s="53" t="n">
        <v>36161</v>
      </c>
      <c r="B618" s="61" t="n">
        <v>50.6</v>
      </c>
      <c r="C618" s="62" t="n">
        <v>0.0482185793162023</v>
      </c>
      <c r="D618" s="62" t="n">
        <v>0.009438266145912767</v>
      </c>
      <c r="E618" s="62" t="n">
        <v>0.03829092080185514</v>
      </c>
    </row>
    <row r="619">
      <c r="A619" s="53" t="n">
        <v>36192</v>
      </c>
      <c r="B619" s="61" t="n">
        <v>51.7</v>
      </c>
      <c r="C619" s="62" t="n">
        <v>0.0482185793162023</v>
      </c>
      <c r="D619" s="62" t="n">
        <v>0.009438266145912767</v>
      </c>
      <c r="E619" s="62" t="n">
        <v>0.03829092080185514</v>
      </c>
    </row>
    <row r="620">
      <c r="A620" s="53" t="n">
        <v>36220</v>
      </c>
      <c r="B620" s="61" t="n">
        <v>52.4</v>
      </c>
      <c r="C620" s="62" t="n">
        <v>0.0482185793162023</v>
      </c>
      <c r="D620" s="62" t="n">
        <v>0.009438266145912767</v>
      </c>
      <c r="E620" s="62" t="n">
        <v>0.03829092080185514</v>
      </c>
    </row>
    <row r="621">
      <c r="A621" s="53" t="n">
        <v>36251</v>
      </c>
      <c r="B621" s="61" t="n">
        <v>52.3</v>
      </c>
      <c r="C621" s="62" t="n">
        <v>0.04727531513473537</v>
      </c>
      <c r="D621" s="62" t="n">
        <v>0.008350000298127901</v>
      </c>
      <c r="E621" s="62" t="n">
        <v>0.03382066981536114</v>
      </c>
    </row>
    <row r="622">
      <c r="A622" s="53" t="n">
        <v>36281</v>
      </c>
      <c r="B622" s="61" t="n">
        <v>54.3</v>
      </c>
      <c r="C622" s="62" t="n">
        <v>0.04727531513473537</v>
      </c>
      <c r="D622" s="62" t="n">
        <v>0.008350000298127901</v>
      </c>
      <c r="E622" s="62" t="n">
        <v>0.03382066981536114</v>
      </c>
    </row>
    <row r="623">
      <c r="A623" s="53" t="n">
        <v>36312</v>
      </c>
      <c r="B623" s="61" t="n">
        <v>55.8</v>
      </c>
      <c r="C623" s="62" t="n">
        <v>0.04727531513473537</v>
      </c>
      <c r="D623" s="62" t="n">
        <v>0.008350000298127901</v>
      </c>
      <c r="E623" s="62" t="n">
        <v>0.03382066981536114</v>
      </c>
    </row>
    <row r="624">
      <c r="A624" s="53" t="n">
        <v>36342</v>
      </c>
      <c r="B624" s="61" t="n">
        <v>53.6</v>
      </c>
      <c r="C624" s="62" t="n">
        <v>0.04800205236862531</v>
      </c>
      <c r="D624" s="62" t="n">
        <v>0.01323027026128614</v>
      </c>
      <c r="E624" s="62" t="n">
        <v>0.05398061530001885</v>
      </c>
    </row>
    <row r="625">
      <c r="A625" s="53" t="n">
        <v>36373</v>
      </c>
      <c r="B625" s="61" t="n">
        <v>54.8</v>
      </c>
      <c r="C625" s="62" t="n">
        <v>0.04800205236862531</v>
      </c>
      <c r="D625" s="62" t="n">
        <v>0.01323027026128614</v>
      </c>
      <c r="E625" s="62" t="n">
        <v>0.05398061530001885</v>
      </c>
    </row>
    <row r="626">
      <c r="A626" s="53" t="n">
        <v>36404</v>
      </c>
      <c r="B626" s="61" t="n">
        <v>57</v>
      </c>
      <c r="C626" s="62" t="n">
        <v>0.04800205236862531</v>
      </c>
      <c r="D626" s="62" t="n">
        <v>0.01323027026128614</v>
      </c>
      <c r="E626" s="62" t="n">
        <v>0.05398061530001885</v>
      </c>
    </row>
    <row r="627">
      <c r="A627" s="53" t="n">
        <v>36434</v>
      </c>
      <c r="B627" s="61" t="n">
        <v>57.2</v>
      </c>
      <c r="C627" s="62" t="n">
        <v>0.04827626650330151</v>
      </c>
      <c r="D627" s="62" t="n">
        <v>0.01642779005040782</v>
      </c>
      <c r="E627" s="62" t="n">
        <v>0.06734820036933864</v>
      </c>
    </row>
    <row r="628">
      <c r="A628" s="53" t="n">
        <v>36465</v>
      </c>
      <c r="B628" s="61" t="n">
        <v>58.1</v>
      </c>
      <c r="C628" s="62" t="n">
        <v>0.04827626650330151</v>
      </c>
      <c r="D628" s="62" t="n">
        <v>0.01642779005040782</v>
      </c>
      <c r="E628" s="62" t="n">
        <v>0.06734820036933864</v>
      </c>
    </row>
    <row r="629">
      <c r="A629" s="53" t="n">
        <v>36495</v>
      </c>
      <c r="B629" s="61" t="n">
        <v>57.8</v>
      </c>
      <c r="C629" s="62" t="n">
        <v>0.04827626650330151</v>
      </c>
      <c r="D629" s="62" t="n">
        <v>0.01642779005040782</v>
      </c>
      <c r="E629" s="62" t="n">
        <v>0.06734820036933864</v>
      </c>
    </row>
    <row r="630">
      <c r="A630" s="53" t="n">
        <v>36526</v>
      </c>
      <c r="B630" s="61" t="n">
        <v>56.7</v>
      </c>
      <c r="C630" s="62" t="n">
        <v>0.04225955858689924</v>
      </c>
      <c r="D630" s="62" t="n">
        <v>0.003644473611337272</v>
      </c>
      <c r="E630" s="62" t="n">
        <v>0.0146577813755211</v>
      </c>
    </row>
    <row r="631">
      <c r="A631" s="53" t="n">
        <v>36557</v>
      </c>
      <c r="B631" s="61" t="n">
        <v>55.8</v>
      </c>
      <c r="C631" s="62" t="n">
        <v>0.04225955858689924</v>
      </c>
      <c r="D631" s="62" t="n">
        <v>0.003644473611337272</v>
      </c>
      <c r="E631" s="62" t="n">
        <v>0.0146577813755211</v>
      </c>
    </row>
    <row r="632">
      <c r="A632" s="53" t="n">
        <v>36586</v>
      </c>
      <c r="B632" s="61" t="n">
        <v>54.9</v>
      </c>
      <c r="C632" s="62" t="n">
        <v>0.04225955858689924</v>
      </c>
      <c r="D632" s="62" t="n">
        <v>0.003644473611337272</v>
      </c>
      <c r="E632" s="62" t="n">
        <v>0.0146577813755211</v>
      </c>
    </row>
    <row r="633">
      <c r="A633" s="53" t="n">
        <v>36617</v>
      </c>
      <c r="B633" s="61" t="n">
        <v>54.7</v>
      </c>
      <c r="C633" s="62" t="n">
        <v>0.05244682768853312</v>
      </c>
      <c r="D633" s="62" t="n">
        <v>0.01820583008355766</v>
      </c>
      <c r="E633" s="62" t="n">
        <v>0.07483628114231911</v>
      </c>
    </row>
    <row r="634">
      <c r="A634" s="53" t="n">
        <v>36647</v>
      </c>
      <c r="B634" s="61" t="n">
        <v>53.2</v>
      </c>
      <c r="C634" s="62" t="n">
        <v>0.05244682768853312</v>
      </c>
      <c r="D634" s="62" t="n">
        <v>0.01820583008355766</v>
      </c>
      <c r="E634" s="62" t="n">
        <v>0.07483628114231911</v>
      </c>
    </row>
    <row r="635">
      <c r="A635" s="53" t="n">
        <v>36678</v>
      </c>
      <c r="B635" s="61" t="n">
        <v>51.4</v>
      </c>
      <c r="C635" s="62" t="n">
        <v>0.05244682768853312</v>
      </c>
      <c r="D635" s="62" t="n">
        <v>0.01820583008355766</v>
      </c>
      <c r="E635" s="62" t="n">
        <v>0.07483628114231911</v>
      </c>
    </row>
    <row r="636">
      <c r="A636" s="53" t="n">
        <v>36708</v>
      </c>
      <c r="B636" s="61" t="n">
        <v>52.5</v>
      </c>
      <c r="C636" s="62" t="n">
        <v>0.03974084495579121</v>
      </c>
      <c r="D636" s="62" t="n">
        <v>0.0009977412825952132</v>
      </c>
      <c r="E636" s="62" t="n">
        <v>0.003996942030330297</v>
      </c>
    </row>
    <row r="637">
      <c r="A637" s="53" t="n">
        <v>36739</v>
      </c>
      <c r="B637" s="61" t="n">
        <v>49.9</v>
      </c>
      <c r="C637" s="62" t="n">
        <v>0.03974084495579121</v>
      </c>
      <c r="D637" s="62" t="n">
        <v>0.0009977412825952132</v>
      </c>
      <c r="E637" s="62" t="n">
        <v>0.003996942030330297</v>
      </c>
    </row>
    <row r="638">
      <c r="A638" s="53" t="n">
        <v>36770</v>
      </c>
      <c r="B638" s="61" t="n">
        <v>49.7</v>
      </c>
      <c r="C638" s="62" t="n">
        <v>0.03974084495579121</v>
      </c>
      <c r="D638" s="62" t="n">
        <v>0.0009977412825952132</v>
      </c>
      <c r="E638" s="62" t="n">
        <v>0.003996942030330297</v>
      </c>
    </row>
    <row r="639">
      <c r="A639" s="53" t="n">
        <v>36800</v>
      </c>
      <c r="B639" s="61" t="n">
        <v>48.7</v>
      </c>
      <c r="C639" s="62" t="n">
        <v>0.0290162047211726</v>
      </c>
      <c r="D639" s="62" t="n">
        <v>0.005943617551420755</v>
      </c>
      <c r="E639" s="62" t="n">
        <v>0.02398727086218799</v>
      </c>
    </row>
    <row r="640">
      <c r="A640" s="53" t="n">
        <v>36831</v>
      </c>
      <c r="B640" s="61" t="n">
        <v>48.5</v>
      </c>
      <c r="C640" s="62" t="n">
        <v>0.0290162047211726</v>
      </c>
      <c r="D640" s="62" t="n">
        <v>0.005943617551420755</v>
      </c>
      <c r="E640" s="62" t="n">
        <v>0.02398727086218799</v>
      </c>
    </row>
    <row r="641">
      <c r="A641" s="53" t="n">
        <v>36861</v>
      </c>
      <c r="B641" s="61" t="n">
        <v>43.9</v>
      </c>
      <c r="C641" s="62" t="n">
        <v>0.0290162047211726</v>
      </c>
      <c r="D641" s="62" t="n">
        <v>0.005943617551420755</v>
      </c>
      <c r="E641" s="62" t="n">
        <v>0.02398727086218799</v>
      </c>
    </row>
    <row r="642">
      <c r="A642" s="53" t="n">
        <v>36892</v>
      </c>
      <c r="B642" s="61" t="n">
        <v>42.3</v>
      </c>
      <c r="C642" s="62" t="n">
        <v>0.02195542846787985</v>
      </c>
      <c r="D642" s="62" t="n">
        <v>-0.003242210032234334</v>
      </c>
      <c r="E642" s="62" t="n">
        <v>-0.01290590479056453</v>
      </c>
    </row>
    <row r="643">
      <c r="A643" s="53" t="n">
        <v>36923</v>
      </c>
      <c r="B643" s="61" t="n">
        <v>42.1</v>
      </c>
      <c r="C643" s="62" t="n">
        <v>0.02195542846787985</v>
      </c>
      <c r="D643" s="62" t="n">
        <v>-0.003242210032234334</v>
      </c>
      <c r="E643" s="62" t="n">
        <v>-0.01290590479056453</v>
      </c>
    </row>
    <row r="644">
      <c r="A644" s="53" t="n">
        <v>36951</v>
      </c>
      <c r="B644" s="61" t="n">
        <v>43.1</v>
      </c>
      <c r="C644" s="62" t="n">
        <v>0.02195542846787985</v>
      </c>
      <c r="D644" s="62" t="n">
        <v>-0.003242210032234334</v>
      </c>
      <c r="E644" s="62" t="n">
        <v>-0.01290590479056453</v>
      </c>
    </row>
    <row r="645">
      <c r="A645" s="53" t="n">
        <v>36982</v>
      </c>
      <c r="B645" s="61" t="n">
        <v>42.7</v>
      </c>
      <c r="C645" s="62" t="n">
        <v>0.009919329568880284</v>
      </c>
      <c r="D645" s="62" t="n">
        <v>0.00621389214865502</v>
      </c>
      <c r="E645" s="62" t="n">
        <v>0.02508820455389182</v>
      </c>
    </row>
    <row r="646">
      <c r="A646" s="53" t="n">
        <v>37012</v>
      </c>
      <c r="B646" s="61" t="n">
        <v>41.3</v>
      </c>
      <c r="C646" s="62" t="n">
        <v>0.009919329568880284</v>
      </c>
      <c r="D646" s="62" t="n">
        <v>0.00621389214865502</v>
      </c>
      <c r="E646" s="62" t="n">
        <v>0.02508820455389182</v>
      </c>
    </row>
    <row r="647">
      <c r="A647" s="53" t="n">
        <v>37043</v>
      </c>
      <c r="B647" s="61" t="n">
        <v>43.2</v>
      </c>
      <c r="C647" s="62" t="n">
        <v>0.009919329568880284</v>
      </c>
      <c r="D647" s="62" t="n">
        <v>0.00621389214865502</v>
      </c>
      <c r="E647" s="62" t="n">
        <v>0.02508820455389182</v>
      </c>
    </row>
    <row r="648">
      <c r="A648" s="53" t="n">
        <v>37073</v>
      </c>
      <c r="B648" s="61" t="n">
        <v>43.5</v>
      </c>
      <c r="C648" s="62" t="n">
        <v>0.004873523671693287</v>
      </c>
      <c r="D648" s="62" t="n">
        <v>-0.004003490160505012</v>
      </c>
      <c r="E648" s="62" t="n">
        <v>-0.01591804945502973</v>
      </c>
    </row>
    <row r="649">
      <c r="A649" s="53" t="n">
        <v>37104</v>
      </c>
      <c r="B649" s="61" t="n">
        <v>46.3</v>
      </c>
      <c r="C649" s="62" t="n">
        <v>0.004873523671693287</v>
      </c>
      <c r="D649" s="62" t="n">
        <v>-0.004003490160505012</v>
      </c>
      <c r="E649" s="62" t="n">
        <v>-0.01591804945502973</v>
      </c>
    </row>
    <row r="650">
      <c r="A650" s="53" t="n">
        <v>37135</v>
      </c>
      <c r="B650" s="61" t="n">
        <v>46.2</v>
      </c>
      <c r="C650" s="62" t="n">
        <v>0.004873523671693287</v>
      </c>
      <c r="D650" s="62" t="n">
        <v>-0.004003490160505012</v>
      </c>
      <c r="E650" s="62" t="n">
        <v>-0.01591804945502973</v>
      </c>
    </row>
    <row r="651">
      <c r="A651" s="53" t="n">
        <v>37165</v>
      </c>
      <c r="B651" s="61" t="n">
        <v>40.8</v>
      </c>
      <c r="C651" s="62" t="n">
        <v>0.001706422364229252</v>
      </c>
      <c r="D651" s="62" t="n">
        <v>0.002773143584964562</v>
      </c>
      <c r="E651" s="62" t="n">
        <v>0.01113880165656145</v>
      </c>
    </row>
    <row r="652">
      <c r="A652" s="53" t="n">
        <v>37196</v>
      </c>
      <c r="B652" s="61" t="n">
        <v>44.1</v>
      </c>
      <c r="C652" s="62" t="n">
        <v>0.001706422364229252</v>
      </c>
      <c r="D652" s="62" t="n">
        <v>0.002773143584964562</v>
      </c>
      <c r="E652" s="62" t="n">
        <v>0.01113880165656145</v>
      </c>
    </row>
    <row r="653">
      <c r="A653" s="53" t="n">
        <v>37226</v>
      </c>
      <c r="B653" s="61" t="n">
        <v>45.3</v>
      </c>
      <c r="C653" s="62" t="n">
        <v>0.001706422364229252</v>
      </c>
      <c r="D653" s="62" t="n">
        <v>0.002773143584964562</v>
      </c>
      <c r="E653" s="62" t="n">
        <v>0.01113880165656145</v>
      </c>
    </row>
    <row r="654">
      <c r="A654" s="53" t="n">
        <v>37257</v>
      </c>
      <c r="B654" s="61" t="n">
        <v>47.5</v>
      </c>
      <c r="C654" s="62" t="n">
        <v>0.0132881204842846</v>
      </c>
      <c r="D654" s="62" t="n">
        <v>0.00828227215584396</v>
      </c>
      <c r="E654" s="62" t="n">
        <v>0.03354294204519781</v>
      </c>
    </row>
    <row r="655">
      <c r="A655" s="53" t="n">
        <v>37288</v>
      </c>
      <c r="B655" s="61" t="n">
        <v>50.7</v>
      </c>
      <c r="C655" s="62" t="n">
        <v>0.0132881204842846</v>
      </c>
      <c r="D655" s="62" t="n">
        <v>0.00828227215584396</v>
      </c>
      <c r="E655" s="62" t="n">
        <v>0.03354294204519781</v>
      </c>
    </row>
    <row r="656">
      <c r="A656" s="53" t="n">
        <v>37316</v>
      </c>
      <c r="B656" s="61" t="n">
        <v>52.4</v>
      </c>
      <c r="C656" s="62" t="n">
        <v>0.0132881204842846</v>
      </c>
      <c r="D656" s="62" t="n">
        <v>0.00828227215584396</v>
      </c>
      <c r="E656" s="62" t="n">
        <v>0.03354294204519781</v>
      </c>
    </row>
    <row r="657">
      <c r="A657" s="53" t="n">
        <v>37347</v>
      </c>
      <c r="B657" s="61" t="n">
        <v>52.4</v>
      </c>
      <c r="C657" s="62" t="n">
        <v>0.01322883902243626</v>
      </c>
      <c r="D657" s="62" t="n">
        <v>0.006155024557835768</v>
      </c>
      <c r="E657" s="62" t="n">
        <v>0.02484833834627032</v>
      </c>
    </row>
    <row r="658">
      <c r="A658" s="53" t="n">
        <v>37377</v>
      </c>
      <c r="B658" s="61" t="n">
        <v>53.1</v>
      </c>
      <c r="C658" s="62" t="n">
        <v>0.01322883902243626</v>
      </c>
      <c r="D658" s="62" t="n">
        <v>0.006155024557835768</v>
      </c>
      <c r="E658" s="62" t="n">
        <v>0.02484833834627032</v>
      </c>
    </row>
    <row r="659">
      <c r="A659" s="53" t="n">
        <v>37408</v>
      </c>
      <c r="B659" s="61" t="n">
        <v>53.6</v>
      </c>
      <c r="C659" s="62" t="n">
        <v>0.01322883902243626</v>
      </c>
      <c r="D659" s="62" t="n">
        <v>0.006155024557835768</v>
      </c>
      <c r="E659" s="62" t="n">
        <v>0.02484833834627032</v>
      </c>
    </row>
    <row r="660">
      <c r="A660" s="53" t="n">
        <v>37438</v>
      </c>
      <c r="B660" s="61" t="n">
        <v>50.2</v>
      </c>
      <c r="C660" s="62" t="n">
        <v>0.02140669989799325</v>
      </c>
      <c r="D660" s="62" t="n">
        <v>0.004035287039980262</v>
      </c>
      <c r="E660" s="62" t="n">
        <v>0.0162391125091006</v>
      </c>
    </row>
    <row r="661">
      <c r="A661" s="53" t="n">
        <v>37469</v>
      </c>
      <c r="B661" s="61" t="n">
        <v>50.3</v>
      </c>
      <c r="C661" s="62" t="n">
        <v>0.02140669989799325</v>
      </c>
      <c r="D661" s="62" t="n">
        <v>0.004035287039980262</v>
      </c>
      <c r="E661" s="62" t="n">
        <v>0.0162391125091006</v>
      </c>
    </row>
    <row r="662">
      <c r="A662" s="53" t="n">
        <v>37500</v>
      </c>
      <c r="B662" s="61" t="n">
        <v>50.5</v>
      </c>
      <c r="C662" s="62" t="n">
        <v>0.02140669989799325</v>
      </c>
      <c r="D662" s="62" t="n">
        <v>0.004035287039980262</v>
      </c>
      <c r="E662" s="62" t="n">
        <v>0.0162391125091006</v>
      </c>
    </row>
    <row r="663">
      <c r="A663" s="53" t="n">
        <v>37530</v>
      </c>
      <c r="B663" s="61" t="n">
        <v>49</v>
      </c>
      <c r="C663" s="62" t="n">
        <v>0.01991286184648556</v>
      </c>
      <c r="D663" s="62" t="n">
        <v>0.001306557670590968</v>
      </c>
      <c r="E663" s="62" t="n">
        <v>0.00523648216461936</v>
      </c>
    </row>
    <row r="664">
      <c r="A664" s="53" t="n">
        <v>37561</v>
      </c>
      <c r="B664" s="61" t="n">
        <v>48.5</v>
      </c>
      <c r="C664" s="62" t="n">
        <v>0.01991286184648556</v>
      </c>
      <c r="D664" s="62" t="n">
        <v>0.001306557670590968</v>
      </c>
      <c r="E664" s="62" t="n">
        <v>0.00523648216461936</v>
      </c>
    </row>
    <row r="665">
      <c r="A665" s="53" t="n">
        <v>37591</v>
      </c>
      <c r="B665" s="61" t="n">
        <v>51.6</v>
      </c>
      <c r="C665" s="62" t="n">
        <v>0.01991286184648556</v>
      </c>
      <c r="D665" s="62" t="n">
        <v>0.001306557670590968</v>
      </c>
      <c r="E665" s="62" t="n">
        <v>0.00523648216461936</v>
      </c>
    </row>
    <row r="666">
      <c r="A666" s="53" t="n">
        <v>37622</v>
      </c>
      <c r="B666" s="61" t="n">
        <v>51.3</v>
      </c>
      <c r="C666" s="62" t="n">
        <v>0.01676188940425874</v>
      </c>
      <c r="D666" s="62" t="n">
        <v>0.005167231869169835</v>
      </c>
      <c r="E666" s="62" t="n">
        <v>0.02082968176698108</v>
      </c>
    </row>
    <row r="667">
      <c r="A667" s="53" t="n">
        <v>37653</v>
      </c>
      <c r="B667" s="61" t="n">
        <v>48.8</v>
      </c>
      <c r="C667" s="62" t="n">
        <v>0.01676188940425874</v>
      </c>
      <c r="D667" s="62" t="n">
        <v>0.005167231869169835</v>
      </c>
      <c r="E667" s="62" t="n">
        <v>0.02082968176698108</v>
      </c>
    </row>
    <row r="668">
      <c r="A668" s="53" t="n">
        <v>37681</v>
      </c>
      <c r="B668" s="61" t="n">
        <v>46.3</v>
      </c>
      <c r="C668" s="62" t="n">
        <v>0.01676188940425874</v>
      </c>
      <c r="D668" s="62" t="n">
        <v>0.005167231869169835</v>
      </c>
      <c r="E668" s="62" t="n">
        <v>0.02082968176698108</v>
      </c>
    </row>
    <row r="669">
      <c r="A669" s="53" t="n">
        <v>37712</v>
      </c>
      <c r="B669" s="61" t="n">
        <v>46.1</v>
      </c>
      <c r="C669" s="62" t="n">
        <v>0.01956993641779591</v>
      </c>
      <c r="D669" s="62" t="n">
        <v>0.008933778011626672</v>
      </c>
      <c r="E669" s="62" t="n">
        <v>0.03621684485857446</v>
      </c>
    </row>
    <row r="670">
      <c r="A670" s="53" t="n">
        <v>37742</v>
      </c>
      <c r="B670" s="61" t="n">
        <v>49</v>
      </c>
      <c r="C670" s="62" t="n">
        <v>0.01956993641779591</v>
      </c>
      <c r="D670" s="62" t="n">
        <v>0.008933778011626672</v>
      </c>
      <c r="E670" s="62" t="n">
        <v>0.03621684485857446</v>
      </c>
    </row>
    <row r="671">
      <c r="A671" s="53" t="n">
        <v>37773</v>
      </c>
      <c r="B671" s="61" t="n">
        <v>49</v>
      </c>
      <c r="C671" s="62" t="n">
        <v>0.01956993641779591</v>
      </c>
      <c r="D671" s="62" t="n">
        <v>0.008933778011626672</v>
      </c>
      <c r="E671" s="62" t="n">
        <v>0.03621684485857446</v>
      </c>
    </row>
    <row r="672">
      <c r="A672" s="53" t="n">
        <v>37803</v>
      </c>
      <c r="B672" s="61" t="n">
        <v>51</v>
      </c>
      <c r="C672" s="62" t="n">
        <v>0.03239908301526014</v>
      </c>
      <c r="D672" s="62" t="n">
        <v>0.01666896269711016</v>
      </c>
      <c r="E672" s="62" t="n">
        <v>0.06836158006885573</v>
      </c>
    </row>
    <row r="673">
      <c r="A673" s="53" t="n">
        <v>37834</v>
      </c>
      <c r="B673" s="61" t="n">
        <v>53.2</v>
      </c>
      <c r="C673" s="62" t="n">
        <v>0.03239908301526014</v>
      </c>
      <c r="D673" s="62" t="n">
        <v>0.01666896269711016</v>
      </c>
      <c r="E673" s="62" t="n">
        <v>0.06836158006885573</v>
      </c>
    </row>
    <row r="674">
      <c r="A674" s="53" t="n">
        <v>37865</v>
      </c>
      <c r="B674" s="61" t="n">
        <v>52.4</v>
      </c>
      <c r="C674" s="62" t="n">
        <v>0.03239908301526014</v>
      </c>
      <c r="D674" s="62" t="n">
        <v>0.01666896269711016</v>
      </c>
      <c r="E674" s="62" t="n">
        <v>0.06836158006885573</v>
      </c>
    </row>
    <row r="675">
      <c r="A675" s="53" t="n">
        <v>37895</v>
      </c>
      <c r="B675" s="61" t="n">
        <v>55.2</v>
      </c>
      <c r="C675" s="62" t="n">
        <v>0.04295076520243932</v>
      </c>
      <c r="D675" s="62" t="n">
        <v>0.01154045727617818</v>
      </c>
      <c r="E675" s="62" t="n">
        <v>0.0469670876988979</v>
      </c>
    </row>
    <row r="676">
      <c r="A676" s="53" t="n">
        <v>37926</v>
      </c>
      <c r="B676" s="61" t="n">
        <v>58.4</v>
      </c>
      <c r="C676" s="62" t="n">
        <v>0.04295076520243932</v>
      </c>
      <c r="D676" s="62" t="n">
        <v>0.01154045727617818</v>
      </c>
      <c r="E676" s="62" t="n">
        <v>0.0469670876988979</v>
      </c>
    </row>
    <row r="677">
      <c r="A677" s="53" t="n">
        <v>37956</v>
      </c>
      <c r="B677" s="61" t="n">
        <v>60.1</v>
      </c>
      <c r="C677" s="62" t="n">
        <v>0.04295076520243932</v>
      </c>
      <c r="D677" s="62" t="n">
        <v>0.01154045727617818</v>
      </c>
      <c r="E677" s="62" t="n">
        <v>0.0469670876988979</v>
      </c>
    </row>
    <row r="678">
      <c r="A678" s="53" t="n">
        <v>37987</v>
      </c>
      <c r="B678" s="61" t="n">
        <v>60.8</v>
      </c>
      <c r="C678" s="62" t="n">
        <v>0.04353382086215924</v>
      </c>
      <c r="D678" s="62" t="n">
        <v>0.005729164860697553</v>
      </c>
      <c r="E678" s="62" t="n">
        <v>0.0231143527012434</v>
      </c>
    </row>
    <row r="679">
      <c r="A679" s="53" t="n">
        <v>38018</v>
      </c>
      <c r="B679" s="61" t="n">
        <v>59.9</v>
      </c>
      <c r="C679" s="62" t="n">
        <v>0.04353382086215924</v>
      </c>
      <c r="D679" s="62" t="n">
        <v>0.005729164860697553</v>
      </c>
      <c r="E679" s="62" t="n">
        <v>0.0231143527012434</v>
      </c>
    </row>
    <row r="680">
      <c r="A680" s="53" t="n">
        <v>38047</v>
      </c>
      <c r="B680" s="61" t="n">
        <v>60.6</v>
      </c>
      <c r="C680" s="62" t="n">
        <v>0.04353382086215924</v>
      </c>
      <c r="D680" s="62" t="n">
        <v>0.005729164860697553</v>
      </c>
      <c r="E680" s="62" t="n">
        <v>0.0231143527012434</v>
      </c>
    </row>
    <row r="681">
      <c r="A681" s="53" t="n">
        <v>38078</v>
      </c>
      <c r="B681" s="61" t="n">
        <v>60.6</v>
      </c>
      <c r="C681" s="62" t="n">
        <v>0.04234811649454442</v>
      </c>
      <c r="D681" s="62" t="n">
        <v>0.00778738758008883</v>
      </c>
      <c r="E681" s="62" t="n">
        <v>0.03151530344471909</v>
      </c>
    </row>
    <row r="682">
      <c r="A682" s="53" t="n">
        <v>38108</v>
      </c>
      <c r="B682" s="61" t="n">
        <v>61.4</v>
      </c>
      <c r="C682" s="62" t="n">
        <v>0.04234811649454442</v>
      </c>
      <c r="D682" s="62" t="n">
        <v>0.00778738758008883</v>
      </c>
      <c r="E682" s="62" t="n">
        <v>0.03151530344471909</v>
      </c>
    </row>
    <row r="683">
      <c r="A683" s="53" t="n">
        <v>38139</v>
      </c>
      <c r="B683" s="61" t="n">
        <v>60.5</v>
      </c>
      <c r="C683" s="62" t="n">
        <v>0.04234811649454442</v>
      </c>
      <c r="D683" s="62" t="n">
        <v>0.00778738758008883</v>
      </c>
      <c r="E683" s="62" t="n">
        <v>0.03151530344471909</v>
      </c>
    </row>
    <row r="684">
      <c r="A684" s="53" t="n">
        <v>38169</v>
      </c>
      <c r="B684" s="61" t="n">
        <v>59.9</v>
      </c>
      <c r="C684" s="62" t="n">
        <v>0.03490834068650776</v>
      </c>
      <c r="D684" s="62" t="n">
        <v>0.009412472246594451</v>
      </c>
      <c r="E684" s="62" t="n">
        <v>0.03818480021627169</v>
      </c>
    </row>
    <row r="685">
      <c r="A685" s="53" t="n">
        <v>38200</v>
      </c>
      <c r="B685" s="61" t="n">
        <v>58.5</v>
      </c>
      <c r="C685" s="62" t="n">
        <v>0.03490834068650776</v>
      </c>
      <c r="D685" s="62" t="n">
        <v>0.009412472246594451</v>
      </c>
      <c r="E685" s="62" t="n">
        <v>0.03818480021627169</v>
      </c>
    </row>
    <row r="686">
      <c r="A686" s="53" t="n">
        <v>38231</v>
      </c>
      <c r="B686" s="61" t="n">
        <v>57.4</v>
      </c>
      <c r="C686" s="62" t="n">
        <v>0.03490834068650776</v>
      </c>
      <c r="D686" s="62" t="n">
        <v>0.009412472246594451</v>
      </c>
      <c r="E686" s="62" t="n">
        <v>0.03818480021627169</v>
      </c>
    </row>
    <row r="687">
      <c r="A687" s="53" t="n">
        <v>38261</v>
      </c>
      <c r="B687" s="61" t="n">
        <v>56.3</v>
      </c>
      <c r="C687" s="62" t="n">
        <v>0.03355765916404892</v>
      </c>
      <c r="D687" s="62" t="n">
        <v>0.01022027368972049</v>
      </c>
      <c r="E687" s="62" t="n">
        <v>0.04151209982891446</v>
      </c>
    </row>
    <row r="688">
      <c r="A688" s="53" t="n">
        <v>38292</v>
      </c>
      <c r="B688" s="61" t="n">
        <v>56.2</v>
      </c>
      <c r="C688" s="62" t="n">
        <v>0.03355765916404892</v>
      </c>
      <c r="D688" s="62" t="n">
        <v>0.01022027368972049</v>
      </c>
      <c r="E688" s="62" t="n">
        <v>0.04151209982891446</v>
      </c>
    </row>
    <row r="689">
      <c r="A689" s="53" t="n">
        <v>38322</v>
      </c>
      <c r="B689" s="61" t="n">
        <v>57.2</v>
      </c>
      <c r="C689" s="62" t="n">
        <v>0.03355765916404892</v>
      </c>
      <c r="D689" s="62" t="n">
        <v>0.01022027368972049</v>
      </c>
      <c r="E689" s="62" t="n">
        <v>0.04151209982891446</v>
      </c>
    </row>
    <row r="690">
      <c r="A690" s="53" t="n">
        <v>38353</v>
      </c>
      <c r="B690" s="61" t="n">
        <v>56.8</v>
      </c>
      <c r="C690" s="62" t="n">
        <v>0.03908617440899946</v>
      </c>
      <c r="D690" s="62" t="n">
        <v>0.01110882507696538</v>
      </c>
      <c r="E690" s="62" t="n">
        <v>0.04518123508687411</v>
      </c>
    </row>
    <row r="691">
      <c r="A691" s="53" t="n">
        <v>38384</v>
      </c>
      <c r="B691" s="61" t="n">
        <v>55.5</v>
      </c>
      <c r="C691" s="62" t="n">
        <v>0.03908617440899946</v>
      </c>
      <c r="D691" s="62" t="n">
        <v>0.01110882507696538</v>
      </c>
      <c r="E691" s="62" t="n">
        <v>0.04518123508687411</v>
      </c>
    </row>
    <row r="692">
      <c r="A692" s="53" t="n">
        <v>38412</v>
      </c>
      <c r="B692" s="61" t="n">
        <v>55.2</v>
      </c>
      <c r="C692" s="62" t="n">
        <v>0.03908617440899946</v>
      </c>
      <c r="D692" s="62" t="n">
        <v>0.01110882507696538</v>
      </c>
      <c r="E692" s="62" t="n">
        <v>0.04518123508687411</v>
      </c>
    </row>
    <row r="693">
      <c r="A693" s="53" t="n">
        <v>38443</v>
      </c>
      <c r="B693" s="61" t="n">
        <v>52.2</v>
      </c>
      <c r="C693" s="62" t="n">
        <v>0.03607410366126079</v>
      </c>
      <c r="D693" s="62" t="n">
        <v>0.004866044784053191</v>
      </c>
      <c r="E693" s="62" t="n">
        <v>0.01960671092838173</v>
      </c>
    </row>
    <row r="694">
      <c r="A694" s="53" t="n">
        <v>38473</v>
      </c>
      <c r="B694" s="61" t="n">
        <v>50.8</v>
      </c>
      <c r="C694" s="62" t="n">
        <v>0.03607410366126079</v>
      </c>
      <c r="D694" s="62" t="n">
        <v>0.004866044784053191</v>
      </c>
      <c r="E694" s="62" t="n">
        <v>0.01960671092838173</v>
      </c>
    </row>
    <row r="695">
      <c r="A695" s="53" t="n">
        <v>38504</v>
      </c>
      <c r="B695" s="61" t="n">
        <v>52.4</v>
      </c>
      <c r="C695" s="62" t="n">
        <v>0.03607410366126079</v>
      </c>
      <c r="D695" s="62" t="n">
        <v>0.004866044784053191</v>
      </c>
      <c r="E695" s="62" t="n">
        <v>0.01960671092838173</v>
      </c>
    </row>
    <row r="696">
      <c r="A696" s="53" t="n">
        <v>38534</v>
      </c>
      <c r="B696" s="61" t="n">
        <v>52.8</v>
      </c>
      <c r="C696" s="62" t="n">
        <v>0.03447674589108512</v>
      </c>
      <c r="D696" s="62" t="n">
        <v>0.007856219802722447</v>
      </c>
      <c r="E696" s="62" t="n">
        <v>0.03179714370730702</v>
      </c>
    </row>
    <row r="697">
      <c r="A697" s="53" t="n">
        <v>38565</v>
      </c>
      <c r="B697" s="61" t="n">
        <v>52.4</v>
      </c>
      <c r="C697" s="62" t="n">
        <v>0.03447674589108512</v>
      </c>
      <c r="D697" s="62" t="n">
        <v>0.007856219802722447</v>
      </c>
      <c r="E697" s="62" t="n">
        <v>0.03179714370730702</v>
      </c>
    </row>
    <row r="698">
      <c r="A698" s="53" t="n">
        <v>38596</v>
      </c>
      <c r="B698" s="61" t="n">
        <v>56.8</v>
      </c>
      <c r="C698" s="62" t="n">
        <v>0.03447674589108512</v>
      </c>
      <c r="D698" s="62" t="n">
        <v>0.007856219802722447</v>
      </c>
      <c r="E698" s="62" t="n">
        <v>0.03179714370730702</v>
      </c>
    </row>
    <row r="699">
      <c r="A699" s="53" t="n">
        <v>38626</v>
      </c>
      <c r="B699" s="61" t="n">
        <v>57.2</v>
      </c>
      <c r="C699" s="62" t="n">
        <v>0.02982672051361144</v>
      </c>
      <c r="D699" s="62" t="n">
        <v>0.005679282383580309</v>
      </c>
      <c r="E699" s="62" t="n">
        <v>0.02291138878895094</v>
      </c>
    </row>
    <row r="700">
      <c r="A700" s="53" t="n">
        <v>38657</v>
      </c>
      <c r="B700" s="61" t="n">
        <v>56.7</v>
      </c>
      <c r="C700" s="62" t="n">
        <v>0.02982672051361144</v>
      </c>
      <c r="D700" s="62" t="n">
        <v>0.005679282383580309</v>
      </c>
      <c r="E700" s="62" t="n">
        <v>0.02291138878895094</v>
      </c>
    </row>
    <row r="701">
      <c r="A701" s="53" t="n">
        <v>38687</v>
      </c>
      <c r="B701" s="61" t="n">
        <v>55.1</v>
      </c>
      <c r="C701" s="62" t="n">
        <v>0.02982672051361144</v>
      </c>
      <c r="D701" s="62" t="n">
        <v>0.005679282383580309</v>
      </c>
      <c r="E701" s="62" t="n">
        <v>0.02291138878895094</v>
      </c>
    </row>
    <row r="702">
      <c r="A702" s="53" t="n">
        <v>38718</v>
      </c>
      <c r="B702" s="61" t="n">
        <v>55</v>
      </c>
      <c r="C702" s="62" t="n">
        <v>0.03224857572323006</v>
      </c>
      <c r="D702" s="62" t="n">
        <v>0.01348666119902943</v>
      </c>
      <c r="E702" s="62" t="n">
        <v>0.05504783041874162</v>
      </c>
    </row>
    <row r="703">
      <c r="A703" s="53" t="n">
        <v>38749</v>
      </c>
      <c r="B703" s="61" t="n">
        <v>55.8</v>
      </c>
      <c r="C703" s="62" t="n">
        <v>0.03224857572323006</v>
      </c>
      <c r="D703" s="62" t="n">
        <v>0.01348666119902943</v>
      </c>
      <c r="E703" s="62" t="n">
        <v>0.05504783041874162</v>
      </c>
    </row>
    <row r="704">
      <c r="A704" s="53" t="n">
        <v>38777</v>
      </c>
      <c r="B704" s="61" t="n">
        <v>54.3</v>
      </c>
      <c r="C704" s="62" t="n">
        <v>0.03224857572323006</v>
      </c>
      <c r="D704" s="62" t="n">
        <v>0.01348666119902943</v>
      </c>
      <c r="E704" s="62" t="n">
        <v>0.05504783041874162</v>
      </c>
    </row>
    <row r="705">
      <c r="A705" s="53" t="n">
        <v>38808</v>
      </c>
      <c r="B705" s="61" t="n">
        <v>55.2</v>
      </c>
      <c r="C705" s="62" t="n">
        <v>0.02977269025594638</v>
      </c>
      <c r="D705" s="62" t="n">
        <v>0.00245583730558364</v>
      </c>
      <c r="E705" s="62" t="n">
        <v>0.009859595325901749</v>
      </c>
    </row>
    <row r="706">
      <c r="A706" s="53" t="n">
        <v>38838</v>
      </c>
      <c r="B706" s="61" t="n">
        <v>53.7</v>
      </c>
      <c r="C706" s="62" t="n">
        <v>0.02977269025594638</v>
      </c>
      <c r="D706" s="62" t="n">
        <v>0.00245583730558364</v>
      </c>
      <c r="E706" s="62" t="n">
        <v>0.009859595325901749</v>
      </c>
    </row>
    <row r="707">
      <c r="A707" s="53" t="n">
        <v>38869</v>
      </c>
      <c r="B707" s="61" t="n">
        <v>52</v>
      </c>
      <c r="C707" s="62" t="n">
        <v>0.02977269025594638</v>
      </c>
      <c r="D707" s="62" t="n">
        <v>0.00245583730558364</v>
      </c>
      <c r="E707" s="62" t="n">
        <v>0.009859595325901749</v>
      </c>
    </row>
    <row r="708">
      <c r="A708" s="53" t="n">
        <v>38899</v>
      </c>
      <c r="B708" s="61" t="n">
        <v>53</v>
      </c>
      <c r="C708" s="62" t="n">
        <v>0.02328291151863791</v>
      </c>
      <c r="D708" s="62" t="n">
        <v>0.001504561881094995</v>
      </c>
      <c r="E708" s="62" t="n">
        <v>0.006031843391774094</v>
      </c>
    </row>
    <row r="709">
      <c r="A709" s="53" t="n">
        <v>38930</v>
      </c>
      <c r="B709" s="61" t="n">
        <v>53.7</v>
      </c>
      <c r="C709" s="62" t="n">
        <v>0.02328291151863791</v>
      </c>
      <c r="D709" s="62" t="n">
        <v>0.001504561881094995</v>
      </c>
      <c r="E709" s="62" t="n">
        <v>0.006031843391774094</v>
      </c>
    </row>
    <row r="710">
      <c r="A710" s="53" t="n">
        <v>38961</v>
      </c>
      <c r="B710" s="61" t="n">
        <v>52.2</v>
      </c>
      <c r="C710" s="62" t="n">
        <v>0.02328291151863791</v>
      </c>
      <c r="D710" s="62" t="n">
        <v>0.001504561881094995</v>
      </c>
      <c r="E710" s="62" t="n">
        <v>0.006031843391774094</v>
      </c>
    </row>
    <row r="711">
      <c r="A711" s="53" t="n">
        <v>38991</v>
      </c>
      <c r="B711" s="61" t="n">
        <v>51.4</v>
      </c>
      <c r="C711" s="62" t="n">
        <v>0.02608901983560922</v>
      </c>
      <c r="D711" s="62" t="n">
        <v>0.008437116963573578</v>
      </c>
      <c r="E711" s="62" t="n">
        <v>0.03417798496028146</v>
      </c>
    </row>
    <row r="712">
      <c r="A712" s="53" t="n">
        <v>39022</v>
      </c>
      <c r="B712" s="61" t="n">
        <v>50.3</v>
      </c>
      <c r="C712" s="62" t="n">
        <v>0.02608901983560922</v>
      </c>
      <c r="D712" s="62" t="n">
        <v>0.008437116963573578</v>
      </c>
      <c r="E712" s="62" t="n">
        <v>0.03417798496028146</v>
      </c>
    </row>
    <row r="713">
      <c r="A713" s="53" t="n">
        <v>39052</v>
      </c>
      <c r="B713" s="61" t="n">
        <v>51.4</v>
      </c>
      <c r="C713" s="62" t="n">
        <v>0.02608901983560922</v>
      </c>
      <c r="D713" s="62" t="n">
        <v>0.008437116963573578</v>
      </c>
      <c r="E713" s="62" t="n">
        <v>0.03417798496028146</v>
      </c>
    </row>
    <row r="714">
      <c r="A714" s="53" t="n">
        <v>39083</v>
      </c>
      <c r="B714" s="61" t="n">
        <v>50.4</v>
      </c>
      <c r="C714" s="62" t="n">
        <v>0.01540715325180492</v>
      </c>
      <c r="D714" s="62" t="n">
        <v>0.002935988606189744</v>
      </c>
      <c r="E714" s="62" t="n">
        <v>0.01179577590686653</v>
      </c>
    </row>
    <row r="715">
      <c r="A715" s="53" t="n">
        <v>39114</v>
      </c>
      <c r="B715" s="61" t="n">
        <v>54.1</v>
      </c>
      <c r="C715" s="62" t="n">
        <v>0.01540715325180492</v>
      </c>
      <c r="D715" s="62" t="n">
        <v>0.002935988606189744</v>
      </c>
      <c r="E715" s="62" t="n">
        <v>0.01179577590686653</v>
      </c>
    </row>
    <row r="716">
      <c r="A716" s="53" t="n">
        <v>39142</v>
      </c>
      <c r="B716" s="61" t="n">
        <v>52.8</v>
      </c>
      <c r="C716" s="62" t="n">
        <v>0.01540715325180492</v>
      </c>
      <c r="D716" s="62" t="n">
        <v>0.002935988606189744</v>
      </c>
      <c r="E716" s="62" t="n">
        <v>0.01179577590686653</v>
      </c>
    </row>
    <row r="717">
      <c r="A717" s="53" t="n">
        <v>39173</v>
      </c>
      <c r="B717" s="61" t="n">
        <v>52.7</v>
      </c>
      <c r="C717" s="62" t="n">
        <v>0.01938641594997887</v>
      </c>
      <c r="D717" s="62" t="n">
        <v>0.00638434530080713</v>
      </c>
      <c r="E717" s="62" t="n">
        <v>0.02578298295432324</v>
      </c>
    </row>
    <row r="718">
      <c r="A718" s="53" t="n">
        <v>39203</v>
      </c>
      <c r="B718" s="61" t="n">
        <v>53.1</v>
      </c>
      <c r="C718" s="62" t="n">
        <v>0.01938641594997887</v>
      </c>
      <c r="D718" s="62" t="n">
        <v>0.00638434530080713</v>
      </c>
      <c r="E718" s="62" t="n">
        <v>0.02578298295432324</v>
      </c>
    </row>
    <row r="719">
      <c r="A719" s="53" t="n">
        <v>39234</v>
      </c>
      <c r="B719" s="61" t="n">
        <v>54</v>
      </c>
      <c r="C719" s="62" t="n">
        <v>0.01938641594997887</v>
      </c>
      <c r="D719" s="62" t="n">
        <v>0.00638434530080713</v>
      </c>
      <c r="E719" s="62" t="n">
        <v>0.02578298295432324</v>
      </c>
    </row>
    <row r="720">
      <c r="A720" s="53" t="n">
        <v>39264</v>
      </c>
      <c r="B720" s="61" t="n">
        <v>51.8</v>
      </c>
      <c r="C720" s="62" t="n">
        <v>0.02398559850010293</v>
      </c>
      <c r="D720" s="62" t="n">
        <v>0.006023066574509698</v>
      </c>
      <c r="E720" s="62" t="n">
        <v>0.02431080560296794</v>
      </c>
    </row>
    <row r="721">
      <c r="A721" s="53" t="n">
        <v>39295</v>
      </c>
      <c r="B721" s="61" t="n">
        <v>52.2</v>
      </c>
      <c r="C721" s="62" t="n">
        <v>0.02398559850010293</v>
      </c>
      <c r="D721" s="62" t="n">
        <v>0.006023066574509698</v>
      </c>
      <c r="E721" s="62" t="n">
        <v>0.02431080560296794</v>
      </c>
    </row>
    <row r="722">
      <c r="A722" s="53" t="n">
        <v>39326</v>
      </c>
      <c r="B722" s="61" t="n">
        <v>53.8</v>
      </c>
      <c r="C722" s="62" t="n">
        <v>0.02398559850010293</v>
      </c>
      <c r="D722" s="62" t="n">
        <v>0.006023066574509698</v>
      </c>
      <c r="E722" s="62" t="n">
        <v>0.02431080560296794</v>
      </c>
    </row>
    <row r="723">
      <c r="A723" s="53" t="n">
        <v>39356</v>
      </c>
      <c r="B723" s="61" t="n">
        <v>52.8</v>
      </c>
      <c r="C723" s="62" t="n">
        <v>0.02160883208196539</v>
      </c>
      <c r="D723" s="62" t="n">
        <v>0.006096440026404512</v>
      </c>
      <c r="E723" s="62" t="n">
        <v>0.02460966730827407</v>
      </c>
    </row>
    <row r="724">
      <c r="A724" s="53" t="n">
        <v>39387</v>
      </c>
      <c r="B724" s="61" t="n">
        <v>51.5</v>
      </c>
      <c r="C724" s="62" t="n">
        <v>0.02160883208196539</v>
      </c>
      <c r="D724" s="62" t="n">
        <v>0.006096440026404512</v>
      </c>
      <c r="E724" s="62" t="n">
        <v>0.02460966730827407</v>
      </c>
    </row>
    <row r="725">
      <c r="A725" s="53" t="n">
        <v>39417</v>
      </c>
      <c r="B725" s="61" t="n">
        <v>50.1</v>
      </c>
      <c r="C725" s="62" t="n">
        <v>0.02160883208196539</v>
      </c>
      <c r="D725" s="62" t="n">
        <v>0.006096440026404512</v>
      </c>
      <c r="E725" s="62" t="n">
        <v>0.02460966730827407</v>
      </c>
    </row>
    <row r="726">
      <c r="A726" s="53" t="n">
        <v>39448</v>
      </c>
      <c r="B726" s="61" t="n">
        <v>50.9</v>
      </c>
      <c r="C726" s="62" t="n">
        <v>0.01446803001442738</v>
      </c>
      <c r="D726" s="62" t="n">
        <v>-0.004074294739200093</v>
      </c>
      <c r="E726" s="62" t="n">
        <v>-0.01619784994668927</v>
      </c>
    </row>
    <row r="727">
      <c r="A727" s="53" t="n">
        <v>39479</v>
      </c>
      <c r="B727" s="61" t="n">
        <v>48.8</v>
      </c>
      <c r="C727" s="62" t="n">
        <v>0.01446803001442738</v>
      </c>
      <c r="D727" s="62" t="n">
        <v>-0.004074294739200093</v>
      </c>
      <c r="E727" s="62" t="n">
        <v>-0.01619784994668927</v>
      </c>
    </row>
    <row r="728">
      <c r="A728" s="53" t="n">
        <v>39508</v>
      </c>
      <c r="B728" s="61" t="n">
        <v>49.7</v>
      </c>
      <c r="C728" s="62" t="n">
        <v>0.01446803001442738</v>
      </c>
      <c r="D728" s="62" t="n">
        <v>-0.004074294739200093</v>
      </c>
      <c r="E728" s="62" t="n">
        <v>-0.01619784994668927</v>
      </c>
    </row>
    <row r="729">
      <c r="A729" s="53" t="n">
        <v>39539</v>
      </c>
      <c r="B729" s="61" t="n">
        <v>48.5</v>
      </c>
      <c r="C729" s="62" t="n">
        <v>0.01380132559333386</v>
      </c>
      <c r="D729" s="62" t="n">
        <v>0.005722953445686955</v>
      </c>
      <c r="E729" s="62" t="n">
        <v>0.02308907778947766</v>
      </c>
    </row>
    <row r="730">
      <c r="A730" s="53" t="n">
        <v>39569</v>
      </c>
      <c r="B730" s="61" t="n">
        <v>48.9</v>
      </c>
      <c r="C730" s="62" t="n">
        <v>0.01380132559333386</v>
      </c>
      <c r="D730" s="62" t="n">
        <v>0.005722953445686955</v>
      </c>
      <c r="E730" s="62" t="n">
        <v>0.02308907778947766</v>
      </c>
    </row>
    <row r="731">
      <c r="A731" s="53" t="n">
        <v>39600</v>
      </c>
      <c r="B731" s="61" t="n">
        <v>49.9</v>
      </c>
      <c r="C731" s="62" t="n">
        <v>0.01380132559333386</v>
      </c>
      <c r="D731" s="62" t="n">
        <v>0.005722953445686955</v>
      </c>
      <c r="E731" s="62" t="n">
        <v>0.02308907778947766</v>
      </c>
    </row>
    <row r="732">
      <c r="A732" s="53" t="n">
        <v>39630</v>
      </c>
      <c r="B732" s="61" t="n">
        <v>50.8</v>
      </c>
      <c r="C732" s="62" t="n">
        <v>0.002422023781227279</v>
      </c>
      <c r="D732" s="62" t="n">
        <v>-0.005268929022154585</v>
      </c>
      <c r="E732" s="62" t="n">
        <v>-0.0209097307355427</v>
      </c>
    </row>
    <row r="733">
      <c r="A733" s="53" t="n">
        <v>39661</v>
      </c>
      <c r="B733" s="61" t="n">
        <v>50.1</v>
      </c>
      <c r="C733" s="62" t="n">
        <v>0.002422023781227279</v>
      </c>
      <c r="D733" s="62" t="n">
        <v>-0.005268929022154585</v>
      </c>
      <c r="E733" s="62" t="n">
        <v>-0.0209097307355427</v>
      </c>
    </row>
    <row r="734">
      <c r="A734" s="53" t="n">
        <v>39692</v>
      </c>
      <c r="B734" s="61" t="n">
        <v>47.2</v>
      </c>
      <c r="C734" s="62" t="n">
        <v>0.002422023781227279</v>
      </c>
      <c r="D734" s="62" t="n">
        <v>-0.005268929022154585</v>
      </c>
      <c r="E734" s="62" t="n">
        <v>-0.0209097307355427</v>
      </c>
    </row>
    <row r="735">
      <c r="A735" s="53" t="n">
        <v>39722</v>
      </c>
      <c r="B735" s="61" t="n">
        <v>38.2</v>
      </c>
      <c r="C735" s="62" t="n">
        <v>-0.02540339259876205</v>
      </c>
      <c r="D735" s="62" t="n">
        <v>-0.02183097148093626</v>
      </c>
      <c r="E735" s="62" t="n">
        <v>-0.08450572869534734</v>
      </c>
    </row>
    <row r="736">
      <c r="A736" s="53" t="n">
        <v>39753</v>
      </c>
      <c r="B736" s="61" t="n">
        <v>39</v>
      </c>
      <c r="C736" s="62" t="n">
        <v>-0.02540339259876205</v>
      </c>
      <c r="D736" s="62" t="n">
        <v>-0.02183097148093626</v>
      </c>
      <c r="E736" s="62" t="n">
        <v>-0.08450572869534734</v>
      </c>
    </row>
    <row r="737">
      <c r="A737" s="53" t="n">
        <v>39783</v>
      </c>
      <c r="B737" s="61" t="n">
        <v>34.5</v>
      </c>
      <c r="C737" s="62" t="n">
        <v>-0.02540339259876205</v>
      </c>
      <c r="D737" s="62" t="n">
        <v>-0.02183097148093626</v>
      </c>
      <c r="E737" s="62" t="n">
        <v>-0.08450572869534734</v>
      </c>
    </row>
    <row r="738">
      <c r="A738" s="53" t="n">
        <v>39814</v>
      </c>
      <c r="B738" s="61" t="n">
        <v>36.4</v>
      </c>
      <c r="C738" s="62" t="n">
        <v>-0.03282392443793528</v>
      </c>
      <c r="D738" s="62" t="n">
        <v>-0.01165722530679672</v>
      </c>
      <c r="E738" s="62" t="n">
        <v>-0.04581987379316932</v>
      </c>
    </row>
    <row r="739">
      <c r="A739" s="53" t="n">
        <v>39845</v>
      </c>
      <c r="B739" s="61" t="n">
        <v>36.6</v>
      </c>
      <c r="C739" s="62" t="n">
        <v>-0.03282392443793528</v>
      </c>
      <c r="D739" s="62" t="n">
        <v>-0.01165722530679672</v>
      </c>
      <c r="E739" s="62" t="n">
        <v>-0.04581987379316932</v>
      </c>
    </row>
    <row r="740">
      <c r="A740" s="53" t="n">
        <v>39873</v>
      </c>
      <c r="B740" s="61" t="n">
        <v>37.2</v>
      </c>
      <c r="C740" s="62" t="n">
        <v>-0.03282392443793528</v>
      </c>
      <c r="D740" s="62" t="n">
        <v>-0.01165722530679672</v>
      </c>
      <c r="E740" s="62" t="n">
        <v>-0.04581987379316932</v>
      </c>
    </row>
    <row r="741">
      <c r="A741" s="53" t="n">
        <v>39904</v>
      </c>
      <c r="B741" s="61" t="n">
        <v>39.9</v>
      </c>
      <c r="C741" s="62" t="n">
        <v>-0.03995504779306322</v>
      </c>
      <c r="D741" s="62" t="n">
        <v>-0.001692381386635996</v>
      </c>
      <c r="E741" s="62" t="n">
        <v>-0.006752359998762336</v>
      </c>
    </row>
    <row r="742">
      <c r="A742" s="53" t="n">
        <v>39934</v>
      </c>
      <c r="B742" s="61" t="n">
        <v>44.1</v>
      </c>
      <c r="C742" s="62" t="n">
        <v>-0.03995504779306322</v>
      </c>
      <c r="D742" s="62" t="n">
        <v>-0.001692381386635996</v>
      </c>
      <c r="E742" s="62" t="n">
        <v>-0.006752359998762336</v>
      </c>
    </row>
    <row r="743">
      <c r="A743" s="53" t="n">
        <v>39965</v>
      </c>
      <c r="B743" s="61" t="n">
        <v>46.3</v>
      </c>
      <c r="C743" s="62" t="n">
        <v>-0.03995504779306322</v>
      </c>
      <c r="D743" s="62" t="n">
        <v>-0.001692381386635996</v>
      </c>
      <c r="E743" s="62" t="n">
        <v>-0.006752359998762336</v>
      </c>
    </row>
    <row r="744">
      <c r="A744" s="53" t="n">
        <v>39995</v>
      </c>
      <c r="B744" s="61" t="n">
        <v>49.7</v>
      </c>
      <c r="C744" s="62" t="n">
        <v>-0.03137675003287801</v>
      </c>
      <c r="D744" s="62" t="n">
        <v>0.00361929990768889</v>
      </c>
      <c r="E744" s="62" t="n">
        <v>0.01455598543492065</v>
      </c>
    </row>
    <row r="745">
      <c r="A745" s="53" t="n">
        <v>40026</v>
      </c>
      <c r="B745" s="61" t="n">
        <v>53.4</v>
      </c>
      <c r="C745" s="62" t="n">
        <v>-0.03137675003287801</v>
      </c>
      <c r="D745" s="62" t="n">
        <v>0.00361929990768889</v>
      </c>
      <c r="E745" s="62" t="n">
        <v>0.01455598543492065</v>
      </c>
    </row>
    <row r="746">
      <c r="A746" s="53" t="n">
        <v>40057</v>
      </c>
      <c r="B746" s="61" t="n">
        <v>54.9</v>
      </c>
      <c r="C746" s="62" t="n">
        <v>-0.03137675003287801</v>
      </c>
      <c r="D746" s="62" t="n">
        <v>0.00361929990768889</v>
      </c>
      <c r="E746" s="62" t="n">
        <v>0.01455598543492065</v>
      </c>
    </row>
    <row r="747">
      <c r="A747" s="53" t="n">
        <v>40087</v>
      </c>
      <c r="B747" s="61" t="n">
        <v>57.6</v>
      </c>
      <c r="C747" s="62" t="n">
        <v>0.0008165758387652319</v>
      </c>
      <c r="D747" s="62" t="n">
        <v>0.01067961949830339</v>
      </c>
      <c r="E747" s="62" t="n">
        <v>0.0434076888622974</v>
      </c>
    </row>
    <row r="748">
      <c r="A748" s="53" t="n">
        <v>40118</v>
      </c>
      <c r="B748" s="61" t="n">
        <v>55.4</v>
      </c>
      <c r="C748" s="62" t="n">
        <v>0.0008165758387652319</v>
      </c>
      <c r="D748" s="62" t="n">
        <v>0.01067961949830339</v>
      </c>
      <c r="E748" s="62" t="n">
        <v>0.0434076888622974</v>
      </c>
    </row>
    <row r="749">
      <c r="A749" s="53" t="n">
        <v>40148</v>
      </c>
      <c r="B749" s="61" t="n">
        <v>55.8</v>
      </c>
      <c r="C749" s="62" t="n">
        <v>0.0008165758387652319</v>
      </c>
      <c r="D749" s="62" t="n">
        <v>0.01067961949830339</v>
      </c>
      <c r="E749" s="62" t="n">
        <v>0.0434076888622974</v>
      </c>
    </row>
    <row r="750">
      <c r="A750" s="53" t="n">
        <v>40179</v>
      </c>
      <c r="B750" s="61" t="n">
        <v>56.3</v>
      </c>
      <c r="C750" s="62" t="n">
        <v>0.01768457232028358</v>
      </c>
      <c r="D750" s="62" t="n">
        <v>0.00500053481481906</v>
      </c>
      <c r="E750" s="62" t="n">
        <v>0.02015267213561045</v>
      </c>
    </row>
    <row r="751">
      <c r="A751" s="53" t="n">
        <v>40210</v>
      </c>
      <c r="B751" s="61" t="n">
        <v>55.5</v>
      </c>
      <c r="C751" s="62" t="n">
        <v>0.01768457232028358</v>
      </c>
      <c r="D751" s="62" t="n">
        <v>0.00500053481481906</v>
      </c>
      <c r="E751" s="62" t="n">
        <v>0.02015267213561045</v>
      </c>
    </row>
    <row r="752">
      <c r="A752" s="53" t="n">
        <v>40238</v>
      </c>
      <c r="B752" s="61" t="n">
        <v>58.8</v>
      </c>
      <c r="C752" s="62" t="n">
        <v>0.01768457232028358</v>
      </c>
      <c r="D752" s="62" t="n">
        <v>0.00500053481481906</v>
      </c>
      <c r="E752" s="62" t="n">
        <v>0.02015267213561045</v>
      </c>
    </row>
    <row r="753">
      <c r="A753" s="53" t="n">
        <v>40269</v>
      </c>
      <c r="B753" s="61" t="n">
        <v>58.1</v>
      </c>
      <c r="C753" s="62" t="n">
        <v>0.02927467844787534</v>
      </c>
      <c r="D753" s="62" t="n">
        <v>0.009677046393262431</v>
      </c>
      <c r="E753" s="62" t="n">
        <v>0.03927369054068341</v>
      </c>
    </row>
    <row r="754">
      <c r="A754" s="53" t="n">
        <v>40299</v>
      </c>
      <c r="B754" s="61" t="n">
        <v>57.4</v>
      </c>
      <c r="C754" s="62" t="n">
        <v>0.02927467844787534</v>
      </c>
      <c r="D754" s="62" t="n">
        <v>0.009677046393262431</v>
      </c>
      <c r="E754" s="62" t="n">
        <v>0.03927369054068341</v>
      </c>
    </row>
    <row r="755">
      <c r="A755" s="53" t="n">
        <v>40330</v>
      </c>
      <c r="B755" s="61" t="n">
        <v>56.5</v>
      </c>
      <c r="C755" s="62" t="n">
        <v>0.02927467844787534</v>
      </c>
      <c r="D755" s="62" t="n">
        <v>0.009677046393262431</v>
      </c>
      <c r="E755" s="62" t="n">
        <v>0.03927369054068341</v>
      </c>
    </row>
    <row r="756">
      <c r="A756" s="53" t="n">
        <v>40360</v>
      </c>
      <c r="B756" s="61" t="n">
        <v>56.1</v>
      </c>
      <c r="C756" s="62" t="n">
        <v>0.03349193813853987</v>
      </c>
      <c r="D756" s="62" t="n">
        <v>0.007731441503026897</v>
      </c>
      <c r="E756" s="62" t="n">
        <v>0.03128626930493783</v>
      </c>
    </row>
    <row r="757">
      <c r="A757" s="53" t="n">
        <v>40391</v>
      </c>
      <c r="B757" s="61" t="n">
        <v>56.4</v>
      </c>
      <c r="C757" s="62" t="n">
        <v>0.03349193813853987</v>
      </c>
      <c r="D757" s="62" t="n">
        <v>0.007731441503026897</v>
      </c>
      <c r="E757" s="62" t="n">
        <v>0.03128626930493783</v>
      </c>
    </row>
    <row r="758">
      <c r="A758" s="53" t="n">
        <v>40422</v>
      </c>
      <c r="B758" s="61" t="n">
        <v>55.3</v>
      </c>
      <c r="C758" s="62" t="n">
        <v>0.03349193813853987</v>
      </c>
      <c r="D758" s="62" t="n">
        <v>0.007731441503026897</v>
      </c>
      <c r="E758" s="62" t="n">
        <v>0.03128626930493783</v>
      </c>
    </row>
    <row r="759">
      <c r="A759" s="53" t="n">
        <v>40452</v>
      </c>
      <c r="B759" s="61" t="n">
        <v>56.9</v>
      </c>
      <c r="C759" s="62" t="n">
        <v>0.02788449690506404</v>
      </c>
      <c r="D759" s="62" t="n">
        <v>0.005195951592372664</v>
      </c>
      <c r="E759" s="62" t="n">
        <v>0.02094635569547521</v>
      </c>
    </row>
    <row r="760">
      <c r="A760" s="53" t="n">
        <v>40483</v>
      </c>
      <c r="B760" s="61" t="n">
        <v>57.3</v>
      </c>
      <c r="C760" s="62" t="n">
        <v>0.02788449690506404</v>
      </c>
      <c r="D760" s="62" t="n">
        <v>0.005195951592372664</v>
      </c>
      <c r="E760" s="62" t="n">
        <v>0.02094635569547521</v>
      </c>
    </row>
    <row r="761">
      <c r="A761" s="53" t="n">
        <v>40513</v>
      </c>
      <c r="B761" s="61" t="n">
        <v>56.6</v>
      </c>
      <c r="C761" s="62" t="n">
        <v>0.02788449690506404</v>
      </c>
      <c r="D761" s="62" t="n">
        <v>0.005195951592372664</v>
      </c>
      <c r="E761" s="62" t="n">
        <v>0.02094635569547521</v>
      </c>
    </row>
    <row r="762">
      <c r="A762" s="53" t="n">
        <v>40544</v>
      </c>
      <c r="B762" s="61" t="n">
        <v>59.1</v>
      </c>
      <c r="C762" s="62" t="n">
        <v>0.02030608190613149</v>
      </c>
      <c r="D762" s="62" t="n">
        <v>-0.002409160681035181</v>
      </c>
      <c r="E762" s="62" t="n">
        <v>-0.009601874290937507</v>
      </c>
    </row>
    <row r="763">
      <c r="A763" s="53" t="n">
        <v>40575</v>
      </c>
      <c r="B763" s="61" t="n">
        <v>59.2</v>
      </c>
      <c r="C763" s="62" t="n">
        <v>0.02030608190613149</v>
      </c>
      <c r="D763" s="62" t="n">
        <v>-0.002409160681035181</v>
      </c>
      <c r="E763" s="62" t="n">
        <v>-0.009601874290937507</v>
      </c>
    </row>
    <row r="764">
      <c r="A764" s="53" t="n">
        <v>40603</v>
      </c>
      <c r="B764" s="61" t="n">
        <v>58.4</v>
      </c>
      <c r="C764" s="62" t="n">
        <v>0.02030608190613149</v>
      </c>
      <c r="D764" s="62" t="n">
        <v>-0.002409160681035181</v>
      </c>
      <c r="E764" s="62" t="n">
        <v>-0.009601874290937507</v>
      </c>
    </row>
    <row r="765">
      <c r="A765" s="53" t="n">
        <v>40634</v>
      </c>
      <c r="B765" s="61" t="n">
        <v>57.9</v>
      </c>
      <c r="C765" s="62" t="n">
        <v>0.01737905068607296</v>
      </c>
      <c r="D765" s="62" t="n">
        <v>0.006780507512058875</v>
      </c>
      <c r="E765" s="62" t="n">
        <v>0.02739913079767176</v>
      </c>
    </row>
    <row r="766">
      <c r="A766" s="53" t="n">
        <v>40664</v>
      </c>
      <c r="B766" s="61" t="n">
        <v>54.8</v>
      </c>
      <c r="C766" s="62" t="n">
        <v>0.01737905068607296</v>
      </c>
      <c r="D766" s="62" t="n">
        <v>0.006780507512058875</v>
      </c>
      <c r="E766" s="62" t="n">
        <v>0.02739913079767176</v>
      </c>
    </row>
    <row r="767">
      <c r="A767" s="53" t="n">
        <v>40695</v>
      </c>
      <c r="B767" s="61" t="n">
        <v>55.8</v>
      </c>
      <c r="C767" s="62" t="n">
        <v>0.01737905068607296</v>
      </c>
      <c r="D767" s="62" t="n">
        <v>0.006780507512058875</v>
      </c>
      <c r="E767" s="62" t="n">
        <v>0.02739913079767176</v>
      </c>
    </row>
    <row r="768">
      <c r="A768" s="53" t="n">
        <v>40725</v>
      </c>
      <c r="B768" s="61" t="n">
        <v>52.9</v>
      </c>
      <c r="C768" s="62" t="n">
        <v>0.009182208483861604</v>
      </c>
      <c r="D768" s="62" t="n">
        <v>-0.0003876716265750793</v>
      </c>
      <c r="E768" s="62" t="n">
        <v>-0.001549785003588933</v>
      </c>
    </row>
    <row r="769">
      <c r="A769" s="53" t="n">
        <v>40756</v>
      </c>
      <c r="B769" s="61" t="n">
        <v>52.6</v>
      </c>
      <c r="C769" s="62" t="n">
        <v>0.009182208483861604</v>
      </c>
      <c r="D769" s="62" t="n">
        <v>-0.0003876716265750793</v>
      </c>
      <c r="E769" s="62" t="n">
        <v>-0.001549785003588933</v>
      </c>
    </row>
    <row r="770">
      <c r="A770" s="53" t="n">
        <v>40787</v>
      </c>
      <c r="B770" s="61" t="n">
        <v>53.7</v>
      </c>
      <c r="C770" s="62" t="n">
        <v>0.009182208483861604</v>
      </c>
      <c r="D770" s="62" t="n">
        <v>-0.0003876716265750793</v>
      </c>
      <c r="E770" s="62" t="n">
        <v>-0.001549785003588933</v>
      </c>
    </row>
    <row r="771">
      <c r="A771" s="53" t="n">
        <v>40817</v>
      </c>
      <c r="B771" s="61" t="n">
        <v>51.4</v>
      </c>
      <c r="C771" s="62" t="n">
        <v>0.0152269152413066</v>
      </c>
      <c r="D771" s="62" t="n">
        <v>0.01121678183498582</v>
      </c>
      <c r="E771" s="62" t="n">
        <v>0.04562768534929051</v>
      </c>
    </row>
    <row r="772">
      <c r="A772" s="53" t="n">
        <v>40848</v>
      </c>
      <c r="B772" s="61" t="n">
        <v>51.8</v>
      </c>
      <c r="C772" s="62" t="n">
        <v>0.0152269152413066</v>
      </c>
      <c r="D772" s="62" t="n">
        <v>0.01121678183498582</v>
      </c>
      <c r="E772" s="62" t="n">
        <v>0.04562768534929051</v>
      </c>
    </row>
    <row r="773">
      <c r="A773" s="53" t="n">
        <v>40878</v>
      </c>
      <c r="B773" s="61" t="n">
        <v>53</v>
      </c>
      <c r="C773" s="62" t="n">
        <v>0.0152269152413066</v>
      </c>
      <c r="D773" s="62" t="n">
        <v>0.01121678183498582</v>
      </c>
      <c r="E773" s="62" t="n">
        <v>0.04562768534929051</v>
      </c>
    </row>
    <row r="774">
      <c r="A774" s="53" t="n">
        <v>40909</v>
      </c>
      <c r="B774" s="61" t="n">
        <v>52.6</v>
      </c>
      <c r="C774" s="62" t="n">
        <v>0.02600249297538843</v>
      </c>
      <c r="D774" s="62" t="n">
        <v>0.008179228450998806</v>
      </c>
      <c r="E774" s="62" t="n">
        <v>0.03312050570216885</v>
      </c>
    </row>
    <row r="775">
      <c r="A775" s="53" t="n">
        <v>40940</v>
      </c>
      <c r="B775" s="61" t="n">
        <v>53.1</v>
      </c>
      <c r="C775" s="62" t="n">
        <v>0.02600249297538843</v>
      </c>
      <c r="D775" s="62" t="n">
        <v>0.008179228450998806</v>
      </c>
      <c r="E775" s="62" t="n">
        <v>0.03312050570216885</v>
      </c>
    </row>
    <row r="776">
      <c r="A776" s="53" t="n">
        <v>40969</v>
      </c>
      <c r="B776" s="61" t="n">
        <v>53.5</v>
      </c>
      <c r="C776" s="62" t="n">
        <v>0.02600249297538843</v>
      </c>
      <c r="D776" s="62" t="n">
        <v>0.008179228450998806</v>
      </c>
      <c r="E776" s="62" t="n">
        <v>0.03312050570216885</v>
      </c>
    </row>
    <row r="777">
      <c r="A777" s="53" t="n">
        <v>41000</v>
      </c>
      <c r="B777" s="61" t="n">
        <v>53.5</v>
      </c>
      <c r="C777" s="62" t="n">
        <v>0.02373816349715461</v>
      </c>
      <c r="D777" s="62" t="n">
        <v>0.004558599868677108</v>
      </c>
      <c r="E777" s="62" t="n">
        <v>0.01835946382913356</v>
      </c>
    </row>
    <row r="778">
      <c r="A778" s="53" t="n">
        <v>41030</v>
      </c>
      <c r="B778" s="61" t="n">
        <v>52.6</v>
      </c>
      <c r="C778" s="62" t="n">
        <v>0.02373816349715461</v>
      </c>
      <c r="D778" s="62" t="n">
        <v>0.004558599868677108</v>
      </c>
      <c r="E778" s="62" t="n">
        <v>0.01835946382913356</v>
      </c>
    </row>
    <row r="779">
      <c r="A779" s="53" t="n">
        <v>41061</v>
      </c>
      <c r="B779" s="61" t="n">
        <v>49.7</v>
      </c>
      <c r="C779" s="62" t="n">
        <v>0.02373816349715461</v>
      </c>
      <c r="D779" s="62" t="n">
        <v>0.004558599868677108</v>
      </c>
      <c r="E779" s="62" t="n">
        <v>0.01835946382913356</v>
      </c>
    </row>
    <row r="780">
      <c r="A780" s="53" t="n">
        <v>41091</v>
      </c>
      <c r="B780" s="61" t="n">
        <v>50</v>
      </c>
      <c r="C780" s="62" t="n">
        <v>0.02592622977056317</v>
      </c>
      <c r="D780" s="62" t="n">
        <v>0.001748829776015621</v>
      </c>
      <c r="E780" s="62" t="n">
        <v>0.007013690941451767</v>
      </c>
    </row>
    <row r="781">
      <c r="A781" s="53" t="n">
        <v>41122</v>
      </c>
      <c r="B781" s="61" t="n">
        <v>50.2</v>
      </c>
      <c r="C781" s="62" t="n">
        <v>0.02592622977056317</v>
      </c>
      <c r="D781" s="62" t="n">
        <v>0.001748829776015621</v>
      </c>
      <c r="E781" s="62" t="n">
        <v>0.007013690941451767</v>
      </c>
    </row>
    <row r="782">
      <c r="A782" s="53" t="n">
        <v>41153</v>
      </c>
      <c r="B782" s="61" t="n">
        <v>51.8</v>
      </c>
      <c r="C782" s="62" t="n">
        <v>0.02592622977056317</v>
      </c>
      <c r="D782" s="62" t="n">
        <v>0.001748829776015621</v>
      </c>
      <c r="E782" s="62" t="n">
        <v>0.007013690941451767</v>
      </c>
    </row>
    <row r="783">
      <c r="A783" s="53" t="n">
        <v>41183</v>
      </c>
      <c r="B783" s="61" t="n">
        <v>50.7</v>
      </c>
      <c r="C783" s="62" t="n">
        <v>0.0156606434588916</v>
      </c>
      <c r="D783" s="62" t="n">
        <v>0.001098380674641822</v>
      </c>
      <c r="E783" s="62" t="n">
        <v>0.004400766641183607</v>
      </c>
    </row>
    <row r="784">
      <c r="A784" s="53" t="n">
        <v>41214</v>
      </c>
      <c r="B784" s="61" t="n">
        <v>48.9</v>
      </c>
      <c r="C784" s="62" t="n">
        <v>0.0156606434588916</v>
      </c>
      <c r="D784" s="62" t="n">
        <v>0.001098380674641822</v>
      </c>
      <c r="E784" s="62" t="n">
        <v>0.004400766641183607</v>
      </c>
    </row>
    <row r="785">
      <c r="A785" s="53" t="n">
        <v>41244</v>
      </c>
      <c r="B785" s="61" t="n">
        <v>49.8</v>
      </c>
      <c r="C785" s="62" t="n">
        <v>0.0156606434588916</v>
      </c>
      <c r="D785" s="62" t="n">
        <v>0.001098380674641822</v>
      </c>
      <c r="E785" s="62" t="n">
        <v>0.004400766641183607</v>
      </c>
    </row>
    <row r="786">
      <c r="A786" s="53" t="n">
        <v>41275</v>
      </c>
      <c r="B786" s="61" t="n">
        <v>52</v>
      </c>
      <c r="C786" s="62" t="n">
        <v>0.01616301095280286</v>
      </c>
      <c r="D786" s="62" t="n">
        <v>0.008677895476911597</v>
      </c>
      <c r="E786" s="62" t="n">
        <v>0.03516603678394081</v>
      </c>
    </row>
    <row r="787">
      <c r="A787" s="53" t="n">
        <v>41306</v>
      </c>
      <c r="B787" s="61" t="n">
        <v>53.6</v>
      </c>
      <c r="C787" s="62" t="n">
        <v>0.01616301095280286</v>
      </c>
      <c r="D787" s="62" t="n">
        <v>0.008677895476911597</v>
      </c>
      <c r="E787" s="62" t="n">
        <v>0.03516603678394081</v>
      </c>
    </row>
    <row r="788">
      <c r="A788" s="53" t="n">
        <v>41334</v>
      </c>
      <c r="B788" s="61" t="n">
        <v>52</v>
      </c>
      <c r="C788" s="62" t="n">
        <v>0.01616301095280286</v>
      </c>
      <c r="D788" s="62" t="n">
        <v>0.008677895476911597</v>
      </c>
      <c r="E788" s="62" t="n">
        <v>0.03516603678394081</v>
      </c>
    </row>
    <row r="789">
      <c r="A789" s="53" t="n">
        <v>41365</v>
      </c>
      <c r="B789" s="61" t="n">
        <v>49.7</v>
      </c>
      <c r="C789" s="62" t="n">
        <v>0.01296170490384775</v>
      </c>
      <c r="D789" s="62" t="n">
        <v>0.001393852197657185</v>
      </c>
      <c r="E789" s="62" t="n">
        <v>0.00558707657013402</v>
      </c>
    </row>
    <row r="790">
      <c r="A790" s="53" t="n">
        <v>41395</v>
      </c>
      <c r="B790" s="61" t="n">
        <v>50.5</v>
      </c>
      <c r="C790" s="62" t="n">
        <v>0.01296170490384775</v>
      </c>
      <c r="D790" s="62" t="n">
        <v>0.001393852197657185</v>
      </c>
      <c r="E790" s="62" t="n">
        <v>0.00558707657013402</v>
      </c>
    </row>
    <row r="791">
      <c r="A791" s="53" t="n">
        <v>41426</v>
      </c>
      <c r="B791" s="61" t="n">
        <v>51.5</v>
      </c>
      <c r="C791" s="62" t="n">
        <v>0.01296170490384775</v>
      </c>
      <c r="D791" s="62" t="n">
        <v>0.001393852197657185</v>
      </c>
      <c r="E791" s="62" t="n">
        <v>0.00558707657013402</v>
      </c>
    </row>
    <row r="792">
      <c r="A792" s="53" t="n">
        <v>41456</v>
      </c>
      <c r="B792" s="61" t="n">
        <v>53.5</v>
      </c>
      <c r="C792" s="62" t="n">
        <v>0.01919844620038217</v>
      </c>
      <c r="D792" s="62" t="n">
        <v>0.007916534107950009</v>
      </c>
      <c r="E792" s="62" t="n">
        <v>0.0320441539978702</v>
      </c>
    </row>
    <row r="793">
      <c r="A793" s="53" t="n">
        <v>41487</v>
      </c>
      <c r="B793" s="61" t="n">
        <v>55.9</v>
      </c>
      <c r="C793" s="62" t="n">
        <v>0.01919844620038217</v>
      </c>
      <c r="D793" s="62" t="n">
        <v>0.007916534107950009</v>
      </c>
      <c r="E793" s="62" t="n">
        <v>0.0320441539978702</v>
      </c>
    </row>
    <row r="794">
      <c r="A794" s="53" t="n">
        <v>41518</v>
      </c>
      <c r="B794" s="61" t="n">
        <v>54.8</v>
      </c>
      <c r="C794" s="62" t="n">
        <v>0.01919844620038217</v>
      </c>
      <c r="D794" s="62" t="n">
        <v>0.007916534107950009</v>
      </c>
      <c r="E794" s="62" t="n">
        <v>0.0320441539978702</v>
      </c>
    </row>
    <row r="795">
      <c r="A795" s="53" t="n">
        <v>41548</v>
      </c>
      <c r="B795" s="61" t="n">
        <v>55.3</v>
      </c>
      <c r="C795" s="62" t="n">
        <v>0.02532049777807217</v>
      </c>
      <c r="D795" s="62" t="n">
        <v>0.007111710015635665</v>
      </c>
      <c r="E795" s="62" t="n">
        <v>0.02875173987590829</v>
      </c>
    </row>
    <row r="796">
      <c r="A796" s="53" t="n">
        <v>41579</v>
      </c>
      <c r="B796" s="61" t="n">
        <v>56.3</v>
      </c>
      <c r="C796" s="62" t="n">
        <v>0.02532049777807217</v>
      </c>
      <c r="D796" s="62" t="n">
        <v>0.007111710015635665</v>
      </c>
      <c r="E796" s="62" t="n">
        <v>0.02875173987590829</v>
      </c>
    </row>
    <row r="797">
      <c r="A797" s="53" t="n">
        <v>41609</v>
      </c>
      <c r="B797" s="61" t="n">
        <v>55.9</v>
      </c>
      <c r="C797" s="62" t="n">
        <v>0.02532049777807217</v>
      </c>
      <c r="D797" s="62" t="n">
        <v>0.007111710015635665</v>
      </c>
      <c r="E797" s="62" t="n">
        <v>0.02875173987590829</v>
      </c>
    </row>
    <row r="798">
      <c r="A798" s="53" t="n">
        <v>41640</v>
      </c>
      <c r="B798" s="61" t="n">
        <v>51.7</v>
      </c>
      <c r="C798" s="62" t="n">
        <v>0.01294055859309538</v>
      </c>
      <c r="D798" s="62" t="n">
        <v>-0.003501097365126946</v>
      </c>
      <c r="E798" s="62" t="n">
        <v>-0.01393101487505954</v>
      </c>
    </row>
    <row r="799">
      <c r="A799" s="53" t="n">
        <v>41671</v>
      </c>
      <c r="B799" s="61" t="n">
        <v>54.6</v>
      </c>
      <c r="C799" s="62" t="n">
        <v>0.01294055859309538</v>
      </c>
      <c r="D799" s="62" t="n">
        <v>-0.003501097365126946</v>
      </c>
      <c r="E799" s="62" t="n">
        <v>-0.01393101487505954</v>
      </c>
    </row>
    <row r="800">
      <c r="A800" s="53" t="n">
        <v>41699</v>
      </c>
      <c r="B800" s="61" t="n">
        <v>55.3</v>
      </c>
      <c r="C800" s="62" t="n">
        <v>0.01294055859309538</v>
      </c>
      <c r="D800" s="62" t="n">
        <v>-0.003501097365126946</v>
      </c>
      <c r="E800" s="62" t="n">
        <v>-0.01393101487505954</v>
      </c>
    </row>
    <row r="801">
      <c r="A801" s="53" t="n">
        <v>41730</v>
      </c>
      <c r="B801" s="61" t="n">
        <v>55.7</v>
      </c>
      <c r="C801" s="62" t="n">
        <v>0.0245199916765882</v>
      </c>
      <c r="D801" s="62" t="n">
        <v>0.01284128907179058</v>
      </c>
      <c r="E801" s="62" t="n">
        <v>0.0523630457566524</v>
      </c>
    </row>
    <row r="802">
      <c r="A802" s="53" t="n">
        <v>41760</v>
      </c>
      <c r="B802" s="61" t="n">
        <v>55.8</v>
      </c>
      <c r="C802" s="62" t="n">
        <v>0.0245199916765882</v>
      </c>
      <c r="D802" s="62" t="n">
        <v>0.01284128907179058</v>
      </c>
      <c r="E802" s="62" t="n">
        <v>0.0523630457566524</v>
      </c>
    </row>
    <row r="803">
      <c r="A803" s="53" t="n">
        <v>41791</v>
      </c>
      <c r="B803" s="61" t="n">
        <v>54.9</v>
      </c>
      <c r="C803" s="62" t="n">
        <v>0.0245199916765882</v>
      </c>
      <c r="D803" s="62" t="n">
        <v>0.01284128907179058</v>
      </c>
      <c r="E803" s="62" t="n">
        <v>0.0523630457566524</v>
      </c>
    </row>
    <row r="804">
      <c r="A804" s="53" t="n">
        <v>41821</v>
      </c>
      <c r="B804" s="61" t="n">
        <v>55.3</v>
      </c>
      <c r="C804" s="62" t="n">
        <v>0.02831456925846958</v>
      </c>
      <c r="D804" s="62" t="n">
        <v>0.01164961644485469</v>
      </c>
      <c r="E804" s="62" t="n">
        <v>0.04741908962129937</v>
      </c>
    </row>
    <row r="805">
      <c r="A805" s="53" t="n">
        <v>41852</v>
      </c>
      <c r="B805" s="61" t="n">
        <v>58.2</v>
      </c>
      <c r="C805" s="62" t="n">
        <v>0.02831456925846958</v>
      </c>
      <c r="D805" s="62" t="n">
        <v>0.01164961644485469</v>
      </c>
      <c r="E805" s="62" t="n">
        <v>0.04741908962129937</v>
      </c>
    </row>
    <row r="806">
      <c r="A806" s="53" t="n">
        <v>41883</v>
      </c>
      <c r="B806" s="61" t="n">
        <v>55.5</v>
      </c>
      <c r="C806" s="62" t="n">
        <v>0.02831456925846958</v>
      </c>
      <c r="D806" s="62" t="n">
        <v>0.01164961644485469</v>
      </c>
      <c r="E806" s="62" t="n">
        <v>0.04741908962129937</v>
      </c>
    </row>
    <row r="807">
      <c r="A807" s="53" t="n">
        <v>41913</v>
      </c>
      <c r="B807" s="61" t="n">
        <v>56.8</v>
      </c>
      <c r="C807" s="62" t="n">
        <v>0.02563759666266986</v>
      </c>
      <c r="D807" s="62" t="n">
        <v>0.004489934024885105</v>
      </c>
      <c r="E807" s="62" t="n">
        <v>0.01808105561066875</v>
      </c>
    </row>
    <row r="808">
      <c r="A808" s="53" t="n">
        <v>41944</v>
      </c>
      <c r="B808" s="61" t="n">
        <v>57</v>
      </c>
      <c r="C808" s="62" t="n">
        <v>0.02563759666266986</v>
      </c>
      <c r="D808" s="62" t="n">
        <v>0.004489934024885105</v>
      </c>
      <c r="E808" s="62" t="n">
        <v>0.01808105561066875</v>
      </c>
    </row>
    <row r="809">
      <c r="A809" s="53" t="n">
        <v>41974</v>
      </c>
      <c r="B809" s="61" t="n">
        <v>54.7</v>
      </c>
      <c r="C809" s="62" t="n">
        <v>0.02563759666266986</v>
      </c>
      <c r="D809" s="62" t="n">
        <v>0.004489934024885105</v>
      </c>
      <c r="E809" s="62" t="n">
        <v>0.01808105561066875</v>
      </c>
    </row>
    <row r="810">
      <c r="A810" s="53" t="n">
        <v>42005</v>
      </c>
      <c r="B810" s="61" t="n">
        <v>53.9</v>
      </c>
      <c r="C810" s="62" t="n">
        <v>0.03761202773082455</v>
      </c>
      <c r="D810" s="62" t="n">
        <v>0.008133136264685727</v>
      </c>
      <c r="E810" s="62" t="n">
        <v>0.03293158882700409</v>
      </c>
    </row>
    <row r="811">
      <c r="A811" s="53" t="n">
        <v>42036</v>
      </c>
      <c r="B811" s="61" t="n">
        <v>53</v>
      </c>
      <c r="C811" s="62" t="n">
        <v>0.03761202773082455</v>
      </c>
      <c r="D811" s="62" t="n">
        <v>0.008133136264685727</v>
      </c>
      <c r="E811" s="62" t="n">
        <v>0.03293158882700409</v>
      </c>
    </row>
    <row r="812">
      <c r="A812" s="53" t="n">
        <v>42064</v>
      </c>
      <c r="B812" s="61" t="n">
        <v>51.8</v>
      </c>
      <c r="C812" s="62" t="n">
        <v>0.03761202773082455</v>
      </c>
      <c r="D812" s="62" t="n">
        <v>0.008133136264685727</v>
      </c>
      <c r="E812" s="62" t="n">
        <v>0.03293158882700409</v>
      </c>
    </row>
    <row r="813">
      <c r="A813" s="53" t="n">
        <v>42095</v>
      </c>
      <c r="B813" s="61" t="n">
        <v>51.6</v>
      </c>
      <c r="C813" s="62" t="n">
        <v>0.03039854674877899</v>
      </c>
      <c r="D813" s="62" t="n">
        <v>0.005800014316593537</v>
      </c>
      <c r="E813" s="62" t="n">
        <v>0.02340267984825029</v>
      </c>
    </row>
    <row r="814">
      <c r="A814" s="53" t="n">
        <v>42125</v>
      </c>
      <c r="B814" s="61" t="n">
        <v>52.9</v>
      </c>
      <c r="C814" s="62" t="n">
        <v>0.03039854674877899</v>
      </c>
      <c r="D814" s="62" t="n">
        <v>0.005800014316593537</v>
      </c>
      <c r="E814" s="62" t="n">
        <v>0.02340267984825029</v>
      </c>
    </row>
    <row r="815">
      <c r="A815" s="53" t="n">
        <v>42156</v>
      </c>
      <c r="B815" s="61" t="n">
        <v>52.3</v>
      </c>
      <c r="C815" s="62" t="n">
        <v>0.03039854674877899</v>
      </c>
      <c r="D815" s="62" t="n">
        <v>0.005800014316593537</v>
      </c>
      <c r="E815" s="62" t="n">
        <v>0.02340267984825029</v>
      </c>
    </row>
    <row r="816">
      <c r="A816" s="53" t="n">
        <v>42186</v>
      </c>
      <c r="B816" s="61" t="n">
        <v>51.9</v>
      </c>
      <c r="C816" s="62" t="n">
        <v>0.02182668511263306</v>
      </c>
      <c r="D816" s="62" t="n">
        <v>0.003233726725495796</v>
      </c>
      <c r="E816" s="62" t="n">
        <v>0.01299778420271602</v>
      </c>
    </row>
    <row r="817">
      <c r="A817" s="53" t="n">
        <v>42217</v>
      </c>
      <c r="B817" s="61" t="n">
        <v>50.8</v>
      </c>
      <c r="C817" s="62" t="n">
        <v>0.02182668511263306</v>
      </c>
      <c r="D817" s="62" t="n">
        <v>0.003233726725495796</v>
      </c>
      <c r="E817" s="62" t="n">
        <v>0.01299778420271602</v>
      </c>
    </row>
    <row r="818">
      <c r="A818" s="53" t="n">
        <v>42248</v>
      </c>
      <c r="B818" s="61" t="n">
        <v>50.1</v>
      </c>
      <c r="C818" s="62" t="n">
        <v>0.02182668511263306</v>
      </c>
      <c r="D818" s="62" t="n">
        <v>0.003233726725495796</v>
      </c>
      <c r="E818" s="62" t="n">
        <v>0.01299778420271602</v>
      </c>
    </row>
    <row r="819">
      <c r="A819" s="53" t="n">
        <v>42278</v>
      </c>
      <c r="B819" s="61" t="n">
        <v>49.6</v>
      </c>
      <c r="C819" s="62" t="n">
        <v>0.01874684058645722</v>
      </c>
      <c r="D819" s="62" t="n">
        <v>0.001462343465763751</v>
      </c>
      <c r="E819" s="62" t="n">
        <v>0.005862217066683106</v>
      </c>
    </row>
    <row r="820">
      <c r="A820" s="53" t="n">
        <v>42309</v>
      </c>
      <c r="B820" s="61" t="n">
        <v>49.1</v>
      </c>
      <c r="C820" s="62" t="n">
        <v>0.01874684058645722</v>
      </c>
      <c r="D820" s="62" t="n">
        <v>0.001462343465763751</v>
      </c>
      <c r="E820" s="62" t="n">
        <v>0.005862217066683106</v>
      </c>
    </row>
    <row r="821">
      <c r="A821" s="53" t="n">
        <v>42339</v>
      </c>
      <c r="B821" s="61" t="n">
        <v>48.4</v>
      </c>
      <c r="C821" s="62" t="n">
        <v>0.01874684058645722</v>
      </c>
      <c r="D821" s="62" t="n">
        <v>0.001462343465763751</v>
      </c>
      <c r="E821" s="62" t="n">
        <v>0.005862217066683106</v>
      </c>
    </row>
    <row r="822">
      <c r="A822" s="53" t="n">
        <v>42370</v>
      </c>
      <c r="B822" s="61" t="n">
        <v>47.8</v>
      </c>
      <c r="C822" s="62" t="n">
        <v>0.01648190603048597</v>
      </c>
      <c r="D822" s="62" t="n">
        <v>0.005891798685635071</v>
      </c>
      <c r="E822" s="62" t="n">
        <v>0.02377629379297197</v>
      </c>
    </row>
    <row r="823">
      <c r="A823" s="53" t="n">
        <v>42401</v>
      </c>
      <c r="B823" s="61" t="n">
        <v>49.4</v>
      </c>
      <c r="C823" s="62" t="n">
        <v>0.01648190603048597</v>
      </c>
      <c r="D823" s="62" t="n">
        <v>0.005891798685635071</v>
      </c>
      <c r="E823" s="62" t="n">
        <v>0.02377629379297197</v>
      </c>
    </row>
    <row r="824">
      <c r="A824" s="53" t="n">
        <v>42430</v>
      </c>
      <c r="B824" s="61" t="n">
        <v>51.2</v>
      </c>
      <c r="C824" s="62" t="n">
        <v>0.01648190603048597</v>
      </c>
      <c r="D824" s="62" t="n">
        <v>0.005891798685635071</v>
      </c>
      <c r="E824" s="62" t="n">
        <v>0.02377629379297197</v>
      </c>
    </row>
    <row r="825">
      <c r="A825" s="53" t="n">
        <v>42461</v>
      </c>
      <c r="B825" s="61" t="n">
        <v>50.8</v>
      </c>
      <c r="C825" s="62" t="n">
        <v>0.01367629650405968</v>
      </c>
      <c r="D825" s="62" t="n">
        <v>0.003023888066726282</v>
      </c>
      <c r="E825" s="62" t="n">
        <v>0.01215052634526592</v>
      </c>
    </row>
    <row r="826">
      <c r="A826" s="53" t="n">
        <v>42491</v>
      </c>
      <c r="B826" s="61" t="n">
        <v>50.9</v>
      </c>
      <c r="C826" s="62" t="n">
        <v>0.01367629650405968</v>
      </c>
      <c r="D826" s="62" t="n">
        <v>0.003023888066726282</v>
      </c>
      <c r="E826" s="62" t="n">
        <v>0.01215052634526592</v>
      </c>
    </row>
    <row r="827">
      <c r="A827" s="53" t="n">
        <v>42522</v>
      </c>
      <c r="B827" s="61" t="n">
        <v>52.5</v>
      </c>
      <c r="C827" s="62" t="n">
        <v>0.01367629650405968</v>
      </c>
      <c r="D827" s="62" t="n">
        <v>0.003023888066726282</v>
      </c>
      <c r="E827" s="62" t="n">
        <v>0.01215052634526592</v>
      </c>
    </row>
    <row r="828">
      <c r="A828" s="53" t="n">
        <v>42552</v>
      </c>
      <c r="B828" s="61" t="n">
        <v>52.9</v>
      </c>
      <c r="C828" s="62" t="n">
        <v>0.01648263356020616</v>
      </c>
      <c r="D828" s="62" t="n">
        <v>0.006011153792692107</v>
      </c>
      <c r="E828" s="62" t="n">
        <v>0.02426228912334971</v>
      </c>
    </row>
    <row r="829">
      <c r="A829" s="53" t="n">
        <v>42583</v>
      </c>
      <c r="B829" s="61" t="n">
        <v>49.9</v>
      </c>
      <c r="C829" s="62" t="n">
        <v>0.01648263356020616</v>
      </c>
      <c r="D829" s="62" t="n">
        <v>0.006011153792692107</v>
      </c>
      <c r="E829" s="62" t="n">
        <v>0.02426228912334971</v>
      </c>
    </row>
    <row r="830">
      <c r="A830" s="53" t="n">
        <v>42614</v>
      </c>
      <c r="B830" s="61" t="n">
        <v>51.4</v>
      </c>
      <c r="C830" s="62" t="n">
        <v>0.01648263356020616</v>
      </c>
      <c r="D830" s="62" t="n">
        <v>0.006011153792692107</v>
      </c>
      <c r="E830" s="62" t="n">
        <v>0.02426228912334971</v>
      </c>
    </row>
    <row r="831">
      <c r="A831" s="53" t="n">
        <v>42644</v>
      </c>
      <c r="B831" s="61" t="n">
        <v>51.8</v>
      </c>
      <c r="C831" s="62" t="n">
        <v>0.0200417704624271</v>
      </c>
      <c r="D831" s="62" t="n">
        <v>0.004968887960606363</v>
      </c>
      <c r="E831" s="62" t="n">
        <v>0.02002418226175018</v>
      </c>
    </row>
    <row r="832">
      <c r="A832" s="53" t="n">
        <v>42675</v>
      </c>
      <c r="B832" s="61" t="n">
        <v>53.4</v>
      </c>
      <c r="C832" s="62" t="n">
        <v>0.0200417704624271</v>
      </c>
      <c r="D832" s="62" t="n">
        <v>0.004968887960606363</v>
      </c>
      <c r="E832" s="62" t="n">
        <v>0.02002418226175018</v>
      </c>
    </row>
    <row r="833">
      <c r="A833" s="53" t="n">
        <v>42705</v>
      </c>
      <c r="B833" s="61" t="n">
        <v>54.3</v>
      </c>
      <c r="C833" s="62" t="n">
        <v>0.0200417704624271</v>
      </c>
      <c r="D833" s="62" t="n">
        <v>0.004968887960606363</v>
      </c>
      <c r="E833" s="62" t="n">
        <v>0.02002418226175018</v>
      </c>
    </row>
    <row r="834">
      <c r="A834" s="53" t="n">
        <v>42736</v>
      </c>
      <c r="B834" s="61" t="n">
        <v>55.6</v>
      </c>
      <c r="C834" s="62" t="n">
        <v>0.01885278869645634</v>
      </c>
      <c r="D834" s="62" t="n">
        <v>0.004719310419164807</v>
      </c>
      <c r="E834" s="62" t="n">
        <v>0.01901129394955658</v>
      </c>
    </row>
    <row r="835">
      <c r="A835" s="53" t="n">
        <v>42767</v>
      </c>
      <c r="B835" s="61" t="n">
        <v>57.6</v>
      </c>
      <c r="C835" s="62" t="n">
        <v>0.01885278869645634</v>
      </c>
      <c r="D835" s="62" t="n">
        <v>0.004719310419164807</v>
      </c>
      <c r="E835" s="62" t="n">
        <v>0.01901129394955658</v>
      </c>
    </row>
    <row r="836">
      <c r="A836" s="53" t="n">
        <v>42795</v>
      </c>
      <c r="B836" s="61" t="n">
        <v>56.6</v>
      </c>
      <c r="C836" s="62" t="n">
        <v>0.01885278869645634</v>
      </c>
      <c r="D836" s="62" t="n">
        <v>0.004719310419164807</v>
      </c>
      <c r="E836" s="62" t="n">
        <v>0.01901129394955658</v>
      </c>
    </row>
    <row r="837">
      <c r="A837" s="53" t="n">
        <v>42826</v>
      </c>
      <c r="B837" s="61" t="n">
        <v>55.3</v>
      </c>
      <c r="C837" s="62" t="n">
        <v>0.02146716582907564</v>
      </c>
      <c r="D837" s="62" t="n">
        <v>0.005597648226707356</v>
      </c>
      <c r="E837" s="62" t="n">
        <v>0.0225792974619996</v>
      </c>
    </row>
    <row r="838">
      <c r="A838" s="53" t="n">
        <v>42856</v>
      </c>
      <c r="B838" s="61" t="n">
        <v>55.5</v>
      </c>
      <c r="C838" s="62" t="n">
        <v>0.02146716582907564</v>
      </c>
      <c r="D838" s="62" t="n">
        <v>0.005597648226707356</v>
      </c>
      <c r="E838" s="62" t="n">
        <v>0.0225792974619996</v>
      </c>
    </row>
    <row r="839">
      <c r="A839" s="53" t="n">
        <v>42887</v>
      </c>
      <c r="B839" s="61" t="n">
        <v>56.7</v>
      </c>
      <c r="C839" s="62" t="n">
        <v>0.02146716582907564</v>
      </c>
      <c r="D839" s="62" t="n">
        <v>0.005597648226707356</v>
      </c>
      <c r="E839" s="62" t="n">
        <v>0.0225792974619996</v>
      </c>
    </row>
    <row r="840">
      <c r="A840" s="53" t="n">
        <v>42917</v>
      </c>
      <c r="B840" s="61" t="n">
        <v>56.5</v>
      </c>
      <c r="C840" s="62" t="n">
        <v>0.02266564638337372</v>
      </c>
      <c r="D840" s="62" t="n">
        <v>0.007191499912039876</v>
      </c>
      <c r="E840" s="62" t="n">
        <v>0.02907779605929184</v>
      </c>
    </row>
    <row r="841">
      <c r="A841" s="53" t="n">
        <v>42948</v>
      </c>
      <c r="B841" s="61" t="n">
        <v>59.3</v>
      </c>
      <c r="C841" s="62" t="n">
        <v>0.02266564638337372</v>
      </c>
      <c r="D841" s="62" t="n">
        <v>0.007191499912039876</v>
      </c>
      <c r="E841" s="62" t="n">
        <v>0.02907779605929184</v>
      </c>
    </row>
    <row r="842">
      <c r="A842" s="53" t="n">
        <v>42979</v>
      </c>
      <c r="B842" s="61" t="n">
        <v>60.2</v>
      </c>
      <c r="C842" s="62" t="n">
        <v>0.02266564638337372</v>
      </c>
      <c r="D842" s="62" t="n">
        <v>0.007191499912039876</v>
      </c>
      <c r="E842" s="62" t="n">
        <v>0.02907779605929184</v>
      </c>
    </row>
    <row r="843">
      <c r="A843" s="53" t="n">
        <v>43009</v>
      </c>
      <c r="B843" s="61" t="n">
        <v>58.5</v>
      </c>
      <c r="C843" s="62" t="n">
        <v>0.02717885581859093</v>
      </c>
      <c r="D843" s="62" t="n">
        <v>0.009403998383337081</v>
      </c>
      <c r="E843" s="62" t="n">
        <v>0.03814993904506303</v>
      </c>
    </row>
    <row r="844">
      <c r="A844" s="53" t="n">
        <v>43040</v>
      </c>
      <c r="B844" s="61" t="n">
        <v>58.2</v>
      </c>
      <c r="C844" s="62" t="n">
        <v>0.02717885581859093</v>
      </c>
      <c r="D844" s="62" t="n">
        <v>0.009403998383337081</v>
      </c>
      <c r="E844" s="62" t="n">
        <v>0.03814993904506303</v>
      </c>
    </row>
    <row r="845">
      <c r="A845" s="53" t="n">
        <v>43070</v>
      </c>
      <c r="B845" s="61" t="n">
        <v>59.3</v>
      </c>
      <c r="C845" s="62" t="n">
        <v>0.02717885581859093</v>
      </c>
      <c r="D845" s="62" t="n">
        <v>0.009403998383337081</v>
      </c>
      <c r="E845" s="62" t="n">
        <v>0.03814993904506303</v>
      </c>
    </row>
    <row r="846">
      <c r="A846" s="53" t="n">
        <v>43101</v>
      </c>
      <c r="B846" s="61" t="n">
        <v>59.1</v>
      </c>
      <c r="C846" s="62" t="n">
        <v>0.03015311883141301</v>
      </c>
      <c r="D846" s="62" t="n">
        <v>0.007628540361272956</v>
      </c>
      <c r="E846" s="62" t="n">
        <v>0.03086510836024359</v>
      </c>
    </row>
    <row r="847">
      <c r="A847" s="53" t="n">
        <v>43132</v>
      </c>
      <c r="B847" s="61" t="n">
        <v>60.8</v>
      </c>
      <c r="C847" s="62" t="n">
        <v>0.03015311883141301</v>
      </c>
      <c r="D847" s="62" t="n">
        <v>0.007628540361272956</v>
      </c>
      <c r="E847" s="62" t="n">
        <v>0.03086510836024359</v>
      </c>
    </row>
    <row r="848">
      <c r="A848" s="53" t="n">
        <v>43160</v>
      </c>
      <c r="B848" s="61" t="n">
        <v>59.3</v>
      </c>
      <c r="C848" s="62" t="n">
        <v>0.03015311883141301</v>
      </c>
      <c r="D848" s="62" t="n">
        <v>0.007628540361272956</v>
      </c>
      <c r="E848" s="62" t="n">
        <v>0.03086510836024359</v>
      </c>
    </row>
    <row r="849">
      <c r="A849" s="53" t="n">
        <v>43191</v>
      </c>
      <c r="B849" s="61" t="n">
        <v>57.3</v>
      </c>
      <c r="C849" s="62" t="n">
        <v>0.03296152283055629</v>
      </c>
      <c r="D849" s="62" t="n">
        <v>0.008339109088382559</v>
      </c>
      <c r="E849" s="62" t="n">
        <v>0.03377600526305335</v>
      </c>
    </row>
    <row r="850">
      <c r="A850" s="53" t="n">
        <v>43221</v>
      </c>
      <c r="B850" s="61" t="n">
        <v>58.7</v>
      </c>
      <c r="C850" s="62" t="n">
        <v>0.03296152283055629</v>
      </c>
      <c r="D850" s="62" t="n">
        <v>0.008339109088382559</v>
      </c>
      <c r="E850" s="62" t="n">
        <v>0.03377600526305335</v>
      </c>
    </row>
    <row r="851">
      <c r="A851" s="53" t="n">
        <v>43252</v>
      </c>
      <c r="B851" s="61" t="n">
        <v>60.2</v>
      </c>
      <c r="C851" s="62" t="n">
        <v>0.03296152283055629</v>
      </c>
      <c r="D851" s="62" t="n">
        <v>0.008339109088382559</v>
      </c>
      <c r="E851" s="62" t="n">
        <v>0.03377600526305335</v>
      </c>
    </row>
    <row r="852">
      <c r="A852" s="53" t="n">
        <v>43282</v>
      </c>
      <c r="B852" s="61" t="n">
        <v>58.1</v>
      </c>
      <c r="C852" s="62" t="n">
        <v>0.03052885912379111</v>
      </c>
      <c r="D852" s="62" t="n">
        <v>0.004819525590204151</v>
      </c>
      <c r="E852" s="62" t="n">
        <v>0.01941791765026113</v>
      </c>
    </row>
    <row r="853">
      <c r="A853" s="53" t="n">
        <v>43313</v>
      </c>
      <c r="B853" s="61" t="n">
        <v>61.3</v>
      </c>
      <c r="C853" s="62" t="n">
        <v>0.03052885912379111</v>
      </c>
      <c r="D853" s="62" t="n">
        <v>0.004819525590204151</v>
      </c>
      <c r="E853" s="62" t="n">
        <v>0.01941791765026113</v>
      </c>
    </row>
    <row r="854">
      <c r="A854" s="53" t="n">
        <v>43344</v>
      </c>
      <c r="B854" s="61" t="n">
        <v>59.8</v>
      </c>
      <c r="C854" s="62" t="n">
        <v>0.03052885912379111</v>
      </c>
      <c r="D854" s="62" t="n">
        <v>0.004819525590204151</v>
      </c>
      <c r="E854" s="62" t="n">
        <v>0.01941791765026113</v>
      </c>
    </row>
    <row r="855">
      <c r="A855" s="53" t="n">
        <v>43374</v>
      </c>
      <c r="B855" s="61" t="n">
        <v>57.7</v>
      </c>
      <c r="C855" s="62" t="n">
        <v>0.02320617095391857</v>
      </c>
      <c r="D855" s="62" t="n">
        <v>0.002231418351111322</v>
      </c>
      <c r="E855" s="62" t="n">
        <v>0.008955593239345916</v>
      </c>
    </row>
    <row r="856">
      <c r="A856" s="53" t="n">
        <v>43405</v>
      </c>
      <c r="B856" s="61" t="n">
        <v>59.3</v>
      </c>
      <c r="C856" s="62" t="n">
        <v>0.02320617095391857</v>
      </c>
      <c r="D856" s="62" t="n">
        <v>0.002231418351111322</v>
      </c>
      <c r="E856" s="62" t="n">
        <v>0.008955593239345916</v>
      </c>
    </row>
    <row r="857">
      <c r="A857" s="53" t="n">
        <v>43435</v>
      </c>
      <c r="B857" s="61" t="n">
        <v>54.3</v>
      </c>
      <c r="C857" s="62" t="n">
        <v>0.02320617095391857</v>
      </c>
      <c r="D857" s="62" t="n">
        <v>0.002231418351111322</v>
      </c>
      <c r="E857" s="62" t="n">
        <v>0.008955593239345916</v>
      </c>
    </row>
    <row r="858">
      <c r="A858" s="53" t="n">
        <v>43466</v>
      </c>
      <c r="B858" s="61" t="n">
        <v>56.6</v>
      </c>
      <c r="C858" s="62" t="n">
        <v>0.0215300151408133</v>
      </c>
      <c r="D858" s="62" t="n">
        <v>0.005977902900982079</v>
      </c>
      <c r="E858" s="62" t="n">
        <v>0.02412687930866952</v>
      </c>
    </row>
    <row r="859">
      <c r="A859" s="53" t="n">
        <v>43497</v>
      </c>
      <c r="B859" s="61" t="n">
        <v>54.2</v>
      </c>
      <c r="C859" s="62" t="n">
        <v>0.0215300151408133</v>
      </c>
      <c r="D859" s="62" t="n">
        <v>0.005977902900982079</v>
      </c>
      <c r="E859" s="62" t="n">
        <v>0.02412687930866952</v>
      </c>
    </row>
    <row r="860">
      <c r="A860" s="53" t="n">
        <v>43525</v>
      </c>
      <c r="B860" s="61" t="n">
        <v>55.3</v>
      </c>
      <c r="C860" s="62" t="n">
        <v>0.0215300151408133</v>
      </c>
      <c r="D860" s="62" t="n">
        <v>0.005977902900982079</v>
      </c>
      <c r="E860" s="62" t="n">
        <v>0.02412687930866952</v>
      </c>
    </row>
    <row r="861">
      <c r="A861" s="53" t="n">
        <v>43556</v>
      </c>
      <c r="B861" s="61" t="n">
        <v>52.8</v>
      </c>
      <c r="C861" s="62" t="n">
        <v>0.02111478835615084</v>
      </c>
      <c r="D861" s="62" t="n">
        <v>0.007929244082058234</v>
      </c>
      <c r="E861" s="62" t="n">
        <v>0.03209621189016554</v>
      </c>
    </row>
    <row r="862">
      <c r="A862" s="53" t="n">
        <v>43586</v>
      </c>
      <c r="B862" s="61" t="n">
        <v>52.1</v>
      </c>
      <c r="C862" s="62" t="n">
        <v>0.02111478835615084</v>
      </c>
      <c r="D862" s="62" t="n">
        <v>0.007929244082058234</v>
      </c>
      <c r="E862" s="62" t="n">
        <v>0.03209621189016554</v>
      </c>
    </row>
    <row r="863">
      <c r="A863" s="53" t="n">
        <v>43617</v>
      </c>
      <c r="B863" s="61" t="n">
        <v>51.7</v>
      </c>
      <c r="C863" s="62" t="n">
        <v>0.02111478835615084</v>
      </c>
      <c r="D863" s="62" t="n">
        <v>0.007929244082058234</v>
      </c>
      <c r="E863" s="62" t="n">
        <v>0.03209621189016554</v>
      </c>
    </row>
    <row r="864">
      <c r="A864" s="53" t="n">
        <v>43647</v>
      </c>
      <c r="B864" s="61" t="n">
        <v>51.2</v>
      </c>
      <c r="C864" s="62" t="n">
        <v>0.02318325998325768</v>
      </c>
      <c r="D864" s="62" t="n">
        <v>0.006854987913095664</v>
      </c>
      <c r="E864" s="62" t="n">
        <v>0.02770318750334533</v>
      </c>
    </row>
    <row r="865">
      <c r="A865" s="53" t="n">
        <v>43678</v>
      </c>
      <c r="B865" s="61" t="n">
        <v>49.1</v>
      </c>
      <c r="C865" s="62" t="n">
        <v>0.02318325998325768</v>
      </c>
      <c r="D865" s="62" t="n">
        <v>0.006854987913095664</v>
      </c>
      <c r="E865" s="62" t="n">
        <v>0.02770318750334533</v>
      </c>
    </row>
    <row r="866">
      <c r="A866" s="53" t="n">
        <v>43709</v>
      </c>
      <c r="B866" s="61" t="n">
        <v>47.8</v>
      </c>
      <c r="C866" s="62" t="n">
        <v>0.02318325998325768</v>
      </c>
      <c r="D866" s="62" t="n">
        <v>0.006854987913095664</v>
      </c>
      <c r="E866" s="62" t="n">
        <v>0.02770318750334533</v>
      </c>
    </row>
    <row r="867">
      <c r="A867" s="53" t="n">
        <v>43739</v>
      </c>
      <c r="B867" s="61" t="n">
        <v>48.3</v>
      </c>
      <c r="C867" s="62" t="n">
        <v>0.02569423534639549</v>
      </c>
      <c r="D867" s="62" t="n">
        <v>0.004690976182113644</v>
      </c>
      <c r="E867" s="62" t="n">
        <v>0.01889634966248921</v>
      </c>
    </row>
    <row r="868">
      <c r="A868" s="53" t="n">
        <v>43770</v>
      </c>
      <c r="B868" s="61" t="n">
        <v>48.1</v>
      </c>
      <c r="C868" s="62" t="n">
        <v>0.02569423534639549</v>
      </c>
      <c r="D868" s="62" t="n">
        <v>0.004690976182113644</v>
      </c>
      <c r="E868" s="62" t="n">
        <v>0.01889634966248921</v>
      </c>
    </row>
    <row r="869">
      <c r="A869" s="53" t="n">
        <v>43800</v>
      </c>
      <c r="B869" s="61" t="n">
        <v>47.8</v>
      </c>
      <c r="C869" s="62" t="n">
        <v>0.02569423534639549</v>
      </c>
      <c r="D869" s="62" t="n">
        <v>0.004690976182113644</v>
      </c>
      <c r="E869" s="62" t="n">
        <v>0.01889634966248921</v>
      </c>
    </row>
    <row r="870">
      <c r="A870" s="53" t="n">
        <v>43831</v>
      </c>
      <c r="B870" s="61" t="n">
        <v>50.9</v>
      </c>
      <c r="C870" s="62" t="n">
        <v>0.006307851641742077</v>
      </c>
      <c r="D870" s="62" t="n">
        <v>-0.01303582746034216</v>
      </c>
      <c r="E870" s="62" t="n">
        <v>-0.05113254503727427</v>
      </c>
    </row>
    <row r="871">
      <c r="A871" s="53" t="n">
        <v>43862</v>
      </c>
      <c r="B871" s="61" t="n">
        <v>50.1</v>
      </c>
      <c r="C871" s="62" t="n">
        <v>0.006307851641742077</v>
      </c>
      <c r="D871" s="62" t="n">
        <v>-0.01303582746034216</v>
      </c>
      <c r="E871" s="62" t="n">
        <v>-0.05113254503727427</v>
      </c>
    </row>
    <row r="872">
      <c r="A872" s="53" t="n">
        <v>43891</v>
      </c>
      <c r="B872" s="61" t="n">
        <v>49.1</v>
      </c>
      <c r="C872" s="62" t="n">
        <v>0.006307851641742077</v>
      </c>
      <c r="D872" s="62" t="n">
        <v>-0.01303582746034216</v>
      </c>
      <c r="E872" s="62" t="n">
        <v>-0.05113254503727427</v>
      </c>
    </row>
    <row r="873">
      <c r="A873" s="53" t="n">
        <v>43922</v>
      </c>
      <c r="B873" s="61" t="n">
        <v>41.5</v>
      </c>
      <c r="C873" s="62" t="n">
        <v>-0.09083737424225038</v>
      </c>
      <c r="D873" s="62" t="n">
        <v>-0.08937250501161022</v>
      </c>
      <c r="E873" s="62" t="n">
        <v>-0.3123569846108508</v>
      </c>
    </row>
    <row r="874">
      <c r="A874" s="53" t="n">
        <v>43952</v>
      </c>
      <c r="B874" s="61" t="n">
        <v>43.1</v>
      </c>
      <c r="C874" s="62" t="n">
        <v>-0.09083737424225038</v>
      </c>
      <c r="D874" s="62" t="n">
        <v>-0.08937250501161022</v>
      </c>
      <c r="E874" s="62" t="n">
        <v>-0.3123569846108508</v>
      </c>
    </row>
    <row r="875">
      <c r="A875" s="53" t="n">
        <v>43983</v>
      </c>
      <c r="B875" s="61" t="n">
        <v>52.6</v>
      </c>
      <c r="C875" s="62" t="n">
        <v>-0.09083737424225038</v>
      </c>
      <c r="D875" s="62" t="n">
        <v>-0.08937250501161022</v>
      </c>
      <c r="E875" s="62" t="n">
        <v>-0.3123569846108508</v>
      </c>
    </row>
    <row r="876">
      <c r="A876" s="53" t="n">
        <v>44013</v>
      </c>
      <c r="B876" s="61" t="n">
        <v>54.2</v>
      </c>
      <c r="C876" s="62" t="n">
        <v>-0.02887505988833666</v>
      </c>
      <c r="D876" s="62" t="n">
        <v>0.07547534636423657</v>
      </c>
      <c r="E876" s="62" t="n">
        <v>0.3378327930079323</v>
      </c>
    </row>
    <row r="877">
      <c r="A877" s="53" t="n">
        <v>44044</v>
      </c>
      <c r="B877" s="61" t="n">
        <v>56</v>
      </c>
      <c r="C877" s="62" t="n">
        <v>-0.02887505988833666</v>
      </c>
      <c r="D877" s="62" t="n">
        <v>0.07547534636423657</v>
      </c>
      <c r="E877" s="62" t="n">
        <v>0.3378327930079323</v>
      </c>
    </row>
    <row r="878">
      <c r="A878" s="53" t="n">
        <v>44075</v>
      </c>
      <c r="B878" s="61" t="n">
        <v>55.4</v>
      </c>
      <c r="C878" s="62" t="n">
        <v>-0.02887505988833666</v>
      </c>
      <c r="D878" s="62" t="n">
        <v>0.07547534636423657</v>
      </c>
      <c r="E878" s="62" t="n">
        <v>0.3378327930079323</v>
      </c>
    </row>
    <row r="879">
      <c r="A879" s="53" t="n">
        <v>44105</v>
      </c>
      <c r="B879" s="61" t="n">
        <v>59.3</v>
      </c>
      <c r="C879" s="62" t="n">
        <v>-0.0226291524300984</v>
      </c>
      <c r="D879" s="62" t="n">
        <v>0.01115276765936578</v>
      </c>
      <c r="E879" s="62" t="n">
        <v>0.04536294038119415</v>
      </c>
    </row>
    <row r="880">
      <c r="A880" s="53" t="n">
        <v>44136</v>
      </c>
      <c r="B880" s="61" t="n">
        <v>57.5</v>
      </c>
      <c r="C880" s="62" t="n">
        <v>-0.0226291524300984</v>
      </c>
      <c r="D880" s="62" t="n">
        <v>0.01115276765936578</v>
      </c>
      <c r="E880" s="62" t="n">
        <v>0.04536294038119415</v>
      </c>
    </row>
    <row r="881">
      <c r="A881" s="53" t="n">
        <v>44166</v>
      </c>
      <c r="B881" s="61" t="n">
        <v>60.5</v>
      </c>
      <c r="C881" s="62" t="n">
        <v>-0.0226291524300984</v>
      </c>
      <c r="D881" s="62" t="n">
        <v>0.01115276765936578</v>
      </c>
      <c r="E881" s="62" t="n">
        <v>0.04536294038119415</v>
      </c>
    </row>
    <row r="882">
      <c r="A882" s="53" t="n">
        <v>44197</v>
      </c>
      <c r="B882" s="61" t="n">
        <v>58.7</v>
      </c>
      <c r="C882" s="62" t="n">
        <v>0.005469768032827393</v>
      </c>
      <c r="D882" s="62" t="n">
        <v>0.01533889627211066</v>
      </c>
      <c r="E882" s="62" t="n">
        <v>0.0627817667277657</v>
      </c>
    </row>
    <row r="883">
      <c r="A883" s="53" t="n">
        <v>44228</v>
      </c>
      <c r="B883" s="61" t="n">
        <v>60.8</v>
      </c>
      <c r="C883" s="62" t="n">
        <v>0.005469768032827393</v>
      </c>
      <c r="D883" s="62" t="n">
        <v>0.01533889627211066</v>
      </c>
      <c r="E883" s="62" t="n">
        <v>0.0627817667277657</v>
      </c>
    </row>
    <row r="884">
      <c r="A884" s="53" t="n">
        <v>44256</v>
      </c>
      <c r="B884" s="61" t="n">
        <v>64.7</v>
      </c>
      <c r="C884" s="62" t="n">
        <v>0.005469768032827393</v>
      </c>
      <c r="D884" s="62" t="n">
        <v>0.01533889627211066</v>
      </c>
      <c r="E884" s="62" t="n">
        <v>0.0627817667277657</v>
      </c>
    </row>
    <row r="885">
      <c r="A885" s="53" t="n">
        <v>44287</v>
      </c>
      <c r="B885" s="61" t="n">
        <v>60.7</v>
      </c>
      <c r="C885" s="62" t="n">
        <v>0.1218200270537983</v>
      </c>
      <c r="D885" s="62" t="n">
        <v>0.01600286109294064</v>
      </c>
      <c r="E885" s="62" t="n">
        <v>0.06556445212446005</v>
      </c>
    </row>
    <row r="886">
      <c r="A886" s="53" t="n">
        <v>44317</v>
      </c>
      <c r="B886" s="61" t="n">
        <v>61.2</v>
      </c>
      <c r="C886" s="62" t="n">
        <v>0.1218200270537983</v>
      </c>
      <c r="D886" s="62" t="n">
        <v>0.01600286109294064</v>
      </c>
      <c r="E886" s="62" t="n">
        <v>0.06556445212446005</v>
      </c>
    </row>
    <row r="887">
      <c r="A887" s="53" t="n">
        <v>44348</v>
      </c>
      <c r="B887" s="61" t="n">
        <v>60.6</v>
      </c>
      <c r="C887" s="62" t="n">
        <v>0.1218200270537983</v>
      </c>
      <c r="D887" s="62" t="n">
        <v>0.01600286109294064</v>
      </c>
      <c r="E887" s="62" t="n">
        <v>0.06556445212446005</v>
      </c>
    </row>
    <row r="888">
      <c r="A888" s="53" t="n">
        <v>44378</v>
      </c>
      <c r="B888" s="61" t="n">
        <v>59.5</v>
      </c>
      <c r="C888" s="62" t="n"/>
      <c r="D888" s="62" t="n"/>
      <c r="E888" s="62" t="n"/>
    </row>
    <row r="889">
      <c r="A889" s="53" t="n">
        <v>44409</v>
      </c>
      <c r="B889" s="61" t="n">
        <v>59.9</v>
      </c>
      <c r="C889" s="62" t="n"/>
      <c r="D889" s="62" t="n"/>
      <c r="E889" s="62" t="n"/>
    </row>
    <row r="890">
      <c r="A890" s="53" t="n">
        <v>44440</v>
      </c>
      <c r="B890" s="61" t="n">
        <v>61.1</v>
      </c>
      <c r="C890" s="62" t="n"/>
      <c r="D890" s="62" t="n"/>
      <c r="E890" s="62" t="n"/>
    </row>
  </sheetData>
  <conditionalFormatting sqref="B750:B890">
    <cfRule type="colorScale" priority="2">
      <colorScale>
        <cfvo type="min"/>
        <cfvo type="percentile" val="50"/>
        <cfvo type="max"/>
        <color rgb="FFF8696B"/>
        <color rgb="FFFFEB84"/>
        <color rgb="FF63BE7B"/>
      </colorScale>
    </cfRule>
  </conditionalFormatting>
  <conditionalFormatting sqref="E750:E89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codeName="Sheet8">
    <tabColor rgb="FFFF0000"/>
    <outlinePr summaryBelow="1" summaryRight="1"/>
    <pageSetUpPr/>
  </sheetPr>
  <dimension ref="A5:K890"/>
  <sheetViews>
    <sheetView zoomScale="170" zoomScaleNormal="170" workbookViewId="0">
      <pane ySplit="5" topLeftCell="A849" activePane="bottomLeft" state="frozen"/>
      <selection pane="bottomLeft" activeCell="C889" sqref="C889:C890"/>
    </sheetView>
  </sheetViews>
  <sheetFormatPr baseColWidth="10" defaultColWidth="9.1640625" defaultRowHeight="15"/>
  <cols>
    <col width="12.1640625" customWidth="1" style="116" min="1" max="1"/>
    <col width="11" customWidth="1" style="116" min="2" max="2"/>
    <col width="11" customWidth="1" style="10" min="3" max="3"/>
    <col width="10.33203125" customWidth="1" style="8" min="4" max="4"/>
    <col width="6.1640625" customWidth="1" style="116" min="5" max="5"/>
    <col width="2.6640625" customWidth="1" style="116" min="6" max="8"/>
    <col width="2.6640625" customWidth="1" style="2" min="9" max="10"/>
    <col width="2.6640625" customWidth="1" style="116" min="11" max="11"/>
    <col width="3.1640625" customWidth="1" style="116" min="12" max="13"/>
    <col width="9.1640625" customWidth="1" style="116" min="14" max="20"/>
    <col width="9.1640625" customWidth="1" style="116" min="21" max="16384"/>
  </cols>
  <sheetData>
    <row r="4" ht="16" customHeight="1" thickBot="1"/>
    <row r="5" customFormat="1" s="122">
      <c r="A5" s="50" t="inlineStr">
        <is>
          <t>Date</t>
        </is>
      </c>
      <c r="B5" s="51" t="inlineStr">
        <is>
          <t>PMI</t>
        </is>
      </c>
      <c r="C5" s="51" t="inlineStr">
        <is>
          <t>S&amp;P</t>
        </is>
      </c>
      <c r="D5" s="52" t="inlineStr">
        <is>
          <t>S&amp;P yoy %</t>
        </is>
      </c>
      <c r="I5" s="9" t="n"/>
      <c r="J5" s="9" t="n"/>
    </row>
    <row r="6">
      <c r="A6" s="54" t="n">
        <v>17533</v>
      </c>
      <c r="B6" s="55" t="n">
        <v>51.7</v>
      </c>
      <c r="C6" s="56" t="n">
        <v>14.68</v>
      </c>
      <c r="D6" s="62" t="n"/>
      <c r="F6" s="3" t="n"/>
      <c r="K6" s="2" t="n"/>
    </row>
    <row r="7">
      <c r="A7" s="54" t="n">
        <v>17564</v>
      </c>
      <c r="B7" s="55" t="n">
        <v>50.2</v>
      </c>
      <c r="C7" s="56" t="n">
        <v>13.93</v>
      </c>
      <c r="D7" s="62" t="n"/>
      <c r="F7" s="3" t="n"/>
      <c r="K7" s="2" t="n"/>
    </row>
    <row r="8">
      <c r="A8" s="54" t="n">
        <v>17593</v>
      </c>
      <c r="B8" s="55" t="n">
        <v>43.3</v>
      </c>
      <c r="C8" s="56" t="n">
        <v>15.08</v>
      </c>
      <c r="D8" s="62" t="n"/>
      <c r="F8" s="3" t="n"/>
      <c r="K8" s="2" t="n"/>
    </row>
    <row r="9">
      <c r="A9" s="54" t="n">
        <v>17624</v>
      </c>
      <c r="B9" s="55" t="n">
        <v>45.4</v>
      </c>
      <c r="C9" s="56" t="n">
        <v>15.48</v>
      </c>
      <c r="D9" s="62" t="n"/>
      <c r="F9" s="3" t="n"/>
      <c r="K9" s="2" t="n"/>
    </row>
    <row r="10">
      <c r="A10" s="54" t="n">
        <v>17654</v>
      </c>
      <c r="B10" s="55" t="n">
        <v>49.5</v>
      </c>
      <c r="C10" s="56" t="n">
        <v>16.69</v>
      </c>
      <c r="D10" s="62" t="n"/>
      <c r="F10" s="3" t="n"/>
      <c r="K10" s="2" t="n"/>
    </row>
    <row r="11">
      <c r="A11" s="54" t="n">
        <v>17685</v>
      </c>
      <c r="B11" s="55" t="n">
        <v>53</v>
      </c>
      <c r="C11" s="56" t="n">
        <v>16.74</v>
      </c>
      <c r="D11" s="62" t="n"/>
      <c r="F11" s="3" t="n"/>
      <c r="K11" s="2" t="n"/>
    </row>
    <row r="12">
      <c r="A12" s="54" t="n">
        <v>17715</v>
      </c>
      <c r="B12" s="55" t="n">
        <v>48.4</v>
      </c>
      <c r="C12" s="56" t="n">
        <v>15.85</v>
      </c>
      <c r="D12" s="62" t="n"/>
      <c r="F12" s="3" t="n"/>
      <c r="K12" s="2" t="n"/>
    </row>
    <row r="13">
      <c r="A13" s="54" t="n">
        <v>17746</v>
      </c>
      <c r="B13" s="55" t="n">
        <v>45.1</v>
      </c>
      <c r="C13" s="56" t="n">
        <v>15.97</v>
      </c>
      <c r="D13" s="62" t="n"/>
      <c r="F13" s="3" t="n"/>
      <c r="K13" s="2" t="n"/>
    </row>
    <row r="14">
      <c r="A14" s="54" t="n">
        <v>17777</v>
      </c>
      <c r="B14" s="55" t="n">
        <v>42.1</v>
      </c>
      <c r="C14" s="56" t="n">
        <v>15.49</v>
      </c>
      <c r="D14" s="62" t="n"/>
      <c r="F14" s="3" t="n"/>
      <c r="K14" s="2" t="n"/>
    </row>
    <row r="15">
      <c r="A15" s="54" t="n">
        <v>17807</v>
      </c>
      <c r="B15" s="55" t="n">
        <v>47.2</v>
      </c>
      <c r="C15" s="56" t="n">
        <v>16.5</v>
      </c>
      <c r="D15" s="62" t="n"/>
      <c r="F15" s="3" t="n"/>
      <c r="K15" s="2" t="n"/>
    </row>
    <row r="16">
      <c r="A16" s="54" t="n">
        <v>17838</v>
      </c>
      <c r="B16" s="55" t="n">
        <v>42.4</v>
      </c>
      <c r="C16" s="56" t="n">
        <v>14.75</v>
      </c>
      <c r="D16" s="62" t="n"/>
      <c r="F16" s="3" t="n"/>
      <c r="K16" s="2" t="n"/>
    </row>
    <row r="17">
      <c r="A17" s="54" t="n">
        <v>17868</v>
      </c>
      <c r="B17" s="55" t="n">
        <v>35</v>
      </c>
      <c r="C17" s="56" t="n">
        <v>15.2</v>
      </c>
      <c r="D17" s="62" t="n"/>
      <c r="F17" s="3" t="n"/>
      <c r="K17" s="2" t="n"/>
    </row>
    <row r="18">
      <c r="A18" s="54" t="n">
        <v>17899</v>
      </c>
      <c r="B18" s="55" t="n">
        <v>32.9</v>
      </c>
      <c r="C18" s="56" t="n">
        <v>15.22</v>
      </c>
      <c r="D18" s="62">
        <f>(Table7[[#This Row],[S&amp;P]]-C6)/C6</f>
        <v/>
      </c>
      <c r="F18" s="3" t="n"/>
      <c r="K18" s="2" t="n"/>
    </row>
    <row r="19">
      <c r="A19" s="54" t="n">
        <v>17930</v>
      </c>
      <c r="B19" s="55" t="n">
        <v>31.3</v>
      </c>
      <c r="C19" s="56" t="n">
        <v>14.62</v>
      </c>
      <c r="D19" s="62">
        <f>(Table7[[#This Row],[S&amp;P]]-C7)/C7</f>
        <v/>
      </c>
      <c r="F19" s="3" t="n"/>
      <c r="K19" s="2" t="n"/>
    </row>
    <row r="20">
      <c r="A20" s="54" t="n">
        <v>17958</v>
      </c>
      <c r="B20" s="55" t="n">
        <v>34.5</v>
      </c>
      <c r="C20" s="56" t="n">
        <v>15.06</v>
      </c>
      <c r="D20" s="62">
        <f>(Table7[[#This Row],[S&amp;P]]-C8)/C8</f>
        <v/>
      </c>
      <c r="F20" s="3" t="n"/>
      <c r="K20" s="2" t="n"/>
    </row>
    <row r="21">
      <c r="A21" s="54" t="n">
        <v>17989</v>
      </c>
      <c r="B21" s="55" t="n">
        <v>35.5</v>
      </c>
      <c r="C21" s="56" t="n">
        <v>14.71</v>
      </c>
      <c r="D21" s="62">
        <f>(Table7[[#This Row],[S&amp;P]]-C9)/C9</f>
        <v/>
      </c>
      <c r="F21" s="3" t="n"/>
      <c r="K21" s="2" t="n"/>
    </row>
    <row r="22">
      <c r="A22" s="54" t="n">
        <v>18019</v>
      </c>
      <c r="B22" s="55" t="n">
        <v>32.6</v>
      </c>
      <c r="C22" s="56" t="n">
        <v>14.19</v>
      </c>
      <c r="D22" s="62">
        <f>(Table7[[#This Row],[S&amp;P]]-C10)/C10</f>
        <v/>
      </c>
      <c r="F22" s="3" t="n"/>
      <c r="K22" s="2" t="n"/>
    </row>
    <row r="23">
      <c r="A23" s="54" t="n">
        <v>18050</v>
      </c>
      <c r="B23" s="55" t="n">
        <v>31.6</v>
      </c>
      <c r="C23" s="56" t="n">
        <v>14.16</v>
      </c>
      <c r="D23" s="62">
        <f>(Table7[[#This Row],[S&amp;P]]-C11)/C11</f>
        <v/>
      </c>
      <c r="F23" s="3" t="n"/>
      <c r="K23" s="2" t="n"/>
    </row>
    <row r="24">
      <c r="A24" s="54" t="n">
        <v>18080</v>
      </c>
      <c r="B24" s="55" t="n">
        <v>39</v>
      </c>
      <c r="C24" s="56" t="n">
        <v>15.04</v>
      </c>
      <c r="D24" s="62">
        <f>(Table7[[#This Row],[S&amp;P]]-C12)/C12</f>
        <v/>
      </c>
      <c r="F24" s="3" t="n"/>
      <c r="K24" s="2" t="n"/>
    </row>
    <row r="25">
      <c r="A25" s="54" t="n">
        <v>18111</v>
      </c>
      <c r="B25" s="55" t="n">
        <v>47</v>
      </c>
      <c r="C25" s="56" t="n">
        <v>15.22</v>
      </c>
      <c r="D25" s="62">
        <f>(Table7[[#This Row],[S&amp;P]]-C13)/C13</f>
        <v/>
      </c>
      <c r="F25" s="3" t="n"/>
      <c r="K25" s="2" t="n"/>
    </row>
    <row r="26">
      <c r="A26" s="54" t="n">
        <v>18142</v>
      </c>
      <c r="B26" s="55" t="n">
        <v>52.3</v>
      </c>
      <c r="C26" s="56" t="n">
        <v>15.58</v>
      </c>
      <c r="D26" s="62">
        <f>(Table7[[#This Row],[S&amp;P]]-C14)/C14</f>
        <v/>
      </c>
      <c r="F26" s="3" t="n"/>
      <c r="K26" s="2" t="n"/>
    </row>
    <row r="27">
      <c r="A27" s="54" t="n">
        <v>18172</v>
      </c>
      <c r="B27" s="55" t="n">
        <v>51</v>
      </c>
      <c r="C27" s="56" t="n">
        <v>16.04</v>
      </c>
      <c r="D27" s="62">
        <f>(Table7[[#This Row],[S&amp;P]]-C15)/C15</f>
        <v/>
      </c>
      <c r="F27" s="3" t="n"/>
      <c r="K27" s="2" t="n"/>
    </row>
    <row r="28">
      <c r="A28" s="54" t="n">
        <v>18203</v>
      </c>
      <c r="B28" s="55" t="n">
        <v>51</v>
      </c>
      <c r="C28" s="56" t="n">
        <v>16.06</v>
      </c>
      <c r="D28" s="62">
        <f>(Table7[[#This Row],[S&amp;P]]-C16)/C16</f>
        <v/>
      </c>
      <c r="F28" s="3" t="n"/>
      <c r="K28" s="2" t="n"/>
    </row>
    <row r="29">
      <c r="A29" s="54" t="n">
        <v>18233</v>
      </c>
      <c r="B29" s="55" t="n">
        <v>57.3</v>
      </c>
      <c r="C29" s="56" t="n">
        <v>16.79</v>
      </c>
      <c r="D29" s="62">
        <f>(Table7[[#This Row],[S&amp;P]]-C17)/C17</f>
        <v/>
      </c>
      <c r="F29" s="3" t="n"/>
      <c r="K29" s="2" t="n"/>
    </row>
    <row r="30">
      <c r="A30" s="54" t="n">
        <v>18264</v>
      </c>
      <c r="B30" s="55" t="n">
        <v>59.1</v>
      </c>
      <c r="C30" s="56" t="n">
        <v>17.049999</v>
      </c>
      <c r="D30" s="62">
        <f>(Table7[[#This Row],[S&amp;P]]-C18)/C18</f>
        <v/>
      </c>
      <c r="F30" s="3" t="n"/>
      <c r="K30" s="2" t="n"/>
    </row>
    <row r="31">
      <c r="A31" s="54" t="n">
        <v>18295</v>
      </c>
      <c r="B31" s="55" t="n">
        <v>60.5</v>
      </c>
      <c r="C31" s="56" t="n">
        <v>17.219999</v>
      </c>
      <c r="D31" s="62">
        <f>(Table7[[#This Row],[S&amp;P]]-C19)/C19</f>
        <v/>
      </c>
      <c r="F31" s="3" t="n"/>
      <c r="K31" s="2" t="n"/>
    </row>
    <row r="32">
      <c r="A32" s="54" t="n">
        <v>18323</v>
      </c>
      <c r="B32" s="55" t="n">
        <v>62.1</v>
      </c>
      <c r="C32" s="56" t="n">
        <v>17.290001</v>
      </c>
      <c r="D32" s="62">
        <f>(Table7[[#This Row],[S&amp;P]]-C20)/C20</f>
        <v/>
      </c>
      <c r="F32" s="3" t="n"/>
      <c r="K32" s="2" t="n"/>
    </row>
    <row r="33">
      <c r="A33" s="54" t="n">
        <v>18354</v>
      </c>
      <c r="B33" s="55" t="n">
        <v>68.09999999999999</v>
      </c>
      <c r="C33" s="56" t="n">
        <v>18.07</v>
      </c>
      <c r="D33" s="62">
        <f>(Table7[[#This Row],[S&amp;P]]-C21)/C21</f>
        <v/>
      </c>
      <c r="F33" s="3" t="n"/>
      <c r="K33" s="2" t="n"/>
    </row>
    <row r="34">
      <c r="A34" s="54" t="n">
        <v>18384</v>
      </c>
      <c r="B34" s="55" t="n">
        <v>74.7</v>
      </c>
      <c r="C34" s="56" t="n">
        <v>18.780001</v>
      </c>
      <c r="D34" s="62">
        <f>(Table7[[#This Row],[S&amp;P]]-C22)/C22</f>
        <v/>
      </c>
      <c r="F34" s="3" t="n"/>
      <c r="K34" s="2" t="n"/>
    </row>
    <row r="35">
      <c r="A35" s="54" t="n">
        <v>18415</v>
      </c>
      <c r="B35" s="55" t="n">
        <v>76.59999999999999</v>
      </c>
      <c r="C35" s="56" t="n">
        <v>17.690001</v>
      </c>
      <c r="D35" s="62">
        <f>(Table7[[#This Row],[S&amp;P]]-C23)/C23</f>
        <v/>
      </c>
      <c r="F35" s="3" t="n"/>
      <c r="K35" s="2" t="n"/>
    </row>
    <row r="36">
      <c r="A36" s="54" t="n">
        <v>18445</v>
      </c>
      <c r="B36" s="55" t="n">
        <v>77.5</v>
      </c>
      <c r="C36" s="56" t="n">
        <v>17.84</v>
      </c>
      <c r="D36" s="62">
        <f>(Table7[[#This Row],[S&amp;P]]-C24)/C24</f>
        <v/>
      </c>
      <c r="F36" s="3" t="n"/>
      <c r="K36" s="2" t="n"/>
    </row>
    <row r="37">
      <c r="A37" s="54" t="n">
        <v>18476</v>
      </c>
      <c r="B37" s="55" t="n">
        <v>75.8</v>
      </c>
      <c r="C37" s="56" t="n">
        <v>18.42</v>
      </c>
      <c r="D37" s="62">
        <f>(Table7[[#This Row],[S&amp;P]]-C25)/C25</f>
        <v/>
      </c>
      <c r="F37" s="3" t="n"/>
      <c r="K37" s="2" t="n"/>
    </row>
    <row r="38">
      <c r="A38" s="54" t="n">
        <v>18507</v>
      </c>
      <c r="B38" s="55" t="n">
        <v>68.09999999999999</v>
      </c>
      <c r="C38" s="56" t="n">
        <v>19.450001</v>
      </c>
      <c r="D38" s="62">
        <f>(Table7[[#This Row],[S&amp;P]]-C26)/C26</f>
        <v/>
      </c>
      <c r="F38" s="3" t="n"/>
      <c r="K38" s="2" t="n"/>
    </row>
    <row r="39">
      <c r="A39" s="54" t="n">
        <v>18537</v>
      </c>
      <c r="B39" s="55" t="n">
        <v>59.2</v>
      </c>
      <c r="C39" s="56" t="n">
        <v>19.530001</v>
      </c>
      <c r="D39" s="62">
        <f>(Table7[[#This Row],[S&amp;P]]-C27)/C27</f>
        <v/>
      </c>
      <c r="F39" s="3" t="n"/>
      <c r="K39" s="2" t="n"/>
    </row>
    <row r="40">
      <c r="A40" s="54" t="n">
        <v>18568</v>
      </c>
      <c r="B40" s="55" t="n">
        <v>63.1</v>
      </c>
      <c r="C40" s="56" t="n">
        <v>19.51</v>
      </c>
      <c r="D40" s="62">
        <f>(Table7[[#This Row],[S&amp;P]]-C28)/C28</f>
        <v/>
      </c>
      <c r="F40" s="3" t="n"/>
      <c r="K40" s="2" t="n"/>
    </row>
    <row r="41">
      <c r="A41" s="54" t="n">
        <v>18598</v>
      </c>
      <c r="B41" s="55" t="n">
        <v>67.09999999999999</v>
      </c>
      <c r="C41" s="56" t="n">
        <v>20.41</v>
      </c>
      <c r="D41" s="62">
        <f>(Table7[[#This Row],[S&amp;P]]-C29)/C29</f>
        <v/>
      </c>
      <c r="F41" s="3" t="n"/>
      <c r="K41" s="2" t="n"/>
    </row>
    <row r="42">
      <c r="A42" s="54" t="n">
        <v>18629</v>
      </c>
      <c r="B42" s="55" t="n">
        <v>67.8</v>
      </c>
      <c r="C42" s="56" t="n">
        <v>21.66</v>
      </c>
      <c r="D42" s="62">
        <f>(Table7[[#This Row],[S&amp;P]]-C30)/C30</f>
        <v/>
      </c>
      <c r="F42" s="3" t="n"/>
      <c r="K42" s="2" t="n"/>
    </row>
    <row r="43">
      <c r="A43" s="54" t="n">
        <v>18660</v>
      </c>
      <c r="B43" s="55" t="n">
        <v>69.3</v>
      </c>
      <c r="C43" s="56" t="n">
        <v>21.799999</v>
      </c>
      <c r="D43" s="62">
        <f>(Table7[[#This Row],[S&amp;P]]-C31)/C31</f>
        <v/>
      </c>
      <c r="F43" s="3" t="n"/>
      <c r="K43" s="2" t="n"/>
    </row>
    <row r="44">
      <c r="A44" s="54" t="n">
        <v>18688</v>
      </c>
      <c r="B44" s="55" t="n">
        <v>65.5</v>
      </c>
      <c r="C44" s="56" t="n">
        <v>21.4</v>
      </c>
      <c r="D44" s="62">
        <f>(Table7[[#This Row],[S&amp;P]]-C32)/C32</f>
        <v/>
      </c>
      <c r="F44" s="3" t="n"/>
      <c r="K44" s="2" t="n"/>
    </row>
    <row r="45">
      <c r="A45" s="54" t="n">
        <v>18719</v>
      </c>
      <c r="B45" s="55" t="n">
        <v>53.5</v>
      </c>
      <c r="C45" s="56" t="n">
        <v>22.43</v>
      </c>
      <c r="D45" s="62">
        <f>(Table7[[#This Row],[S&amp;P]]-C33)/C33</f>
        <v/>
      </c>
      <c r="F45" s="3" t="n"/>
      <c r="K45" s="2" t="n"/>
    </row>
    <row r="46">
      <c r="A46" s="54" t="n">
        <v>18749</v>
      </c>
      <c r="B46" s="55" t="n">
        <v>50.7</v>
      </c>
      <c r="C46" s="56" t="n">
        <v>21.52</v>
      </c>
      <c r="D46" s="62">
        <f>(Table7[[#This Row],[S&amp;P]]-C34)/C34</f>
        <v/>
      </c>
      <c r="F46" s="3" t="n"/>
      <c r="K46" s="2" t="n"/>
    </row>
    <row r="47">
      <c r="A47" s="54" t="n">
        <v>18780</v>
      </c>
      <c r="B47" s="55" t="n">
        <v>45.5</v>
      </c>
      <c r="C47" s="56" t="n">
        <v>20.959999</v>
      </c>
      <c r="D47" s="62">
        <f>(Table7[[#This Row],[S&amp;P]]-C35)/C35</f>
        <v/>
      </c>
      <c r="F47" s="3" t="n"/>
      <c r="K47" s="2" t="n"/>
    </row>
    <row r="48">
      <c r="A48" s="54" t="n">
        <v>18810</v>
      </c>
      <c r="B48" s="55" t="n">
        <v>42.1</v>
      </c>
      <c r="C48" s="56" t="n">
        <v>22.4</v>
      </c>
      <c r="D48" s="62">
        <f>(Table7[[#This Row],[S&amp;P]]-C36)/C36</f>
        <v/>
      </c>
      <c r="F48" s="3" t="n"/>
      <c r="K48" s="2" t="n"/>
    </row>
    <row r="49">
      <c r="A49" s="54" t="n">
        <v>18841</v>
      </c>
      <c r="B49" s="55" t="n">
        <v>43.6</v>
      </c>
      <c r="C49" s="56" t="n">
        <v>23.280001</v>
      </c>
      <c r="D49" s="62">
        <f>(Table7[[#This Row],[S&amp;P]]-C37)/C37</f>
        <v/>
      </c>
      <c r="F49" s="3" t="n"/>
      <c r="K49" s="2" t="n"/>
    </row>
    <row r="50">
      <c r="A50" s="54" t="n">
        <v>18872</v>
      </c>
      <c r="B50" s="55" t="n">
        <v>48.1</v>
      </c>
      <c r="C50" s="56" t="n">
        <v>23.26</v>
      </c>
      <c r="D50" s="62">
        <f>(Table7[[#This Row],[S&amp;P]]-C38)/C38</f>
        <v/>
      </c>
      <c r="F50" s="3" t="n"/>
      <c r="K50" s="2" t="n"/>
    </row>
    <row r="51">
      <c r="A51" s="54" t="n">
        <v>18902</v>
      </c>
      <c r="B51" s="55" t="n">
        <v>49.6</v>
      </c>
      <c r="C51" s="56" t="n">
        <v>22.940001</v>
      </c>
      <c r="D51" s="62">
        <f>(Table7[[#This Row],[S&amp;P]]-C39)/C39</f>
        <v/>
      </c>
      <c r="F51" s="3" t="n"/>
      <c r="K51" s="2" t="n"/>
    </row>
    <row r="52">
      <c r="A52" s="54" t="n">
        <v>18933</v>
      </c>
      <c r="B52" s="55" t="n">
        <v>47.2</v>
      </c>
      <c r="C52" s="56" t="n">
        <v>22.879999</v>
      </c>
      <c r="D52" s="62">
        <f>(Table7[[#This Row],[S&amp;P]]-C40)/C40</f>
        <v/>
      </c>
      <c r="F52" s="3" t="n"/>
      <c r="K52" s="2" t="n"/>
    </row>
    <row r="53">
      <c r="A53" s="54" t="n">
        <v>18963</v>
      </c>
      <c r="B53" s="55" t="n">
        <v>46.5</v>
      </c>
      <c r="C53" s="56" t="n">
        <v>23.77</v>
      </c>
      <c r="D53" s="62">
        <f>(Table7[[#This Row],[S&amp;P]]-C41)/C41</f>
        <v/>
      </c>
      <c r="F53" s="3" t="n"/>
      <c r="K53" s="2" t="n"/>
    </row>
    <row r="54">
      <c r="A54" s="54" t="n">
        <v>18994</v>
      </c>
      <c r="B54" s="55" t="n">
        <v>44.7</v>
      </c>
      <c r="C54" s="56" t="n">
        <v>24.139999</v>
      </c>
      <c r="D54" s="62">
        <f>(Table7[[#This Row],[S&amp;P]]-C42)/C42</f>
        <v/>
      </c>
      <c r="F54" s="3" t="n"/>
      <c r="K54" s="2" t="n"/>
    </row>
    <row r="55">
      <c r="A55" s="54" t="n">
        <v>19025</v>
      </c>
      <c r="B55" s="55" t="n">
        <v>41.8</v>
      </c>
      <c r="C55" s="56" t="n">
        <v>23.26</v>
      </c>
      <c r="D55" s="62">
        <f>(Table7[[#This Row],[S&amp;P]]-C43)/C43</f>
        <v/>
      </c>
      <c r="F55" s="3" t="n"/>
      <c r="K55" s="2" t="n"/>
    </row>
    <row r="56">
      <c r="A56" s="54" t="n">
        <v>19054</v>
      </c>
      <c r="B56" s="55" t="n">
        <v>40</v>
      </c>
      <c r="C56" s="56" t="n">
        <v>24.370001</v>
      </c>
      <c r="D56" s="62">
        <f>(Table7[[#This Row],[S&amp;P]]-C44)/C44</f>
        <v/>
      </c>
      <c r="F56" s="3" t="n"/>
      <c r="K56" s="2" t="n"/>
    </row>
    <row r="57">
      <c r="A57" s="54" t="n">
        <v>19085</v>
      </c>
      <c r="B57" s="55" t="n">
        <v>36.7</v>
      </c>
      <c r="C57" s="56" t="n">
        <v>23.32</v>
      </c>
      <c r="D57" s="62">
        <f>(Table7[[#This Row],[S&amp;P]]-C45)/C45</f>
        <v/>
      </c>
      <c r="F57" s="3" t="n"/>
      <c r="K57" s="2" t="n"/>
    </row>
    <row r="58">
      <c r="A58" s="54" t="n">
        <v>19115</v>
      </c>
      <c r="B58" s="55" t="n">
        <v>39.5</v>
      </c>
      <c r="C58" s="56" t="n">
        <v>23.860001</v>
      </c>
      <c r="D58" s="62">
        <f>(Table7[[#This Row],[S&amp;P]]-C46)/C46</f>
        <v/>
      </c>
      <c r="F58" s="3" t="n"/>
      <c r="K58" s="2" t="n"/>
    </row>
    <row r="59">
      <c r="A59" s="54" t="n">
        <v>19146</v>
      </c>
      <c r="B59" s="55" t="n">
        <v>43.3</v>
      </c>
      <c r="C59" s="56" t="n">
        <v>24.959999</v>
      </c>
      <c r="D59" s="62">
        <f>(Table7[[#This Row],[S&amp;P]]-C47)/C47</f>
        <v/>
      </c>
      <c r="F59" s="3" t="n"/>
      <c r="K59" s="2" t="n"/>
    </row>
    <row r="60">
      <c r="A60" s="54" t="n">
        <v>19176</v>
      </c>
      <c r="B60" s="55" t="n">
        <v>48.3</v>
      </c>
      <c r="C60" s="56" t="n">
        <v>25.4</v>
      </c>
      <c r="D60" s="62">
        <f>(Table7[[#This Row],[S&amp;P]]-C48)/C48</f>
        <v/>
      </c>
      <c r="F60" s="3" t="n"/>
      <c r="K60" s="2" t="n"/>
    </row>
    <row r="61">
      <c r="A61" s="54" t="n">
        <v>19207</v>
      </c>
      <c r="B61" s="55" t="n">
        <v>60.4</v>
      </c>
      <c r="C61" s="56" t="n">
        <v>25.030001</v>
      </c>
      <c r="D61" s="62">
        <f>(Table7[[#This Row],[S&amp;P]]-C49)/C49</f>
        <v/>
      </c>
      <c r="F61" s="3" t="n"/>
      <c r="K61" s="2" t="n"/>
    </row>
    <row r="62">
      <c r="A62" s="54" t="n">
        <v>19238</v>
      </c>
      <c r="B62" s="55" t="n">
        <v>56.1</v>
      </c>
      <c r="C62" s="56" t="n">
        <v>24.540001</v>
      </c>
      <c r="D62" s="62">
        <f>(Table7[[#This Row],[S&amp;P]]-C50)/C50</f>
        <v/>
      </c>
      <c r="F62" s="3" t="n"/>
      <c r="K62" s="2" t="n"/>
    </row>
    <row r="63">
      <c r="A63" s="54" t="n">
        <v>19268</v>
      </c>
      <c r="B63" s="55" t="n">
        <v>56.2</v>
      </c>
      <c r="C63" s="56" t="n">
        <v>24.52</v>
      </c>
      <c r="D63" s="62">
        <f>(Table7[[#This Row],[S&amp;P]]-C51)/C51</f>
        <v/>
      </c>
      <c r="F63" s="3" t="n"/>
      <c r="K63" s="2" t="n"/>
    </row>
    <row r="64">
      <c r="A64" s="54" t="n">
        <v>19299</v>
      </c>
      <c r="B64" s="55" t="n">
        <v>56.8</v>
      </c>
      <c r="C64" s="56" t="n">
        <v>25.66</v>
      </c>
      <c r="D64" s="62">
        <f>(Table7[[#This Row],[S&amp;P]]-C52)/C52</f>
        <v/>
      </c>
      <c r="F64" s="3" t="n"/>
      <c r="K64" s="2" t="n"/>
    </row>
    <row r="65">
      <c r="A65" s="54" t="n">
        <v>19329</v>
      </c>
      <c r="B65" s="55" t="n">
        <v>55.8</v>
      </c>
      <c r="C65" s="56" t="n">
        <v>26.57</v>
      </c>
      <c r="D65" s="62">
        <f>(Table7[[#This Row],[S&amp;P]]-C53)/C53</f>
        <v/>
      </c>
      <c r="F65" s="3" t="n"/>
      <c r="K65" s="2" t="n"/>
    </row>
    <row r="66">
      <c r="A66" s="54" t="n">
        <v>19360</v>
      </c>
      <c r="B66" s="55" t="n">
        <v>59.4</v>
      </c>
      <c r="C66" s="56" t="n">
        <v>26.379999</v>
      </c>
      <c r="D66" s="62">
        <f>(Table7[[#This Row],[S&amp;P]]-C54)/C54</f>
        <v/>
      </c>
      <c r="F66" s="3" t="n"/>
      <c r="K66" s="2" t="n"/>
    </row>
    <row r="67">
      <c r="A67" s="54" t="n">
        <v>19391</v>
      </c>
      <c r="B67" s="55" t="n">
        <v>55.4</v>
      </c>
      <c r="C67" s="56" t="n">
        <v>25.9</v>
      </c>
      <c r="D67" s="62">
        <f>(Table7[[#This Row],[S&amp;P]]-C55)/C55</f>
        <v/>
      </c>
      <c r="F67" s="3" t="n"/>
      <c r="K67" s="2" t="n"/>
    </row>
    <row r="68">
      <c r="A68" s="54" t="n">
        <v>19419</v>
      </c>
      <c r="B68" s="55" t="n">
        <v>50.5</v>
      </c>
      <c r="C68" s="56" t="n">
        <v>25.290001</v>
      </c>
      <c r="D68" s="62">
        <f>(Table7[[#This Row],[S&amp;P]]-C56)/C56</f>
        <v/>
      </c>
      <c r="F68" s="3" t="n"/>
      <c r="K68" s="2" t="n"/>
    </row>
    <row r="69">
      <c r="A69" s="54" t="n">
        <v>19450</v>
      </c>
      <c r="B69" s="55" t="n">
        <v>51.1</v>
      </c>
      <c r="C69" s="56" t="n">
        <v>24.620001</v>
      </c>
      <c r="D69" s="62">
        <f>(Table7[[#This Row],[S&amp;P]]-C57)/C57</f>
        <v/>
      </c>
      <c r="F69" s="3" t="n"/>
      <c r="K69" s="2" t="n"/>
    </row>
    <row r="70">
      <c r="A70" s="54" t="n">
        <v>19480</v>
      </c>
      <c r="B70" s="55" t="n">
        <v>48.9</v>
      </c>
      <c r="C70" s="56" t="n">
        <v>24.540001</v>
      </c>
      <c r="D70" s="62">
        <f>(Table7[[#This Row],[S&amp;P]]-C58)/C58</f>
        <v/>
      </c>
      <c r="F70" s="3" t="n"/>
      <c r="K70" s="2" t="n"/>
    </row>
    <row r="71">
      <c r="A71" s="54" t="n">
        <v>19511</v>
      </c>
      <c r="B71" s="55" t="n">
        <v>48.5</v>
      </c>
      <c r="C71" s="56" t="n">
        <v>24.139999</v>
      </c>
      <c r="D71" s="62">
        <f>(Table7[[#This Row],[S&amp;P]]-C59)/C59</f>
        <v/>
      </c>
      <c r="F71" s="3" t="n"/>
      <c r="K71" s="2" t="n"/>
    </row>
    <row r="72">
      <c r="A72" s="54" t="n">
        <v>19541</v>
      </c>
      <c r="B72" s="55" t="n">
        <v>46.3</v>
      </c>
      <c r="C72" s="56" t="n">
        <v>24.75</v>
      </c>
      <c r="D72" s="62">
        <f>(Table7[[#This Row],[S&amp;P]]-C60)/C60</f>
        <v/>
      </c>
      <c r="F72" s="3" t="n"/>
      <c r="K72" s="2" t="n"/>
    </row>
    <row r="73">
      <c r="A73" s="54" t="n">
        <v>19572</v>
      </c>
      <c r="B73" s="55" t="n">
        <v>43.5</v>
      </c>
      <c r="C73" s="56" t="n">
        <v>23.32</v>
      </c>
      <c r="D73" s="62">
        <f>(Table7[[#This Row],[S&amp;P]]-C61)/C61</f>
        <v/>
      </c>
      <c r="F73" s="3" t="n"/>
      <c r="K73" s="2" t="n"/>
    </row>
    <row r="74">
      <c r="A74" s="54" t="n">
        <v>19603</v>
      </c>
      <c r="B74" s="55" t="n">
        <v>40.2</v>
      </c>
      <c r="C74" s="56" t="n">
        <v>23.35</v>
      </c>
      <c r="D74" s="62">
        <f>(Table7[[#This Row],[S&amp;P]]-C62)/C62</f>
        <v/>
      </c>
      <c r="F74" s="3" t="n"/>
      <c r="K74" s="2" t="n"/>
    </row>
    <row r="75">
      <c r="A75" s="54" t="n">
        <v>19633</v>
      </c>
      <c r="B75" s="55" t="n">
        <v>37.4</v>
      </c>
      <c r="C75" s="56" t="n">
        <v>24.540001</v>
      </c>
      <c r="D75" s="62">
        <f>(Table7[[#This Row],[S&amp;P]]-C63)/C63</f>
        <v/>
      </c>
      <c r="F75" s="3" t="n"/>
      <c r="K75" s="2" t="n"/>
    </row>
    <row r="76">
      <c r="A76" s="54" t="n">
        <v>19664</v>
      </c>
      <c r="B76" s="55" t="n">
        <v>36.9</v>
      </c>
      <c r="C76" s="56" t="n">
        <v>24.76</v>
      </c>
      <c r="D76" s="62">
        <f>(Table7[[#This Row],[S&amp;P]]-C64)/C64</f>
        <v/>
      </c>
      <c r="F76" s="3" t="n"/>
      <c r="K76" s="2" t="n"/>
    </row>
    <row r="77">
      <c r="A77" s="54" t="n">
        <v>19694</v>
      </c>
      <c r="B77" s="55" t="n">
        <v>35.6</v>
      </c>
      <c r="C77" s="56" t="n">
        <v>24.809999</v>
      </c>
      <c r="D77" s="62">
        <f>(Table7[[#This Row],[S&amp;P]]-C65)/C65</f>
        <v/>
      </c>
      <c r="F77" s="3" t="n"/>
      <c r="K77" s="2" t="n"/>
    </row>
    <row r="78">
      <c r="A78" s="54" t="n">
        <v>19725</v>
      </c>
      <c r="B78" s="55" t="n">
        <v>37.4</v>
      </c>
      <c r="C78" s="56" t="n">
        <v>26.08</v>
      </c>
      <c r="D78" s="62">
        <f>(Table7[[#This Row],[S&amp;P]]-C66)/C66</f>
        <v/>
      </c>
      <c r="F78" s="3" t="n"/>
      <c r="K78" s="2" t="n"/>
    </row>
    <row r="79">
      <c r="A79" s="54" t="n">
        <v>19756</v>
      </c>
      <c r="B79" s="55" t="n">
        <v>40.7</v>
      </c>
      <c r="C79" s="56" t="n">
        <v>26.15</v>
      </c>
      <c r="D79" s="62">
        <f>(Table7[[#This Row],[S&amp;P]]-C67)/C67</f>
        <v/>
      </c>
      <c r="F79" s="3" t="n"/>
      <c r="K79" s="2" t="n"/>
    </row>
    <row r="80">
      <c r="A80" s="54" t="n">
        <v>19784</v>
      </c>
      <c r="B80" s="55" t="n">
        <v>44.7</v>
      </c>
      <c r="C80" s="56" t="n">
        <v>26.940001</v>
      </c>
      <c r="D80" s="62">
        <f>(Table7[[#This Row],[S&amp;P]]-C68)/C68</f>
        <v/>
      </c>
      <c r="F80" s="3" t="n"/>
      <c r="K80" s="2" t="n"/>
    </row>
    <row r="81">
      <c r="A81" s="54" t="n">
        <v>19815</v>
      </c>
      <c r="B81" s="55" t="n">
        <v>47.7</v>
      </c>
      <c r="C81" s="56" t="n">
        <v>28.26</v>
      </c>
      <c r="D81" s="62">
        <f>(Table7[[#This Row],[S&amp;P]]-C69)/C69</f>
        <v/>
      </c>
      <c r="F81" s="3" t="n"/>
      <c r="K81" s="2" t="n"/>
    </row>
    <row r="82">
      <c r="A82" s="54" t="n">
        <v>19845</v>
      </c>
      <c r="B82" s="55" t="n">
        <v>50.1</v>
      </c>
      <c r="C82" s="56" t="n">
        <v>29.190001</v>
      </c>
      <c r="D82" s="62">
        <f>(Table7[[#This Row],[S&amp;P]]-C70)/C70</f>
        <v/>
      </c>
      <c r="F82" s="3" t="n"/>
      <c r="K82" s="2" t="n"/>
    </row>
    <row r="83">
      <c r="A83" s="54" t="n">
        <v>19876</v>
      </c>
      <c r="B83" s="55" t="n">
        <v>52.1</v>
      </c>
      <c r="C83" s="56" t="n">
        <v>29.209999</v>
      </c>
      <c r="D83" s="62">
        <f>(Table7[[#This Row],[S&amp;P]]-C71)/C71</f>
        <v/>
      </c>
      <c r="F83" s="3" t="n"/>
      <c r="K83" s="2" t="n"/>
    </row>
    <row r="84">
      <c r="A84" s="54" t="n">
        <v>19906</v>
      </c>
      <c r="B84" s="55" t="n">
        <v>51.7</v>
      </c>
      <c r="C84" s="56" t="n">
        <v>30.879999</v>
      </c>
      <c r="D84" s="62">
        <f>(Table7[[#This Row],[S&amp;P]]-C72)/C72</f>
        <v/>
      </c>
      <c r="F84" s="3" t="n"/>
      <c r="K84" s="2" t="n"/>
    </row>
    <row r="85">
      <c r="A85" s="54" t="n">
        <v>19937</v>
      </c>
      <c r="B85" s="55" t="n">
        <v>54.4</v>
      </c>
      <c r="C85" s="56" t="n">
        <v>29.83</v>
      </c>
      <c r="D85" s="62">
        <f>(Table7[[#This Row],[S&amp;P]]-C73)/C73</f>
        <v/>
      </c>
      <c r="F85" s="3" t="n"/>
      <c r="K85" s="2" t="n"/>
    </row>
    <row r="86">
      <c r="A86" s="54" t="n">
        <v>19968</v>
      </c>
      <c r="B86" s="55" t="n">
        <v>53.5</v>
      </c>
      <c r="C86" s="56" t="n">
        <v>32.310001</v>
      </c>
      <c r="D86" s="62">
        <f>(Table7[[#This Row],[S&amp;P]]-C74)/C74</f>
        <v/>
      </c>
      <c r="F86" s="3" t="n"/>
      <c r="K86" s="2" t="n"/>
    </row>
    <row r="87">
      <c r="A87" s="54" t="n">
        <v>19998</v>
      </c>
      <c r="B87" s="55" t="n">
        <v>58.2</v>
      </c>
      <c r="C87" s="56" t="n">
        <v>31.68</v>
      </c>
      <c r="D87" s="62">
        <f>(Table7[[#This Row],[S&amp;P]]-C75)/C75</f>
        <v/>
      </c>
      <c r="F87" s="3" t="n"/>
      <c r="K87" s="2" t="n"/>
    </row>
    <row r="88">
      <c r="A88" s="54" t="n">
        <v>20029</v>
      </c>
      <c r="B88" s="55" t="n">
        <v>58.8</v>
      </c>
      <c r="C88" s="56" t="n">
        <v>34.240002</v>
      </c>
      <c r="D88" s="62">
        <f>(Table7[[#This Row],[S&amp;P]]-C76)/C76</f>
        <v/>
      </c>
      <c r="F88" s="3" t="n"/>
      <c r="K88" s="2" t="n"/>
    </row>
    <row r="89">
      <c r="A89" s="54" t="n">
        <v>20059</v>
      </c>
      <c r="B89" s="55" t="n">
        <v>63.8</v>
      </c>
      <c r="C89" s="56" t="n">
        <v>35.98</v>
      </c>
      <c r="D89" s="62">
        <f>(Table7[[#This Row],[S&amp;P]]-C77)/C77</f>
        <v/>
      </c>
      <c r="F89" s="3" t="n"/>
      <c r="K89" s="2" t="n"/>
    </row>
    <row r="90">
      <c r="A90" s="54" t="n">
        <v>20090</v>
      </c>
      <c r="B90" s="55" t="n">
        <v>63</v>
      </c>
      <c r="C90" s="56" t="n">
        <v>36.630001</v>
      </c>
      <c r="D90" s="62">
        <f>(Table7[[#This Row],[S&amp;P]]-C78)/C78</f>
        <v/>
      </c>
      <c r="F90" s="3" t="n"/>
      <c r="K90" s="2" t="n"/>
    </row>
    <row r="91">
      <c r="A91" s="54" t="n">
        <v>20121</v>
      </c>
      <c r="B91" s="55" t="n">
        <v>67.8</v>
      </c>
      <c r="C91" s="56" t="n">
        <v>36.759998</v>
      </c>
      <c r="D91" s="62">
        <f>(Table7[[#This Row],[S&amp;P]]-C79)/C79</f>
        <v/>
      </c>
      <c r="F91" s="3" t="n"/>
      <c r="K91" s="2" t="n"/>
    </row>
    <row r="92">
      <c r="A92" s="54" t="n">
        <v>20149</v>
      </c>
      <c r="B92" s="55" t="n">
        <v>67.5</v>
      </c>
      <c r="C92" s="56" t="n">
        <v>36.580002</v>
      </c>
      <c r="D92" s="62">
        <f>(Table7[[#This Row],[S&amp;P]]-C80)/C80</f>
        <v/>
      </c>
      <c r="F92" s="3" t="n"/>
      <c r="K92" s="2" t="n"/>
    </row>
    <row r="93">
      <c r="A93" s="54" t="n">
        <v>20180</v>
      </c>
      <c r="B93" s="55" t="n">
        <v>68.7</v>
      </c>
      <c r="C93" s="56" t="n">
        <v>37.959999</v>
      </c>
      <c r="D93" s="62">
        <f>(Table7[[#This Row],[S&amp;P]]-C81)/C81</f>
        <v/>
      </c>
      <c r="F93" s="3" t="n"/>
      <c r="K93" s="2" t="n"/>
    </row>
    <row r="94">
      <c r="A94" s="54" t="n">
        <v>20210</v>
      </c>
      <c r="B94" s="55" t="n">
        <v>69.5</v>
      </c>
      <c r="C94" s="56" t="n">
        <v>37.91</v>
      </c>
      <c r="D94" s="62">
        <f>(Table7[[#This Row],[S&amp;P]]-C82)/C82</f>
        <v/>
      </c>
      <c r="F94" s="3" t="n"/>
      <c r="K94" s="2" t="n"/>
    </row>
    <row r="95">
      <c r="A95" s="54" t="n">
        <v>20241</v>
      </c>
      <c r="B95" s="55" t="n">
        <v>63.3</v>
      </c>
      <c r="C95" s="56" t="n">
        <v>41.029999</v>
      </c>
      <c r="D95" s="62">
        <f>(Table7[[#This Row],[S&amp;P]]-C83)/C83</f>
        <v/>
      </c>
      <c r="F95" s="3" t="n"/>
      <c r="K95" s="2" t="n"/>
    </row>
    <row r="96">
      <c r="A96" s="54" t="n">
        <v>20271</v>
      </c>
      <c r="B96" s="55" t="n">
        <v>66.2</v>
      </c>
      <c r="C96" s="56" t="n">
        <v>43.52</v>
      </c>
      <c r="D96" s="62">
        <f>(Table7[[#This Row],[S&amp;P]]-C84)/C84</f>
        <v/>
      </c>
      <c r="F96" s="3" t="n"/>
      <c r="K96" s="2" t="n"/>
    </row>
    <row r="97">
      <c r="A97" s="54" t="n">
        <v>20302</v>
      </c>
      <c r="B97" s="55" t="n">
        <v>64.8</v>
      </c>
      <c r="C97" s="56" t="n">
        <v>43.18</v>
      </c>
      <c r="D97" s="62">
        <f>(Table7[[#This Row],[S&amp;P]]-C85)/C85</f>
        <v/>
      </c>
      <c r="F97" s="3" t="n"/>
      <c r="K97" s="2" t="n"/>
    </row>
    <row r="98">
      <c r="A98" s="54" t="n">
        <v>20333</v>
      </c>
      <c r="B98" s="55" t="n">
        <v>62.4</v>
      </c>
      <c r="C98" s="56" t="n">
        <v>43.669998</v>
      </c>
      <c r="D98" s="62">
        <f>(Table7[[#This Row],[S&amp;P]]-C86)/C86</f>
        <v/>
      </c>
      <c r="F98" s="3" t="n"/>
      <c r="K98" s="2" t="n"/>
    </row>
    <row r="99">
      <c r="A99" s="54" t="n">
        <v>20363</v>
      </c>
      <c r="B99" s="55" t="n">
        <v>63.7</v>
      </c>
      <c r="C99" s="56" t="n">
        <v>42.34</v>
      </c>
      <c r="D99" s="62">
        <f>(Table7[[#This Row],[S&amp;P]]-C87)/C87</f>
        <v/>
      </c>
      <c r="F99" s="3" t="n"/>
      <c r="K99" s="2" t="n"/>
    </row>
    <row r="100">
      <c r="A100" s="54" t="n">
        <v>20394</v>
      </c>
      <c r="B100" s="55" t="n">
        <v>62</v>
      </c>
      <c r="C100" s="56" t="n">
        <v>45.509998</v>
      </c>
      <c r="D100" s="62">
        <f>(Table7[[#This Row],[S&amp;P]]-C88)/C88</f>
        <v/>
      </c>
      <c r="F100" s="3" t="n"/>
      <c r="K100" s="2" t="n"/>
    </row>
    <row r="101">
      <c r="A101" s="54" t="n">
        <v>20424</v>
      </c>
      <c r="B101" s="55" t="n">
        <v>65.59999999999999</v>
      </c>
      <c r="C101" s="56" t="n">
        <v>45.48</v>
      </c>
      <c r="D101" s="62">
        <f>(Table7[[#This Row],[S&amp;P]]-C89)/C89</f>
        <v/>
      </c>
      <c r="F101" s="3" t="n"/>
      <c r="K101" s="2" t="n"/>
    </row>
    <row r="102">
      <c r="A102" s="54" t="n">
        <v>20455</v>
      </c>
      <c r="B102" s="55" t="n">
        <v>60.2</v>
      </c>
      <c r="C102" s="56" t="n">
        <v>43.82</v>
      </c>
      <c r="D102" s="62">
        <f>(Table7[[#This Row],[S&amp;P]]-C90)/C90</f>
        <v/>
      </c>
      <c r="F102" s="3" t="n"/>
      <c r="K102" s="2" t="n"/>
    </row>
    <row r="103">
      <c r="A103" s="54" t="n">
        <v>20486</v>
      </c>
      <c r="B103" s="55" t="n">
        <v>58.2</v>
      </c>
      <c r="C103" s="56" t="n">
        <v>45.34</v>
      </c>
      <c r="D103" s="62">
        <f>(Table7[[#This Row],[S&amp;P]]-C91)/C91</f>
        <v/>
      </c>
      <c r="F103" s="3" t="n"/>
      <c r="K103" s="2" t="n"/>
    </row>
    <row r="104">
      <c r="A104" s="54" t="n">
        <v>20515</v>
      </c>
      <c r="B104" s="55" t="n">
        <v>57.2</v>
      </c>
      <c r="C104" s="56" t="n">
        <v>48.48</v>
      </c>
      <c r="D104" s="62">
        <f>(Table7[[#This Row],[S&amp;P]]-C92)/C92</f>
        <v/>
      </c>
      <c r="F104" s="3" t="n"/>
      <c r="K104" s="2" t="n"/>
    </row>
    <row r="105">
      <c r="A105" s="54" t="n">
        <v>20546</v>
      </c>
      <c r="B105" s="55" t="n">
        <v>55.9</v>
      </c>
      <c r="C105" s="56" t="n">
        <v>48.380001</v>
      </c>
      <c r="D105" s="62">
        <f>(Table7[[#This Row],[S&amp;P]]-C93)/C93</f>
        <v/>
      </c>
      <c r="F105" s="3" t="n"/>
      <c r="K105" s="2" t="n"/>
    </row>
    <row r="106">
      <c r="A106" s="54" t="n">
        <v>20576</v>
      </c>
      <c r="B106" s="55" t="n">
        <v>51.2</v>
      </c>
      <c r="C106" s="56" t="n">
        <v>45.200001</v>
      </c>
      <c r="D106" s="62">
        <f>(Table7[[#This Row],[S&amp;P]]-C94)/C94</f>
        <v/>
      </c>
      <c r="F106" s="3" t="n"/>
      <c r="K106" s="2" t="n"/>
    </row>
    <row r="107">
      <c r="A107" s="54" t="n">
        <v>20607</v>
      </c>
      <c r="B107" s="55" t="n">
        <v>47.7</v>
      </c>
      <c r="C107" s="56" t="n">
        <v>46.970001</v>
      </c>
      <c r="D107" s="62">
        <f>(Table7[[#This Row],[S&amp;P]]-C95)/C95</f>
        <v/>
      </c>
      <c r="F107" s="3" t="n"/>
      <c r="K107" s="2" t="n"/>
    </row>
    <row r="108">
      <c r="A108" s="54" t="n">
        <v>20637</v>
      </c>
      <c r="B108" s="55" t="n">
        <v>44.2</v>
      </c>
      <c r="C108" s="56" t="n">
        <v>49.389999</v>
      </c>
      <c r="D108" s="62">
        <f>(Table7[[#This Row],[S&amp;P]]-C96)/C96</f>
        <v/>
      </c>
      <c r="F108" s="3" t="n"/>
      <c r="K108" s="2" t="n"/>
    </row>
    <row r="109">
      <c r="A109" s="54" t="n">
        <v>20668</v>
      </c>
      <c r="B109" s="55" t="n">
        <v>51.5</v>
      </c>
      <c r="C109" s="56" t="n">
        <v>47.509998</v>
      </c>
      <c r="D109" s="62">
        <f>(Table7[[#This Row],[S&amp;P]]-C97)/C97</f>
        <v/>
      </c>
      <c r="F109" s="3" t="n"/>
      <c r="K109" s="2" t="n"/>
    </row>
    <row r="110">
      <c r="A110" s="54" t="n">
        <v>20699</v>
      </c>
      <c r="B110" s="55" t="n">
        <v>55.5</v>
      </c>
      <c r="C110" s="56" t="n">
        <v>45.349998</v>
      </c>
      <c r="D110" s="62">
        <f>(Table7[[#This Row],[S&amp;P]]-C98)/C98</f>
        <v/>
      </c>
      <c r="F110" s="3" t="n"/>
      <c r="K110" s="2" t="n"/>
    </row>
    <row r="111">
      <c r="A111" s="54" t="n">
        <v>20729</v>
      </c>
      <c r="B111" s="55" t="n">
        <v>52.7</v>
      </c>
      <c r="C111" s="56" t="n">
        <v>45.580002</v>
      </c>
      <c r="D111" s="62">
        <f>(Table7[[#This Row],[S&amp;P]]-C99)/C99</f>
        <v/>
      </c>
      <c r="F111" s="3" t="n"/>
      <c r="K111" s="2" t="n"/>
    </row>
    <row r="112">
      <c r="A112" s="54" t="n">
        <v>20760</v>
      </c>
      <c r="B112" s="55" t="n">
        <v>55</v>
      </c>
      <c r="C112" s="56" t="n">
        <v>45.080002</v>
      </c>
      <c r="D112" s="62">
        <f>(Table7[[#This Row],[S&amp;P]]-C100)/C100</f>
        <v/>
      </c>
      <c r="F112" s="3" t="n"/>
      <c r="K112" s="2" t="n"/>
    </row>
    <row r="113">
      <c r="A113" s="54" t="n">
        <v>20790</v>
      </c>
      <c r="B113" s="55" t="n">
        <v>52.7</v>
      </c>
      <c r="C113" s="56" t="n">
        <v>46.669998</v>
      </c>
      <c r="D113" s="62">
        <f>(Table7[[#This Row],[S&amp;P]]-C101)/C101</f>
        <v/>
      </c>
      <c r="F113" s="3" t="n"/>
      <c r="K113" s="2" t="n"/>
    </row>
    <row r="114">
      <c r="A114" s="54" t="n">
        <v>20821</v>
      </c>
      <c r="B114" s="55" t="n">
        <v>53.6</v>
      </c>
      <c r="C114" s="56" t="n">
        <v>44.720001</v>
      </c>
      <c r="D114" s="62">
        <f>(Table7[[#This Row],[S&amp;P]]-C102)/C102</f>
        <v/>
      </c>
      <c r="F114" s="3" t="n"/>
      <c r="K114" s="2" t="n"/>
    </row>
    <row r="115">
      <c r="A115" s="54" t="n">
        <v>20852</v>
      </c>
      <c r="B115" s="55" t="n">
        <v>51</v>
      </c>
      <c r="C115" s="56" t="n">
        <v>43.259998</v>
      </c>
      <c r="D115" s="62">
        <f>(Table7[[#This Row],[S&amp;P]]-C103)/C103</f>
        <v/>
      </c>
      <c r="F115" s="3" t="n"/>
      <c r="K115" s="2" t="n"/>
    </row>
    <row r="116">
      <c r="A116" s="54" t="n">
        <v>20880</v>
      </c>
      <c r="B116" s="55" t="n">
        <v>47.5</v>
      </c>
      <c r="C116" s="56" t="n">
        <v>44.110001</v>
      </c>
      <c r="D116" s="62">
        <f>(Table7[[#This Row],[S&amp;P]]-C104)/C104</f>
        <v/>
      </c>
      <c r="F116" s="3" t="n"/>
      <c r="K116" s="2" t="n"/>
    </row>
    <row r="117">
      <c r="A117" s="54" t="n">
        <v>20911</v>
      </c>
      <c r="B117" s="55" t="n">
        <v>43.1</v>
      </c>
      <c r="C117" s="56" t="n">
        <v>45.740002</v>
      </c>
      <c r="D117" s="62">
        <f>(Table7[[#This Row],[S&amp;P]]-C105)/C105</f>
        <v/>
      </c>
      <c r="F117" s="3" t="n"/>
      <c r="K117" s="2" t="n"/>
    </row>
    <row r="118">
      <c r="A118" s="54" t="n">
        <v>20941</v>
      </c>
      <c r="B118" s="55" t="n">
        <v>43.4</v>
      </c>
      <c r="C118" s="56" t="n">
        <v>47.43</v>
      </c>
      <c r="D118" s="62">
        <f>(Table7[[#This Row],[S&amp;P]]-C106)/C106</f>
        <v/>
      </c>
      <c r="F118" s="3" t="n"/>
      <c r="K118" s="2" t="n"/>
    </row>
    <row r="119">
      <c r="A119" s="54" t="n">
        <v>20972</v>
      </c>
      <c r="B119" s="55" t="n">
        <v>45.9</v>
      </c>
      <c r="C119" s="56" t="n">
        <v>47.369999</v>
      </c>
      <c r="D119" s="62">
        <f>(Table7[[#This Row],[S&amp;P]]-C107)/C107</f>
        <v/>
      </c>
      <c r="F119" s="3" t="n"/>
      <c r="K119" s="2" t="n"/>
    </row>
    <row r="120">
      <c r="A120" s="54" t="n">
        <v>21002</v>
      </c>
      <c r="B120" s="55" t="n">
        <v>45.7</v>
      </c>
      <c r="C120" s="56" t="n">
        <v>47.91</v>
      </c>
      <c r="D120" s="62">
        <f>(Table7[[#This Row],[S&amp;P]]-C108)/C108</f>
        <v/>
      </c>
      <c r="F120" s="3" t="n"/>
      <c r="K120" s="2" t="n"/>
    </row>
    <row r="121">
      <c r="A121" s="54" t="n">
        <v>21033</v>
      </c>
      <c r="B121" s="55" t="n">
        <v>45.3</v>
      </c>
      <c r="C121" s="56" t="n">
        <v>45.220001</v>
      </c>
      <c r="D121" s="62">
        <f>(Table7[[#This Row],[S&amp;P]]-C109)/C109</f>
        <v/>
      </c>
      <c r="F121" s="3" t="n"/>
      <c r="K121" s="2" t="n"/>
    </row>
    <row r="122">
      <c r="A122" s="54" t="n">
        <v>21064</v>
      </c>
      <c r="B122" s="55" t="n">
        <v>45.8</v>
      </c>
      <c r="C122" s="56" t="n">
        <v>42.419998</v>
      </c>
      <c r="D122" s="62">
        <f>(Table7[[#This Row],[S&amp;P]]-C110)/C110</f>
        <v/>
      </c>
      <c r="F122" s="3" t="n"/>
      <c r="K122" s="2" t="n"/>
    </row>
    <row r="123">
      <c r="A123" s="54" t="n">
        <v>21094</v>
      </c>
      <c r="B123" s="55" t="n">
        <v>41.1</v>
      </c>
      <c r="C123" s="56" t="n">
        <v>41.060001</v>
      </c>
      <c r="D123" s="62">
        <f>(Table7[[#This Row],[S&amp;P]]-C111)/C111</f>
        <v/>
      </c>
      <c r="F123" s="3" t="n"/>
      <c r="K123" s="2" t="n"/>
    </row>
    <row r="124">
      <c r="A124" s="54" t="n">
        <v>21125</v>
      </c>
      <c r="B124" s="55" t="n">
        <v>40.4</v>
      </c>
      <c r="C124" s="56" t="n">
        <v>41.720001</v>
      </c>
      <c r="D124" s="62">
        <f>(Table7[[#This Row],[S&amp;P]]-C112)/C112</f>
        <v/>
      </c>
      <c r="F124" s="3" t="n"/>
      <c r="K124" s="2" t="n"/>
    </row>
    <row r="125">
      <c r="A125" s="54" t="n">
        <v>21155</v>
      </c>
      <c r="B125" s="55" t="n">
        <v>36.8</v>
      </c>
      <c r="C125" s="56" t="n">
        <v>39.990002</v>
      </c>
      <c r="D125" s="62">
        <f>(Table7[[#This Row],[S&amp;P]]-C113)/C113</f>
        <v/>
      </c>
      <c r="F125" s="3" t="n"/>
      <c r="K125" s="2" t="n"/>
    </row>
    <row r="126">
      <c r="A126" s="54" t="n">
        <v>21186</v>
      </c>
      <c r="B126" s="55" t="n">
        <v>33.4</v>
      </c>
      <c r="C126" s="56" t="n">
        <v>41.700001</v>
      </c>
      <c r="D126" s="62">
        <f>(Table7[[#This Row],[S&amp;P]]-C114)/C114</f>
        <v/>
      </c>
      <c r="F126" s="3" t="n"/>
      <c r="K126" s="2" t="n"/>
    </row>
    <row r="127">
      <c r="A127" s="54" t="n">
        <v>21217</v>
      </c>
      <c r="B127" s="55" t="n">
        <v>37.2</v>
      </c>
      <c r="C127" s="56" t="n">
        <v>40.84</v>
      </c>
      <c r="D127" s="62">
        <f>(Table7[[#This Row],[S&amp;P]]-C115)/C115</f>
        <v/>
      </c>
      <c r="F127" s="3" t="n"/>
      <c r="K127" s="2" t="n"/>
    </row>
    <row r="128">
      <c r="A128" s="54" t="n">
        <v>21245</v>
      </c>
      <c r="B128" s="55" t="n">
        <v>39.8</v>
      </c>
      <c r="C128" s="56" t="n">
        <v>42.099998</v>
      </c>
      <c r="D128" s="62">
        <f>(Table7[[#This Row],[S&amp;P]]-C116)/C116</f>
        <v/>
      </c>
      <c r="F128" s="3" t="n"/>
      <c r="K128" s="2" t="n"/>
    </row>
    <row r="129">
      <c r="A129" s="54" t="n">
        <v>21276</v>
      </c>
      <c r="B129" s="55" t="n">
        <v>39.1</v>
      </c>
      <c r="C129" s="56" t="n">
        <v>43.439999</v>
      </c>
      <c r="D129" s="62">
        <f>(Table7[[#This Row],[S&amp;P]]-C117)/C117</f>
        <v/>
      </c>
      <c r="F129" s="3" t="n"/>
      <c r="K129" s="2" t="n"/>
    </row>
    <row r="130">
      <c r="A130" s="54" t="n">
        <v>21306</v>
      </c>
      <c r="B130" s="55" t="n">
        <v>46.6</v>
      </c>
      <c r="C130" s="56" t="n">
        <v>44.09</v>
      </c>
      <c r="D130" s="62">
        <f>(Table7[[#This Row],[S&amp;P]]-C118)/C118</f>
        <v/>
      </c>
      <c r="F130" s="3" t="n"/>
      <c r="K130" s="2" t="n"/>
    </row>
    <row r="131">
      <c r="A131" s="54" t="n">
        <v>21337</v>
      </c>
      <c r="B131" s="55" t="n">
        <v>51.4</v>
      </c>
      <c r="C131" s="56" t="n">
        <v>45.240002</v>
      </c>
      <c r="D131" s="62">
        <f>(Table7[[#This Row],[S&amp;P]]-C119)/C119</f>
        <v/>
      </c>
      <c r="F131" s="3" t="n"/>
      <c r="K131" s="2" t="n"/>
    </row>
    <row r="132">
      <c r="A132" s="54" t="n">
        <v>21367</v>
      </c>
      <c r="B132" s="55" t="n">
        <v>54.7</v>
      </c>
      <c r="C132" s="56" t="n">
        <v>47.189999</v>
      </c>
      <c r="D132" s="62">
        <f>(Table7[[#This Row],[S&amp;P]]-C120)/C120</f>
        <v/>
      </c>
      <c r="F132" s="3" t="n"/>
      <c r="K132" s="2" t="n"/>
    </row>
    <row r="133">
      <c r="A133" s="54" t="n">
        <v>21398</v>
      </c>
      <c r="B133" s="55" t="n">
        <v>57.3</v>
      </c>
      <c r="C133" s="56" t="n">
        <v>47.75</v>
      </c>
      <c r="D133" s="62">
        <f>(Table7[[#This Row],[S&amp;P]]-C121)/C121</f>
        <v/>
      </c>
      <c r="F133" s="3" t="n"/>
      <c r="K133" s="2" t="n"/>
    </row>
    <row r="134">
      <c r="A134" s="54" t="n">
        <v>21429</v>
      </c>
      <c r="B134" s="55" t="n">
        <v>59.8</v>
      </c>
      <c r="C134" s="56" t="n">
        <v>50.060001</v>
      </c>
      <c r="D134" s="62">
        <f>(Table7[[#This Row],[S&amp;P]]-C122)/C122</f>
        <v/>
      </c>
      <c r="F134" s="3" t="n"/>
      <c r="K134" s="2" t="n"/>
    </row>
    <row r="135">
      <c r="A135" s="54" t="n">
        <v>21459</v>
      </c>
      <c r="B135" s="55" t="n">
        <v>62.3</v>
      </c>
      <c r="C135" s="56" t="n">
        <v>51.330002</v>
      </c>
      <c r="D135" s="62">
        <f>(Table7[[#This Row],[S&amp;P]]-C123)/C123</f>
        <v/>
      </c>
      <c r="F135" s="3" t="n"/>
      <c r="K135" s="2" t="n"/>
    </row>
    <row r="136">
      <c r="A136" s="54" t="n">
        <v>21490</v>
      </c>
      <c r="B136" s="55" t="n">
        <v>62.7</v>
      </c>
      <c r="C136" s="56" t="n">
        <v>52.48</v>
      </c>
      <c r="D136" s="62">
        <f>(Table7[[#This Row],[S&amp;P]]-C124)/C124</f>
        <v/>
      </c>
      <c r="F136" s="3" t="n"/>
      <c r="K136" s="2" t="n"/>
    </row>
    <row r="137">
      <c r="A137" s="54" t="n">
        <v>21520</v>
      </c>
      <c r="B137" s="55" t="n">
        <v>60.5</v>
      </c>
      <c r="C137" s="56" t="n">
        <v>55.209999</v>
      </c>
      <c r="D137" s="62">
        <f>(Table7[[#This Row],[S&amp;P]]-C125)/C125</f>
        <v/>
      </c>
      <c r="F137" s="3" t="n"/>
      <c r="K137" s="2" t="n"/>
    </row>
    <row r="138">
      <c r="A138" s="54" t="n">
        <v>21551</v>
      </c>
      <c r="B138" s="55" t="n">
        <v>64.40000000000001</v>
      </c>
      <c r="C138" s="56" t="n">
        <v>55.450001</v>
      </c>
      <c r="D138" s="62">
        <f>(Table7[[#This Row],[S&amp;P]]-C126)/C126</f>
        <v/>
      </c>
      <c r="F138" s="3" t="n"/>
      <c r="K138" s="2" t="n"/>
    </row>
    <row r="139">
      <c r="A139" s="54" t="n">
        <v>21582</v>
      </c>
      <c r="B139" s="55" t="n">
        <v>66.90000000000001</v>
      </c>
      <c r="C139" s="56" t="n">
        <v>55.41</v>
      </c>
      <c r="D139" s="62">
        <f>(Table7[[#This Row],[S&amp;P]]-C127)/C127</f>
        <v/>
      </c>
      <c r="F139" s="3" t="n"/>
      <c r="K139" s="2" t="n"/>
    </row>
    <row r="140">
      <c r="A140" s="54" t="n">
        <v>21610</v>
      </c>
      <c r="B140" s="55" t="n">
        <v>67.09999999999999</v>
      </c>
      <c r="C140" s="56" t="n">
        <v>55.439999</v>
      </c>
      <c r="D140" s="62">
        <f>(Table7[[#This Row],[S&amp;P]]-C128)/C128</f>
        <v/>
      </c>
      <c r="F140" s="3" t="n"/>
      <c r="K140" s="2" t="n"/>
    </row>
    <row r="141">
      <c r="A141" s="54" t="n">
        <v>21641</v>
      </c>
      <c r="B141" s="55" t="n">
        <v>66.90000000000001</v>
      </c>
      <c r="C141" s="56" t="n">
        <v>57.59</v>
      </c>
      <c r="D141" s="62">
        <f>(Table7[[#This Row],[S&amp;P]]-C129)/C129</f>
        <v/>
      </c>
      <c r="F141" s="3" t="n"/>
      <c r="K141" s="2" t="n"/>
    </row>
    <row r="142">
      <c r="A142" s="54" t="n">
        <v>21671</v>
      </c>
      <c r="B142" s="55" t="n">
        <v>68.2</v>
      </c>
      <c r="C142" s="56" t="n">
        <v>58.68</v>
      </c>
      <c r="D142" s="62">
        <f>(Table7[[#This Row],[S&amp;P]]-C130)/C130</f>
        <v/>
      </c>
      <c r="F142" s="3" t="n"/>
      <c r="K142" s="2" t="n"/>
    </row>
    <row r="143">
      <c r="A143" s="54" t="n">
        <v>21702</v>
      </c>
      <c r="B143" s="55" t="n">
        <v>64.40000000000001</v>
      </c>
      <c r="C143" s="56" t="n">
        <v>58.470001</v>
      </c>
      <c r="D143" s="62">
        <f>(Table7[[#This Row],[S&amp;P]]-C131)/C131</f>
        <v/>
      </c>
      <c r="F143" s="3" t="n"/>
      <c r="K143" s="2" t="n"/>
    </row>
    <row r="144">
      <c r="A144" s="54" t="n">
        <v>21732</v>
      </c>
      <c r="B144" s="55" t="n">
        <v>61.5</v>
      </c>
      <c r="C144" s="56" t="n">
        <v>60.509998</v>
      </c>
      <c r="D144" s="62">
        <f>(Table7[[#This Row],[S&amp;P]]-C132)/C132</f>
        <v/>
      </c>
      <c r="F144" s="3" t="n"/>
      <c r="K144" s="2" t="n"/>
    </row>
    <row r="145">
      <c r="A145" s="54" t="n">
        <v>21763</v>
      </c>
      <c r="B145" s="55" t="n">
        <v>55.1</v>
      </c>
      <c r="C145" s="56" t="n">
        <v>59.599998</v>
      </c>
      <c r="D145" s="62">
        <f>(Table7[[#This Row],[S&amp;P]]-C133)/C133</f>
        <v/>
      </c>
      <c r="F145" s="3" t="n"/>
      <c r="K145" s="2" t="n"/>
    </row>
    <row r="146">
      <c r="A146" s="54" t="n">
        <v>21794</v>
      </c>
      <c r="B146" s="55" t="n">
        <v>48.3</v>
      </c>
      <c r="C146" s="56" t="n">
        <v>56.880001</v>
      </c>
      <c r="D146" s="62">
        <f>(Table7[[#This Row],[S&amp;P]]-C134)/C134</f>
        <v/>
      </c>
      <c r="F146" s="3" t="n"/>
      <c r="K146" s="2" t="n"/>
    </row>
    <row r="147">
      <c r="A147" s="54" t="n">
        <v>21824</v>
      </c>
      <c r="B147" s="55" t="n">
        <v>49.7</v>
      </c>
      <c r="C147" s="56" t="n">
        <v>57.52</v>
      </c>
      <c r="D147" s="62">
        <f>(Table7[[#This Row],[S&amp;P]]-C135)/C135</f>
        <v/>
      </c>
      <c r="F147" s="3" t="n"/>
      <c r="K147" s="2" t="n"/>
    </row>
    <row r="148">
      <c r="A148" s="54" t="n">
        <v>21855</v>
      </c>
      <c r="B148" s="55" t="n">
        <v>50.6</v>
      </c>
      <c r="C148" s="56" t="n">
        <v>58.279999</v>
      </c>
      <c r="D148" s="62">
        <f>(Table7[[#This Row],[S&amp;P]]-C136)/C136</f>
        <v/>
      </c>
      <c r="F148" s="3" t="n"/>
      <c r="K148" s="2" t="n"/>
    </row>
    <row r="149">
      <c r="A149" s="54" t="n">
        <v>21885</v>
      </c>
      <c r="B149" s="55" t="n">
        <v>58.2</v>
      </c>
      <c r="C149" s="56" t="n">
        <v>59.889999</v>
      </c>
      <c r="D149" s="62">
        <f>(Table7[[#This Row],[S&amp;P]]-C137)/C137</f>
        <v/>
      </c>
      <c r="F149" s="3" t="n"/>
      <c r="K149" s="2" t="n"/>
    </row>
    <row r="150">
      <c r="A150" s="54" t="n">
        <v>21916</v>
      </c>
      <c r="B150" s="55" t="n">
        <v>61.5</v>
      </c>
      <c r="C150" s="56" t="n">
        <v>55.610001</v>
      </c>
      <c r="D150" s="62">
        <f>(Table7[[#This Row],[S&amp;P]]-C138)/C138</f>
        <v/>
      </c>
      <c r="F150" s="3" t="n"/>
      <c r="K150" s="2" t="n"/>
    </row>
    <row r="151">
      <c r="A151" s="54" t="n">
        <v>21947</v>
      </c>
      <c r="B151" s="55" t="n">
        <v>52.3</v>
      </c>
      <c r="C151" s="56" t="n">
        <v>56.119999</v>
      </c>
      <c r="D151" s="62">
        <f>(Table7[[#This Row],[S&amp;P]]-C139)/C139</f>
        <v/>
      </c>
      <c r="F151" s="3" t="n"/>
      <c r="K151" s="2" t="n"/>
    </row>
    <row r="152">
      <c r="A152" s="54" t="n">
        <v>21976</v>
      </c>
      <c r="B152" s="55" t="n">
        <v>47.8</v>
      </c>
      <c r="C152" s="56" t="n">
        <v>55.34</v>
      </c>
      <c r="D152" s="62">
        <f>(Table7[[#This Row],[S&amp;P]]-C140)/C140</f>
        <v/>
      </c>
      <c r="F152" s="3" t="n"/>
      <c r="K152" s="2" t="n"/>
    </row>
    <row r="153">
      <c r="A153" s="54" t="n">
        <v>22007</v>
      </c>
      <c r="B153" s="55" t="n">
        <v>45.3</v>
      </c>
      <c r="C153" s="56" t="n">
        <v>54.369999</v>
      </c>
      <c r="D153" s="62">
        <f>(Table7[[#This Row],[S&amp;P]]-C141)/C141</f>
        <v/>
      </c>
      <c r="F153" s="3" t="n"/>
      <c r="K153" s="2" t="n"/>
    </row>
    <row r="154">
      <c r="A154" s="54" t="n">
        <v>22037</v>
      </c>
      <c r="B154" s="55" t="n">
        <v>42.6</v>
      </c>
      <c r="C154" s="56" t="n">
        <v>55.830002</v>
      </c>
      <c r="D154" s="62">
        <f>(Table7[[#This Row],[S&amp;P]]-C142)/C142</f>
        <v/>
      </c>
      <c r="F154" s="3" t="n"/>
      <c r="K154" s="2" t="n"/>
    </row>
    <row r="155">
      <c r="A155" s="54" t="n">
        <v>22068</v>
      </c>
      <c r="B155" s="55" t="n">
        <v>44.4</v>
      </c>
      <c r="C155" s="56" t="n">
        <v>56.919998</v>
      </c>
      <c r="D155" s="62">
        <f>(Table7[[#This Row],[S&amp;P]]-C143)/C143</f>
        <v/>
      </c>
      <c r="F155" s="3" t="n"/>
      <c r="K155" s="2" t="n"/>
    </row>
    <row r="156">
      <c r="A156" s="54" t="n">
        <v>22098</v>
      </c>
      <c r="B156" s="55" t="n">
        <v>43.7</v>
      </c>
      <c r="C156" s="56" t="n">
        <v>55.509998</v>
      </c>
      <c r="D156" s="62">
        <f>(Table7[[#This Row],[S&amp;P]]-C144)/C144</f>
        <v/>
      </c>
      <c r="F156" s="3" t="n"/>
      <c r="K156" s="2" t="n"/>
    </row>
    <row r="157">
      <c r="A157" s="54" t="n">
        <v>22129</v>
      </c>
      <c r="B157" s="55" t="n">
        <v>47.6</v>
      </c>
      <c r="C157" s="56" t="n">
        <v>56.959999</v>
      </c>
      <c r="D157" s="62">
        <f>(Table7[[#This Row],[S&amp;P]]-C145)/C145</f>
        <v/>
      </c>
      <c r="F157" s="3" t="n"/>
      <c r="K157" s="2" t="n"/>
    </row>
    <row r="158">
      <c r="A158" s="54" t="n">
        <v>22160</v>
      </c>
      <c r="B158" s="55" t="n">
        <v>45.4</v>
      </c>
      <c r="C158" s="56" t="n">
        <v>53.52</v>
      </c>
      <c r="D158" s="62">
        <f>(Table7[[#This Row],[S&amp;P]]-C146)/C146</f>
        <v/>
      </c>
      <c r="F158" s="3" t="n"/>
      <c r="K158" s="2" t="n"/>
    </row>
    <row r="159">
      <c r="A159" s="54" t="n">
        <v>22190</v>
      </c>
      <c r="B159" s="55" t="n">
        <v>46</v>
      </c>
      <c r="C159" s="56" t="n">
        <v>53.389999</v>
      </c>
      <c r="D159" s="62">
        <f>(Table7[[#This Row],[S&amp;P]]-C147)/C147</f>
        <v/>
      </c>
      <c r="F159" s="3" t="n"/>
      <c r="K159" s="2" t="n"/>
    </row>
    <row r="160">
      <c r="A160" s="54" t="n">
        <v>22221</v>
      </c>
      <c r="B160" s="55" t="n">
        <v>44.3</v>
      </c>
      <c r="C160" s="56" t="n">
        <v>55.540001</v>
      </c>
      <c r="D160" s="62">
        <f>(Table7[[#This Row],[S&amp;P]]-C148)/C148</f>
        <v/>
      </c>
      <c r="F160" s="3" t="n"/>
      <c r="K160" s="2" t="n"/>
    </row>
    <row r="161">
      <c r="A161" s="54" t="n">
        <v>22251</v>
      </c>
      <c r="B161" s="55" t="n">
        <v>44.3</v>
      </c>
      <c r="C161" s="56" t="n">
        <v>58.110001</v>
      </c>
      <c r="D161" s="62">
        <f>(Table7[[#This Row],[S&amp;P]]-C149)/C149</f>
        <v/>
      </c>
      <c r="F161" s="3" t="n"/>
      <c r="K161" s="2" t="n"/>
    </row>
    <row r="162">
      <c r="A162" s="54" t="n">
        <v>22282</v>
      </c>
      <c r="B162" s="55" t="n">
        <v>43.9</v>
      </c>
      <c r="C162" s="56" t="n">
        <v>61.779999</v>
      </c>
      <c r="D162" s="62">
        <f>(Table7[[#This Row],[S&amp;P]]-C150)/C150</f>
        <v/>
      </c>
      <c r="F162" s="3" t="n"/>
      <c r="K162" s="2" t="n"/>
    </row>
    <row r="163">
      <c r="A163" s="54" t="n">
        <v>22313</v>
      </c>
      <c r="B163" s="55" t="n">
        <v>43.6</v>
      </c>
      <c r="C163" s="56" t="n">
        <v>63.439999</v>
      </c>
      <c r="D163" s="62">
        <f>(Table7[[#This Row],[S&amp;P]]-C151)/C151</f>
        <v/>
      </c>
      <c r="F163" s="3" t="n"/>
      <c r="K163" s="2" t="n"/>
    </row>
    <row r="164">
      <c r="A164" s="54" t="n">
        <v>22341</v>
      </c>
      <c r="B164" s="55" t="n">
        <v>49.1</v>
      </c>
      <c r="C164" s="56" t="n">
        <v>65.05999799999999</v>
      </c>
      <c r="D164" s="62">
        <f>(Table7[[#This Row],[S&amp;P]]-C152)/C152</f>
        <v/>
      </c>
      <c r="F164" s="3" t="n"/>
      <c r="K164" s="2" t="n"/>
    </row>
    <row r="165">
      <c r="A165" s="54" t="n">
        <v>22372</v>
      </c>
      <c r="B165" s="55" t="n">
        <v>57.6</v>
      </c>
      <c r="C165" s="56" t="n">
        <v>65.30999799999999</v>
      </c>
      <c r="D165" s="62">
        <f>(Table7[[#This Row],[S&amp;P]]-C153)/C153</f>
        <v/>
      </c>
      <c r="F165" s="3" t="n"/>
      <c r="K165" s="2" t="n"/>
    </row>
    <row r="166">
      <c r="A166" s="54" t="n">
        <v>22402</v>
      </c>
      <c r="B166" s="55" t="n">
        <v>58.9</v>
      </c>
      <c r="C166" s="56" t="n">
        <v>66.55999799999999</v>
      </c>
      <c r="D166" s="62">
        <f>(Table7[[#This Row],[S&amp;P]]-C154)/C154</f>
        <v/>
      </c>
      <c r="F166" s="3" t="n"/>
      <c r="K166" s="2" t="n"/>
    </row>
    <row r="167">
      <c r="A167" s="54" t="n">
        <v>22433</v>
      </c>
      <c r="B167" s="55" t="n">
        <v>58.1</v>
      </c>
      <c r="C167" s="56" t="n">
        <v>64.639999</v>
      </c>
      <c r="D167" s="62">
        <f>(Table7[[#This Row],[S&amp;P]]-C155)/C155</f>
        <v/>
      </c>
      <c r="F167" s="3" t="n"/>
      <c r="K167" s="2" t="n"/>
    </row>
    <row r="168">
      <c r="A168" s="54" t="n">
        <v>22463</v>
      </c>
      <c r="B168" s="55" t="n">
        <v>58.2</v>
      </c>
      <c r="C168" s="56" t="n">
        <v>66.760002</v>
      </c>
      <c r="D168" s="62">
        <f>(Table7[[#This Row],[S&amp;P]]-C156)/C156</f>
        <v/>
      </c>
      <c r="F168" s="3" t="n"/>
      <c r="K168" s="2" t="n"/>
    </row>
    <row r="169">
      <c r="A169" s="54" t="n">
        <v>22494</v>
      </c>
      <c r="B169" s="55" t="n">
        <v>60.7</v>
      </c>
      <c r="C169" s="56" t="n">
        <v>68.06999999999999</v>
      </c>
      <c r="D169" s="62">
        <f>(Table7[[#This Row],[S&amp;P]]-C157)/C157</f>
        <v/>
      </c>
      <c r="F169" s="3" t="n"/>
      <c r="K169" s="2" t="n"/>
    </row>
    <row r="170">
      <c r="A170" s="54" t="n">
        <v>22525</v>
      </c>
      <c r="B170" s="55" t="n">
        <v>63</v>
      </c>
      <c r="C170" s="56" t="n">
        <v>66.730003</v>
      </c>
      <c r="D170" s="62">
        <f>(Table7[[#This Row],[S&amp;P]]-C158)/C158</f>
        <v/>
      </c>
      <c r="F170" s="3" t="n"/>
      <c r="K170" s="2" t="n"/>
    </row>
    <row r="171">
      <c r="A171" s="54" t="n">
        <v>22555</v>
      </c>
      <c r="B171" s="55" t="n">
        <v>62.2</v>
      </c>
      <c r="C171" s="56" t="n">
        <v>68.620003</v>
      </c>
      <c r="D171" s="62">
        <f>(Table7[[#This Row],[S&amp;P]]-C159)/C159</f>
        <v/>
      </c>
      <c r="F171" s="3" t="n"/>
      <c r="K171" s="2" t="n"/>
    </row>
    <row r="172">
      <c r="A172" s="54" t="n">
        <v>22586</v>
      </c>
      <c r="B172" s="55" t="n">
        <v>59</v>
      </c>
      <c r="C172" s="56" t="n">
        <v>71.31999999999999</v>
      </c>
      <c r="D172" s="62">
        <f>(Table7[[#This Row],[S&amp;P]]-C160)/C160</f>
        <v/>
      </c>
      <c r="F172" s="3" t="n"/>
      <c r="K172" s="2" t="n"/>
    </row>
    <row r="173">
      <c r="A173" s="54" t="n">
        <v>22616</v>
      </c>
      <c r="B173" s="55" t="n">
        <v>64.2</v>
      </c>
      <c r="C173" s="56" t="n">
        <v>71.550003</v>
      </c>
      <c r="D173" s="62">
        <f>(Table7[[#This Row],[S&amp;P]]-C161)/C161</f>
        <v/>
      </c>
      <c r="F173" s="3" t="n"/>
      <c r="K173" s="2" t="n"/>
    </row>
    <row r="174">
      <c r="A174" s="54" t="n">
        <v>22647</v>
      </c>
      <c r="B174" s="55" t="n">
        <v>60.9</v>
      </c>
      <c r="C174" s="56" t="n">
        <v>68.839996</v>
      </c>
      <c r="D174" s="62">
        <f>(Table7[[#This Row],[S&amp;P]]-C162)/C162</f>
        <v/>
      </c>
      <c r="F174" s="3" t="n"/>
      <c r="K174" s="2" t="n"/>
    </row>
    <row r="175">
      <c r="A175" s="54" t="n">
        <v>22678</v>
      </c>
      <c r="B175" s="55" t="n">
        <v>61.1</v>
      </c>
      <c r="C175" s="56" t="n">
        <v>69.959999</v>
      </c>
      <c r="D175" s="62">
        <f>(Table7[[#This Row],[S&amp;P]]-C163)/C163</f>
        <v/>
      </c>
      <c r="F175" s="3" t="n"/>
      <c r="K175" s="2" t="n"/>
    </row>
    <row r="176">
      <c r="A176" s="54" t="n">
        <v>22706</v>
      </c>
      <c r="B176" s="55" t="n">
        <v>60.6</v>
      </c>
      <c r="C176" s="56" t="n">
        <v>69.550003</v>
      </c>
      <c r="D176" s="62">
        <f>(Table7[[#This Row],[S&amp;P]]-C164)/C164</f>
        <v/>
      </c>
      <c r="F176" s="3" t="n"/>
      <c r="K176" s="2" t="n"/>
    </row>
    <row r="177">
      <c r="A177" s="54" t="n">
        <v>22737</v>
      </c>
      <c r="B177" s="55" t="n">
        <v>55.1</v>
      </c>
      <c r="C177" s="56" t="n">
        <v>65.239998</v>
      </c>
      <c r="D177" s="62">
        <f>(Table7[[#This Row],[S&amp;P]]-C165)/C165</f>
        <v/>
      </c>
      <c r="F177" s="3" t="n"/>
      <c r="K177" s="2" t="n"/>
    </row>
    <row r="178">
      <c r="A178" s="54" t="n">
        <v>22767</v>
      </c>
      <c r="B178" s="55" t="n">
        <v>52.2</v>
      </c>
      <c r="C178" s="56" t="n">
        <v>59.630001</v>
      </c>
      <c r="D178" s="62">
        <f>(Table7[[#This Row],[S&amp;P]]-C166)/C166</f>
        <v/>
      </c>
      <c r="F178" s="3" t="n"/>
      <c r="K178" s="2" t="n"/>
    </row>
    <row r="179">
      <c r="A179" s="54" t="n">
        <v>22798</v>
      </c>
      <c r="B179" s="55" t="n">
        <v>50.8</v>
      </c>
      <c r="C179" s="56" t="n">
        <v>54.75</v>
      </c>
      <c r="D179" s="62">
        <f>(Table7[[#This Row],[S&amp;P]]-C167)/C167</f>
        <v/>
      </c>
      <c r="F179" s="3" t="n"/>
      <c r="K179" s="2" t="n"/>
    </row>
    <row r="180">
      <c r="A180" s="54" t="n">
        <v>22828</v>
      </c>
      <c r="B180" s="55" t="n">
        <v>51</v>
      </c>
      <c r="C180" s="56" t="n">
        <v>58.23</v>
      </c>
      <c r="D180" s="62">
        <f>(Table7[[#This Row],[S&amp;P]]-C168)/C168</f>
        <v/>
      </c>
      <c r="F180" s="3" t="n"/>
      <c r="K180" s="2" t="n"/>
    </row>
    <row r="181">
      <c r="A181" s="54" t="n">
        <v>22859</v>
      </c>
      <c r="B181" s="55" t="n">
        <v>49.5</v>
      </c>
      <c r="C181" s="56" t="n">
        <v>59.119999</v>
      </c>
      <c r="D181" s="62">
        <f>(Table7[[#This Row],[S&amp;P]]-C169)/C169</f>
        <v/>
      </c>
      <c r="F181" s="3" t="n"/>
      <c r="K181" s="2" t="n"/>
    </row>
    <row r="182">
      <c r="A182" s="54" t="n">
        <v>22890</v>
      </c>
      <c r="B182" s="55" t="n">
        <v>50</v>
      </c>
      <c r="C182" s="56" t="n">
        <v>56.27</v>
      </c>
      <c r="D182" s="62">
        <f>(Table7[[#This Row],[S&amp;P]]-C170)/C170</f>
        <v/>
      </c>
      <c r="F182" s="3" t="n"/>
      <c r="K182" s="2" t="n"/>
    </row>
    <row r="183">
      <c r="A183" s="54" t="n">
        <v>22920</v>
      </c>
      <c r="B183" s="55" t="n">
        <v>51.2</v>
      </c>
      <c r="C183" s="56" t="n">
        <v>56.52</v>
      </c>
      <c r="D183" s="62">
        <f>(Table7[[#This Row],[S&amp;P]]-C171)/C171</f>
        <v/>
      </c>
      <c r="F183" s="3" t="n"/>
      <c r="K183" s="2" t="n"/>
    </row>
    <row r="184">
      <c r="A184" s="54" t="n">
        <v>22951</v>
      </c>
      <c r="B184" s="55" t="n">
        <v>53.8</v>
      </c>
      <c r="C184" s="56" t="n">
        <v>62.259998</v>
      </c>
      <c r="D184" s="62">
        <f>(Table7[[#This Row],[S&amp;P]]-C172)/C172</f>
        <v/>
      </c>
      <c r="F184" s="3" t="n"/>
      <c r="K184" s="2" t="n"/>
    </row>
    <row r="185">
      <c r="A185" s="54" t="n">
        <v>22981</v>
      </c>
      <c r="B185" s="55" t="n">
        <v>57.2</v>
      </c>
      <c r="C185" s="56" t="n">
        <v>63.099998</v>
      </c>
      <c r="D185" s="62">
        <f>(Table7[[#This Row],[S&amp;P]]-C173)/C173</f>
        <v/>
      </c>
      <c r="F185" s="3" t="n"/>
      <c r="K185" s="2" t="n"/>
    </row>
    <row r="186">
      <c r="A186" s="54" t="n">
        <v>23012</v>
      </c>
      <c r="B186" s="55" t="n">
        <v>55.2</v>
      </c>
      <c r="C186" s="56" t="n">
        <v>66.199997</v>
      </c>
      <c r="D186" s="62">
        <f>(Table7[[#This Row],[S&amp;P]]-C174)/C174</f>
        <v/>
      </c>
      <c r="F186" s="3" t="n"/>
      <c r="K186" s="2" t="n"/>
    </row>
    <row r="187">
      <c r="A187" s="54" t="n">
        <v>23043</v>
      </c>
      <c r="B187" s="55" t="n">
        <v>55.1</v>
      </c>
      <c r="C187" s="56" t="n">
        <v>64.290001</v>
      </c>
      <c r="D187" s="62">
        <f>(Table7[[#This Row],[S&amp;P]]-C175)/C175</f>
        <v/>
      </c>
      <c r="F187" s="3" t="n"/>
      <c r="K187" s="2" t="n"/>
    </row>
    <row r="188">
      <c r="A188" s="54" t="n">
        <v>23071</v>
      </c>
      <c r="B188" s="55" t="n">
        <v>54.7</v>
      </c>
      <c r="C188" s="56" t="n">
        <v>66.56999999999999</v>
      </c>
      <c r="D188" s="62">
        <f>(Table7[[#This Row],[S&amp;P]]-C176)/C176</f>
        <v/>
      </c>
      <c r="F188" s="3" t="n"/>
      <c r="K188" s="2" t="n"/>
    </row>
    <row r="189">
      <c r="A189" s="54" t="n">
        <v>23102</v>
      </c>
      <c r="B189" s="55" t="n">
        <v>57.6</v>
      </c>
      <c r="C189" s="56" t="n">
        <v>69.800003</v>
      </c>
      <c r="D189" s="62">
        <f>(Table7[[#This Row],[S&amp;P]]-C177)/C177</f>
        <v/>
      </c>
      <c r="F189" s="3" t="n"/>
      <c r="K189" s="2" t="n"/>
    </row>
    <row r="190">
      <c r="A190" s="54" t="n">
        <v>23132</v>
      </c>
      <c r="B190" s="55" t="n">
        <v>59.8</v>
      </c>
      <c r="C190" s="56" t="n">
        <v>70.800003</v>
      </c>
      <c r="D190" s="62">
        <f>(Table7[[#This Row],[S&amp;P]]-C178)/C178</f>
        <v/>
      </c>
      <c r="F190" s="3" t="n"/>
      <c r="K190" s="2" t="n"/>
    </row>
    <row r="191">
      <c r="A191" s="54" t="n">
        <v>23163</v>
      </c>
      <c r="B191" s="55" t="n">
        <v>58.2</v>
      </c>
      <c r="C191" s="56" t="n">
        <v>69.370003</v>
      </c>
      <c r="D191" s="62">
        <f>(Table7[[#This Row],[S&amp;P]]-C179)/C179</f>
        <v/>
      </c>
      <c r="F191" s="3" t="n"/>
      <c r="K191" s="2" t="n"/>
    </row>
    <row r="192">
      <c r="A192" s="54" t="n">
        <v>23193</v>
      </c>
      <c r="B192" s="55" t="n">
        <v>55.5</v>
      </c>
      <c r="C192" s="56" t="n">
        <v>69.129997</v>
      </c>
      <c r="D192" s="62">
        <f>(Table7[[#This Row],[S&amp;P]]-C180)/C180</f>
        <v/>
      </c>
      <c r="F192" s="3" t="n"/>
      <c r="K192" s="2" t="n"/>
    </row>
    <row r="193">
      <c r="A193" s="54" t="n">
        <v>23224</v>
      </c>
      <c r="B193" s="55" t="n">
        <v>55.1</v>
      </c>
      <c r="C193" s="56" t="n">
        <v>72.5</v>
      </c>
      <c r="D193" s="62">
        <f>(Table7[[#This Row],[S&amp;P]]-C181)/C181</f>
        <v/>
      </c>
      <c r="F193" s="3" t="n"/>
      <c r="K193" s="2" t="n"/>
    </row>
    <row r="194">
      <c r="A194" s="54" t="n">
        <v>23255</v>
      </c>
      <c r="B194" s="55" t="n">
        <v>56.9</v>
      </c>
      <c r="C194" s="56" t="n">
        <v>71.699997</v>
      </c>
      <c r="D194" s="62">
        <f>(Table7[[#This Row],[S&amp;P]]-C182)/C182</f>
        <v/>
      </c>
      <c r="F194" s="3" t="n"/>
      <c r="K194" s="2" t="n"/>
    </row>
    <row r="195">
      <c r="A195" s="54" t="n">
        <v>23285</v>
      </c>
      <c r="B195" s="55" t="n">
        <v>57.7</v>
      </c>
      <c r="C195" s="56" t="n">
        <v>74.010002</v>
      </c>
      <c r="D195" s="62">
        <f>(Table7[[#This Row],[S&amp;P]]-C183)/C183</f>
        <v/>
      </c>
      <c r="F195" s="3" t="n"/>
      <c r="K195" s="2" t="n"/>
    </row>
    <row r="196">
      <c r="A196" s="54" t="n">
        <v>23316</v>
      </c>
      <c r="B196" s="55" t="n">
        <v>57.5</v>
      </c>
      <c r="C196" s="56" t="n">
        <v>73.230003</v>
      </c>
      <c r="D196" s="62">
        <f>(Table7[[#This Row],[S&amp;P]]-C184)/C184</f>
        <v/>
      </c>
      <c r="F196" s="3" t="n"/>
      <c r="K196" s="2" t="n"/>
    </row>
    <row r="197">
      <c r="A197" s="54" t="n">
        <v>23346</v>
      </c>
      <c r="B197" s="55" t="n">
        <v>54</v>
      </c>
      <c r="C197" s="56" t="n">
        <v>75.019997</v>
      </c>
      <c r="D197" s="62">
        <f>(Table7[[#This Row],[S&amp;P]]-C185)/C185</f>
        <v/>
      </c>
      <c r="F197" s="3" t="n"/>
      <c r="K197" s="2" t="n"/>
    </row>
    <row r="198">
      <c r="A198" s="54" t="n">
        <v>23377</v>
      </c>
      <c r="B198" s="55" t="n">
        <v>57.1</v>
      </c>
      <c r="C198" s="56" t="n">
        <v>77.040001</v>
      </c>
      <c r="D198" s="62">
        <f>(Table7[[#This Row],[S&amp;P]]-C186)/C186</f>
        <v/>
      </c>
      <c r="F198" s="3" t="n"/>
      <c r="K198" s="2" t="n"/>
    </row>
    <row r="199">
      <c r="A199" s="54" t="n">
        <v>23408</v>
      </c>
      <c r="B199" s="55" t="n">
        <v>57.9</v>
      </c>
      <c r="C199" s="56" t="n">
        <v>77.800003</v>
      </c>
      <c r="D199" s="62">
        <f>(Table7[[#This Row],[S&amp;P]]-C187)/C187</f>
        <v/>
      </c>
      <c r="F199" s="3" t="n"/>
      <c r="K199" s="2" t="n"/>
    </row>
    <row r="200">
      <c r="A200" s="54" t="n">
        <v>23437</v>
      </c>
      <c r="B200" s="55" t="n">
        <v>60.2</v>
      </c>
      <c r="C200" s="56" t="n">
        <v>78.980003</v>
      </c>
      <c r="D200" s="62">
        <f>(Table7[[#This Row],[S&amp;P]]-C188)/C188</f>
        <v/>
      </c>
      <c r="F200" s="3" t="n"/>
      <c r="K200" s="2" t="n"/>
    </row>
    <row r="201">
      <c r="A201" s="54" t="n">
        <v>23468</v>
      </c>
      <c r="B201" s="55" t="n">
        <v>59.2</v>
      </c>
      <c r="C201" s="56" t="n">
        <v>79.459999</v>
      </c>
      <c r="D201" s="62">
        <f>(Table7[[#This Row],[S&amp;P]]-C189)/C189</f>
        <v/>
      </c>
      <c r="F201" s="3" t="n"/>
      <c r="K201" s="2" t="n"/>
    </row>
    <row r="202">
      <c r="A202" s="54" t="n">
        <v>23498</v>
      </c>
      <c r="B202" s="55" t="n">
        <v>58.7</v>
      </c>
      <c r="C202" s="56" t="n">
        <v>80.370003</v>
      </c>
      <c r="D202" s="62">
        <f>(Table7[[#This Row],[S&amp;P]]-C190)/C190</f>
        <v/>
      </c>
      <c r="F202" s="3" t="n"/>
      <c r="K202" s="2" t="n"/>
    </row>
    <row r="203">
      <c r="A203" s="54" t="n">
        <v>23529</v>
      </c>
      <c r="B203" s="55" t="n">
        <v>60.1</v>
      </c>
      <c r="C203" s="56" t="n">
        <v>81.69000200000001</v>
      </c>
      <c r="D203" s="62">
        <f>(Table7[[#This Row],[S&amp;P]]-C191)/C191</f>
        <v/>
      </c>
      <c r="F203" s="3" t="n"/>
      <c r="K203" s="2" t="n"/>
    </row>
    <row r="204">
      <c r="A204" s="54" t="n">
        <v>23559</v>
      </c>
      <c r="B204" s="55" t="n">
        <v>62.9</v>
      </c>
      <c r="C204" s="56" t="n">
        <v>83.18000000000001</v>
      </c>
      <c r="D204" s="62">
        <f>(Table7[[#This Row],[S&amp;P]]-C192)/C192</f>
        <v/>
      </c>
      <c r="F204" s="3" t="n"/>
      <c r="K204" s="2" t="n"/>
    </row>
    <row r="205">
      <c r="A205" s="54" t="n">
        <v>23590</v>
      </c>
      <c r="B205" s="55" t="n">
        <v>63.3</v>
      </c>
      <c r="C205" s="56" t="n">
        <v>81.83000199999999</v>
      </c>
      <c r="D205" s="62">
        <f>(Table7[[#This Row],[S&amp;P]]-C193)/C193</f>
        <v/>
      </c>
      <c r="F205" s="3" t="n"/>
      <c r="K205" s="2" t="n"/>
    </row>
    <row r="206">
      <c r="A206" s="54" t="n">
        <v>23621</v>
      </c>
      <c r="B206" s="55" t="n">
        <v>63.3</v>
      </c>
      <c r="C206" s="56" t="n">
        <v>84.18000000000001</v>
      </c>
      <c r="D206" s="62">
        <f>(Table7[[#This Row],[S&amp;P]]-C194)/C194</f>
        <v/>
      </c>
      <c r="F206" s="3" t="n"/>
      <c r="K206" s="2" t="n"/>
    </row>
    <row r="207">
      <c r="A207" s="54" t="n">
        <v>23651</v>
      </c>
      <c r="B207" s="55" t="n">
        <v>60.7</v>
      </c>
      <c r="C207" s="56" t="n">
        <v>84.860001</v>
      </c>
      <c r="D207" s="62">
        <f>(Table7[[#This Row],[S&amp;P]]-C195)/C195</f>
        <v/>
      </c>
      <c r="F207" s="3" t="n"/>
      <c r="K207" s="2" t="n"/>
    </row>
    <row r="208">
      <c r="A208" s="54" t="n">
        <v>23682</v>
      </c>
      <c r="B208" s="55" t="n">
        <v>61.8</v>
      </c>
      <c r="C208" s="56" t="n">
        <v>84.41999800000001</v>
      </c>
      <c r="D208" s="62">
        <f>(Table7[[#This Row],[S&amp;P]]-C196)/C196</f>
        <v/>
      </c>
      <c r="F208" s="3" t="n"/>
      <c r="K208" s="2" t="n"/>
    </row>
    <row r="209">
      <c r="A209" s="54" t="n">
        <v>23712</v>
      </c>
      <c r="B209" s="55" t="n">
        <v>62.4</v>
      </c>
      <c r="C209" s="56" t="n">
        <v>84.75</v>
      </c>
      <c r="D209" s="62">
        <f>(Table7[[#This Row],[S&amp;P]]-C197)/C197</f>
        <v/>
      </c>
      <c r="F209" s="3" t="n"/>
      <c r="K209" s="2" t="n"/>
    </row>
    <row r="210">
      <c r="A210" s="54" t="n">
        <v>23743</v>
      </c>
      <c r="B210" s="55" t="n">
        <v>61</v>
      </c>
      <c r="C210" s="56" t="n">
        <v>87.55999799999999</v>
      </c>
      <c r="D210" s="62">
        <f>(Table7[[#This Row],[S&amp;P]]-C198)/C198</f>
        <v/>
      </c>
      <c r="F210" s="3" t="n"/>
      <c r="K210" s="2" t="n"/>
    </row>
    <row r="211">
      <c r="A211" s="54" t="n">
        <v>23774</v>
      </c>
      <c r="B211" s="55" t="n">
        <v>62.1</v>
      </c>
      <c r="C211" s="56" t="n">
        <v>87.43000000000001</v>
      </c>
      <c r="D211" s="62">
        <f>(Table7[[#This Row],[S&amp;P]]-C199)/C199</f>
        <v/>
      </c>
      <c r="F211" s="3" t="n"/>
      <c r="K211" s="2" t="n"/>
    </row>
    <row r="212">
      <c r="A212" s="54" t="n">
        <v>23802</v>
      </c>
      <c r="B212" s="55" t="n">
        <v>64.90000000000001</v>
      </c>
      <c r="C212" s="56" t="n">
        <v>86.160004</v>
      </c>
      <c r="D212" s="62">
        <f>(Table7[[#This Row],[S&amp;P]]-C200)/C200</f>
        <v/>
      </c>
      <c r="F212" s="3" t="n"/>
      <c r="K212" s="2" t="n"/>
    </row>
    <row r="213">
      <c r="A213" s="54" t="n">
        <v>23833</v>
      </c>
      <c r="B213" s="138" t="n">
        <v>62</v>
      </c>
      <c r="C213" s="56" t="n">
        <v>89.110001</v>
      </c>
      <c r="D213" s="62">
        <f>(Table7[[#This Row],[S&amp;P]]-C201)/C201</f>
        <v/>
      </c>
      <c r="F213" s="3" t="n"/>
      <c r="K213" s="2" t="n"/>
    </row>
    <row r="214">
      <c r="A214" s="54" t="n">
        <v>23863</v>
      </c>
      <c r="B214" s="138" t="n">
        <v>61.3</v>
      </c>
      <c r="C214" s="56" t="n">
        <v>88.41999800000001</v>
      </c>
      <c r="D214" s="62">
        <f>(Table7[[#This Row],[S&amp;P]]-C202)/C202</f>
        <v/>
      </c>
      <c r="F214" s="3" t="n"/>
      <c r="K214" s="2" t="n"/>
    </row>
    <row r="215">
      <c r="A215" s="54" t="n">
        <v>23894</v>
      </c>
      <c r="B215" s="138" t="n">
        <v>58.7</v>
      </c>
      <c r="C215" s="56" t="n">
        <v>84.120003</v>
      </c>
      <c r="D215" s="62">
        <f>(Table7[[#This Row],[S&amp;P]]-C203)/C203</f>
        <v/>
      </c>
      <c r="F215" s="3" t="n"/>
      <c r="K215" s="2" t="n"/>
    </row>
    <row r="216">
      <c r="A216" s="54" t="n">
        <v>23924</v>
      </c>
      <c r="B216" s="138" t="n">
        <v>58.1</v>
      </c>
      <c r="C216" s="56" t="n">
        <v>85.25</v>
      </c>
      <c r="D216" s="62">
        <f>(Table7[[#This Row],[S&amp;P]]-C204)/C204</f>
        <v/>
      </c>
      <c r="F216" s="3" t="n"/>
      <c r="K216" s="2" t="n"/>
    </row>
    <row r="217">
      <c r="A217" s="54" t="n">
        <v>23955</v>
      </c>
      <c r="B217" s="138" t="n">
        <v>58.1</v>
      </c>
      <c r="C217" s="56" t="n">
        <v>87.16999800000001</v>
      </c>
      <c r="D217" s="62">
        <f>(Table7[[#This Row],[S&amp;P]]-C205)/C205</f>
        <v/>
      </c>
      <c r="F217" s="3" t="n"/>
      <c r="K217" s="2" t="n"/>
    </row>
    <row r="218">
      <c r="A218" s="54" t="n">
        <v>23986</v>
      </c>
      <c r="B218" s="138" t="n">
        <v>61</v>
      </c>
      <c r="C218" s="56" t="n">
        <v>89.959999</v>
      </c>
      <c r="D218" s="62">
        <f>(Table7[[#This Row],[S&amp;P]]-C206)/C206</f>
        <v/>
      </c>
      <c r="F218" s="3" t="n"/>
      <c r="K218" s="2" t="n"/>
    </row>
    <row r="219">
      <c r="A219" s="54" t="n">
        <v>24016</v>
      </c>
      <c r="B219" s="138" t="n">
        <v>58.6</v>
      </c>
      <c r="C219" s="56" t="n">
        <v>92.41999800000001</v>
      </c>
      <c r="D219" s="62">
        <f>(Table7[[#This Row],[S&amp;P]]-C207)/C207</f>
        <v/>
      </c>
      <c r="F219" s="3" t="n"/>
      <c r="K219" s="2" t="n"/>
    </row>
    <row r="220">
      <c r="A220" s="54" t="n">
        <v>24047</v>
      </c>
      <c r="B220" s="138" t="n">
        <v>59.4</v>
      </c>
      <c r="C220" s="56" t="n">
        <v>91.610001</v>
      </c>
      <c r="D220" s="62">
        <f>(Table7[[#This Row],[S&amp;P]]-C208)/C208</f>
        <v/>
      </c>
      <c r="F220" s="3" t="n"/>
      <c r="K220" s="2" t="n"/>
    </row>
    <row r="221">
      <c r="A221" s="54" t="n">
        <v>24077</v>
      </c>
      <c r="B221" s="138" t="n">
        <v>62.8</v>
      </c>
      <c r="C221" s="56" t="n">
        <v>92.43000000000001</v>
      </c>
      <c r="D221" s="62">
        <f>(Table7[[#This Row],[S&amp;P]]-C209)/C209</f>
        <v/>
      </c>
      <c r="F221" s="3" t="n"/>
      <c r="K221" s="2" t="n"/>
    </row>
    <row r="222">
      <c r="A222" s="54" t="n">
        <v>24108</v>
      </c>
      <c r="B222" s="138" t="n">
        <v>65.8</v>
      </c>
      <c r="C222" s="56" t="n">
        <v>92.879997</v>
      </c>
      <c r="D222" s="62">
        <f>(Table7[[#This Row],[S&amp;P]]-C210)/C210</f>
        <v/>
      </c>
      <c r="F222" s="3" t="n"/>
      <c r="K222" s="2" t="n"/>
    </row>
    <row r="223">
      <c r="A223" s="54" t="n">
        <v>24139</v>
      </c>
      <c r="B223" s="138" t="n">
        <v>65.5</v>
      </c>
      <c r="C223" s="56" t="n">
        <v>91.220001</v>
      </c>
      <c r="D223" s="62">
        <f>(Table7[[#This Row],[S&amp;P]]-C211)/C211</f>
        <v/>
      </c>
      <c r="F223" s="3" t="n"/>
      <c r="K223" s="2" t="n"/>
    </row>
    <row r="224">
      <c r="A224" s="54" t="n">
        <v>24167</v>
      </c>
      <c r="B224" s="138" t="n">
        <v>65.7</v>
      </c>
      <c r="C224" s="56" t="n">
        <v>89.230003</v>
      </c>
      <c r="D224" s="62">
        <f>(Table7[[#This Row],[S&amp;P]]-C212)/C212</f>
        <v/>
      </c>
      <c r="F224" s="3" t="n"/>
      <c r="K224" s="2" t="n"/>
    </row>
    <row r="225">
      <c r="A225" s="54" t="n">
        <v>24198</v>
      </c>
      <c r="B225" s="138" t="n">
        <v>64.2</v>
      </c>
      <c r="C225" s="56" t="n">
        <v>91.05999799999999</v>
      </c>
      <c r="D225" s="62">
        <f>(Table7[[#This Row],[S&amp;P]]-C213)/C213</f>
        <v/>
      </c>
      <c r="F225" s="3" t="n"/>
      <c r="K225" s="2" t="n"/>
    </row>
    <row r="226">
      <c r="A226" s="54" t="n">
        <v>24228</v>
      </c>
      <c r="B226" s="138" t="n">
        <v>57.7</v>
      </c>
      <c r="C226" s="56" t="n">
        <v>86.129997</v>
      </c>
      <c r="D226" s="62">
        <f>(Table7[[#This Row],[S&amp;P]]-C214)/C214</f>
        <v/>
      </c>
      <c r="F226" s="3" t="n"/>
      <c r="K226" s="2" t="n"/>
    </row>
    <row r="227">
      <c r="A227" s="54" t="n">
        <v>24259</v>
      </c>
      <c r="B227" s="138" t="n">
        <v>59</v>
      </c>
      <c r="C227" s="56" t="n">
        <v>84.739998</v>
      </c>
      <c r="D227" s="62">
        <f>(Table7[[#This Row],[S&amp;P]]-C215)/C215</f>
        <v/>
      </c>
      <c r="F227" s="3" t="n"/>
      <c r="K227" s="2" t="n"/>
    </row>
    <row r="228">
      <c r="A228" s="54" t="n">
        <v>24289</v>
      </c>
      <c r="B228" s="138" t="n">
        <v>60.3</v>
      </c>
      <c r="C228" s="56" t="n">
        <v>83.599998</v>
      </c>
      <c r="D228" s="62">
        <f>(Table7[[#This Row],[S&amp;P]]-C216)/C216</f>
        <v/>
      </c>
      <c r="F228" s="3" t="n"/>
      <c r="K228" s="2" t="n"/>
    </row>
    <row r="229">
      <c r="A229" s="54" t="n">
        <v>24320</v>
      </c>
      <c r="B229" s="138" t="n">
        <v>58.5</v>
      </c>
      <c r="C229" s="56" t="n">
        <v>77.099998</v>
      </c>
      <c r="D229" s="62">
        <f>(Table7[[#This Row],[S&amp;P]]-C217)/C217</f>
        <v/>
      </c>
      <c r="F229" s="3" t="n"/>
      <c r="K229" s="2" t="n"/>
    </row>
    <row r="230">
      <c r="A230" s="54" t="n">
        <v>24351</v>
      </c>
      <c r="B230" s="138" t="n">
        <v>58.7</v>
      </c>
      <c r="C230" s="56" t="n">
        <v>76.55999799999999</v>
      </c>
      <c r="D230" s="62">
        <f>(Table7[[#This Row],[S&amp;P]]-C218)/C218</f>
        <v/>
      </c>
      <c r="F230" s="3" t="n"/>
      <c r="K230" s="2" t="n"/>
    </row>
    <row r="231">
      <c r="A231" s="54" t="n">
        <v>24381</v>
      </c>
      <c r="B231" s="138" t="n">
        <v>57.2</v>
      </c>
      <c r="C231" s="56" t="n">
        <v>80.199997</v>
      </c>
      <c r="D231" s="62">
        <f>(Table7[[#This Row],[S&amp;P]]-C219)/C219</f>
        <v/>
      </c>
      <c r="F231" s="3" t="n"/>
      <c r="K231" s="2" t="n"/>
    </row>
    <row r="232">
      <c r="A232" s="54" t="n">
        <v>24412</v>
      </c>
      <c r="B232" s="138" t="n">
        <v>53.7</v>
      </c>
      <c r="C232" s="56" t="n">
        <v>80.449997</v>
      </c>
      <c r="D232" s="62">
        <f>(Table7[[#This Row],[S&amp;P]]-C220)/C220</f>
        <v/>
      </c>
      <c r="F232" s="3" t="n"/>
      <c r="K232" s="2" t="n"/>
    </row>
    <row r="233">
      <c r="A233" s="54" t="n">
        <v>24442</v>
      </c>
      <c r="B233" s="138" t="n">
        <v>52.4</v>
      </c>
      <c r="C233" s="56" t="n">
        <v>80.33000199999999</v>
      </c>
      <c r="D233" s="62">
        <f>(Table7[[#This Row],[S&amp;P]]-C221)/C221</f>
        <v/>
      </c>
      <c r="F233" s="3" t="n"/>
      <c r="K233" s="2" t="n"/>
    </row>
    <row r="234">
      <c r="A234" s="54" t="n">
        <v>24473</v>
      </c>
      <c r="B234" s="138" t="n">
        <v>49.1</v>
      </c>
      <c r="C234" s="56" t="n">
        <v>86.610001</v>
      </c>
      <c r="D234" s="62">
        <f>(Table7[[#This Row],[S&amp;P]]-C222)/C222</f>
        <v/>
      </c>
      <c r="F234" s="3" t="n"/>
      <c r="K234" s="2" t="n"/>
    </row>
    <row r="235">
      <c r="A235" s="54" t="n">
        <v>24504</v>
      </c>
      <c r="B235" s="138" t="n">
        <v>47.6</v>
      </c>
      <c r="C235" s="56" t="n">
        <v>86.779999</v>
      </c>
      <c r="D235" s="62">
        <f>(Table7[[#This Row],[S&amp;P]]-C223)/C223</f>
        <v/>
      </c>
      <c r="F235" s="3" t="n"/>
      <c r="K235" s="2" t="n"/>
    </row>
    <row r="236">
      <c r="A236" s="54" t="n">
        <v>24532</v>
      </c>
      <c r="B236" s="138" t="n">
        <v>45.3</v>
      </c>
      <c r="C236" s="56" t="n">
        <v>90.199997</v>
      </c>
      <c r="D236" s="62">
        <f>(Table7[[#This Row],[S&amp;P]]-C224)/C224</f>
        <v/>
      </c>
      <c r="F236" s="3" t="n"/>
      <c r="K236" s="2" t="n"/>
    </row>
    <row r="237">
      <c r="A237" s="54" t="n">
        <v>24563</v>
      </c>
      <c r="B237" s="138" t="n">
        <v>42.8</v>
      </c>
      <c r="C237" s="56" t="n">
        <v>94.010002</v>
      </c>
      <c r="D237" s="62">
        <f>(Table7[[#This Row],[S&amp;P]]-C225)/C225</f>
        <v/>
      </c>
      <c r="F237" s="3" t="n"/>
      <c r="K237" s="2" t="n"/>
    </row>
    <row r="238">
      <c r="A238" s="54" t="n">
        <v>24593</v>
      </c>
      <c r="B238" s="138" t="n">
        <v>44.5</v>
      </c>
      <c r="C238" s="56" t="n">
        <v>89.08000199999999</v>
      </c>
      <c r="D238" s="62">
        <f>(Table7[[#This Row],[S&amp;P]]-C226)/C226</f>
        <v/>
      </c>
      <c r="F238" s="3" t="n"/>
      <c r="K238" s="2" t="n"/>
    </row>
    <row r="239">
      <c r="A239" s="54" t="n">
        <v>24624</v>
      </c>
      <c r="B239" s="138" t="n">
        <v>46.8</v>
      </c>
      <c r="C239" s="56" t="n">
        <v>90.639999</v>
      </c>
      <c r="D239" s="62">
        <f>(Table7[[#This Row],[S&amp;P]]-C227)/C227</f>
        <v/>
      </c>
      <c r="F239" s="3" t="n"/>
      <c r="K239" s="2" t="n"/>
    </row>
    <row r="240">
      <c r="A240" s="54" t="n">
        <v>24654</v>
      </c>
      <c r="B240" s="138" t="n">
        <v>49.5</v>
      </c>
      <c r="C240" s="56" t="n">
        <v>94.75</v>
      </c>
      <c r="D240" s="62">
        <f>(Table7[[#This Row],[S&amp;P]]-C228)/C228</f>
        <v/>
      </c>
      <c r="F240" s="3" t="n"/>
      <c r="K240" s="2" t="n"/>
    </row>
    <row r="241">
      <c r="A241" s="54" t="n">
        <v>24685</v>
      </c>
      <c r="B241" s="138" t="n">
        <v>52.2</v>
      </c>
      <c r="C241" s="56" t="n">
        <v>93.639999</v>
      </c>
      <c r="D241" s="62">
        <f>(Table7[[#This Row],[S&amp;P]]-C229)/C229</f>
        <v/>
      </c>
      <c r="F241" s="3" t="n"/>
      <c r="K241" s="2" t="n"/>
    </row>
    <row r="242">
      <c r="A242" s="54" t="n">
        <v>24716</v>
      </c>
      <c r="B242" s="138" t="n">
        <v>54.9</v>
      </c>
      <c r="C242" s="56" t="n">
        <v>96.709999</v>
      </c>
      <c r="D242" s="62">
        <f>(Table7[[#This Row],[S&amp;P]]-C230)/C230</f>
        <v/>
      </c>
      <c r="F242" s="3" t="n"/>
      <c r="K242" s="2" t="n"/>
    </row>
    <row r="243">
      <c r="A243" s="54" t="n">
        <v>24746</v>
      </c>
      <c r="B243" s="138" t="n">
        <v>54.1</v>
      </c>
      <c r="C243" s="56" t="n">
        <v>93.300003</v>
      </c>
      <c r="D243" s="62">
        <f>(Table7[[#This Row],[S&amp;P]]-C231)/C231</f>
        <v/>
      </c>
      <c r="F243" s="3" t="n"/>
      <c r="K243" s="2" t="n"/>
    </row>
    <row r="244">
      <c r="A244" s="54" t="n">
        <v>24777</v>
      </c>
      <c r="B244" s="138" t="n">
        <v>54.2</v>
      </c>
      <c r="C244" s="56" t="n">
        <v>94</v>
      </c>
      <c r="D244" s="62">
        <f>(Table7[[#This Row],[S&amp;P]]-C232)/C232</f>
        <v/>
      </c>
      <c r="F244" s="3" t="n"/>
      <c r="K244" s="2" t="n"/>
    </row>
    <row r="245">
      <c r="A245" s="54" t="n">
        <v>24807</v>
      </c>
      <c r="B245" s="138" t="n">
        <v>55.6</v>
      </c>
      <c r="C245" s="56" t="n">
        <v>96.470001</v>
      </c>
      <c r="D245" s="62">
        <f>(Table7[[#This Row],[S&amp;P]]-C233)/C233</f>
        <v/>
      </c>
      <c r="F245" s="3" t="n"/>
      <c r="K245" s="2" t="n"/>
    </row>
    <row r="246">
      <c r="A246" s="54" t="n">
        <v>24838</v>
      </c>
      <c r="B246" s="138" t="n">
        <v>56.6</v>
      </c>
      <c r="C246" s="56" t="n">
        <v>92.239998</v>
      </c>
      <c r="D246" s="62">
        <f>(Table7[[#This Row],[S&amp;P]]-C234)/C234</f>
        <v/>
      </c>
      <c r="F246" s="3" t="n"/>
      <c r="K246" s="2" t="n"/>
    </row>
    <row r="247">
      <c r="A247" s="54" t="n">
        <v>24869</v>
      </c>
      <c r="B247" s="138" t="n">
        <v>55</v>
      </c>
      <c r="C247" s="56" t="n">
        <v>89.360001</v>
      </c>
      <c r="D247" s="62">
        <f>(Table7[[#This Row],[S&amp;P]]-C235)/C235</f>
        <v/>
      </c>
      <c r="F247" s="3" t="n"/>
      <c r="K247" s="2" t="n"/>
    </row>
    <row r="248">
      <c r="A248" s="54" t="n">
        <v>24898</v>
      </c>
      <c r="B248" s="138" t="n">
        <v>53.8</v>
      </c>
      <c r="C248" s="56" t="n">
        <v>90.199997</v>
      </c>
      <c r="D248" s="62">
        <f>(Table7[[#This Row],[S&amp;P]]-C236)/C236</f>
        <v/>
      </c>
      <c r="F248" s="3" t="n"/>
      <c r="K248" s="2" t="n"/>
    </row>
    <row r="249">
      <c r="A249" s="54" t="n">
        <v>24929</v>
      </c>
      <c r="B249" s="138" t="n">
        <v>58</v>
      </c>
      <c r="C249" s="56" t="n">
        <v>97.459999</v>
      </c>
      <c r="D249" s="62">
        <f>(Table7[[#This Row],[S&amp;P]]-C237)/C237</f>
        <v/>
      </c>
      <c r="F249" s="3" t="n"/>
      <c r="K249" s="2" t="n"/>
    </row>
    <row r="250">
      <c r="A250" s="54" t="n">
        <v>24959</v>
      </c>
      <c r="B250" s="138" t="n">
        <v>55.3</v>
      </c>
      <c r="C250" s="56" t="n">
        <v>98.68000000000001</v>
      </c>
      <c r="D250" s="62">
        <f>(Table7[[#This Row],[S&amp;P]]-C238)/C238</f>
        <v/>
      </c>
      <c r="F250" s="3" t="n"/>
      <c r="K250" s="2" t="n"/>
    </row>
    <row r="251">
      <c r="A251" s="54" t="n">
        <v>24990</v>
      </c>
      <c r="B251" s="138" t="n">
        <v>53.5</v>
      </c>
      <c r="C251" s="56" t="n">
        <v>99.58000199999999</v>
      </c>
      <c r="D251" s="62">
        <f>(Table7[[#This Row],[S&amp;P]]-C239)/C239</f>
        <v/>
      </c>
      <c r="F251" s="3" t="n"/>
      <c r="K251" s="2" t="n"/>
    </row>
    <row r="252">
      <c r="A252" s="54" t="n">
        <v>25020</v>
      </c>
      <c r="B252" s="138" t="n">
        <v>54.1</v>
      </c>
      <c r="C252" s="56" t="n">
        <v>97.739998</v>
      </c>
      <c r="D252" s="62">
        <f>(Table7[[#This Row],[S&amp;P]]-C240)/C240</f>
        <v/>
      </c>
      <c r="F252" s="3" t="n"/>
      <c r="K252" s="2" t="n"/>
    </row>
    <row r="253">
      <c r="A253" s="54" t="n">
        <v>25051</v>
      </c>
      <c r="B253" s="138" t="n">
        <v>52.7</v>
      </c>
      <c r="C253" s="56" t="n">
        <v>98.860001</v>
      </c>
      <c r="D253" s="62">
        <f>(Table7[[#This Row],[S&amp;P]]-C241)/C241</f>
        <v/>
      </c>
      <c r="F253" s="3" t="n"/>
      <c r="K253" s="2" t="n"/>
    </row>
    <row r="254">
      <c r="A254" s="54" t="n">
        <v>25082</v>
      </c>
      <c r="B254" s="138" t="n">
        <v>51.8</v>
      </c>
      <c r="C254" s="56" t="n">
        <v>102.669998</v>
      </c>
      <c r="D254" s="62">
        <f>(Table7[[#This Row],[S&amp;P]]-C242)/C242</f>
        <v/>
      </c>
      <c r="F254" s="3" t="n"/>
      <c r="K254" s="2" t="n"/>
    </row>
    <row r="255">
      <c r="A255" s="54" t="n">
        <v>25112</v>
      </c>
      <c r="B255" s="138" t="n">
        <v>55.8</v>
      </c>
      <c r="C255" s="56" t="n">
        <v>103.410004</v>
      </c>
      <c r="D255" s="62">
        <f>(Table7[[#This Row],[S&amp;P]]-C243)/C243</f>
        <v/>
      </c>
      <c r="F255" s="3" t="n"/>
      <c r="K255" s="2" t="n"/>
    </row>
    <row r="256">
      <c r="A256" s="54" t="n">
        <v>25143</v>
      </c>
      <c r="B256" s="138" t="n">
        <v>58.1</v>
      </c>
      <c r="C256" s="56" t="n">
        <v>108.370003</v>
      </c>
      <c r="D256" s="62">
        <f>(Table7[[#This Row],[S&amp;P]]-C244)/C244</f>
        <v/>
      </c>
      <c r="F256" s="3" t="n"/>
      <c r="K256" s="2" t="n"/>
    </row>
    <row r="257">
      <c r="A257" s="54" t="n">
        <v>25173</v>
      </c>
      <c r="B257" s="138" t="n">
        <v>56.1</v>
      </c>
      <c r="C257" s="56" t="n">
        <v>103.860001</v>
      </c>
      <c r="D257" s="62">
        <f>(Table7[[#This Row],[S&amp;P]]-C245)/C245</f>
        <v/>
      </c>
      <c r="F257" s="3" t="n"/>
      <c r="K257" s="2" t="n"/>
    </row>
    <row r="258">
      <c r="A258" s="54" t="n">
        <v>25204</v>
      </c>
      <c r="B258" s="138" t="n">
        <v>54.9</v>
      </c>
      <c r="C258" s="56" t="n">
        <v>103.010002</v>
      </c>
      <c r="D258" s="62">
        <f>(Table7[[#This Row],[S&amp;P]]-C246)/C246</f>
        <v/>
      </c>
      <c r="F258" s="3" t="n"/>
      <c r="K258" s="2" t="n"/>
    </row>
    <row r="259">
      <c r="A259" s="54" t="n">
        <v>25235</v>
      </c>
      <c r="B259" s="138" t="n">
        <v>57</v>
      </c>
      <c r="C259" s="56" t="n">
        <v>98.129997</v>
      </c>
      <c r="D259" s="62">
        <f>(Table7[[#This Row],[S&amp;P]]-C247)/C247</f>
        <v/>
      </c>
      <c r="F259" s="3" t="n"/>
      <c r="K259" s="2" t="n"/>
    </row>
    <row r="260">
      <c r="A260" s="54" t="n">
        <v>25263</v>
      </c>
      <c r="B260" s="138" t="n">
        <v>57.1</v>
      </c>
      <c r="C260" s="56" t="n">
        <v>101.510002</v>
      </c>
      <c r="D260" s="62">
        <f>(Table7[[#This Row],[S&amp;P]]-C248)/C248</f>
        <v/>
      </c>
      <c r="F260" s="3" t="n"/>
      <c r="K260" s="2" t="n"/>
    </row>
    <row r="261">
      <c r="A261" s="54" t="n">
        <v>25294</v>
      </c>
      <c r="B261" s="138" t="n">
        <v>55.2</v>
      </c>
      <c r="C261" s="56" t="n">
        <v>103.690002</v>
      </c>
      <c r="D261" s="62">
        <f>(Table7[[#This Row],[S&amp;P]]-C249)/C249</f>
        <v/>
      </c>
      <c r="F261" s="3" t="n"/>
      <c r="K261" s="2" t="n"/>
    </row>
    <row r="262">
      <c r="A262" s="54" t="n">
        <v>25324</v>
      </c>
      <c r="B262" s="138" t="n">
        <v>56.7</v>
      </c>
      <c r="C262" s="56" t="n">
        <v>103.459999</v>
      </c>
      <c r="D262" s="62">
        <f>(Table7[[#This Row],[S&amp;P]]-C250)/C250</f>
        <v/>
      </c>
      <c r="F262" s="3" t="n"/>
      <c r="K262" s="2" t="n"/>
    </row>
    <row r="263">
      <c r="A263" s="54" t="n">
        <v>25355</v>
      </c>
      <c r="B263" s="138" t="n">
        <v>55.5</v>
      </c>
      <c r="C263" s="56" t="n">
        <v>97.709999</v>
      </c>
      <c r="D263" s="62">
        <f>(Table7[[#This Row],[S&amp;P]]-C251)/C251</f>
        <v/>
      </c>
      <c r="F263" s="3" t="n"/>
      <c r="K263" s="2" t="n"/>
    </row>
    <row r="264">
      <c r="A264" s="54" t="n">
        <v>25385</v>
      </c>
      <c r="B264" s="138" t="n">
        <v>53.1</v>
      </c>
      <c r="C264" s="56" t="n">
        <v>91.83000199999999</v>
      </c>
      <c r="D264" s="62">
        <f>(Table7[[#This Row],[S&amp;P]]-C252)/C252</f>
        <v/>
      </c>
      <c r="F264" s="3" t="n"/>
      <c r="K264" s="2" t="n"/>
    </row>
    <row r="265">
      <c r="A265" s="54" t="n">
        <v>25416</v>
      </c>
      <c r="B265" s="138" t="n">
        <v>54.8</v>
      </c>
      <c r="C265" s="56" t="n">
        <v>95.510002</v>
      </c>
      <c r="D265" s="62">
        <f>(Table7[[#This Row],[S&amp;P]]-C253)/C253</f>
        <v/>
      </c>
      <c r="F265" s="3" t="n"/>
      <c r="K265" s="2" t="n"/>
    </row>
    <row r="266">
      <c r="A266" s="54" t="n">
        <v>25447</v>
      </c>
      <c r="B266" s="138" t="n">
        <v>54.1</v>
      </c>
      <c r="C266" s="56" t="n">
        <v>93.120003</v>
      </c>
      <c r="D266" s="62">
        <f>(Table7[[#This Row],[S&amp;P]]-C254)/C254</f>
        <v/>
      </c>
      <c r="F266" s="3" t="n"/>
      <c r="K266" s="2" t="n"/>
    </row>
    <row r="267">
      <c r="A267" s="54" t="n">
        <v>25477</v>
      </c>
      <c r="B267" s="138" t="n">
        <v>54.6</v>
      </c>
      <c r="C267" s="56" t="n">
        <v>97.120003</v>
      </c>
      <c r="D267" s="62">
        <f>(Table7[[#This Row],[S&amp;P]]-C255)/C255</f>
        <v/>
      </c>
      <c r="F267" s="3" t="n"/>
      <c r="K267" s="2" t="n"/>
    </row>
    <row r="268">
      <c r="A268" s="54" t="n">
        <v>25508</v>
      </c>
      <c r="B268" s="138" t="n">
        <v>53.2</v>
      </c>
      <c r="C268" s="56" t="n">
        <v>93.80999799999999</v>
      </c>
      <c r="D268" s="62">
        <f>(Table7[[#This Row],[S&amp;P]]-C256)/C256</f>
        <v/>
      </c>
      <c r="F268" s="3" t="n"/>
      <c r="K268" s="2" t="n"/>
    </row>
    <row r="269">
      <c r="A269" s="54" t="n">
        <v>25538</v>
      </c>
      <c r="B269" s="138" t="n">
        <v>52</v>
      </c>
      <c r="C269" s="56" t="n">
        <v>92.05999799999999</v>
      </c>
      <c r="D269" s="62">
        <f>(Table7[[#This Row],[S&amp;P]]-C257)/C257</f>
        <v/>
      </c>
      <c r="F269" s="3" t="n"/>
      <c r="K269" s="2" t="n"/>
    </row>
    <row r="270">
      <c r="A270" s="54" t="n">
        <v>25569</v>
      </c>
      <c r="B270" s="138" t="n">
        <v>48.7</v>
      </c>
      <c r="C270" s="56" t="n">
        <v>85.019997</v>
      </c>
      <c r="D270" s="62">
        <f>(Table7[[#This Row],[S&amp;P]]-C258)/C258</f>
        <v/>
      </c>
      <c r="F270" s="3" t="n"/>
      <c r="K270" s="2" t="n"/>
    </row>
    <row r="271">
      <c r="A271" s="54" t="n">
        <v>25600</v>
      </c>
      <c r="B271" s="138" t="n">
        <v>47.4</v>
      </c>
      <c r="C271" s="56" t="n">
        <v>89.5</v>
      </c>
      <c r="D271" s="62">
        <f>(Table7[[#This Row],[S&amp;P]]-C259)/C259</f>
        <v/>
      </c>
      <c r="F271" s="3" t="n"/>
      <c r="K271" s="2" t="n"/>
    </row>
    <row r="272">
      <c r="A272" s="54" t="n">
        <v>25628</v>
      </c>
      <c r="B272" s="138" t="n">
        <v>46.9</v>
      </c>
      <c r="C272" s="56" t="n">
        <v>89.629997</v>
      </c>
      <c r="D272" s="62">
        <f>(Table7[[#This Row],[S&amp;P]]-C260)/C260</f>
        <v/>
      </c>
      <c r="F272" s="3" t="n"/>
      <c r="K272" s="2" t="n"/>
    </row>
    <row r="273">
      <c r="A273" s="54" t="n">
        <v>25659</v>
      </c>
      <c r="B273" s="138" t="n">
        <v>45</v>
      </c>
      <c r="C273" s="56" t="n">
        <v>81.519997</v>
      </c>
      <c r="D273" s="62">
        <f>(Table7[[#This Row],[S&amp;P]]-C261)/C261</f>
        <v/>
      </c>
      <c r="F273" s="3" t="n"/>
      <c r="K273" s="2" t="n"/>
    </row>
    <row r="274">
      <c r="A274" s="54" t="n">
        <v>25689</v>
      </c>
      <c r="B274" s="138" t="n">
        <v>47.2</v>
      </c>
      <c r="C274" s="56" t="n">
        <v>76.550003</v>
      </c>
      <c r="D274" s="62">
        <f>(Table7[[#This Row],[S&amp;P]]-C262)/C262</f>
        <v/>
      </c>
      <c r="F274" s="3" t="n"/>
      <c r="K274" s="2" t="n"/>
    </row>
    <row r="275">
      <c r="A275" s="54" t="n">
        <v>25720</v>
      </c>
      <c r="B275" s="138" t="n">
        <v>51.1</v>
      </c>
      <c r="C275" s="56" t="n">
        <v>72.720001</v>
      </c>
      <c r="D275" s="62">
        <f>(Table7[[#This Row],[S&amp;P]]-C263)/C263</f>
        <v/>
      </c>
      <c r="F275" s="3" t="n"/>
      <c r="K275" s="2" t="n"/>
    </row>
    <row r="276">
      <c r="A276" s="54" t="n">
        <v>25750</v>
      </c>
      <c r="B276" s="138" t="n">
        <v>49.5</v>
      </c>
      <c r="C276" s="56" t="n">
        <v>78.050003</v>
      </c>
      <c r="D276" s="62">
        <f>(Table7[[#This Row],[S&amp;P]]-C264)/C264</f>
        <v/>
      </c>
      <c r="F276" s="3" t="n"/>
      <c r="K276" s="2" t="n"/>
    </row>
    <row r="277">
      <c r="A277" s="54" t="n">
        <v>25781</v>
      </c>
      <c r="B277" s="138" t="n">
        <v>47.3</v>
      </c>
      <c r="C277" s="56" t="n">
        <v>81.519997</v>
      </c>
      <c r="D277" s="62">
        <f>(Table7[[#This Row],[S&amp;P]]-C265)/C265</f>
        <v/>
      </c>
      <c r="F277" s="3" t="n"/>
      <c r="K277" s="2" t="n"/>
    </row>
    <row r="278">
      <c r="A278" s="54" t="n">
        <v>25812</v>
      </c>
      <c r="B278" s="138" t="n">
        <v>44.1</v>
      </c>
      <c r="C278" s="56" t="n">
        <v>84.300003</v>
      </c>
      <c r="D278" s="62">
        <f>(Table7[[#This Row],[S&amp;P]]-C266)/C266</f>
        <v/>
      </c>
      <c r="F278" s="3" t="n"/>
      <c r="K278" s="2" t="n"/>
    </row>
    <row r="279">
      <c r="A279" s="54" t="n">
        <v>25842</v>
      </c>
      <c r="B279" s="138" t="n">
        <v>42.4</v>
      </c>
      <c r="C279" s="56" t="n">
        <v>83.25</v>
      </c>
      <c r="D279" s="62">
        <f>(Table7[[#This Row],[S&amp;P]]-C267)/C267</f>
        <v/>
      </c>
      <c r="F279" s="3" t="n"/>
      <c r="K279" s="2" t="n"/>
    </row>
    <row r="280">
      <c r="A280" s="54" t="n">
        <v>25873</v>
      </c>
      <c r="B280" s="138" t="n">
        <v>39.7</v>
      </c>
      <c r="C280" s="56" t="n">
        <v>87.199997</v>
      </c>
      <c r="D280" s="62">
        <f>(Table7[[#This Row],[S&amp;P]]-C268)/C268</f>
        <v/>
      </c>
      <c r="F280" s="3" t="n"/>
      <c r="K280" s="2" t="n"/>
    </row>
    <row r="281">
      <c r="A281" s="54" t="n">
        <v>25903</v>
      </c>
      <c r="B281" s="138" t="n">
        <v>45.4</v>
      </c>
      <c r="C281" s="56" t="n">
        <v>92.150002</v>
      </c>
      <c r="D281" s="62">
        <f>(Table7[[#This Row],[S&amp;P]]-C269)/C269</f>
        <v/>
      </c>
      <c r="F281" s="3" t="n"/>
      <c r="K281" s="2" t="n"/>
    </row>
    <row r="282">
      <c r="A282" s="54" t="n">
        <v>25934</v>
      </c>
      <c r="B282" s="138" t="n">
        <v>47.9</v>
      </c>
      <c r="C282" s="56" t="n">
        <v>95.879997</v>
      </c>
      <c r="D282" s="62">
        <f>(Table7[[#This Row],[S&amp;P]]-C270)/C270</f>
        <v/>
      </c>
      <c r="F282" s="3" t="n"/>
      <c r="K282" s="2" t="n"/>
    </row>
    <row r="283">
      <c r="A283" s="54" t="n">
        <v>25965</v>
      </c>
      <c r="B283" s="138" t="n">
        <v>54.8</v>
      </c>
      <c r="C283" s="56" t="n">
        <v>96.75</v>
      </c>
      <c r="D283" s="62">
        <f>(Table7[[#This Row],[S&amp;P]]-C271)/C271</f>
        <v/>
      </c>
      <c r="F283" s="3" t="n"/>
      <c r="K283" s="2" t="n"/>
    </row>
    <row r="284">
      <c r="A284" s="54" t="n">
        <v>25993</v>
      </c>
      <c r="B284" s="138" t="n">
        <v>51.2</v>
      </c>
      <c r="C284" s="56" t="n">
        <v>100.309998</v>
      </c>
      <c r="D284" s="62">
        <f>(Table7[[#This Row],[S&amp;P]]-C272)/C272</f>
        <v/>
      </c>
      <c r="F284" s="3" t="n"/>
      <c r="K284" s="2" t="n"/>
    </row>
    <row r="285">
      <c r="A285" s="54" t="n">
        <v>26024</v>
      </c>
      <c r="B285" s="138" t="n">
        <v>54.5</v>
      </c>
      <c r="C285" s="56" t="n">
        <v>103.949997</v>
      </c>
      <c r="D285" s="62">
        <f>(Table7[[#This Row],[S&amp;P]]-C273)/C273</f>
        <v/>
      </c>
      <c r="F285" s="3" t="n"/>
      <c r="K285" s="2" t="n"/>
    </row>
    <row r="286">
      <c r="A286" s="54" t="n">
        <v>26054</v>
      </c>
      <c r="B286" s="138" t="n">
        <v>54.2</v>
      </c>
      <c r="C286" s="56" t="n">
        <v>99.629997</v>
      </c>
      <c r="D286" s="62">
        <f>(Table7[[#This Row],[S&amp;P]]-C274)/C274</f>
        <v/>
      </c>
      <c r="F286" s="3" t="n"/>
      <c r="K286" s="2" t="n"/>
    </row>
    <row r="287">
      <c r="A287" s="54" t="n">
        <v>26085</v>
      </c>
      <c r="B287" s="138" t="n">
        <v>53.8</v>
      </c>
      <c r="C287" s="56" t="n">
        <v>98.699997</v>
      </c>
      <c r="D287" s="62">
        <f>(Table7[[#This Row],[S&amp;P]]-C275)/C275</f>
        <v/>
      </c>
      <c r="F287" s="3" t="n"/>
      <c r="K287" s="2" t="n"/>
    </row>
    <row r="288">
      <c r="A288" s="54" t="n">
        <v>26115</v>
      </c>
      <c r="B288" s="138" t="n">
        <v>54.4</v>
      </c>
      <c r="C288" s="56" t="n">
        <v>95.58000199999999</v>
      </c>
      <c r="D288" s="62">
        <f>(Table7[[#This Row],[S&amp;P]]-C276)/C276</f>
        <v/>
      </c>
      <c r="F288" s="3" t="n"/>
      <c r="K288" s="2" t="n"/>
    </row>
    <row r="289">
      <c r="A289" s="54" t="n">
        <v>26146</v>
      </c>
      <c r="B289" s="138" t="n">
        <v>53.6</v>
      </c>
      <c r="C289" s="56" t="n">
        <v>99.029999</v>
      </c>
      <c r="D289" s="62">
        <f>(Table7[[#This Row],[S&amp;P]]-C277)/C277</f>
        <v/>
      </c>
      <c r="F289" s="3" t="n"/>
      <c r="K289" s="2" t="n"/>
    </row>
    <row r="290">
      <c r="A290" s="54" t="n">
        <v>26177</v>
      </c>
      <c r="B290" s="138" t="n">
        <v>55.1</v>
      </c>
      <c r="C290" s="56" t="n">
        <v>98.339996</v>
      </c>
      <c r="D290" s="62">
        <f>(Table7[[#This Row],[S&amp;P]]-C278)/C278</f>
        <v/>
      </c>
      <c r="F290" s="3" t="n"/>
      <c r="K290" s="2" t="n"/>
    </row>
    <row r="291">
      <c r="A291" s="54" t="n">
        <v>26207</v>
      </c>
      <c r="B291" s="138" t="n">
        <v>55</v>
      </c>
      <c r="C291" s="56" t="n">
        <v>94.230003</v>
      </c>
      <c r="D291" s="62">
        <f>(Table7[[#This Row],[S&amp;P]]-C279)/C279</f>
        <v/>
      </c>
      <c r="F291" s="3" t="n"/>
      <c r="K291" s="2" t="n"/>
    </row>
    <row r="292">
      <c r="A292" s="54" t="n">
        <v>26238</v>
      </c>
      <c r="B292" s="138" t="n">
        <v>52.3</v>
      </c>
      <c r="C292" s="56" t="n">
        <v>93.989998</v>
      </c>
      <c r="D292" s="62">
        <f>(Table7[[#This Row],[S&amp;P]]-C280)/C280</f>
        <v/>
      </c>
      <c r="F292" s="3" t="n"/>
      <c r="K292" s="2" t="n"/>
    </row>
    <row r="293">
      <c r="A293" s="54" t="n">
        <v>26268</v>
      </c>
      <c r="B293" s="138" t="n">
        <v>57.6</v>
      </c>
      <c r="C293" s="56" t="n">
        <v>102.089996</v>
      </c>
      <c r="D293" s="62">
        <f>(Table7[[#This Row],[S&amp;P]]-C281)/C281</f>
        <v/>
      </c>
      <c r="F293" s="3" t="n"/>
      <c r="K293" s="2" t="n"/>
    </row>
    <row r="294">
      <c r="A294" s="54" t="n">
        <v>26299</v>
      </c>
      <c r="B294" s="138" t="n">
        <v>59.6</v>
      </c>
      <c r="C294" s="56" t="n">
        <v>103.940002</v>
      </c>
      <c r="D294" s="62">
        <f>(Table7[[#This Row],[S&amp;P]]-C282)/C282</f>
        <v/>
      </c>
      <c r="F294" s="3" t="n"/>
      <c r="K294" s="2" t="n"/>
    </row>
    <row r="295">
      <c r="A295" s="54" t="n">
        <v>26330</v>
      </c>
      <c r="B295" s="138" t="n">
        <v>60.6</v>
      </c>
      <c r="C295" s="56" t="n">
        <v>106.57</v>
      </c>
      <c r="D295" s="62">
        <f>(Table7[[#This Row],[S&amp;P]]-C283)/C283</f>
        <v/>
      </c>
      <c r="F295" s="3" t="n"/>
      <c r="K295" s="2" t="n"/>
    </row>
    <row r="296">
      <c r="A296" s="54" t="n">
        <v>26359</v>
      </c>
      <c r="B296" s="138" t="n">
        <v>59.8</v>
      </c>
      <c r="C296" s="56" t="n">
        <v>107.199997</v>
      </c>
      <c r="D296" s="62">
        <f>(Table7[[#This Row],[S&amp;P]]-C284)/C284</f>
        <v/>
      </c>
      <c r="F296" s="3" t="n"/>
      <c r="K296" s="2" t="n"/>
    </row>
    <row r="297">
      <c r="A297" s="54" t="n">
        <v>26390</v>
      </c>
      <c r="B297" s="138" t="n">
        <v>59.3</v>
      </c>
      <c r="C297" s="56" t="n">
        <v>107.669998</v>
      </c>
      <c r="D297" s="62">
        <f>(Table7[[#This Row],[S&amp;P]]-C285)/C285</f>
        <v/>
      </c>
      <c r="F297" s="3" t="n"/>
      <c r="K297" s="2" t="n"/>
    </row>
    <row r="298">
      <c r="A298" s="54" t="n">
        <v>26420</v>
      </c>
      <c r="B298" s="138" t="n">
        <v>61.4</v>
      </c>
      <c r="C298" s="56" t="n">
        <v>109.529999</v>
      </c>
      <c r="D298" s="62">
        <f>(Table7[[#This Row],[S&amp;P]]-C286)/C286</f>
        <v/>
      </c>
      <c r="F298" s="3" t="n"/>
      <c r="K298" s="2" t="n"/>
    </row>
    <row r="299">
      <c r="A299" s="54" t="n">
        <v>26451</v>
      </c>
      <c r="B299" s="138" t="n">
        <v>58.6</v>
      </c>
      <c r="C299" s="56" t="n">
        <v>107.139999</v>
      </c>
      <c r="D299" s="62">
        <f>(Table7[[#This Row],[S&amp;P]]-C287)/C287</f>
        <v/>
      </c>
      <c r="F299" s="3" t="n"/>
      <c r="K299" s="2" t="n"/>
    </row>
    <row r="300">
      <c r="A300" s="54" t="n">
        <v>26481</v>
      </c>
      <c r="B300" s="138" t="n">
        <v>60.1</v>
      </c>
      <c r="C300" s="56" t="n">
        <v>107.389999</v>
      </c>
      <c r="D300" s="62">
        <f>(Table7[[#This Row],[S&amp;P]]-C288)/C288</f>
        <v/>
      </c>
      <c r="F300" s="3" t="n"/>
      <c r="K300" s="2" t="n"/>
    </row>
    <row r="301">
      <c r="A301" s="54" t="n">
        <v>26512</v>
      </c>
      <c r="B301" s="138" t="n">
        <v>61.7</v>
      </c>
      <c r="C301" s="56" t="n">
        <v>111.089996</v>
      </c>
      <c r="D301" s="62">
        <f>(Table7[[#This Row],[S&amp;P]]-C289)/C289</f>
        <v/>
      </c>
      <c r="F301" s="3" t="n"/>
      <c r="K301" s="2" t="n"/>
    </row>
    <row r="302">
      <c r="A302" s="54" t="n">
        <v>26543</v>
      </c>
      <c r="B302" s="138" t="n">
        <v>65.09999999999999</v>
      </c>
      <c r="C302" s="56" t="n">
        <v>110.550003</v>
      </c>
      <c r="D302" s="62">
        <f>(Table7[[#This Row],[S&amp;P]]-C290)/C290</f>
        <v/>
      </c>
      <c r="F302" s="3" t="n"/>
      <c r="K302" s="2" t="n"/>
    </row>
    <row r="303">
      <c r="A303" s="54" t="n">
        <v>26573</v>
      </c>
      <c r="B303" s="138" t="n">
        <v>67</v>
      </c>
      <c r="C303" s="56" t="n">
        <v>111.580002</v>
      </c>
      <c r="D303" s="62">
        <f>(Table7[[#This Row],[S&amp;P]]-C291)/C291</f>
        <v/>
      </c>
      <c r="F303" s="3" t="n"/>
      <c r="K303" s="2" t="n"/>
    </row>
    <row r="304">
      <c r="A304" s="54" t="n">
        <v>26604</v>
      </c>
      <c r="B304" s="138" t="n">
        <v>69.90000000000001</v>
      </c>
      <c r="C304" s="56" t="n">
        <v>116.669998</v>
      </c>
      <c r="D304" s="62">
        <f>(Table7[[#This Row],[S&amp;P]]-C292)/C292</f>
        <v/>
      </c>
      <c r="F304" s="3" t="n"/>
      <c r="K304" s="2" t="n"/>
    </row>
    <row r="305">
      <c r="A305" s="54" t="n">
        <v>26634</v>
      </c>
      <c r="B305" s="138" t="n">
        <v>70.5</v>
      </c>
      <c r="C305" s="56" t="n">
        <v>118.050003</v>
      </c>
      <c r="D305" s="62">
        <f>(Table7[[#This Row],[S&amp;P]]-C293)/C293</f>
        <v/>
      </c>
      <c r="F305" s="3" t="n"/>
      <c r="K305" s="2" t="n"/>
    </row>
    <row r="306">
      <c r="A306" s="54" t="n">
        <v>26665</v>
      </c>
      <c r="B306" s="138" t="n">
        <v>72.09999999999999</v>
      </c>
      <c r="C306" s="56" t="n">
        <v>116.029999</v>
      </c>
      <c r="D306" s="62">
        <f>(Table7[[#This Row],[S&amp;P]]-C294)/C294</f>
        <v/>
      </c>
      <c r="F306" s="3" t="n"/>
      <c r="K306" s="2" t="n"/>
    </row>
    <row r="307">
      <c r="A307" s="54" t="n">
        <v>26696</v>
      </c>
      <c r="B307" s="138" t="n">
        <v>69.59999999999999</v>
      </c>
      <c r="C307" s="56" t="n">
        <v>111.68</v>
      </c>
      <c r="D307" s="62">
        <f>(Table7[[#This Row],[S&amp;P]]-C295)/C295</f>
        <v/>
      </c>
      <c r="F307" s="3" t="n"/>
      <c r="K307" s="2" t="n"/>
    </row>
    <row r="308">
      <c r="A308" s="54" t="n">
        <v>26724</v>
      </c>
      <c r="B308" s="138" t="n">
        <v>69.59999999999999</v>
      </c>
      <c r="C308" s="56" t="n">
        <v>111.519997</v>
      </c>
      <c r="D308" s="62">
        <f>(Table7[[#This Row],[S&amp;P]]-C296)/C296</f>
        <v/>
      </c>
      <c r="F308" s="3" t="n"/>
      <c r="K308" s="2" t="n"/>
    </row>
    <row r="309">
      <c r="A309" s="54" t="n">
        <v>26755</v>
      </c>
      <c r="B309" s="138" t="n">
        <v>67.7</v>
      </c>
      <c r="C309" s="56" t="n">
        <v>106.970001</v>
      </c>
      <c r="D309" s="62">
        <f>(Table7[[#This Row],[S&amp;P]]-C297)/C297</f>
        <v/>
      </c>
      <c r="F309" s="3" t="n"/>
      <c r="K309" s="2" t="n"/>
    </row>
    <row r="310">
      <c r="A310" s="54" t="n">
        <v>26785</v>
      </c>
      <c r="B310" s="138" t="n">
        <v>64.8</v>
      </c>
      <c r="C310" s="56" t="n">
        <v>104.949997</v>
      </c>
      <c r="D310" s="62">
        <f>(Table7[[#This Row],[S&amp;P]]-C298)/C298</f>
        <v/>
      </c>
      <c r="F310" s="3" t="n"/>
      <c r="K310" s="2" t="n"/>
    </row>
    <row r="311">
      <c r="A311" s="54" t="n">
        <v>26816</v>
      </c>
      <c r="B311" s="138" t="n">
        <v>65</v>
      </c>
      <c r="C311" s="56" t="n">
        <v>104.260002</v>
      </c>
      <c r="D311" s="62">
        <f>(Table7[[#This Row],[S&amp;P]]-C299)/C299</f>
        <v/>
      </c>
      <c r="F311" s="3" t="n"/>
      <c r="K311" s="2" t="n"/>
    </row>
    <row r="312">
      <c r="A312" s="54" t="n">
        <v>26846</v>
      </c>
      <c r="B312" s="138" t="n">
        <v>57.8</v>
      </c>
      <c r="C312" s="56" t="n">
        <v>108.220001</v>
      </c>
      <c r="D312" s="62">
        <f>(Table7[[#This Row],[S&amp;P]]-C300)/C300</f>
        <v/>
      </c>
      <c r="F312" s="3" t="n"/>
      <c r="K312" s="2" t="n"/>
    </row>
    <row r="313">
      <c r="A313" s="54" t="n">
        <v>26877</v>
      </c>
      <c r="B313" s="138" t="n">
        <v>62.7</v>
      </c>
      <c r="C313" s="56" t="n">
        <v>104.25</v>
      </c>
      <c r="D313" s="62">
        <f>(Table7[[#This Row],[S&amp;P]]-C301)/C301</f>
        <v/>
      </c>
      <c r="F313" s="3" t="n"/>
      <c r="K313" s="2" t="n"/>
    </row>
    <row r="314">
      <c r="A314" s="54" t="n">
        <v>26908</v>
      </c>
      <c r="B314" s="138" t="n">
        <v>63.5</v>
      </c>
      <c r="C314" s="56" t="n">
        <v>108.43</v>
      </c>
      <c r="D314" s="62">
        <f>(Table7[[#This Row],[S&amp;P]]-C302)/C302</f>
        <v/>
      </c>
      <c r="F314" s="3" t="n"/>
      <c r="K314" s="2" t="n"/>
    </row>
    <row r="315">
      <c r="A315" s="54" t="n">
        <v>26938</v>
      </c>
      <c r="B315" s="138" t="n">
        <v>66.2</v>
      </c>
      <c r="C315" s="56" t="n">
        <v>108.290001</v>
      </c>
      <c r="D315" s="62">
        <f>(Table7[[#This Row],[S&amp;P]]-C303)/C303</f>
        <v/>
      </c>
      <c r="F315" s="3" t="n"/>
      <c r="K315" s="2" t="n"/>
    </row>
    <row r="316">
      <c r="A316" s="54" t="n">
        <v>26969</v>
      </c>
      <c r="B316" s="138" t="n">
        <v>68.09999999999999</v>
      </c>
      <c r="C316" s="56" t="n">
        <v>95.959999</v>
      </c>
      <c r="D316" s="62">
        <f>(Table7[[#This Row],[S&amp;P]]-C304)/C304</f>
        <v/>
      </c>
      <c r="F316" s="3" t="n"/>
      <c r="K316" s="2" t="n"/>
    </row>
    <row r="317">
      <c r="A317" s="54" t="n">
        <v>26999</v>
      </c>
      <c r="B317" s="138" t="n">
        <v>63.6</v>
      </c>
      <c r="C317" s="56" t="n">
        <v>97.550003</v>
      </c>
      <c r="D317" s="62">
        <f>(Table7[[#This Row],[S&amp;P]]-C305)/C305</f>
        <v/>
      </c>
      <c r="F317" s="3" t="n"/>
      <c r="K317" s="2" t="n"/>
    </row>
    <row r="318">
      <c r="A318" s="54" t="n">
        <v>27030</v>
      </c>
      <c r="B318" s="138" t="n">
        <v>62.1</v>
      </c>
      <c r="C318" s="56" t="n">
        <v>96.56999999999999</v>
      </c>
      <c r="D318" s="62">
        <f>(Table7[[#This Row],[S&amp;P]]-C306)/C306</f>
        <v/>
      </c>
      <c r="F318" s="3" t="n"/>
      <c r="K318" s="2" t="n"/>
    </row>
    <row r="319">
      <c r="A319" s="54" t="n">
        <v>27061</v>
      </c>
      <c r="B319" s="138" t="n">
        <v>58.6</v>
      </c>
      <c r="C319" s="56" t="n">
        <v>96.220001</v>
      </c>
      <c r="D319" s="62">
        <f>(Table7[[#This Row],[S&amp;P]]-C307)/C307</f>
        <v/>
      </c>
      <c r="F319" s="3" t="n"/>
      <c r="K319" s="2" t="n"/>
    </row>
    <row r="320">
      <c r="A320" s="54" t="n">
        <v>27089</v>
      </c>
      <c r="B320" s="138" t="n">
        <v>61.8</v>
      </c>
      <c r="C320" s="56" t="n">
        <v>93.980003</v>
      </c>
      <c r="D320" s="62">
        <f>(Table7[[#This Row],[S&amp;P]]-C308)/C308</f>
        <v/>
      </c>
      <c r="F320" s="3" t="n"/>
      <c r="K320" s="2" t="n"/>
    </row>
    <row r="321">
      <c r="A321" s="54" t="n">
        <v>27120</v>
      </c>
      <c r="B321" s="138" t="n">
        <v>59.9</v>
      </c>
      <c r="C321" s="56" t="n">
        <v>90.30999799999999</v>
      </c>
      <c r="D321" s="62">
        <f>(Table7[[#This Row],[S&amp;P]]-C309)/C309</f>
        <v/>
      </c>
      <c r="F321" s="3" t="n"/>
      <c r="K321" s="2" t="n"/>
    </row>
    <row r="322">
      <c r="A322" s="54" t="n">
        <v>27150</v>
      </c>
      <c r="B322" s="138" t="n">
        <v>55.7</v>
      </c>
      <c r="C322" s="56" t="n">
        <v>87.279999</v>
      </c>
      <c r="D322" s="62">
        <f>(Table7[[#This Row],[S&amp;P]]-C310)/C310</f>
        <v/>
      </c>
      <c r="F322" s="3" t="n"/>
      <c r="K322" s="2" t="n"/>
    </row>
    <row r="323">
      <c r="A323" s="54" t="n">
        <v>27181</v>
      </c>
      <c r="B323" s="138" t="n">
        <v>54.7</v>
      </c>
      <c r="C323" s="56" t="n">
        <v>86</v>
      </c>
      <c r="D323" s="62">
        <f>(Table7[[#This Row],[S&amp;P]]-C311)/C311</f>
        <v/>
      </c>
      <c r="F323" s="3" t="n"/>
      <c r="K323" s="2" t="n"/>
    </row>
    <row r="324">
      <c r="A324" s="54" t="n">
        <v>27211</v>
      </c>
      <c r="B324" s="138" t="n">
        <v>54.8</v>
      </c>
      <c r="C324" s="56" t="n">
        <v>79.30999799999999</v>
      </c>
      <c r="D324" s="62">
        <f>(Table7[[#This Row],[S&amp;P]]-C312)/C312</f>
        <v/>
      </c>
      <c r="F324" s="3" t="n"/>
      <c r="K324" s="2" t="n"/>
    </row>
    <row r="325">
      <c r="A325" s="54" t="n">
        <v>27242</v>
      </c>
      <c r="B325" s="138" t="n">
        <v>52.9</v>
      </c>
      <c r="C325" s="56" t="n">
        <v>72.150002</v>
      </c>
      <c r="D325" s="62">
        <f>(Table7[[#This Row],[S&amp;P]]-C313)/C313</f>
        <v/>
      </c>
      <c r="F325" s="3" t="n"/>
      <c r="K325" s="2" t="n"/>
    </row>
    <row r="326">
      <c r="A326" s="54" t="n">
        <v>27273</v>
      </c>
      <c r="B326" s="138" t="n">
        <v>46.2</v>
      </c>
      <c r="C326" s="56" t="n">
        <v>63.540001</v>
      </c>
      <c r="D326" s="62">
        <f>(Table7[[#This Row],[S&amp;P]]-C314)/C314</f>
        <v/>
      </c>
      <c r="F326" s="3" t="n"/>
      <c r="K326" s="2" t="n"/>
    </row>
    <row r="327">
      <c r="A327" s="54" t="n">
        <v>27303</v>
      </c>
      <c r="B327" s="138" t="n">
        <v>42.7</v>
      </c>
      <c r="C327" s="56" t="n">
        <v>73.900002</v>
      </c>
      <c r="D327" s="62">
        <f>(Table7[[#This Row],[S&amp;P]]-C315)/C315</f>
        <v/>
      </c>
      <c r="F327" s="3" t="n"/>
      <c r="K327" s="2" t="n"/>
    </row>
    <row r="328">
      <c r="A328" s="54" t="n">
        <v>27334</v>
      </c>
      <c r="B328" s="138" t="n">
        <v>37.9</v>
      </c>
      <c r="C328" s="56" t="n">
        <v>69.970001</v>
      </c>
      <c r="D328" s="62">
        <f>(Table7[[#This Row],[S&amp;P]]-C316)/C316</f>
        <v/>
      </c>
      <c r="F328" s="3" t="n"/>
      <c r="K328" s="2" t="n"/>
    </row>
    <row r="329">
      <c r="A329" s="54" t="n">
        <v>27364</v>
      </c>
      <c r="B329" s="138" t="n">
        <v>30.9</v>
      </c>
      <c r="C329" s="56" t="n">
        <v>68.55999799999999</v>
      </c>
      <c r="D329" s="62">
        <f>(Table7[[#This Row],[S&amp;P]]-C317)/C317</f>
        <v/>
      </c>
      <c r="F329" s="3" t="n"/>
      <c r="K329" s="2" t="n"/>
    </row>
    <row r="330">
      <c r="A330" s="54" t="n">
        <v>27395</v>
      </c>
      <c r="B330" s="138" t="n">
        <v>30.7</v>
      </c>
      <c r="C330" s="56" t="n">
        <v>76.980003</v>
      </c>
      <c r="D330" s="62">
        <f>(Table7[[#This Row],[S&amp;P]]-C318)/C318</f>
        <v/>
      </c>
      <c r="F330" s="3" t="n"/>
      <c r="K330" s="2" t="n"/>
    </row>
    <row r="331">
      <c r="A331" s="54" t="n">
        <v>27426</v>
      </c>
      <c r="B331" s="138" t="n">
        <v>34.4</v>
      </c>
      <c r="C331" s="56" t="n">
        <v>81.589996</v>
      </c>
      <c r="D331" s="62">
        <f>(Table7[[#This Row],[S&amp;P]]-C319)/C319</f>
        <v/>
      </c>
      <c r="F331" s="3" t="n"/>
      <c r="K331" s="2" t="n"/>
    </row>
    <row r="332">
      <c r="A332" s="54" t="n">
        <v>27454</v>
      </c>
      <c r="B332" s="138" t="n">
        <v>31.6</v>
      </c>
      <c r="C332" s="56" t="n">
        <v>83.360001</v>
      </c>
      <c r="D332" s="62">
        <f>(Table7[[#This Row],[S&amp;P]]-C320)/C320</f>
        <v/>
      </c>
      <c r="F332" s="3" t="n"/>
      <c r="K332" s="2" t="n"/>
    </row>
    <row r="333">
      <c r="A333" s="54" t="n">
        <v>27485</v>
      </c>
      <c r="B333" s="138" t="n">
        <v>37.5</v>
      </c>
      <c r="C333" s="56" t="n">
        <v>87.300003</v>
      </c>
      <c r="D333" s="62">
        <f>(Table7[[#This Row],[S&amp;P]]-C321)/C321</f>
        <v/>
      </c>
      <c r="F333" s="3" t="n"/>
      <c r="K333" s="2" t="n"/>
    </row>
    <row r="334">
      <c r="A334" s="54" t="n">
        <v>27515</v>
      </c>
      <c r="B334" s="138" t="n">
        <v>41.2</v>
      </c>
      <c r="C334" s="56" t="n">
        <v>91.150002</v>
      </c>
      <c r="D334" s="62">
        <f>(Table7[[#This Row],[S&amp;P]]-C322)/C322</f>
        <v/>
      </c>
      <c r="F334" s="3" t="n"/>
      <c r="K334" s="2" t="n"/>
    </row>
    <row r="335">
      <c r="A335" s="54" t="n">
        <v>27546</v>
      </c>
      <c r="B335" s="138" t="n">
        <v>45.1</v>
      </c>
      <c r="C335" s="56" t="n">
        <v>95.19000200000001</v>
      </c>
      <c r="D335" s="62">
        <f>(Table7[[#This Row],[S&amp;P]]-C323)/C323</f>
        <v/>
      </c>
      <c r="F335" s="3" t="n"/>
      <c r="K335" s="2" t="n"/>
    </row>
    <row r="336">
      <c r="A336" s="54" t="n">
        <v>27576</v>
      </c>
      <c r="B336" s="138" t="n">
        <v>47.2</v>
      </c>
      <c r="C336" s="56" t="n">
        <v>88.75</v>
      </c>
      <c r="D336" s="62">
        <f>(Table7[[#This Row],[S&amp;P]]-C324)/C324</f>
        <v/>
      </c>
      <c r="F336" s="3" t="n"/>
      <c r="K336" s="2" t="n"/>
    </row>
    <row r="337">
      <c r="A337" s="54" t="n">
        <v>27607</v>
      </c>
      <c r="B337" s="138" t="n">
        <v>51.4</v>
      </c>
      <c r="C337" s="56" t="n">
        <v>86.879997</v>
      </c>
      <c r="D337" s="62">
        <f>(Table7[[#This Row],[S&amp;P]]-C325)/C325</f>
        <v/>
      </c>
      <c r="F337" s="3" t="n"/>
      <c r="K337" s="2" t="n"/>
    </row>
    <row r="338">
      <c r="A338" s="54" t="n">
        <v>27638</v>
      </c>
      <c r="B338" s="138" t="n">
        <v>54.4</v>
      </c>
      <c r="C338" s="56" t="n">
        <v>83.870003</v>
      </c>
      <c r="D338" s="62">
        <f>(Table7[[#This Row],[S&amp;P]]-C326)/C326</f>
        <v/>
      </c>
      <c r="F338" s="3" t="n"/>
      <c r="K338" s="2" t="n"/>
    </row>
    <row r="339">
      <c r="A339" s="54" t="n">
        <v>27668</v>
      </c>
      <c r="B339" s="138" t="n">
        <v>55.5</v>
      </c>
      <c r="C339" s="56" t="n">
        <v>89.040001</v>
      </c>
      <c r="D339" s="62">
        <f>(Table7[[#This Row],[S&amp;P]]-C327)/C327</f>
        <v/>
      </c>
      <c r="F339" s="3" t="n"/>
      <c r="K339" s="2" t="n"/>
    </row>
    <row r="340">
      <c r="A340" s="54" t="n">
        <v>27699</v>
      </c>
      <c r="B340" s="138" t="n">
        <v>54.5</v>
      </c>
      <c r="C340" s="56" t="n">
        <v>91.239998</v>
      </c>
      <c r="D340" s="62">
        <f>(Table7[[#This Row],[S&amp;P]]-C328)/C328</f>
        <v/>
      </c>
      <c r="F340" s="3" t="n"/>
      <c r="K340" s="2" t="n"/>
    </row>
    <row r="341">
      <c r="A341" s="54" t="n">
        <v>27729</v>
      </c>
      <c r="B341" s="138" t="n">
        <v>54.9</v>
      </c>
      <c r="C341" s="56" t="n">
        <v>90.19000200000001</v>
      </c>
      <c r="D341" s="62">
        <f>(Table7[[#This Row],[S&amp;P]]-C329)/C329</f>
        <v/>
      </c>
      <c r="F341" s="3" t="n"/>
      <c r="K341" s="2" t="n"/>
    </row>
    <row r="342">
      <c r="A342" s="54" t="n">
        <v>27760</v>
      </c>
      <c r="B342" s="138" t="n">
        <v>58.8</v>
      </c>
      <c r="C342" s="56" t="n">
        <v>100.860001</v>
      </c>
      <c r="D342" s="62">
        <f>(Table7[[#This Row],[S&amp;P]]-C330)/C330</f>
        <v/>
      </c>
      <c r="F342" s="3" t="n"/>
      <c r="K342" s="2" t="n"/>
    </row>
    <row r="343">
      <c r="A343" s="54" t="n">
        <v>27791</v>
      </c>
      <c r="B343" s="138" t="n">
        <v>61.5</v>
      </c>
      <c r="C343" s="56" t="n">
        <v>99.709999</v>
      </c>
      <c r="D343" s="62">
        <f>(Table7[[#This Row],[S&amp;P]]-C331)/C331</f>
        <v/>
      </c>
      <c r="F343" s="3" t="n"/>
      <c r="K343" s="2" t="n"/>
    </row>
    <row r="344">
      <c r="A344" s="54" t="n">
        <v>27820</v>
      </c>
      <c r="B344" s="138" t="n">
        <v>58.4</v>
      </c>
      <c r="C344" s="56" t="n">
        <v>102.769997</v>
      </c>
      <c r="D344" s="62">
        <f>(Table7[[#This Row],[S&amp;P]]-C332)/C332</f>
        <v/>
      </c>
      <c r="F344" s="3" t="n"/>
      <c r="K344" s="2" t="n"/>
    </row>
    <row r="345">
      <c r="A345" s="54" t="n">
        <v>27851</v>
      </c>
      <c r="B345" s="138" t="n">
        <v>60.6</v>
      </c>
      <c r="C345" s="56" t="n">
        <v>101.639999</v>
      </c>
      <c r="D345" s="62">
        <f>(Table7[[#This Row],[S&amp;P]]-C333)/C333</f>
        <v/>
      </c>
      <c r="F345" s="3" t="n"/>
      <c r="K345" s="2" t="n"/>
    </row>
    <row r="346">
      <c r="A346" s="54" t="n">
        <v>27881</v>
      </c>
      <c r="B346" s="138" t="n">
        <v>58.8</v>
      </c>
      <c r="C346" s="56" t="n">
        <v>100.18</v>
      </c>
      <c r="D346" s="62">
        <f>(Table7[[#This Row],[S&amp;P]]-C334)/C334</f>
        <v/>
      </c>
      <c r="F346" s="3" t="n"/>
      <c r="K346" s="2" t="n"/>
    </row>
    <row r="347">
      <c r="A347" s="54" t="n">
        <v>27912</v>
      </c>
      <c r="B347" s="138" t="n">
        <v>58.2</v>
      </c>
      <c r="C347" s="56" t="n">
        <v>104.279999</v>
      </c>
      <c r="D347" s="62">
        <f>(Table7[[#This Row],[S&amp;P]]-C335)/C335</f>
        <v/>
      </c>
      <c r="F347" s="3" t="n"/>
      <c r="K347" s="2" t="n"/>
    </row>
    <row r="348">
      <c r="A348" s="54" t="n">
        <v>27942</v>
      </c>
      <c r="B348" s="138" t="n">
        <v>55.9</v>
      </c>
      <c r="C348" s="56" t="n">
        <v>103.440002</v>
      </c>
      <c r="D348" s="62">
        <f>(Table7[[#This Row],[S&amp;P]]-C336)/C336</f>
        <v/>
      </c>
      <c r="F348" s="3" t="n"/>
      <c r="K348" s="2" t="n"/>
    </row>
    <row r="349">
      <c r="A349" s="54" t="n">
        <v>27973</v>
      </c>
      <c r="B349" s="138" t="n">
        <v>54.5</v>
      </c>
      <c r="C349" s="56" t="n">
        <v>102.910004</v>
      </c>
      <c r="D349" s="62">
        <f>(Table7[[#This Row],[S&amp;P]]-C337)/C337</f>
        <v/>
      </c>
      <c r="F349" s="3" t="n"/>
      <c r="K349" s="2" t="n"/>
    </row>
    <row r="350">
      <c r="A350" s="54" t="n">
        <v>28004</v>
      </c>
      <c r="B350" s="138" t="n">
        <v>53.6</v>
      </c>
      <c r="C350" s="56" t="n">
        <v>105.239998</v>
      </c>
      <c r="D350" s="62">
        <f>(Table7[[#This Row],[S&amp;P]]-C338)/C338</f>
        <v/>
      </c>
      <c r="F350" s="3" t="n"/>
      <c r="K350" s="2" t="n"/>
    </row>
    <row r="351">
      <c r="A351" s="54" t="n">
        <v>28034</v>
      </c>
      <c r="B351" s="138" t="n">
        <v>53.5</v>
      </c>
      <c r="C351" s="56" t="n">
        <v>102.900002</v>
      </c>
      <c r="D351" s="62">
        <f>(Table7[[#This Row],[S&amp;P]]-C339)/C339</f>
        <v/>
      </c>
      <c r="F351" s="3" t="n"/>
      <c r="K351" s="2" t="n"/>
    </row>
    <row r="352">
      <c r="A352" s="54" t="n">
        <v>28065</v>
      </c>
      <c r="B352" s="138" t="n">
        <v>51.7</v>
      </c>
      <c r="C352" s="56" t="n">
        <v>102.099998</v>
      </c>
      <c r="D352" s="62">
        <f>(Table7[[#This Row],[S&amp;P]]-C340)/C340</f>
        <v/>
      </c>
      <c r="F352" s="3" t="n"/>
      <c r="K352" s="2" t="n"/>
    </row>
    <row r="353">
      <c r="A353" s="54" t="n">
        <v>28095</v>
      </c>
      <c r="B353" s="138" t="n">
        <v>56.6</v>
      </c>
      <c r="C353" s="56" t="n">
        <v>107.459999</v>
      </c>
      <c r="D353" s="62">
        <f>(Table7[[#This Row],[S&amp;P]]-C341)/C341</f>
        <v/>
      </c>
      <c r="F353" s="3" t="n"/>
      <c r="K353" s="2" t="n"/>
    </row>
    <row r="354">
      <c r="A354" s="54" t="n">
        <v>28126</v>
      </c>
      <c r="B354" s="138" t="n">
        <v>54.8</v>
      </c>
      <c r="C354" s="56" t="n">
        <v>102.029999</v>
      </c>
      <c r="D354" s="62">
        <f>(Table7[[#This Row],[S&amp;P]]-C342)/C342</f>
        <v/>
      </c>
      <c r="F354" s="3" t="n"/>
      <c r="K354" s="2" t="n"/>
    </row>
    <row r="355">
      <c r="A355" s="54" t="n">
        <v>28157</v>
      </c>
      <c r="B355" s="138" t="n">
        <v>55</v>
      </c>
      <c r="C355" s="56" t="n">
        <v>99.81999999999999</v>
      </c>
      <c r="D355" s="62">
        <f>(Table7[[#This Row],[S&amp;P]]-C343)/C343</f>
        <v/>
      </c>
      <c r="F355" s="3" t="n"/>
      <c r="K355" s="2" t="n"/>
    </row>
    <row r="356">
      <c r="A356" s="54" t="n">
        <v>28185</v>
      </c>
      <c r="B356" s="138" t="n">
        <v>58.4</v>
      </c>
      <c r="C356" s="56" t="n">
        <v>98.41999800000001</v>
      </c>
      <c r="D356" s="62">
        <f>(Table7[[#This Row],[S&amp;P]]-C344)/C344</f>
        <v/>
      </c>
      <c r="F356" s="3" t="n"/>
      <c r="K356" s="2" t="n"/>
    </row>
    <row r="357">
      <c r="A357" s="54" t="n">
        <v>28216</v>
      </c>
      <c r="B357" s="138" t="n">
        <v>56.9</v>
      </c>
      <c r="C357" s="56" t="n">
        <v>98.44000200000001</v>
      </c>
      <c r="D357" s="62">
        <f>(Table7[[#This Row],[S&amp;P]]-C345)/C345</f>
        <v/>
      </c>
      <c r="F357" s="3" t="n"/>
      <c r="K357" s="2" t="n"/>
    </row>
    <row r="358">
      <c r="A358" s="54" t="n">
        <v>28246</v>
      </c>
      <c r="B358" s="138" t="n">
        <v>59.7</v>
      </c>
      <c r="C358" s="56" t="n">
        <v>96.120003</v>
      </c>
      <c r="D358" s="62">
        <f>(Table7[[#This Row],[S&amp;P]]-C346)/C346</f>
        <v/>
      </c>
      <c r="F358" s="3" t="n"/>
      <c r="K358" s="2" t="n"/>
    </row>
    <row r="359">
      <c r="A359" s="54" t="n">
        <v>28277</v>
      </c>
      <c r="B359" s="138" t="n">
        <v>56.8</v>
      </c>
      <c r="C359" s="56" t="n">
        <v>100.480003</v>
      </c>
      <c r="D359" s="62">
        <f>(Table7[[#This Row],[S&amp;P]]-C347)/C347</f>
        <v/>
      </c>
      <c r="F359" s="3" t="n"/>
      <c r="K359" s="2" t="n"/>
    </row>
    <row r="360">
      <c r="A360" s="54" t="n">
        <v>28307</v>
      </c>
      <c r="B360" s="138" t="n">
        <v>57.7</v>
      </c>
      <c r="C360" s="56" t="n">
        <v>98.849998</v>
      </c>
      <c r="D360" s="62">
        <f>(Table7[[#This Row],[S&amp;P]]-C348)/C348</f>
        <v/>
      </c>
      <c r="F360" s="3" t="n"/>
      <c r="K360" s="2" t="n"/>
    </row>
    <row r="361">
      <c r="A361" s="54" t="n">
        <v>28338</v>
      </c>
      <c r="B361" s="138" t="n">
        <v>54.9</v>
      </c>
      <c r="C361" s="56" t="n">
        <v>96.769997</v>
      </c>
      <c r="D361" s="62">
        <f>(Table7[[#This Row],[S&amp;P]]-C349)/C349</f>
        <v/>
      </c>
      <c r="F361" s="3" t="n"/>
      <c r="K361" s="2" t="n"/>
    </row>
    <row r="362">
      <c r="A362" s="54" t="n">
        <v>28369</v>
      </c>
      <c r="B362" s="138" t="n">
        <v>53.9</v>
      </c>
      <c r="C362" s="56" t="n">
        <v>96.529999</v>
      </c>
      <c r="D362" s="62">
        <f>(Table7[[#This Row],[S&amp;P]]-C350)/C350</f>
        <v/>
      </c>
      <c r="F362" s="3" t="n"/>
      <c r="K362" s="2" t="n"/>
    </row>
    <row r="363">
      <c r="A363" s="54" t="n">
        <v>28399</v>
      </c>
      <c r="B363" s="138" t="n">
        <v>55.4</v>
      </c>
      <c r="C363" s="56" t="n">
        <v>92.339996</v>
      </c>
      <c r="D363" s="62">
        <f>(Table7[[#This Row],[S&amp;P]]-C351)/C351</f>
        <v/>
      </c>
      <c r="F363" s="3" t="n"/>
      <c r="K363" s="2" t="n"/>
    </row>
    <row r="364">
      <c r="A364" s="54" t="n">
        <v>28430</v>
      </c>
      <c r="B364" s="138" t="n">
        <v>56.1</v>
      </c>
      <c r="C364" s="56" t="n">
        <v>94.83000199999999</v>
      </c>
      <c r="D364" s="62">
        <f>(Table7[[#This Row],[S&amp;P]]-C352)/C352</f>
        <v/>
      </c>
      <c r="F364" s="3" t="n"/>
      <c r="K364" s="2" t="n"/>
    </row>
    <row r="365">
      <c r="A365" s="54" t="n">
        <v>28460</v>
      </c>
      <c r="B365" s="138" t="n">
        <v>59.8</v>
      </c>
      <c r="C365" s="56" t="n">
        <v>95.099998</v>
      </c>
      <c r="D365" s="62">
        <f>(Table7[[#This Row],[S&amp;P]]-C353)/C353</f>
        <v/>
      </c>
      <c r="F365" s="3" t="n"/>
      <c r="K365" s="2" t="n"/>
    </row>
    <row r="366">
      <c r="A366" s="54" t="n">
        <v>28491</v>
      </c>
      <c r="B366" s="138" t="n">
        <v>57.4</v>
      </c>
      <c r="C366" s="56" t="n">
        <v>89.25</v>
      </c>
      <c r="D366" s="62">
        <f>(Table7[[#This Row],[S&amp;P]]-C354)/C354</f>
        <v/>
      </c>
      <c r="F366" s="3" t="n"/>
      <c r="K366" s="2" t="n"/>
    </row>
    <row r="367">
      <c r="A367" s="54" t="n">
        <v>28522</v>
      </c>
      <c r="B367" s="138" t="n">
        <v>55.9</v>
      </c>
      <c r="C367" s="56" t="n">
        <v>87.040001</v>
      </c>
      <c r="D367" s="62">
        <f>(Table7[[#This Row],[S&amp;P]]-C355)/C355</f>
        <v/>
      </c>
      <c r="F367" s="3" t="n"/>
      <c r="K367" s="2" t="n"/>
    </row>
    <row r="368">
      <c r="A368" s="54" t="n">
        <v>28550</v>
      </c>
      <c r="B368" s="138" t="n">
        <v>55</v>
      </c>
      <c r="C368" s="56" t="n">
        <v>89.209999</v>
      </c>
      <c r="D368" s="62">
        <f>(Table7[[#This Row],[S&amp;P]]-C356)/C356</f>
        <v/>
      </c>
      <c r="F368" s="3" t="n"/>
      <c r="K368" s="2" t="n"/>
    </row>
    <row r="369">
      <c r="A369" s="54" t="n">
        <v>28581</v>
      </c>
      <c r="B369" s="138" t="n">
        <v>57.7</v>
      </c>
      <c r="C369" s="56" t="n">
        <v>96.83000199999999</v>
      </c>
      <c r="D369" s="62">
        <f>(Table7[[#This Row],[S&amp;P]]-C357)/C357</f>
        <v/>
      </c>
      <c r="F369" s="3" t="n"/>
      <c r="K369" s="2" t="n"/>
    </row>
    <row r="370">
      <c r="A370" s="54" t="n">
        <v>28611</v>
      </c>
      <c r="B370" s="138" t="n">
        <v>60.2</v>
      </c>
      <c r="C370" s="56" t="n">
        <v>97.239998</v>
      </c>
      <c r="D370" s="62">
        <f>(Table7[[#This Row],[S&amp;P]]-C358)/C358</f>
        <v/>
      </c>
      <c r="F370" s="3" t="n"/>
      <c r="K370" s="2" t="n"/>
    </row>
    <row r="371">
      <c r="A371" s="54" t="n">
        <v>28642</v>
      </c>
      <c r="B371" s="138" t="n">
        <v>60.5</v>
      </c>
      <c r="C371" s="56" t="n">
        <v>95.529999</v>
      </c>
      <c r="D371" s="62">
        <f>(Table7[[#This Row],[S&amp;P]]-C359)/C359</f>
        <v/>
      </c>
      <c r="F371" s="3" t="n"/>
      <c r="K371" s="2" t="n"/>
    </row>
    <row r="372">
      <c r="A372" s="54" t="n">
        <v>28672</v>
      </c>
      <c r="B372" s="138" t="n">
        <v>62.2</v>
      </c>
      <c r="C372" s="56" t="n">
        <v>100.68</v>
      </c>
      <c r="D372" s="62">
        <f>(Table7[[#This Row],[S&amp;P]]-C360)/C360</f>
        <v/>
      </c>
      <c r="F372" s="3" t="n"/>
      <c r="K372" s="2" t="n"/>
    </row>
    <row r="373">
      <c r="A373" s="54" t="n">
        <v>28703</v>
      </c>
      <c r="B373" s="138" t="n">
        <v>60.3</v>
      </c>
      <c r="C373" s="56" t="n">
        <v>103.290001</v>
      </c>
      <c r="D373" s="62">
        <f>(Table7[[#This Row],[S&amp;P]]-C361)/C361</f>
        <v/>
      </c>
      <c r="F373" s="3" t="n"/>
      <c r="K373" s="2" t="n"/>
    </row>
    <row r="374">
      <c r="A374" s="54" t="n">
        <v>28734</v>
      </c>
      <c r="B374" s="138" t="n">
        <v>60.5</v>
      </c>
      <c r="C374" s="56" t="n">
        <v>102.540001</v>
      </c>
      <c r="D374" s="62">
        <f>(Table7[[#This Row],[S&amp;P]]-C362)/C362</f>
        <v/>
      </c>
      <c r="F374" s="3" t="n"/>
      <c r="K374" s="2" t="n"/>
    </row>
    <row r="375">
      <c r="A375" s="54" t="n">
        <v>28764</v>
      </c>
      <c r="B375" s="138" t="n">
        <v>60.1</v>
      </c>
      <c r="C375" s="56" t="n">
        <v>93.150002</v>
      </c>
      <c r="D375" s="62">
        <f>(Table7[[#This Row],[S&amp;P]]-C363)/C363</f>
        <v/>
      </c>
      <c r="F375" s="3" t="n"/>
      <c r="K375" s="2" t="n"/>
    </row>
    <row r="376">
      <c r="A376" s="54" t="n">
        <v>28795</v>
      </c>
      <c r="B376" s="138" t="n">
        <v>61.3</v>
      </c>
      <c r="C376" s="56" t="n">
        <v>94.699997</v>
      </c>
      <c r="D376" s="62">
        <f>(Table7[[#This Row],[S&amp;P]]-C364)/C364</f>
        <v/>
      </c>
      <c r="F376" s="3" t="n"/>
      <c r="K376" s="2" t="n"/>
    </row>
    <row r="377">
      <c r="A377" s="54" t="n">
        <v>28825</v>
      </c>
      <c r="B377" s="138" t="n">
        <v>59.4</v>
      </c>
      <c r="C377" s="56" t="n">
        <v>96.110001</v>
      </c>
      <c r="D377" s="62">
        <f>(Table7[[#This Row],[S&amp;P]]-C365)/C365</f>
        <v/>
      </c>
      <c r="F377" s="3" t="n"/>
      <c r="K377" s="2" t="n"/>
    </row>
    <row r="378">
      <c r="A378" s="54" t="n">
        <v>28856</v>
      </c>
      <c r="B378" s="138" t="n">
        <v>58.5</v>
      </c>
      <c r="C378" s="56" t="n">
        <v>99.93000000000001</v>
      </c>
      <c r="D378" s="62">
        <f>(Table7[[#This Row],[S&amp;P]]-C366)/C366</f>
        <v/>
      </c>
      <c r="F378" s="3" t="n"/>
      <c r="K378" s="2" t="n"/>
    </row>
    <row r="379">
      <c r="A379" s="54" t="n">
        <v>28887</v>
      </c>
      <c r="B379" s="138" t="n">
        <v>58.2</v>
      </c>
      <c r="C379" s="56" t="n">
        <v>96.279999</v>
      </c>
      <c r="D379" s="62">
        <f>(Table7[[#This Row],[S&amp;P]]-C367)/C367</f>
        <v/>
      </c>
      <c r="F379" s="3" t="n"/>
      <c r="K379" s="2" t="n"/>
    </row>
    <row r="380">
      <c r="A380" s="54" t="n">
        <v>28915</v>
      </c>
      <c r="B380" s="138" t="n">
        <v>57.7</v>
      </c>
      <c r="C380" s="56" t="n">
        <v>101.589996</v>
      </c>
      <c r="D380" s="62">
        <f>(Table7[[#This Row],[S&amp;P]]-C368)/C368</f>
        <v/>
      </c>
      <c r="F380" s="3" t="n"/>
      <c r="K380" s="2" t="n"/>
    </row>
    <row r="381">
      <c r="A381" s="54" t="n">
        <v>28946</v>
      </c>
      <c r="B381" s="138" t="n">
        <v>56.2</v>
      </c>
      <c r="C381" s="56" t="n">
        <v>101.760002</v>
      </c>
      <c r="D381" s="62">
        <f>(Table7[[#This Row],[S&amp;P]]-C369)/C369</f>
        <v/>
      </c>
      <c r="F381" s="3" t="n"/>
      <c r="K381" s="2" t="n"/>
    </row>
    <row r="382">
      <c r="A382" s="54" t="n">
        <v>28976</v>
      </c>
      <c r="B382" s="138" t="n">
        <v>54.4</v>
      </c>
      <c r="C382" s="56" t="n">
        <v>99.08000199999999</v>
      </c>
      <c r="D382" s="62">
        <f>(Table7[[#This Row],[S&amp;P]]-C370)/C370</f>
        <v/>
      </c>
      <c r="F382" s="3" t="n"/>
      <c r="K382" s="2" t="n"/>
    </row>
    <row r="383">
      <c r="A383" s="54" t="n">
        <v>29007</v>
      </c>
      <c r="B383" s="138" t="n">
        <v>52.7</v>
      </c>
      <c r="C383" s="56" t="n">
        <v>102.910004</v>
      </c>
      <c r="D383" s="62">
        <f>(Table7[[#This Row],[S&amp;P]]-C371)/C371</f>
        <v/>
      </c>
      <c r="F383" s="3" t="n"/>
      <c r="K383" s="2" t="n"/>
    </row>
    <row r="384">
      <c r="A384" s="54" t="n">
        <v>29037</v>
      </c>
      <c r="B384" s="138" t="n">
        <v>51.3</v>
      </c>
      <c r="C384" s="56" t="n">
        <v>103.809998</v>
      </c>
      <c r="D384" s="62">
        <f>(Table7[[#This Row],[S&amp;P]]-C372)/C372</f>
        <v/>
      </c>
      <c r="F384" s="3" t="n"/>
      <c r="K384" s="2" t="n"/>
    </row>
    <row r="385">
      <c r="A385" s="54" t="n">
        <v>29068</v>
      </c>
      <c r="B385" s="138" t="n">
        <v>49.5</v>
      </c>
      <c r="C385" s="56" t="n">
        <v>109.32</v>
      </c>
      <c r="D385" s="62">
        <f>(Table7[[#This Row],[S&amp;P]]-C373)/C373</f>
        <v/>
      </c>
      <c r="F385" s="3" t="n"/>
      <c r="K385" s="2" t="n"/>
    </row>
    <row r="386">
      <c r="A386" s="54" t="n">
        <v>29099</v>
      </c>
      <c r="B386" s="138" t="n">
        <v>49.6</v>
      </c>
      <c r="C386" s="56" t="n">
        <v>109.32</v>
      </c>
      <c r="D386" s="62">
        <f>(Table7[[#This Row],[S&amp;P]]-C374)/C374</f>
        <v/>
      </c>
      <c r="F386" s="3" t="n"/>
      <c r="K386" s="2" t="n"/>
    </row>
    <row r="387">
      <c r="A387" s="54" t="n">
        <v>29129</v>
      </c>
      <c r="B387" s="138" t="n">
        <v>49</v>
      </c>
      <c r="C387" s="56" t="n">
        <v>101.82</v>
      </c>
      <c r="D387" s="62">
        <f>(Table7[[#This Row],[S&amp;P]]-C375)/C375</f>
        <v/>
      </c>
      <c r="F387" s="3" t="n"/>
      <c r="K387" s="2" t="n"/>
    </row>
    <row r="388">
      <c r="A388" s="54" t="n">
        <v>29160</v>
      </c>
      <c r="B388" s="138" t="n">
        <v>48</v>
      </c>
      <c r="C388" s="56" t="n">
        <v>106.160004</v>
      </c>
      <c r="D388" s="62">
        <f>(Table7[[#This Row],[S&amp;P]]-C376)/C376</f>
        <v/>
      </c>
      <c r="F388" s="3" t="n"/>
      <c r="K388" s="2" t="n"/>
    </row>
    <row r="389">
      <c r="A389" s="54" t="n">
        <v>29190</v>
      </c>
      <c r="B389" s="138" t="n">
        <v>44.8</v>
      </c>
      <c r="C389" s="56" t="n">
        <v>107.940002</v>
      </c>
      <c r="D389" s="62">
        <f>(Table7[[#This Row],[S&amp;P]]-C377)/C377</f>
        <v/>
      </c>
      <c r="F389" s="3" t="n"/>
      <c r="K389" s="2" t="n"/>
    </row>
    <row r="390">
      <c r="A390" s="54" t="n">
        <v>29221</v>
      </c>
      <c r="B390" s="138" t="n">
        <v>46.2</v>
      </c>
      <c r="C390" s="56" t="n">
        <v>114.160004</v>
      </c>
      <c r="D390" s="62">
        <f>(Table7[[#This Row],[S&amp;P]]-C378)/C378</f>
        <v/>
      </c>
      <c r="F390" s="3" t="n"/>
      <c r="K390" s="2" t="n"/>
    </row>
    <row r="391">
      <c r="A391" s="54" t="n">
        <v>29252</v>
      </c>
      <c r="B391" s="138" t="n">
        <v>50.2</v>
      </c>
      <c r="C391" s="56" t="n">
        <v>113.660004</v>
      </c>
      <c r="D391" s="62">
        <f>(Table7[[#This Row],[S&amp;P]]-C379)/C379</f>
        <v/>
      </c>
      <c r="F391" s="3" t="n"/>
      <c r="K391" s="2" t="n"/>
    </row>
    <row r="392">
      <c r="A392" s="54" t="n">
        <v>29281</v>
      </c>
      <c r="B392" s="138" t="n">
        <v>43.6</v>
      </c>
      <c r="C392" s="56" t="n">
        <v>102.089996</v>
      </c>
      <c r="D392" s="62">
        <f>(Table7[[#This Row],[S&amp;P]]-C380)/C380</f>
        <v/>
      </c>
      <c r="F392" s="3" t="n"/>
      <c r="K392" s="2" t="n"/>
    </row>
    <row r="393">
      <c r="A393" s="54" t="n">
        <v>29312</v>
      </c>
      <c r="B393" s="138" t="n">
        <v>37.4</v>
      </c>
      <c r="C393" s="56" t="n">
        <v>106.290001</v>
      </c>
      <c r="D393" s="62">
        <f>(Table7[[#This Row],[S&amp;P]]-C381)/C381</f>
        <v/>
      </c>
      <c r="F393" s="3" t="n"/>
      <c r="K393" s="2" t="n"/>
    </row>
    <row r="394">
      <c r="A394" s="54" t="n">
        <v>29342</v>
      </c>
      <c r="B394" s="138" t="n">
        <v>29.4</v>
      </c>
      <c r="C394" s="56" t="n">
        <v>111.239998</v>
      </c>
      <c r="D394" s="62">
        <f>(Table7[[#This Row],[S&amp;P]]-C382)/C382</f>
        <v/>
      </c>
      <c r="F394" s="3" t="n"/>
      <c r="K394" s="2" t="n"/>
    </row>
    <row r="395">
      <c r="A395" s="54" t="n">
        <v>29373</v>
      </c>
      <c r="B395" s="138" t="n">
        <v>30.3</v>
      </c>
      <c r="C395" s="56" t="n">
        <v>114.239998</v>
      </c>
      <c r="D395" s="62">
        <f>(Table7[[#This Row],[S&amp;P]]-C383)/C383</f>
        <v/>
      </c>
      <c r="F395" s="3" t="n"/>
      <c r="K395" s="2" t="n"/>
    </row>
    <row r="396">
      <c r="A396" s="54" t="n">
        <v>29403</v>
      </c>
      <c r="B396" s="138" t="n">
        <v>35</v>
      </c>
      <c r="C396" s="56" t="n">
        <v>121.669998</v>
      </c>
      <c r="D396" s="62">
        <f>(Table7[[#This Row],[S&amp;P]]-C384)/C384</f>
        <v/>
      </c>
      <c r="F396" s="3" t="n"/>
      <c r="K396" s="2" t="n"/>
    </row>
    <row r="397">
      <c r="A397" s="54" t="n">
        <v>29434</v>
      </c>
      <c r="B397" s="138" t="n">
        <v>45.5</v>
      </c>
      <c r="C397" s="56" t="n">
        <v>122.379997</v>
      </c>
      <c r="D397" s="62">
        <f>(Table7[[#This Row],[S&amp;P]]-C385)/C385</f>
        <v/>
      </c>
      <c r="F397" s="3" t="n"/>
      <c r="K397" s="2" t="n"/>
    </row>
    <row r="398">
      <c r="A398" s="54" t="n">
        <v>29465</v>
      </c>
      <c r="B398" s="138" t="n">
        <v>50.1</v>
      </c>
      <c r="C398" s="56" t="n">
        <v>125.459999</v>
      </c>
      <c r="D398" s="62">
        <f>(Table7[[#This Row],[S&amp;P]]-C386)/C386</f>
        <v/>
      </c>
      <c r="F398" s="3" t="n"/>
      <c r="K398" s="2" t="n"/>
    </row>
    <row r="399">
      <c r="A399" s="54" t="n">
        <v>29495</v>
      </c>
      <c r="B399" s="138" t="n">
        <v>55.5</v>
      </c>
      <c r="C399" s="56" t="n">
        <v>127.470001</v>
      </c>
      <c r="D399" s="62">
        <f>(Table7[[#This Row],[S&amp;P]]-C387)/C387</f>
        <v/>
      </c>
      <c r="F399" s="3" t="n"/>
      <c r="K399" s="2" t="n"/>
    </row>
    <row r="400">
      <c r="A400" s="54" t="n">
        <v>29526</v>
      </c>
      <c r="B400" s="138" t="n">
        <v>58.2</v>
      </c>
      <c r="C400" s="56" t="n">
        <v>140.520004</v>
      </c>
      <c r="D400" s="62">
        <f>(Table7[[#This Row],[S&amp;P]]-C388)/C388</f>
        <v/>
      </c>
      <c r="F400" s="3" t="n"/>
      <c r="K400" s="2" t="n"/>
    </row>
    <row r="401">
      <c r="A401" s="54" t="n">
        <v>29556</v>
      </c>
      <c r="B401" s="138" t="n">
        <v>53</v>
      </c>
      <c r="C401" s="56" t="n">
        <v>135.759995</v>
      </c>
      <c r="D401" s="62">
        <f>(Table7[[#This Row],[S&amp;P]]-C389)/C389</f>
        <v/>
      </c>
      <c r="F401" s="3" t="n"/>
      <c r="K401" s="2" t="n"/>
    </row>
    <row r="402">
      <c r="A402" s="54" t="n">
        <v>29587</v>
      </c>
      <c r="B402" s="138" t="n">
        <v>49.2</v>
      </c>
      <c r="C402" s="56" t="n">
        <v>129.550003</v>
      </c>
      <c r="D402" s="62">
        <f>(Table7[[#This Row],[S&amp;P]]-C390)/C390</f>
        <v/>
      </c>
      <c r="F402" s="3" t="n"/>
      <c r="K402" s="2" t="n"/>
    </row>
    <row r="403">
      <c r="A403" s="54" t="n">
        <v>29618</v>
      </c>
      <c r="B403" s="138" t="n">
        <v>48.8</v>
      </c>
      <c r="C403" s="56" t="n">
        <v>131.270004</v>
      </c>
      <c r="D403" s="62">
        <f>(Table7[[#This Row],[S&amp;P]]-C391)/C391</f>
        <v/>
      </c>
      <c r="F403" s="3" t="n"/>
      <c r="K403" s="2" t="n"/>
    </row>
    <row r="404">
      <c r="A404" s="54" t="n">
        <v>29646</v>
      </c>
      <c r="B404" s="138" t="n">
        <v>49.6</v>
      </c>
      <c r="C404" s="56" t="n">
        <v>136</v>
      </c>
      <c r="D404" s="62">
        <f>(Table7[[#This Row],[S&amp;P]]-C392)/C392</f>
        <v/>
      </c>
      <c r="F404" s="3" t="n"/>
      <c r="K404" s="2" t="n"/>
    </row>
    <row r="405">
      <c r="A405" s="54" t="n">
        <v>29677</v>
      </c>
      <c r="B405" s="138" t="n">
        <v>51.6</v>
      </c>
      <c r="C405" s="56" t="n">
        <v>132.809998</v>
      </c>
      <c r="D405" s="62">
        <f>(Table7[[#This Row],[S&amp;P]]-C393)/C393</f>
        <v/>
      </c>
      <c r="F405" s="3" t="n"/>
      <c r="K405" s="2" t="n"/>
    </row>
    <row r="406">
      <c r="A406" s="54" t="n">
        <v>29707</v>
      </c>
      <c r="B406" s="138" t="n">
        <v>53.5</v>
      </c>
      <c r="C406" s="56" t="n">
        <v>132.589996</v>
      </c>
      <c r="D406" s="62">
        <f>(Table7[[#This Row],[S&amp;P]]-C394)/C394</f>
        <v/>
      </c>
      <c r="F406" s="3" t="n"/>
      <c r="K406" s="2" t="n"/>
    </row>
    <row r="407">
      <c r="A407" s="54" t="n">
        <v>29738</v>
      </c>
      <c r="B407" s="138" t="n">
        <v>50.7</v>
      </c>
      <c r="C407" s="56" t="n">
        <v>131.210007</v>
      </c>
      <c r="D407" s="62">
        <f>(Table7[[#This Row],[S&amp;P]]-C395)/C395</f>
        <v/>
      </c>
      <c r="F407" s="3" t="n"/>
      <c r="K407" s="2" t="n"/>
    </row>
    <row r="408">
      <c r="A408" s="54" t="n">
        <v>29768</v>
      </c>
      <c r="B408" s="138" t="n">
        <v>46.7</v>
      </c>
      <c r="C408" s="56" t="n">
        <v>130.919998</v>
      </c>
      <c r="D408" s="62">
        <f>(Table7[[#This Row],[S&amp;P]]-C396)/C396</f>
        <v/>
      </c>
      <c r="F408" s="3" t="n"/>
      <c r="K408" s="2" t="n"/>
    </row>
    <row r="409">
      <c r="A409" s="54" t="n">
        <v>29799</v>
      </c>
      <c r="B409" s="138" t="n">
        <v>48.3</v>
      </c>
      <c r="C409" s="56" t="n">
        <v>122.790001</v>
      </c>
      <c r="D409" s="62">
        <f>(Table7[[#This Row],[S&amp;P]]-C397)/C397</f>
        <v/>
      </c>
      <c r="F409" s="3" t="n"/>
      <c r="K409" s="2" t="n"/>
    </row>
    <row r="410">
      <c r="A410" s="54" t="n">
        <v>29830</v>
      </c>
      <c r="B410" s="138" t="n">
        <v>42.5</v>
      </c>
      <c r="C410" s="56" t="n">
        <v>116.18</v>
      </c>
      <c r="D410" s="62">
        <f>(Table7[[#This Row],[S&amp;P]]-C398)/C398</f>
        <v/>
      </c>
      <c r="F410" s="3" t="n"/>
      <c r="K410" s="2" t="n"/>
    </row>
    <row r="411">
      <c r="A411" s="54" t="n">
        <v>29860</v>
      </c>
      <c r="B411" s="138" t="n">
        <v>40</v>
      </c>
      <c r="C411" s="56" t="n">
        <v>121.889999</v>
      </c>
      <c r="D411" s="62">
        <f>(Table7[[#This Row],[S&amp;P]]-C399)/C399</f>
        <v/>
      </c>
      <c r="F411" s="3" t="n"/>
      <c r="K411" s="2" t="n"/>
    </row>
    <row r="412">
      <c r="A412" s="54" t="n">
        <v>29891</v>
      </c>
      <c r="B412" s="138" t="n">
        <v>36.1</v>
      </c>
      <c r="C412" s="56" t="n">
        <v>126.349998</v>
      </c>
      <c r="D412" s="62">
        <f>(Table7[[#This Row],[S&amp;P]]-C400)/C400</f>
        <v/>
      </c>
      <c r="F412" s="3" t="n"/>
      <c r="K412" s="2" t="n"/>
    </row>
    <row r="413">
      <c r="A413" s="54" t="n">
        <v>29921</v>
      </c>
      <c r="B413" s="138" t="n">
        <v>37.8</v>
      </c>
      <c r="C413" s="56" t="n">
        <v>122.550003</v>
      </c>
      <c r="D413" s="62">
        <f>(Table7[[#This Row],[S&amp;P]]-C401)/C401</f>
        <v/>
      </c>
      <c r="F413" s="3" t="n"/>
      <c r="K413" s="2" t="n"/>
    </row>
    <row r="414">
      <c r="A414" s="54" t="n">
        <v>29952</v>
      </c>
      <c r="B414" s="138" t="n">
        <v>38.2</v>
      </c>
      <c r="C414" s="56" t="n">
        <v>120.400002</v>
      </c>
      <c r="D414" s="62">
        <f>(Table7[[#This Row],[S&amp;P]]-C402)/C402</f>
        <v/>
      </c>
      <c r="F414" s="3" t="n"/>
      <c r="K414" s="2" t="n"/>
    </row>
    <row r="415">
      <c r="A415" s="54" t="n">
        <v>29983</v>
      </c>
      <c r="B415" s="138" t="n">
        <v>38.3</v>
      </c>
      <c r="C415" s="56" t="n">
        <v>113.110001</v>
      </c>
      <c r="D415" s="62">
        <f>(Table7[[#This Row],[S&amp;P]]-C403)/C403</f>
        <v/>
      </c>
      <c r="F415" s="3" t="n"/>
      <c r="K415" s="2" t="n"/>
    </row>
    <row r="416">
      <c r="A416" s="54" t="n">
        <v>30011</v>
      </c>
      <c r="B416" s="138" t="n">
        <v>36.8</v>
      </c>
      <c r="C416" s="56" t="n">
        <v>111.959999</v>
      </c>
      <c r="D416" s="62">
        <f>(Table7[[#This Row],[S&amp;P]]-C404)/C404</f>
        <v/>
      </c>
      <c r="F416" s="3" t="n"/>
      <c r="K416" s="2" t="n"/>
    </row>
    <row r="417">
      <c r="A417" s="54" t="n">
        <v>30042</v>
      </c>
      <c r="B417" s="138" t="n">
        <v>37.8</v>
      </c>
      <c r="C417" s="56" t="n">
        <v>116.440002</v>
      </c>
      <c r="D417" s="62">
        <f>(Table7[[#This Row],[S&amp;P]]-C405)/C405</f>
        <v/>
      </c>
      <c r="F417" s="3" t="n"/>
      <c r="K417" s="2" t="n"/>
    </row>
    <row r="418">
      <c r="A418" s="54" t="n">
        <v>30072</v>
      </c>
      <c r="B418" s="138" t="n">
        <v>35.5</v>
      </c>
      <c r="C418" s="56" t="n">
        <v>111.879997</v>
      </c>
      <c r="D418" s="62">
        <f>(Table7[[#This Row],[S&amp;P]]-C406)/C406</f>
        <v/>
      </c>
      <c r="F418" s="3" t="n"/>
      <c r="K418" s="2" t="n"/>
    </row>
    <row r="419">
      <c r="A419" s="54" t="n">
        <v>30103</v>
      </c>
      <c r="B419" s="138" t="n">
        <v>38.3</v>
      </c>
      <c r="C419" s="56" t="n">
        <v>109.610001</v>
      </c>
      <c r="D419" s="62">
        <f>(Table7[[#This Row],[S&amp;P]]-C407)/C407</f>
        <v/>
      </c>
      <c r="F419" s="3" t="n"/>
      <c r="K419" s="2" t="n"/>
    </row>
    <row r="420">
      <c r="A420" s="54" t="n">
        <v>30133</v>
      </c>
      <c r="B420" s="138" t="n">
        <v>38.4</v>
      </c>
      <c r="C420" s="56" t="n">
        <v>107.089996</v>
      </c>
      <c r="D420" s="62">
        <f>(Table7[[#This Row],[S&amp;P]]-C408)/C408</f>
        <v/>
      </c>
      <c r="F420" s="3" t="n"/>
      <c r="K420" s="2" t="n"/>
    </row>
    <row r="421">
      <c r="A421" s="54" t="n">
        <v>30164</v>
      </c>
      <c r="B421" s="138" t="n">
        <v>38.3</v>
      </c>
      <c r="C421" s="56" t="n">
        <v>119.510002</v>
      </c>
      <c r="D421" s="62">
        <f>(Table7[[#This Row],[S&amp;P]]-C409)/C409</f>
        <v/>
      </c>
      <c r="F421" s="3" t="n"/>
      <c r="K421" s="2" t="n"/>
    </row>
    <row r="422">
      <c r="A422" s="54" t="n">
        <v>30195</v>
      </c>
      <c r="B422" s="138" t="n">
        <v>38.8</v>
      </c>
      <c r="C422" s="56" t="n">
        <v>120.419998</v>
      </c>
      <c r="D422" s="62">
        <f>(Table7[[#This Row],[S&amp;P]]-C410)/C410</f>
        <v/>
      </c>
      <c r="F422" s="3" t="n"/>
      <c r="K422" s="2" t="n"/>
    </row>
    <row r="423">
      <c r="A423" s="54" t="n">
        <v>30225</v>
      </c>
      <c r="B423" s="138" t="n">
        <v>39.4</v>
      </c>
      <c r="C423" s="56" t="n">
        <v>133.720001</v>
      </c>
      <c r="D423" s="62">
        <f>(Table7[[#This Row],[S&amp;P]]-C411)/C411</f>
        <v/>
      </c>
      <c r="F423" s="3" t="n"/>
      <c r="K423" s="2" t="n"/>
    </row>
    <row r="424">
      <c r="A424" s="54" t="n">
        <v>30256</v>
      </c>
      <c r="B424" s="138" t="n">
        <v>39.2</v>
      </c>
      <c r="C424" s="56" t="n">
        <v>138.529999</v>
      </c>
      <c r="D424" s="62">
        <f>(Table7[[#This Row],[S&amp;P]]-C412)/C412</f>
        <v/>
      </c>
      <c r="F424" s="3" t="n"/>
      <c r="K424" s="2" t="n"/>
    </row>
    <row r="425">
      <c r="A425" s="54" t="n">
        <v>30286</v>
      </c>
      <c r="B425" s="138" t="n">
        <v>42.8</v>
      </c>
      <c r="C425" s="56" t="n">
        <v>140.639999</v>
      </c>
      <c r="D425" s="62">
        <f>(Table7[[#This Row],[S&amp;P]]-C413)/C413</f>
        <v/>
      </c>
      <c r="F425" s="3" t="n"/>
      <c r="K425" s="2" t="n"/>
    </row>
    <row r="426">
      <c r="A426" s="54" t="n">
        <v>30317</v>
      </c>
      <c r="B426" s="138" t="n">
        <v>46</v>
      </c>
      <c r="C426" s="56" t="n">
        <v>145.300003</v>
      </c>
      <c r="D426" s="62">
        <f>(Table7[[#This Row],[S&amp;P]]-C414)/C414</f>
        <v/>
      </c>
      <c r="F426" s="3" t="n"/>
      <c r="K426" s="2" t="n"/>
    </row>
    <row r="427">
      <c r="A427" s="54" t="n">
        <v>30348</v>
      </c>
      <c r="B427" s="138" t="n">
        <v>54.4</v>
      </c>
      <c r="C427" s="56" t="n">
        <v>148.059998</v>
      </c>
      <c r="D427" s="62">
        <f>(Table7[[#This Row],[S&amp;P]]-C415)/C415</f>
        <v/>
      </c>
      <c r="F427" s="3" t="n"/>
      <c r="K427" s="2" t="n"/>
    </row>
    <row r="428">
      <c r="A428" s="54" t="n">
        <v>30376</v>
      </c>
      <c r="B428" s="138" t="n">
        <v>53.9</v>
      </c>
      <c r="C428" s="56" t="n">
        <v>152.960007</v>
      </c>
      <c r="D428" s="62">
        <f>(Table7[[#This Row],[S&amp;P]]-C416)/C416</f>
        <v/>
      </c>
      <c r="F428" s="3" t="n"/>
      <c r="K428" s="2" t="n"/>
    </row>
    <row r="429">
      <c r="A429" s="54" t="n">
        <v>30407</v>
      </c>
      <c r="B429" s="138" t="n">
        <v>54.2</v>
      </c>
      <c r="C429" s="56" t="n">
        <v>164.429993</v>
      </c>
      <c r="D429" s="62">
        <f>(Table7[[#This Row],[S&amp;P]]-C417)/C417</f>
        <v/>
      </c>
      <c r="F429" s="3" t="n"/>
      <c r="K429" s="2" t="n"/>
    </row>
    <row r="430">
      <c r="A430" s="54" t="n">
        <v>30437</v>
      </c>
      <c r="B430" s="138" t="n">
        <v>56.1</v>
      </c>
      <c r="C430" s="56" t="n">
        <v>162.389999</v>
      </c>
      <c r="D430" s="62">
        <f>(Table7[[#This Row],[S&amp;P]]-C418)/C418</f>
        <v/>
      </c>
      <c r="F430" s="3" t="n"/>
      <c r="K430" s="2" t="n"/>
    </row>
    <row r="431">
      <c r="A431" s="54" t="n">
        <v>30468</v>
      </c>
      <c r="B431" s="138" t="n">
        <v>57.5</v>
      </c>
      <c r="C431" s="56" t="n">
        <v>167.639999</v>
      </c>
      <c r="D431" s="62">
        <f>(Table7[[#This Row],[S&amp;P]]-C419)/C419</f>
        <v/>
      </c>
      <c r="F431" s="3" t="n"/>
      <c r="K431" s="2" t="n"/>
    </row>
    <row r="432">
      <c r="A432" s="54" t="n">
        <v>30498</v>
      </c>
      <c r="B432" s="138" t="n">
        <v>63.6</v>
      </c>
      <c r="C432" s="56" t="n">
        <v>162.559998</v>
      </c>
      <c r="D432" s="62">
        <f>(Table7[[#This Row],[S&amp;P]]-C420)/C420</f>
        <v/>
      </c>
      <c r="F432" s="3" t="n"/>
      <c r="K432" s="2" t="n"/>
    </row>
    <row r="433">
      <c r="A433" s="54" t="n">
        <v>30529</v>
      </c>
      <c r="B433" s="138" t="n">
        <v>63.1</v>
      </c>
      <c r="C433" s="56" t="n">
        <v>164.399994</v>
      </c>
      <c r="D433" s="62">
        <f>(Table7[[#This Row],[S&amp;P]]-C421)/C421</f>
        <v/>
      </c>
      <c r="F433" s="3" t="n"/>
      <c r="K433" s="2" t="n"/>
    </row>
    <row r="434">
      <c r="A434" s="54" t="n">
        <v>30560</v>
      </c>
      <c r="B434" s="138" t="n">
        <v>62.5</v>
      </c>
      <c r="C434" s="56" t="n">
        <v>166.070007</v>
      </c>
      <c r="D434" s="62">
        <f>(Table7[[#This Row],[S&amp;P]]-C422)/C422</f>
        <v/>
      </c>
      <c r="F434" s="3" t="n"/>
      <c r="K434" s="2" t="n"/>
    </row>
    <row r="435">
      <c r="A435" s="54" t="n">
        <v>30590</v>
      </c>
      <c r="B435" s="138" t="n">
        <v>64.40000000000001</v>
      </c>
      <c r="C435" s="56" t="n">
        <v>163.550003</v>
      </c>
      <c r="D435" s="62">
        <f>(Table7[[#This Row],[S&amp;P]]-C423)/C423</f>
        <v/>
      </c>
      <c r="F435" s="3" t="n"/>
      <c r="K435" s="2" t="n"/>
    </row>
    <row r="436">
      <c r="A436" s="54" t="n">
        <v>30621</v>
      </c>
      <c r="B436" s="138" t="n">
        <v>66</v>
      </c>
      <c r="C436" s="56" t="n">
        <v>166.399994</v>
      </c>
      <c r="D436" s="62">
        <f>(Table7[[#This Row],[S&amp;P]]-C424)/C424</f>
        <v/>
      </c>
      <c r="F436" s="3" t="n"/>
      <c r="K436" s="2" t="n"/>
    </row>
    <row r="437">
      <c r="A437" s="54" t="n">
        <v>30651</v>
      </c>
      <c r="B437" s="138" t="n">
        <v>69.90000000000001</v>
      </c>
      <c r="C437" s="56" t="n">
        <v>164.929993</v>
      </c>
      <c r="D437" s="62">
        <f>(Table7[[#This Row],[S&amp;P]]-C425)/C425</f>
        <v/>
      </c>
      <c r="F437" s="3" t="n"/>
      <c r="K437" s="2" t="n"/>
    </row>
    <row r="438">
      <c r="A438" s="54" t="n">
        <v>30682</v>
      </c>
      <c r="B438" s="138" t="n">
        <v>60.5</v>
      </c>
      <c r="C438" s="56" t="n">
        <v>163.410004</v>
      </c>
      <c r="D438" s="62">
        <f>(Table7[[#This Row],[S&amp;P]]-C426)/C426</f>
        <v/>
      </c>
      <c r="F438" s="3" t="n"/>
      <c r="K438" s="2" t="n"/>
    </row>
    <row r="439">
      <c r="A439" s="54" t="n">
        <v>30713</v>
      </c>
      <c r="B439" s="138" t="n">
        <v>61.3</v>
      </c>
      <c r="C439" s="56" t="n">
        <v>157.059998</v>
      </c>
      <c r="D439" s="62">
        <f>(Table7[[#This Row],[S&amp;P]]-C427)/C427</f>
        <v/>
      </c>
      <c r="F439" s="3" t="n"/>
      <c r="K439" s="2" t="n"/>
    </row>
    <row r="440">
      <c r="A440" s="54" t="n">
        <v>30742</v>
      </c>
      <c r="B440" s="138" t="n">
        <v>58.9</v>
      </c>
      <c r="C440" s="56" t="n">
        <v>159.179993</v>
      </c>
      <c r="D440" s="62">
        <f>(Table7[[#This Row],[S&amp;P]]-C428)/C428</f>
        <v/>
      </c>
      <c r="F440" s="3" t="n"/>
      <c r="K440" s="2" t="n"/>
    </row>
    <row r="441">
      <c r="A441" s="54" t="n">
        <v>30773</v>
      </c>
      <c r="B441" s="138" t="n">
        <v>61</v>
      </c>
      <c r="C441" s="56" t="n">
        <v>160.050003</v>
      </c>
      <c r="D441" s="62">
        <f>(Table7[[#This Row],[S&amp;P]]-C429)/C429</f>
        <v/>
      </c>
      <c r="F441" s="3" t="n"/>
      <c r="K441" s="2" t="n"/>
    </row>
    <row r="442">
      <c r="A442" s="54" t="n">
        <v>30803</v>
      </c>
      <c r="B442" s="138" t="n">
        <v>58.6</v>
      </c>
      <c r="C442" s="56" t="n">
        <v>150.550003</v>
      </c>
      <c r="D442" s="62">
        <f>(Table7[[#This Row],[S&amp;P]]-C430)/C430</f>
        <v/>
      </c>
      <c r="F442" s="3" t="n"/>
      <c r="K442" s="2" t="n"/>
    </row>
    <row r="443">
      <c r="A443" s="54" t="n">
        <v>30834</v>
      </c>
      <c r="B443" s="138" t="n">
        <v>58.1</v>
      </c>
      <c r="C443" s="56" t="n">
        <v>153.179993</v>
      </c>
      <c r="D443" s="62">
        <f>(Table7[[#This Row],[S&amp;P]]-C431)/C431</f>
        <v/>
      </c>
      <c r="F443" s="3" t="n"/>
      <c r="K443" s="2" t="n"/>
    </row>
    <row r="444">
      <c r="A444" s="54" t="n">
        <v>30864</v>
      </c>
      <c r="B444" s="138" t="n">
        <v>56.1</v>
      </c>
      <c r="C444" s="56" t="n">
        <v>150.660004</v>
      </c>
      <c r="D444" s="62">
        <f>(Table7[[#This Row],[S&amp;P]]-C432)/C432</f>
        <v/>
      </c>
      <c r="F444" s="3" t="n"/>
      <c r="K444" s="2" t="n"/>
    </row>
    <row r="445">
      <c r="A445" s="54" t="n">
        <v>30895</v>
      </c>
      <c r="B445" s="138" t="n">
        <v>53</v>
      </c>
      <c r="C445" s="56" t="n">
        <v>166.679993</v>
      </c>
      <c r="D445" s="62">
        <f>(Table7[[#This Row],[S&amp;P]]-C433)/C433</f>
        <v/>
      </c>
      <c r="F445" s="3" t="n"/>
      <c r="K445" s="2" t="n"/>
    </row>
    <row r="446">
      <c r="A446" s="54" t="n">
        <v>30926</v>
      </c>
      <c r="B446" s="138" t="n">
        <v>50</v>
      </c>
      <c r="C446" s="56" t="n">
        <v>166.100006</v>
      </c>
      <c r="D446" s="62">
        <f>(Table7[[#This Row],[S&amp;P]]-C434)/C434</f>
        <v/>
      </c>
      <c r="F446" s="3" t="n"/>
      <c r="K446" s="2" t="n"/>
    </row>
    <row r="447">
      <c r="A447" s="54" t="n">
        <v>30956</v>
      </c>
      <c r="B447" s="138" t="n">
        <v>50.8</v>
      </c>
      <c r="C447" s="56" t="n">
        <v>166.089996</v>
      </c>
      <c r="D447" s="62">
        <f>(Table7[[#This Row],[S&amp;P]]-C435)/C435</f>
        <v/>
      </c>
      <c r="F447" s="3" t="n"/>
      <c r="K447" s="2" t="n"/>
    </row>
    <row r="448">
      <c r="A448" s="54" t="n">
        <v>30987</v>
      </c>
      <c r="B448" s="138" t="n">
        <v>50.3</v>
      </c>
      <c r="C448" s="56" t="n">
        <v>163.580002</v>
      </c>
      <c r="D448" s="62">
        <f>(Table7[[#This Row],[S&amp;P]]-C436)/C436</f>
        <v/>
      </c>
      <c r="F448" s="3" t="n"/>
      <c r="K448" s="2" t="n"/>
    </row>
    <row r="449">
      <c r="A449" s="54" t="n">
        <v>31017</v>
      </c>
      <c r="B449" s="138" t="n">
        <v>50.6</v>
      </c>
      <c r="C449" s="56" t="n">
        <v>167.240005</v>
      </c>
      <c r="D449" s="62">
        <f>(Table7[[#This Row],[S&amp;P]]-C437)/C437</f>
        <v/>
      </c>
      <c r="F449" s="3" t="n"/>
      <c r="K449" s="2" t="n"/>
    </row>
    <row r="450">
      <c r="A450" s="54" t="n">
        <v>31048</v>
      </c>
      <c r="B450" s="138" t="n">
        <v>50.3</v>
      </c>
      <c r="C450" s="56" t="n">
        <v>179.630005</v>
      </c>
      <c r="D450" s="62">
        <f>(Table7[[#This Row],[S&amp;P]]-C438)/C438</f>
        <v/>
      </c>
      <c r="F450" s="3" t="n"/>
      <c r="K450" s="2" t="n"/>
    </row>
    <row r="451">
      <c r="A451" s="54" t="n">
        <v>31079</v>
      </c>
      <c r="B451" s="138" t="n">
        <v>49.9</v>
      </c>
      <c r="C451" s="56" t="n">
        <v>181.179993</v>
      </c>
      <c r="D451" s="62">
        <f>(Table7[[#This Row],[S&amp;P]]-C439)/C439</f>
        <v/>
      </c>
      <c r="F451" s="3" t="n"/>
      <c r="K451" s="2" t="n"/>
    </row>
    <row r="452">
      <c r="A452" s="54" t="n">
        <v>31107</v>
      </c>
      <c r="B452" s="138" t="n">
        <v>47.8</v>
      </c>
      <c r="C452" s="56" t="n">
        <v>180.660004</v>
      </c>
      <c r="D452" s="62">
        <f>(Table7[[#This Row],[S&amp;P]]-C440)/C440</f>
        <v/>
      </c>
      <c r="F452" s="3" t="n"/>
      <c r="K452" s="2" t="n"/>
    </row>
    <row r="453">
      <c r="A453" s="54" t="n">
        <v>31138</v>
      </c>
      <c r="B453" s="138" t="n">
        <v>48.2</v>
      </c>
      <c r="C453" s="56" t="n">
        <v>179.830002</v>
      </c>
      <c r="D453" s="62">
        <f>(Table7[[#This Row],[S&amp;P]]-C441)/C441</f>
        <v/>
      </c>
      <c r="F453" s="3" t="n"/>
      <c r="K453" s="2" t="n"/>
    </row>
    <row r="454">
      <c r="A454" s="54" t="n">
        <v>31168</v>
      </c>
      <c r="B454" s="138" t="n">
        <v>47.1</v>
      </c>
      <c r="C454" s="56" t="n">
        <v>189.550003</v>
      </c>
      <c r="D454" s="62">
        <f>(Table7[[#This Row],[S&amp;P]]-C442)/C442</f>
        <v/>
      </c>
      <c r="F454" s="3" t="n"/>
      <c r="K454" s="2" t="n"/>
    </row>
    <row r="455">
      <c r="A455" s="54" t="n">
        <v>31199</v>
      </c>
      <c r="B455" s="138" t="n">
        <v>47.8</v>
      </c>
      <c r="C455" s="56" t="n">
        <v>191.850006</v>
      </c>
      <c r="D455" s="62">
        <f>(Table7[[#This Row],[S&amp;P]]-C443)/C443</f>
        <v/>
      </c>
      <c r="F455" s="3" t="n"/>
      <c r="K455" s="2" t="n"/>
    </row>
    <row r="456">
      <c r="A456" s="54" t="n">
        <v>31229</v>
      </c>
      <c r="B456" s="138" t="n">
        <v>47.9</v>
      </c>
      <c r="C456" s="56" t="n">
        <v>190.919998</v>
      </c>
      <c r="D456" s="62">
        <f>(Table7[[#This Row],[S&amp;P]]-C444)/C444</f>
        <v/>
      </c>
      <c r="F456" s="3" t="n"/>
      <c r="K456" s="2" t="n"/>
    </row>
    <row r="457">
      <c r="A457" s="54" t="n">
        <v>31260</v>
      </c>
      <c r="B457" s="138" t="n">
        <v>47.7</v>
      </c>
      <c r="C457" s="56" t="n">
        <v>188.630005</v>
      </c>
      <c r="D457" s="62">
        <f>(Table7[[#This Row],[S&amp;P]]-C445)/C445</f>
        <v/>
      </c>
      <c r="F457" s="3" t="n"/>
      <c r="K457" s="2" t="n"/>
    </row>
    <row r="458">
      <c r="A458" s="54" t="n">
        <v>31291</v>
      </c>
      <c r="B458" s="138" t="n">
        <v>49.9</v>
      </c>
      <c r="C458" s="56" t="n">
        <v>182.080002</v>
      </c>
      <c r="D458" s="62">
        <f>(Table7[[#This Row],[S&amp;P]]-C446)/C446</f>
        <v/>
      </c>
      <c r="F458" s="3" t="n"/>
      <c r="K458" s="2" t="n"/>
    </row>
    <row r="459">
      <c r="A459" s="54" t="n">
        <v>31321</v>
      </c>
      <c r="B459" s="138" t="n">
        <v>50.9</v>
      </c>
      <c r="C459" s="56" t="n">
        <v>189.820007</v>
      </c>
      <c r="D459" s="62">
        <f>(Table7[[#This Row],[S&amp;P]]-C447)/C447</f>
        <v/>
      </c>
      <c r="F459" s="3" t="n"/>
      <c r="K459" s="2" t="n"/>
    </row>
    <row r="460">
      <c r="A460" s="54" t="n">
        <v>31352</v>
      </c>
      <c r="B460" s="138" t="n">
        <v>52</v>
      </c>
      <c r="C460" s="56" t="n">
        <v>202.169998</v>
      </c>
      <c r="D460" s="62">
        <f>(Table7[[#This Row],[S&amp;P]]-C448)/C448</f>
        <v/>
      </c>
      <c r="F460" s="3" t="n"/>
      <c r="K460" s="2" t="n"/>
    </row>
    <row r="461">
      <c r="A461" s="54" t="n">
        <v>31382</v>
      </c>
      <c r="B461" s="138" t="n">
        <v>50.7</v>
      </c>
      <c r="C461" s="56" t="n">
        <v>211.279999</v>
      </c>
      <c r="D461" s="62">
        <f>(Table7[[#This Row],[S&amp;P]]-C449)/C449</f>
        <v/>
      </c>
      <c r="F461" s="3" t="n"/>
      <c r="K461" s="2" t="n"/>
    </row>
    <row r="462">
      <c r="A462" s="54" t="n">
        <v>31413</v>
      </c>
      <c r="B462" s="138" t="n">
        <v>51.2</v>
      </c>
      <c r="C462" s="56" t="n">
        <v>211.779999</v>
      </c>
      <c r="D462" s="62">
        <f>(Table7[[#This Row],[S&amp;P]]-C450)/C450</f>
        <v/>
      </c>
      <c r="F462" s="3" t="n"/>
      <c r="K462" s="2" t="n"/>
    </row>
    <row r="463">
      <c r="A463" s="54" t="n">
        <v>31444</v>
      </c>
      <c r="B463" s="138" t="n">
        <v>51</v>
      </c>
      <c r="C463" s="56" t="n">
        <v>226.919998</v>
      </c>
      <c r="D463" s="62">
        <f>(Table7[[#This Row],[S&amp;P]]-C451)/C451</f>
        <v/>
      </c>
      <c r="F463" s="3" t="n"/>
      <c r="K463" s="2" t="n"/>
    </row>
    <row r="464">
      <c r="A464" s="54" t="n">
        <v>31472</v>
      </c>
      <c r="B464" s="138" t="n">
        <v>51</v>
      </c>
      <c r="C464" s="56" t="n">
        <v>238.899994</v>
      </c>
      <c r="D464" s="62">
        <f>(Table7[[#This Row],[S&amp;P]]-C452)/C452</f>
        <v/>
      </c>
      <c r="F464" s="3" t="n"/>
      <c r="K464" s="2" t="n"/>
    </row>
    <row r="465">
      <c r="A465" s="54" t="n">
        <v>31503</v>
      </c>
      <c r="B465" s="138" t="n">
        <v>49.7</v>
      </c>
      <c r="C465" s="56" t="n">
        <v>235.520004</v>
      </c>
      <c r="D465" s="62">
        <f>(Table7[[#This Row],[S&amp;P]]-C453)/C453</f>
        <v/>
      </c>
      <c r="F465" s="3" t="n"/>
      <c r="K465" s="2" t="n"/>
    </row>
    <row r="466">
      <c r="A466" s="54" t="n">
        <v>31533</v>
      </c>
      <c r="B466" s="138" t="n">
        <v>53.4</v>
      </c>
      <c r="C466" s="56" t="n">
        <v>247.350006</v>
      </c>
      <c r="D466" s="62">
        <f>(Table7[[#This Row],[S&amp;P]]-C454)/C454</f>
        <v/>
      </c>
      <c r="F466" s="3" t="n"/>
      <c r="K466" s="2" t="n"/>
    </row>
    <row r="467">
      <c r="A467" s="54" t="n">
        <v>31564</v>
      </c>
      <c r="B467" s="138" t="n">
        <v>50.5</v>
      </c>
      <c r="C467" s="56" t="n">
        <v>250.839996</v>
      </c>
      <c r="D467" s="62">
        <f>(Table7[[#This Row],[S&amp;P]]-C455)/C455</f>
        <v/>
      </c>
      <c r="F467" s="3" t="n"/>
      <c r="K467" s="2" t="n"/>
    </row>
    <row r="468">
      <c r="A468" s="54" t="n">
        <v>31594</v>
      </c>
      <c r="B468" s="138" t="n">
        <v>48</v>
      </c>
      <c r="C468" s="56" t="n">
        <v>236.119995</v>
      </c>
      <c r="D468" s="62">
        <f>(Table7[[#This Row],[S&amp;P]]-C456)/C456</f>
        <v/>
      </c>
      <c r="F468" s="3" t="n"/>
      <c r="K468" s="2" t="n"/>
    </row>
    <row r="469">
      <c r="A469" s="54" t="n">
        <v>31625</v>
      </c>
      <c r="B469" s="138" t="n">
        <v>52.6</v>
      </c>
      <c r="C469" s="56" t="n">
        <v>252.929993</v>
      </c>
      <c r="D469" s="62">
        <f>(Table7[[#This Row],[S&amp;P]]-C457)/C457</f>
        <v/>
      </c>
      <c r="F469" s="3" t="n"/>
      <c r="K469" s="2" t="n"/>
    </row>
    <row r="470">
      <c r="A470" s="54" t="n">
        <v>31656</v>
      </c>
      <c r="B470" s="138" t="n">
        <v>52.4</v>
      </c>
      <c r="C470" s="56" t="n">
        <v>231.320007</v>
      </c>
      <c r="D470" s="62">
        <f>(Table7[[#This Row],[S&amp;P]]-C458)/C458</f>
        <v/>
      </c>
      <c r="F470" s="3" t="n"/>
      <c r="K470" s="2" t="n"/>
    </row>
    <row r="471">
      <c r="A471" s="54" t="n">
        <v>31686</v>
      </c>
      <c r="B471" s="138" t="n">
        <v>51.2</v>
      </c>
      <c r="C471" s="56" t="n">
        <v>243.979996</v>
      </c>
      <c r="D471" s="62">
        <f>(Table7[[#This Row],[S&amp;P]]-C459)/C459</f>
        <v/>
      </c>
      <c r="F471" s="3" t="n"/>
      <c r="K471" s="2" t="n"/>
    </row>
    <row r="472">
      <c r="A472" s="54" t="n">
        <v>31717</v>
      </c>
      <c r="B472" s="138" t="n">
        <v>51.2</v>
      </c>
      <c r="C472" s="56" t="n">
        <v>249.220001</v>
      </c>
      <c r="D472" s="62">
        <f>(Table7[[#This Row],[S&amp;P]]-C460)/C460</f>
        <v/>
      </c>
      <c r="F472" s="3" t="n"/>
      <c r="K472" s="2" t="n"/>
    </row>
    <row r="473">
      <c r="A473" s="54" t="n">
        <v>31747</v>
      </c>
      <c r="B473" s="138" t="n">
        <v>50.5</v>
      </c>
      <c r="C473" s="56" t="n">
        <v>242.169998</v>
      </c>
      <c r="D473" s="62">
        <f>(Table7[[#This Row],[S&amp;P]]-C461)/C461</f>
        <v/>
      </c>
      <c r="F473" s="3" t="n"/>
      <c r="K473" s="2" t="n"/>
    </row>
    <row r="474">
      <c r="A474" s="54" t="n">
        <v>31778</v>
      </c>
      <c r="B474" s="138" t="n">
        <v>54.9</v>
      </c>
      <c r="C474" s="56" t="n">
        <v>274.079987</v>
      </c>
      <c r="D474" s="62">
        <f>(Table7[[#This Row],[S&amp;P]]-C462)/C462</f>
        <v/>
      </c>
      <c r="F474" s="3" t="n"/>
      <c r="K474" s="2" t="n"/>
    </row>
    <row r="475">
      <c r="A475" s="54" t="n">
        <v>31809</v>
      </c>
      <c r="B475" s="138" t="n">
        <v>52.6</v>
      </c>
      <c r="C475" s="56" t="n">
        <v>284.200012</v>
      </c>
      <c r="D475" s="62">
        <f>(Table7[[#This Row],[S&amp;P]]-C463)/C463</f>
        <v/>
      </c>
      <c r="F475" s="3" t="n"/>
      <c r="K475" s="2" t="n"/>
    </row>
    <row r="476">
      <c r="A476" s="54" t="n">
        <v>31837</v>
      </c>
      <c r="B476" s="138" t="n">
        <v>55</v>
      </c>
      <c r="C476" s="56" t="n">
        <v>291.700012</v>
      </c>
      <c r="D476" s="62">
        <f>(Table7[[#This Row],[S&amp;P]]-C464)/C464</f>
        <v/>
      </c>
      <c r="F476" s="3" t="n"/>
      <c r="K476" s="2" t="n"/>
    </row>
    <row r="477">
      <c r="A477" s="54" t="n">
        <v>31868</v>
      </c>
      <c r="B477" s="138" t="n">
        <v>55.5</v>
      </c>
      <c r="C477" s="56" t="n">
        <v>288.359985</v>
      </c>
      <c r="D477" s="62">
        <f>(Table7[[#This Row],[S&amp;P]]-C465)/C465</f>
        <v/>
      </c>
      <c r="F477" s="3" t="n"/>
      <c r="K477" s="2" t="n"/>
    </row>
    <row r="478">
      <c r="A478" s="54" t="n">
        <v>31898</v>
      </c>
      <c r="B478" s="55" t="n">
        <v>57.2</v>
      </c>
      <c r="C478" s="56" t="n">
        <v>290.100006</v>
      </c>
      <c r="D478" s="62">
        <f>(Table7[[#This Row],[S&amp;P]]-C466)/C466</f>
        <v/>
      </c>
      <c r="F478" s="3" t="n"/>
      <c r="K478" s="2" t="n"/>
    </row>
    <row r="479">
      <c r="A479" s="54" t="n">
        <v>31929</v>
      </c>
      <c r="B479" s="55" t="n">
        <v>57.4</v>
      </c>
      <c r="C479" s="56" t="n">
        <v>304</v>
      </c>
      <c r="D479" s="62">
        <f>(Table7[[#This Row],[S&amp;P]]-C467)/C467</f>
        <v/>
      </c>
      <c r="F479" s="3" t="n"/>
      <c r="K479" s="2" t="n"/>
    </row>
    <row r="480">
      <c r="A480" s="54" t="n">
        <v>31959</v>
      </c>
      <c r="B480" s="55" t="n">
        <v>57.5</v>
      </c>
      <c r="C480" s="56" t="n">
        <v>318.660004</v>
      </c>
      <c r="D480" s="62">
        <f>(Table7[[#This Row],[S&amp;P]]-C468)/C468</f>
        <v/>
      </c>
      <c r="F480" s="3" t="n"/>
      <c r="K480" s="2" t="n"/>
    </row>
    <row r="481">
      <c r="A481" s="54" t="n">
        <v>31990</v>
      </c>
      <c r="B481" s="55" t="n">
        <v>59.3</v>
      </c>
      <c r="C481" s="56" t="n">
        <v>329.799988</v>
      </c>
      <c r="D481" s="62">
        <f>(Table7[[#This Row],[S&amp;P]]-C469)/C469</f>
        <v/>
      </c>
      <c r="F481" s="3" t="n"/>
      <c r="K481" s="2" t="n"/>
    </row>
    <row r="482">
      <c r="A482" s="54" t="n">
        <v>32021</v>
      </c>
      <c r="B482" s="55" t="n">
        <v>60</v>
      </c>
      <c r="C482" s="56" t="n">
        <v>321.829987</v>
      </c>
      <c r="D482" s="62">
        <f>(Table7[[#This Row],[S&amp;P]]-C470)/C470</f>
        <v/>
      </c>
      <c r="F482" s="3" t="n"/>
      <c r="K482" s="2" t="n"/>
    </row>
    <row r="483">
      <c r="A483" s="54" t="n">
        <v>32051</v>
      </c>
      <c r="B483" s="55" t="n">
        <v>60.7</v>
      </c>
      <c r="C483" s="56" t="n">
        <v>251.789993</v>
      </c>
      <c r="D483" s="62">
        <f>(Table7[[#This Row],[S&amp;P]]-C471)/C471</f>
        <v/>
      </c>
      <c r="F483" s="3" t="n"/>
      <c r="K483" s="2" t="n"/>
    </row>
    <row r="484">
      <c r="A484" s="54" t="n">
        <v>32082</v>
      </c>
      <c r="B484" s="55" t="n">
        <v>58.8</v>
      </c>
      <c r="C484" s="56" t="n">
        <v>230.300003</v>
      </c>
      <c r="D484" s="62">
        <f>(Table7[[#This Row],[S&amp;P]]-C472)/C472</f>
        <v/>
      </c>
      <c r="F484" s="3" t="n"/>
      <c r="K484" s="2" t="n"/>
    </row>
    <row r="485">
      <c r="A485" s="54" t="n">
        <v>32112</v>
      </c>
      <c r="B485" s="55" t="n">
        <v>61</v>
      </c>
      <c r="C485" s="56" t="n">
        <v>247.080002</v>
      </c>
      <c r="D485" s="62">
        <f>(Table7[[#This Row],[S&amp;P]]-C473)/C473</f>
        <v/>
      </c>
      <c r="F485" s="3" t="n"/>
      <c r="K485" s="2" t="n"/>
    </row>
    <row r="486">
      <c r="A486" s="54" t="n">
        <v>32143</v>
      </c>
      <c r="B486" s="55" t="n">
        <v>57.5</v>
      </c>
      <c r="C486" s="56" t="n">
        <v>257.070007</v>
      </c>
      <c r="D486" s="62">
        <f>(Table7[[#This Row],[S&amp;P]]-C474)/C474</f>
        <v/>
      </c>
      <c r="F486" s="3" t="n"/>
      <c r="K486" s="2" t="n"/>
    </row>
    <row r="487">
      <c r="A487" s="54" t="n">
        <v>32174</v>
      </c>
      <c r="B487" s="55" t="n">
        <v>56.2</v>
      </c>
      <c r="C487" s="56" t="n">
        <v>267.820007</v>
      </c>
      <c r="D487" s="62">
        <f>(Table7[[#This Row],[S&amp;P]]-C475)/C475</f>
        <v/>
      </c>
      <c r="F487" s="3" t="n"/>
      <c r="K487" s="2" t="n"/>
    </row>
    <row r="488">
      <c r="A488" s="54" t="n">
        <v>32203</v>
      </c>
      <c r="B488" s="55" t="n">
        <v>54.6</v>
      </c>
      <c r="C488" s="56" t="n">
        <v>258.890015</v>
      </c>
      <c r="D488" s="62">
        <f>(Table7[[#This Row],[S&amp;P]]-C476)/C476</f>
        <v/>
      </c>
      <c r="F488" s="3" t="n"/>
      <c r="K488" s="2" t="n"/>
    </row>
    <row r="489">
      <c r="A489" s="54" t="n">
        <v>32234</v>
      </c>
      <c r="B489" s="55" t="n">
        <v>55.8</v>
      </c>
      <c r="C489" s="56" t="n">
        <v>261.329987</v>
      </c>
      <c r="D489" s="62">
        <f>(Table7[[#This Row],[S&amp;P]]-C477)/C477</f>
        <v/>
      </c>
      <c r="F489" s="3" t="n"/>
      <c r="K489" s="2" t="n"/>
    </row>
    <row r="490">
      <c r="A490" s="54" t="n">
        <v>32264</v>
      </c>
      <c r="B490" s="55" t="n">
        <v>55.5</v>
      </c>
      <c r="C490" s="56" t="n">
        <v>262.160004</v>
      </c>
      <c r="D490" s="62">
        <f>(Table7[[#This Row],[S&amp;P]]-C478)/C478</f>
        <v/>
      </c>
      <c r="F490" s="3" t="n"/>
      <c r="K490" s="2" t="n"/>
    </row>
    <row r="491">
      <c r="A491" s="54" t="n">
        <v>32295</v>
      </c>
      <c r="B491" s="55" t="n">
        <v>59.3</v>
      </c>
      <c r="C491" s="56" t="n">
        <v>273.5</v>
      </c>
      <c r="D491" s="62">
        <f>(Table7[[#This Row],[S&amp;P]]-C479)/C479</f>
        <v/>
      </c>
      <c r="F491" s="3" t="n"/>
      <c r="K491" s="2" t="n"/>
    </row>
    <row r="492">
      <c r="A492" s="54" t="n">
        <v>32325</v>
      </c>
      <c r="B492" s="55" t="n">
        <v>58.2</v>
      </c>
      <c r="C492" s="56" t="n">
        <v>272.019989</v>
      </c>
      <c r="D492" s="62">
        <f>(Table7[[#This Row],[S&amp;P]]-C480)/C480</f>
        <v/>
      </c>
      <c r="F492" s="3" t="n"/>
      <c r="K492" s="2" t="n"/>
    </row>
    <row r="493">
      <c r="A493" s="54" t="n">
        <v>32356</v>
      </c>
      <c r="B493" s="55" t="n">
        <v>56</v>
      </c>
      <c r="C493" s="56" t="n">
        <v>261.519989</v>
      </c>
      <c r="D493" s="62">
        <f>(Table7[[#This Row],[S&amp;P]]-C481)/C481</f>
        <v/>
      </c>
      <c r="F493" s="3" t="n"/>
      <c r="K493" s="2" t="n"/>
    </row>
    <row r="494">
      <c r="A494" s="54" t="n">
        <v>32387</v>
      </c>
      <c r="B494" s="55" t="n">
        <v>54.5</v>
      </c>
      <c r="C494" s="56" t="n">
        <v>271.910004</v>
      </c>
      <c r="D494" s="62">
        <f>(Table7[[#This Row],[S&amp;P]]-C482)/C482</f>
        <v/>
      </c>
      <c r="F494" s="3" t="n"/>
      <c r="K494" s="2" t="n"/>
    </row>
    <row r="495">
      <c r="A495" s="54" t="n">
        <v>32417</v>
      </c>
      <c r="B495" s="55" t="n">
        <v>55.4</v>
      </c>
      <c r="C495" s="56" t="n">
        <v>278.970001</v>
      </c>
      <c r="D495" s="62">
        <f>(Table7[[#This Row],[S&amp;P]]-C483)/C483</f>
        <v/>
      </c>
      <c r="F495" s="3" t="n"/>
      <c r="K495" s="2" t="n"/>
    </row>
    <row r="496">
      <c r="A496" s="54" t="n">
        <v>32448</v>
      </c>
      <c r="B496" s="55" t="n">
        <v>55.6</v>
      </c>
      <c r="C496" s="56" t="n">
        <v>273.700012</v>
      </c>
      <c r="D496" s="62">
        <f>(Table7[[#This Row],[S&amp;P]]-C484)/C484</f>
        <v/>
      </c>
      <c r="F496" s="3" t="n"/>
      <c r="K496" s="2" t="n"/>
    </row>
    <row r="497">
      <c r="A497" s="54" t="n">
        <v>32478</v>
      </c>
      <c r="B497" s="55" t="n">
        <v>56</v>
      </c>
      <c r="C497" s="56" t="n">
        <v>277.720001</v>
      </c>
      <c r="D497" s="62">
        <f>(Table7[[#This Row],[S&amp;P]]-C485)/C485</f>
        <v/>
      </c>
      <c r="F497" s="3" t="n"/>
      <c r="K497" s="2" t="n"/>
    </row>
    <row r="498">
      <c r="A498" s="54" t="n">
        <v>32509</v>
      </c>
      <c r="B498" s="55" t="n">
        <v>54.7</v>
      </c>
      <c r="C498" s="56" t="n">
        <v>297.470001</v>
      </c>
      <c r="D498" s="62">
        <f>(Table7[[#This Row],[S&amp;P]]-C486)/C486</f>
        <v/>
      </c>
      <c r="F498" s="3" t="n"/>
      <c r="K498" s="2" t="n"/>
    </row>
    <row r="499">
      <c r="A499" s="54" t="n">
        <v>32540</v>
      </c>
      <c r="B499" s="55" t="n">
        <v>54.1</v>
      </c>
      <c r="C499" s="56" t="n">
        <v>288.859985</v>
      </c>
      <c r="D499" s="62">
        <f>(Table7[[#This Row],[S&amp;P]]-C487)/C487</f>
        <v/>
      </c>
      <c r="F499" s="3" t="n"/>
      <c r="K499" s="2" t="n"/>
    </row>
    <row r="500">
      <c r="A500" s="54" t="n">
        <v>32568</v>
      </c>
      <c r="B500" s="55" t="n">
        <v>51.5</v>
      </c>
      <c r="C500" s="56" t="n">
        <v>294.869995</v>
      </c>
      <c r="D500" s="62">
        <f>(Table7[[#This Row],[S&amp;P]]-C488)/C488</f>
        <v/>
      </c>
      <c r="F500" s="3" t="n"/>
      <c r="K500" s="2" t="n"/>
    </row>
    <row r="501">
      <c r="A501" s="54" t="n">
        <v>32599</v>
      </c>
      <c r="B501" s="55" t="n">
        <v>52.2</v>
      </c>
      <c r="C501" s="56" t="n">
        <v>309.640015</v>
      </c>
      <c r="D501" s="62">
        <f>(Table7[[#This Row],[S&amp;P]]-C489)/C489</f>
        <v/>
      </c>
      <c r="F501" s="3" t="n"/>
      <c r="K501" s="2" t="n"/>
    </row>
    <row r="502">
      <c r="A502" s="54" t="n">
        <v>32629</v>
      </c>
      <c r="B502" s="55" t="n">
        <v>49.3</v>
      </c>
      <c r="C502" s="56" t="n">
        <v>320.519989</v>
      </c>
      <c r="D502" s="62">
        <f>(Table7[[#This Row],[S&amp;P]]-C490)/C490</f>
        <v/>
      </c>
      <c r="F502" s="3" t="n"/>
      <c r="K502" s="2" t="n"/>
    </row>
    <row r="503">
      <c r="A503" s="54" t="n">
        <v>32660</v>
      </c>
      <c r="B503" s="55" t="n">
        <v>47.3</v>
      </c>
      <c r="C503" s="56" t="n">
        <v>317.980011</v>
      </c>
      <c r="D503" s="62">
        <f>(Table7[[#This Row],[S&amp;P]]-C491)/C491</f>
        <v/>
      </c>
      <c r="F503" s="3" t="n"/>
      <c r="K503" s="2" t="n"/>
    </row>
    <row r="504">
      <c r="A504" s="54" t="n">
        <v>32690</v>
      </c>
      <c r="B504" s="55" t="n">
        <v>45.9</v>
      </c>
      <c r="C504" s="56" t="n">
        <v>346.079987</v>
      </c>
      <c r="D504" s="62">
        <f>(Table7[[#This Row],[S&amp;P]]-C492)/C492</f>
        <v/>
      </c>
      <c r="F504" s="3" t="n"/>
      <c r="K504" s="2" t="n"/>
    </row>
    <row r="505">
      <c r="A505" s="54" t="n">
        <v>32721</v>
      </c>
      <c r="B505" s="55" t="n">
        <v>45.1</v>
      </c>
      <c r="C505" s="56" t="n">
        <v>351.450012</v>
      </c>
      <c r="D505" s="62">
        <f>(Table7[[#This Row],[S&amp;P]]-C493)/C493</f>
        <v/>
      </c>
      <c r="F505" s="3" t="n"/>
      <c r="K505" s="2" t="n"/>
    </row>
    <row r="506">
      <c r="A506" s="54" t="n">
        <v>32752</v>
      </c>
      <c r="B506" s="55" t="n">
        <v>46</v>
      </c>
      <c r="C506" s="56" t="n">
        <v>349.149994</v>
      </c>
      <c r="D506" s="62">
        <f>(Table7[[#This Row],[S&amp;P]]-C494)/C494</f>
        <v/>
      </c>
      <c r="F506" s="3" t="n"/>
      <c r="K506" s="2" t="n"/>
    </row>
    <row r="507">
      <c r="A507" s="54" t="n">
        <v>32782</v>
      </c>
      <c r="B507" s="55" t="n">
        <v>46.8</v>
      </c>
      <c r="C507" s="56" t="n">
        <v>340.359985</v>
      </c>
      <c r="D507" s="62">
        <f>(Table7[[#This Row],[S&amp;P]]-C495)/C495</f>
        <v/>
      </c>
      <c r="F507" s="3" t="n"/>
      <c r="K507" s="2" t="n"/>
    </row>
    <row r="508">
      <c r="A508" s="54" t="n">
        <v>32813</v>
      </c>
      <c r="B508" s="55" t="n">
        <v>46.8</v>
      </c>
      <c r="C508" s="56" t="n">
        <v>345.98999</v>
      </c>
      <c r="D508" s="62">
        <f>(Table7[[#This Row],[S&amp;P]]-C496)/C496</f>
        <v/>
      </c>
      <c r="F508" s="3" t="n"/>
      <c r="K508" s="2" t="n"/>
    </row>
    <row r="509">
      <c r="A509" s="54" t="n">
        <v>32843</v>
      </c>
      <c r="B509" s="55" t="n">
        <v>47.4</v>
      </c>
      <c r="C509" s="56" t="n">
        <v>353.399994</v>
      </c>
      <c r="D509" s="62">
        <f>(Table7[[#This Row],[S&amp;P]]-C497)/C497</f>
        <v/>
      </c>
      <c r="F509" s="3" t="n"/>
      <c r="K509" s="2" t="n"/>
    </row>
    <row r="510">
      <c r="A510" s="54" t="n">
        <v>32874</v>
      </c>
      <c r="B510" s="55" t="n">
        <v>47.2</v>
      </c>
      <c r="C510" s="56" t="n">
        <v>329.079987</v>
      </c>
      <c r="D510" s="62">
        <f>(Table7[[#This Row],[S&amp;P]]-C498)/C498</f>
        <v/>
      </c>
      <c r="F510" s="3" t="n"/>
      <c r="K510" s="2" t="n"/>
    </row>
    <row r="511">
      <c r="A511" s="54" t="n">
        <v>32905</v>
      </c>
      <c r="B511" s="55" t="n">
        <v>49.1</v>
      </c>
      <c r="C511" s="56" t="n">
        <v>331.890015</v>
      </c>
      <c r="D511" s="62">
        <f>(Table7[[#This Row],[S&amp;P]]-C499)/C499</f>
        <v/>
      </c>
      <c r="F511" s="3" t="n"/>
      <c r="K511" s="2" t="n"/>
    </row>
    <row r="512">
      <c r="A512" s="54" t="n">
        <v>32933</v>
      </c>
      <c r="B512" s="55" t="n">
        <v>49.9</v>
      </c>
      <c r="C512" s="56" t="n">
        <v>339.940002</v>
      </c>
      <c r="D512" s="62">
        <f>(Table7[[#This Row],[S&amp;P]]-C500)/C500</f>
        <v/>
      </c>
      <c r="F512" s="3" t="n"/>
      <c r="K512" s="2" t="n"/>
    </row>
    <row r="513">
      <c r="A513" s="54" t="n">
        <v>32964</v>
      </c>
      <c r="B513" s="55" t="n">
        <v>50</v>
      </c>
      <c r="C513" s="56" t="n">
        <v>330.799988</v>
      </c>
      <c r="D513" s="62">
        <f>(Table7[[#This Row],[S&amp;P]]-C501)/C501</f>
        <v/>
      </c>
      <c r="F513" s="3" t="n"/>
      <c r="K513" s="2" t="n"/>
    </row>
    <row r="514">
      <c r="A514" s="54" t="n">
        <v>32994</v>
      </c>
      <c r="B514" s="55" t="n">
        <v>49.5</v>
      </c>
      <c r="C514" s="56" t="n">
        <v>361.230011</v>
      </c>
      <c r="D514" s="62">
        <f>(Table7[[#This Row],[S&amp;P]]-C502)/C502</f>
        <v/>
      </c>
      <c r="F514" s="3" t="n"/>
      <c r="K514" s="2" t="n"/>
    </row>
    <row r="515">
      <c r="A515" s="54" t="n">
        <v>33025</v>
      </c>
      <c r="B515" s="55" t="n">
        <v>49.2</v>
      </c>
      <c r="C515" s="56" t="n">
        <v>358.019989</v>
      </c>
      <c r="D515" s="62">
        <f>(Table7[[#This Row],[S&amp;P]]-C503)/C503</f>
        <v/>
      </c>
      <c r="F515" s="3" t="n"/>
      <c r="K515" s="2" t="n"/>
    </row>
    <row r="516">
      <c r="A516" s="54" t="n">
        <v>33055</v>
      </c>
      <c r="B516" s="55" t="n">
        <v>46.6</v>
      </c>
      <c r="C516" s="56" t="n">
        <v>356.149994</v>
      </c>
      <c r="D516" s="62">
        <f>(Table7[[#This Row],[S&amp;P]]-C504)/C504</f>
        <v/>
      </c>
      <c r="F516" s="3" t="n"/>
      <c r="K516" s="2" t="n"/>
    </row>
    <row r="517">
      <c r="A517" s="54" t="n">
        <v>33086</v>
      </c>
      <c r="B517" s="55" t="n">
        <v>46.1</v>
      </c>
      <c r="C517" s="56" t="n">
        <v>322.559998</v>
      </c>
      <c r="D517" s="62">
        <f>(Table7[[#This Row],[S&amp;P]]-C505)/C505</f>
        <v/>
      </c>
      <c r="F517" s="3" t="n"/>
      <c r="K517" s="2" t="n"/>
    </row>
    <row r="518">
      <c r="A518" s="54" t="n">
        <v>33117</v>
      </c>
      <c r="B518" s="55" t="n">
        <v>44.5</v>
      </c>
      <c r="C518" s="56" t="n">
        <v>306.049988</v>
      </c>
      <c r="D518" s="62">
        <f>(Table7[[#This Row],[S&amp;P]]-C506)/C506</f>
        <v/>
      </c>
      <c r="F518" s="3" t="n"/>
      <c r="K518" s="2" t="n"/>
    </row>
    <row r="519">
      <c r="A519" s="54" t="n">
        <v>33147</v>
      </c>
      <c r="B519" s="55" t="n">
        <v>43.2</v>
      </c>
      <c r="C519" s="56" t="n">
        <v>304</v>
      </c>
      <c r="D519" s="62">
        <f>(Table7[[#This Row],[S&amp;P]]-C507)/C507</f>
        <v/>
      </c>
      <c r="F519" s="3" t="n"/>
      <c r="K519" s="2" t="n"/>
    </row>
    <row r="520">
      <c r="A520" s="54" t="n">
        <v>33178</v>
      </c>
      <c r="B520" s="55" t="n">
        <v>41.3</v>
      </c>
      <c r="C520" s="56" t="n">
        <v>322.220001</v>
      </c>
      <c r="D520" s="62">
        <f>(Table7[[#This Row],[S&amp;P]]-C508)/C508</f>
        <v/>
      </c>
      <c r="F520" s="3" t="n"/>
      <c r="K520" s="2" t="n"/>
    </row>
    <row r="521">
      <c r="A521" s="54" t="n">
        <v>33208</v>
      </c>
      <c r="B521" s="55" t="n">
        <v>40.8</v>
      </c>
      <c r="C521" s="56" t="n">
        <v>330.220001</v>
      </c>
      <c r="D521" s="62">
        <f>(Table7[[#This Row],[S&amp;P]]-C509)/C509</f>
        <v/>
      </c>
      <c r="F521" s="3" t="n"/>
      <c r="K521" s="2" t="n"/>
    </row>
    <row r="522">
      <c r="A522" s="54" t="n">
        <v>33239</v>
      </c>
      <c r="B522" s="55" t="n">
        <v>39.2</v>
      </c>
      <c r="C522" s="56" t="n">
        <v>343.929993</v>
      </c>
      <c r="D522" s="62">
        <f>(Table7[[#This Row],[S&amp;P]]-C510)/C510</f>
        <v/>
      </c>
      <c r="F522" s="3" t="n"/>
      <c r="K522" s="2" t="n"/>
    </row>
    <row r="523">
      <c r="A523" s="54" t="n">
        <v>33270</v>
      </c>
      <c r="B523" s="55" t="n">
        <v>39.4</v>
      </c>
      <c r="C523" s="56" t="n">
        <v>367.070007</v>
      </c>
      <c r="D523" s="62">
        <f>(Table7[[#This Row],[S&amp;P]]-C511)/C511</f>
        <v/>
      </c>
      <c r="F523" s="3" t="n"/>
      <c r="K523" s="2" t="n"/>
    </row>
    <row r="524">
      <c r="A524" s="54" t="n">
        <v>33298</v>
      </c>
      <c r="B524" s="55" t="n">
        <v>40.7</v>
      </c>
      <c r="C524" s="56" t="n">
        <v>375.220001</v>
      </c>
      <c r="D524" s="62">
        <f>(Table7[[#This Row],[S&amp;P]]-C512)/C512</f>
        <v/>
      </c>
      <c r="F524" s="3" t="n"/>
      <c r="K524" s="2" t="n"/>
    </row>
    <row r="525">
      <c r="A525" s="54" t="n">
        <v>33329</v>
      </c>
      <c r="B525" s="55" t="n">
        <v>42.8</v>
      </c>
      <c r="C525" s="56" t="n">
        <v>375.339996</v>
      </c>
      <c r="D525" s="62">
        <f>(Table7[[#This Row],[S&amp;P]]-C513)/C513</f>
        <v/>
      </c>
      <c r="F525" s="3" t="n"/>
      <c r="K525" s="2" t="n"/>
    </row>
    <row r="526">
      <c r="A526" s="54" t="n">
        <v>33359</v>
      </c>
      <c r="B526" s="55" t="n">
        <v>44.5</v>
      </c>
      <c r="C526" s="56" t="n">
        <v>389.829987</v>
      </c>
      <c r="D526" s="62">
        <f>(Table7[[#This Row],[S&amp;P]]-C514)/C514</f>
        <v/>
      </c>
      <c r="F526" s="3" t="n"/>
      <c r="K526" s="2" t="n"/>
    </row>
    <row r="527">
      <c r="A527" s="54" t="n">
        <v>33390</v>
      </c>
      <c r="B527" s="55" t="n">
        <v>50.3</v>
      </c>
      <c r="C527" s="56" t="n">
        <v>371.160004</v>
      </c>
      <c r="D527" s="62">
        <f>(Table7[[#This Row],[S&amp;P]]-C515)/C515</f>
        <v/>
      </c>
      <c r="F527" s="3" t="n"/>
      <c r="K527" s="2" t="n"/>
    </row>
    <row r="528">
      <c r="A528" s="54" t="n">
        <v>33420</v>
      </c>
      <c r="B528" s="55" t="n">
        <v>50.6</v>
      </c>
      <c r="C528" s="56" t="n">
        <v>387.809998</v>
      </c>
      <c r="D528" s="62">
        <f>(Table7[[#This Row],[S&amp;P]]-C516)/C516</f>
        <v/>
      </c>
      <c r="F528" s="3" t="n"/>
      <c r="K528" s="2" t="n"/>
    </row>
    <row r="529">
      <c r="A529" s="54" t="n">
        <v>33451</v>
      </c>
      <c r="B529" s="55" t="n">
        <v>52.9</v>
      </c>
      <c r="C529" s="56" t="n">
        <v>395.429993</v>
      </c>
      <c r="D529" s="62">
        <f>(Table7[[#This Row],[S&amp;P]]-C517)/C517</f>
        <v/>
      </c>
      <c r="F529" s="3" t="n"/>
      <c r="K529" s="2" t="n"/>
    </row>
    <row r="530">
      <c r="A530" s="54" t="n">
        <v>33482</v>
      </c>
      <c r="B530" s="55" t="n">
        <v>54.9</v>
      </c>
      <c r="C530" s="56" t="n">
        <v>387.859985</v>
      </c>
      <c r="D530" s="62">
        <f>(Table7[[#This Row],[S&amp;P]]-C518)/C518</f>
        <v/>
      </c>
      <c r="F530" s="3" t="n"/>
      <c r="K530" s="2" t="n"/>
    </row>
    <row r="531">
      <c r="A531" s="54" t="n">
        <v>33512</v>
      </c>
      <c r="B531" s="55" t="n">
        <v>53.1</v>
      </c>
      <c r="C531" s="56" t="n">
        <v>392.450012</v>
      </c>
      <c r="D531" s="62">
        <f>(Table7[[#This Row],[S&amp;P]]-C519)/C519</f>
        <v/>
      </c>
      <c r="F531" s="3" t="n"/>
      <c r="K531" s="2" t="n"/>
    </row>
    <row r="532">
      <c r="A532" s="54" t="n">
        <v>33543</v>
      </c>
      <c r="B532" s="55" t="n">
        <v>49.5</v>
      </c>
      <c r="C532" s="56" t="n">
        <v>375.220001</v>
      </c>
      <c r="D532" s="62">
        <f>(Table7[[#This Row],[S&amp;P]]-C520)/C520</f>
        <v/>
      </c>
      <c r="F532" s="3" t="n"/>
      <c r="K532" s="2" t="n"/>
    </row>
    <row r="533">
      <c r="A533" s="54" t="n">
        <v>33573</v>
      </c>
      <c r="B533" s="55" t="n">
        <v>46.8</v>
      </c>
      <c r="C533" s="56" t="n">
        <v>417.089996</v>
      </c>
      <c r="D533" s="62">
        <f>(Table7[[#This Row],[S&amp;P]]-C521)/C521</f>
        <v/>
      </c>
      <c r="F533" s="3" t="n"/>
      <c r="K533" s="2" t="n"/>
    </row>
    <row r="534">
      <c r="A534" s="54" t="n">
        <v>33604</v>
      </c>
      <c r="B534" s="55" t="n">
        <v>47.3</v>
      </c>
      <c r="C534" s="56" t="n">
        <v>408.779999</v>
      </c>
      <c r="D534" s="62">
        <f>(Table7[[#This Row],[S&amp;P]]-C522)/C522</f>
        <v/>
      </c>
      <c r="F534" s="3" t="n"/>
      <c r="K534" s="2" t="n"/>
    </row>
    <row r="535">
      <c r="A535" s="54" t="n">
        <v>33635</v>
      </c>
      <c r="B535" s="55" t="n">
        <v>52.7</v>
      </c>
      <c r="C535" s="56" t="n">
        <v>412.700012</v>
      </c>
      <c r="D535" s="62">
        <f>(Table7[[#This Row],[S&amp;P]]-C523)/C523</f>
        <v/>
      </c>
      <c r="F535" s="3" t="n"/>
      <c r="K535" s="2" t="n"/>
    </row>
    <row r="536">
      <c r="A536" s="54" t="n">
        <v>33664</v>
      </c>
      <c r="B536" s="55" t="n">
        <v>54.6</v>
      </c>
      <c r="C536" s="56" t="n">
        <v>403.690002</v>
      </c>
      <c r="D536" s="62">
        <f>(Table7[[#This Row],[S&amp;P]]-C524)/C524</f>
        <v/>
      </c>
      <c r="F536" s="3" t="n"/>
      <c r="K536" s="2" t="n"/>
    </row>
    <row r="537">
      <c r="A537" s="54" t="n">
        <v>33695</v>
      </c>
      <c r="B537" s="55" t="n">
        <v>52.6</v>
      </c>
      <c r="C537" s="56" t="n">
        <v>414.950012</v>
      </c>
      <c r="D537" s="62">
        <f>(Table7[[#This Row],[S&amp;P]]-C525)/C525</f>
        <v/>
      </c>
      <c r="F537" s="3" t="n"/>
      <c r="K537" s="2" t="n"/>
    </row>
    <row r="538">
      <c r="A538" s="54" t="n">
        <v>33725</v>
      </c>
      <c r="B538" s="55" t="n">
        <v>55.7</v>
      </c>
      <c r="C538" s="56" t="n">
        <v>415.350006</v>
      </c>
      <c r="D538" s="62">
        <f>(Table7[[#This Row],[S&amp;P]]-C526)/C526</f>
        <v/>
      </c>
      <c r="F538" s="3" t="n"/>
      <c r="K538" s="2" t="n"/>
    </row>
    <row r="539">
      <c r="A539" s="54" t="n">
        <v>33756</v>
      </c>
      <c r="B539" s="55" t="n">
        <v>53.6</v>
      </c>
      <c r="C539" s="56" t="n">
        <v>408.140015</v>
      </c>
      <c r="D539" s="62">
        <f>(Table7[[#This Row],[S&amp;P]]-C527)/C527</f>
        <v/>
      </c>
      <c r="F539" s="3" t="n"/>
      <c r="K539" s="2" t="n"/>
    </row>
    <row r="540">
      <c r="A540" s="54" t="n">
        <v>33786</v>
      </c>
      <c r="B540" s="55" t="n">
        <v>53.9</v>
      </c>
      <c r="C540" s="56" t="n">
        <v>424.209991</v>
      </c>
      <c r="D540" s="62">
        <f>(Table7[[#This Row],[S&amp;P]]-C528)/C528</f>
        <v/>
      </c>
      <c r="F540" s="3" t="n"/>
      <c r="K540" s="2" t="n"/>
    </row>
    <row r="541">
      <c r="A541" s="54" t="n">
        <v>33817</v>
      </c>
      <c r="B541" s="55" t="n">
        <v>53.4</v>
      </c>
      <c r="C541" s="56" t="n">
        <v>414.029999</v>
      </c>
      <c r="D541" s="62">
        <f>(Table7[[#This Row],[S&amp;P]]-C529)/C529</f>
        <v/>
      </c>
      <c r="F541" s="3" t="n"/>
      <c r="K541" s="2" t="n"/>
    </row>
    <row r="542">
      <c r="A542" s="54" t="n">
        <v>33848</v>
      </c>
      <c r="B542" s="55" t="n">
        <v>49.7</v>
      </c>
      <c r="C542" s="56" t="n">
        <v>417.799988</v>
      </c>
      <c r="D542" s="62">
        <f>(Table7[[#This Row],[S&amp;P]]-C530)/C530</f>
        <v/>
      </c>
      <c r="F542" s="3" t="n"/>
      <c r="K542" s="2" t="n"/>
    </row>
    <row r="543">
      <c r="A543" s="54" t="n">
        <v>33878</v>
      </c>
      <c r="B543" s="55" t="n">
        <v>50.3</v>
      </c>
      <c r="C543" s="56" t="n">
        <v>418.679993</v>
      </c>
      <c r="D543" s="62">
        <f>(Table7[[#This Row],[S&amp;P]]-C531)/C531</f>
        <v/>
      </c>
      <c r="F543" s="3" t="n"/>
      <c r="K543" s="2" t="n"/>
    </row>
    <row r="544">
      <c r="A544" s="54" t="n">
        <v>33909</v>
      </c>
      <c r="B544" s="55" t="n">
        <v>53.6</v>
      </c>
      <c r="C544" s="56" t="n">
        <v>431.350006</v>
      </c>
      <c r="D544" s="62">
        <f>(Table7[[#This Row],[S&amp;P]]-C532)/C532</f>
        <v/>
      </c>
      <c r="F544" s="3" t="n"/>
      <c r="K544" s="2" t="n"/>
    </row>
    <row r="545">
      <c r="A545" s="54" t="n">
        <v>33939</v>
      </c>
      <c r="B545" s="55" t="n">
        <v>54.2</v>
      </c>
      <c r="C545" s="56" t="n">
        <v>435.709991</v>
      </c>
      <c r="D545" s="62">
        <f>(Table7[[#This Row],[S&amp;P]]-C533)/C533</f>
        <v/>
      </c>
      <c r="F545" s="3" t="n"/>
      <c r="K545" s="2" t="n"/>
    </row>
    <row r="546">
      <c r="A546" s="54" t="n">
        <v>33970</v>
      </c>
      <c r="B546" s="55" t="n">
        <v>55.8</v>
      </c>
      <c r="C546" s="56" t="n">
        <v>438.779999</v>
      </c>
      <c r="D546" s="62">
        <f>(Table7[[#This Row],[S&amp;P]]-C534)/C534</f>
        <v/>
      </c>
      <c r="F546" s="3" t="n"/>
      <c r="K546" s="2" t="n"/>
    </row>
    <row r="547">
      <c r="A547" s="54" t="n">
        <v>34001</v>
      </c>
      <c r="B547" s="55" t="n">
        <v>55.2</v>
      </c>
      <c r="C547" s="56" t="n">
        <v>443.380005</v>
      </c>
      <c r="D547" s="62">
        <f>(Table7[[#This Row],[S&amp;P]]-C535)/C535</f>
        <v/>
      </c>
      <c r="F547" s="3" t="n"/>
      <c r="K547" s="2" t="n"/>
    </row>
    <row r="548">
      <c r="A548" s="54" t="n">
        <v>34029</v>
      </c>
      <c r="B548" s="55" t="n">
        <v>53.5</v>
      </c>
      <c r="C548" s="56" t="n">
        <v>451.670013</v>
      </c>
      <c r="D548" s="62">
        <f>(Table7[[#This Row],[S&amp;P]]-C536)/C536</f>
        <v/>
      </c>
      <c r="F548" s="3" t="n"/>
      <c r="K548" s="2" t="n"/>
    </row>
    <row r="549">
      <c r="A549" s="54" t="n">
        <v>34060</v>
      </c>
      <c r="B549" s="55" t="n">
        <v>50.2</v>
      </c>
      <c r="C549" s="56" t="n">
        <v>440.190002</v>
      </c>
      <c r="D549" s="62">
        <f>(Table7[[#This Row],[S&amp;P]]-C537)/C537</f>
        <v/>
      </c>
      <c r="F549" s="3" t="n"/>
      <c r="K549" s="2" t="n"/>
    </row>
    <row r="550">
      <c r="A550" s="54" t="n">
        <v>34090</v>
      </c>
      <c r="B550" s="55" t="n">
        <v>51.2</v>
      </c>
      <c r="C550" s="56" t="n">
        <v>450.190002</v>
      </c>
      <c r="D550" s="62">
        <f>(Table7[[#This Row],[S&amp;P]]-C538)/C538</f>
        <v/>
      </c>
      <c r="F550" s="3" t="n"/>
      <c r="K550" s="2" t="n"/>
    </row>
    <row r="551">
      <c r="A551" s="54" t="n">
        <v>34121</v>
      </c>
      <c r="B551" s="55" t="n">
        <v>49.6</v>
      </c>
      <c r="C551" s="56" t="n">
        <v>450.529999</v>
      </c>
      <c r="D551" s="62">
        <f>(Table7[[#This Row],[S&amp;P]]-C539)/C539</f>
        <v/>
      </c>
      <c r="F551" s="3" t="n"/>
      <c r="K551" s="2" t="n"/>
    </row>
    <row r="552">
      <c r="A552" s="54" t="n">
        <v>34151</v>
      </c>
      <c r="B552" s="55" t="n">
        <v>50.2</v>
      </c>
      <c r="C552" s="56" t="n">
        <v>448.130005</v>
      </c>
      <c r="D552" s="62">
        <f>(Table7[[#This Row],[S&amp;P]]-C540)/C540</f>
        <v/>
      </c>
      <c r="F552" s="3" t="n"/>
      <c r="K552" s="2" t="n"/>
    </row>
    <row r="553">
      <c r="A553" s="54" t="n">
        <v>34182</v>
      </c>
      <c r="B553" s="55" t="n">
        <v>50.7</v>
      </c>
      <c r="C553" s="56" t="n">
        <v>463.559998</v>
      </c>
      <c r="D553" s="62">
        <f>(Table7[[#This Row],[S&amp;P]]-C541)/C541</f>
        <v/>
      </c>
      <c r="F553" s="3" t="n"/>
      <c r="K553" s="2" t="n"/>
    </row>
    <row r="554">
      <c r="A554" s="54" t="n">
        <v>34213</v>
      </c>
      <c r="B554" s="55" t="n">
        <v>50.8</v>
      </c>
      <c r="C554" s="56" t="n">
        <v>458.929993</v>
      </c>
      <c r="D554" s="62">
        <f>(Table7[[#This Row],[S&amp;P]]-C542)/C542</f>
        <v/>
      </c>
      <c r="F554" s="3" t="n"/>
      <c r="K554" s="2" t="n"/>
    </row>
    <row r="555">
      <c r="A555" s="54" t="n">
        <v>34243</v>
      </c>
      <c r="B555" s="55" t="n">
        <v>53.4</v>
      </c>
      <c r="C555" s="56" t="n">
        <v>467.829987</v>
      </c>
      <c r="D555" s="62">
        <f>(Table7[[#This Row],[S&amp;P]]-C543)/C543</f>
        <v/>
      </c>
      <c r="F555" s="3" t="n"/>
      <c r="K555" s="2" t="n"/>
    </row>
    <row r="556">
      <c r="A556" s="54" t="n">
        <v>34274</v>
      </c>
      <c r="B556" s="55" t="n">
        <v>53.8</v>
      </c>
      <c r="C556" s="56" t="n">
        <v>461.790009</v>
      </c>
      <c r="D556" s="62">
        <f>(Table7[[#This Row],[S&amp;P]]-C544)/C544</f>
        <v/>
      </c>
      <c r="F556" s="3" t="n"/>
      <c r="K556" s="2" t="n"/>
    </row>
    <row r="557">
      <c r="A557" s="54" t="n">
        <v>34304</v>
      </c>
      <c r="B557" s="55" t="n">
        <v>55.6</v>
      </c>
      <c r="C557" s="56" t="n">
        <v>466.450012</v>
      </c>
      <c r="D557" s="62">
        <f>(Table7[[#This Row],[S&amp;P]]-C545)/C545</f>
        <v/>
      </c>
      <c r="F557" s="3" t="n"/>
      <c r="K557" s="2" t="n"/>
    </row>
    <row r="558">
      <c r="A558" s="54" t="n">
        <v>34335</v>
      </c>
      <c r="B558" s="55" t="n">
        <v>56</v>
      </c>
      <c r="C558" s="56" t="n">
        <v>481.609985</v>
      </c>
      <c r="D558" s="62">
        <f>(Table7[[#This Row],[S&amp;P]]-C546)/C546</f>
        <v/>
      </c>
      <c r="F558" s="3" t="n"/>
      <c r="K558" s="2" t="n"/>
    </row>
    <row r="559">
      <c r="A559" s="54" t="n">
        <v>34366</v>
      </c>
      <c r="B559" s="55" t="n">
        <v>56.5</v>
      </c>
      <c r="C559" s="56" t="n">
        <v>467.140015</v>
      </c>
      <c r="D559" s="62">
        <f>(Table7[[#This Row],[S&amp;P]]-C547)/C547</f>
        <v/>
      </c>
      <c r="F559" s="3" t="n"/>
      <c r="K559" s="2" t="n"/>
    </row>
    <row r="560">
      <c r="A560" s="54" t="n">
        <v>34394</v>
      </c>
      <c r="B560" s="55" t="n">
        <v>56.9</v>
      </c>
      <c r="C560" s="56" t="n">
        <v>445.769989</v>
      </c>
      <c r="D560" s="62">
        <f>(Table7[[#This Row],[S&amp;P]]-C548)/C548</f>
        <v/>
      </c>
      <c r="F560" s="3" t="n"/>
      <c r="K560" s="2" t="n"/>
    </row>
    <row r="561">
      <c r="A561" s="54" t="n">
        <v>34425</v>
      </c>
      <c r="B561" s="55" t="n">
        <v>57.4</v>
      </c>
      <c r="C561" s="56" t="n">
        <v>450.910004</v>
      </c>
      <c r="D561" s="62">
        <f>(Table7[[#This Row],[S&amp;P]]-C549)/C549</f>
        <v/>
      </c>
      <c r="F561" s="3" t="n"/>
      <c r="K561" s="2" t="n"/>
    </row>
    <row r="562">
      <c r="A562" s="54" t="n">
        <v>34455</v>
      </c>
      <c r="B562" s="55" t="n">
        <v>58.2</v>
      </c>
      <c r="C562" s="56" t="n">
        <v>456.5</v>
      </c>
      <c r="D562" s="62">
        <f>(Table7[[#This Row],[S&amp;P]]-C550)/C550</f>
        <v/>
      </c>
      <c r="F562" s="3" t="n"/>
      <c r="K562" s="2" t="n"/>
    </row>
    <row r="563">
      <c r="A563" s="54" t="n">
        <v>34486</v>
      </c>
      <c r="B563" s="55" t="n">
        <v>58.8</v>
      </c>
      <c r="C563" s="56" t="n">
        <v>444.269989</v>
      </c>
      <c r="D563" s="62">
        <f>(Table7[[#This Row],[S&amp;P]]-C551)/C551</f>
        <v/>
      </c>
      <c r="F563" s="3" t="n"/>
      <c r="K563" s="2" t="n"/>
    </row>
    <row r="564">
      <c r="A564" s="54" t="n">
        <v>34516</v>
      </c>
      <c r="B564" s="55" t="n">
        <v>58.5</v>
      </c>
      <c r="C564" s="56" t="n">
        <v>458.26001</v>
      </c>
      <c r="D564" s="62">
        <f>(Table7[[#This Row],[S&amp;P]]-C552)/C552</f>
        <v/>
      </c>
      <c r="F564" s="3" t="n"/>
      <c r="K564" s="2" t="n"/>
    </row>
    <row r="565">
      <c r="A565" s="54" t="n">
        <v>34547</v>
      </c>
      <c r="B565" s="55" t="n">
        <v>58</v>
      </c>
      <c r="C565" s="56" t="n">
        <v>475.48999</v>
      </c>
      <c r="D565" s="62">
        <f>(Table7[[#This Row],[S&amp;P]]-C553)/C553</f>
        <v/>
      </c>
      <c r="F565" s="3" t="n"/>
      <c r="K565" s="2" t="n"/>
    </row>
    <row r="566">
      <c r="A566" s="54" t="n">
        <v>34578</v>
      </c>
      <c r="B566" s="55" t="n">
        <v>59</v>
      </c>
      <c r="C566" s="56" t="n">
        <v>462.709991</v>
      </c>
      <c r="D566" s="62">
        <f>(Table7[[#This Row],[S&amp;P]]-C554)/C554</f>
        <v/>
      </c>
      <c r="F566" s="3" t="n"/>
      <c r="K566" s="2" t="n"/>
    </row>
    <row r="567">
      <c r="A567" s="54" t="n">
        <v>34608</v>
      </c>
      <c r="B567" s="55" t="n">
        <v>59.4</v>
      </c>
      <c r="C567" s="56" t="n">
        <v>472.350006</v>
      </c>
      <c r="D567" s="62">
        <f>(Table7[[#This Row],[S&amp;P]]-C555)/C555</f>
        <v/>
      </c>
      <c r="F567" s="3" t="n"/>
      <c r="K567" s="2" t="n"/>
    </row>
    <row r="568">
      <c r="A568" s="54" t="n">
        <v>34639</v>
      </c>
      <c r="B568" s="55" t="n">
        <v>59.2</v>
      </c>
      <c r="C568" s="56" t="n">
        <v>453.690002</v>
      </c>
      <c r="D568" s="62">
        <f>(Table7[[#This Row],[S&amp;P]]-C556)/C556</f>
        <v/>
      </c>
      <c r="F568" s="3" t="n"/>
      <c r="K568" s="2" t="n"/>
    </row>
    <row r="569">
      <c r="A569" s="54" t="n">
        <v>34669</v>
      </c>
      <c r="B569" s="55" t="n">
        <v>56.1</v>
      </c>
      <c r="C569" s="56" t="n">
        <v>459.269989</v>
      </c>
      <c r="D569" s="62">
        <f>(Table7[[#This Row],[S&amp;P]]-C557)/C557</f>
        <v/>
      </c>
      <c r="F569" s="3" t="n"/>
      <c r="K569" s="2" t="n"/>
    </row>
    <row r="570">
      <c r="A570" s="54" t="n">
        <v>34700</v>
      </c>
      <c r="B570" s="55" t="n">
        <v>57.4</v>
      </c>
      <c r="C570" s="56" t="n">
        <v>470.420013</v>
      </c>
      <c r="D570" s="62">
        <f>(Table7[[#This Row],[S&amp;P]]-C558)/C558</f>
        <v/>
      </c>
      <c r="F570" s="3" t="n"/>
      <c r="K570" s="2" t="n"/>
    </row>
    <row r="571">
      <c r="A571" s="54" t="n">
        <v>34731</v>
      </c>
      <c r="B571" s="55" t="n">
        <v>55.1</v>
      </c>
      <c r="C571" s="56" t="n">
        <v>487.390015</v>
      </c>
      <c r="D571" s="62">
        <f>(Table7[[#This Row],[S&amp;P]]-C559)/C559</f>
        <v/>
      </c>
      <c r="F571" s="3" t="n"/>
      <c r="K571" s="2" t="n"/>
    </row>
    <row r="572">
      <c r="A572" s="54" t="n">
        <v>34759</v>
      </c>
      <c r="B572" s="55" t="n">
        <v>52.1</v>
      </c>
      <c r="C572" s="56" t="n">
        <v>500.709991</v>
      </c>
      <c r="D572" s="62">
        <f>(Table7[[#This Row],[S&amp;P]]-C560)/C560</f>
        <v/>
      </c>
      <c r="F572" s="3" t="n"/>
      <c r="K572" s="2" t="n"/>
    </row>
    <row r="573">
      <c r="A573" s="54" t="n">
        <v>34790</v>
      </c>
      <c r="B573" s="55" t="n">
        <v>51.5</v>
      </c>
      <c r="C573" s="56" t="n">
        <v>514.710022</v>
      </c>
      <c r="D573" s="62">
        <f>(Table7[[#This Row],[S&amp;P]]-C561)/C561</f>
        <v/>
      </c>
      <c r="F573" s="3" t="n"/>
      <c r="K573" s="2" t="n"/>
    </row>
    <row r="574">
      <c r="A574" s="54" t="n">
        <v>34820</v>
      </c>
      <c r="B574" s="55" t="n">
        <v>46.7</v>
      </c>
      <c r="C574" s="56" t="n">
        <v>533.400024</v>
      </c>
      <c r="D574" s="62">
        <f>(Table7[[#This Row],[S&amp;P]]-C562)/C562</f>
        <v/>
      </c>
      <c r="F574" s="3" t="n"/>
      <c r="K574" s="2" t="n"/>
    </row>
    <row r="575">
      <c r="A575" s="54" t="n">
        <v>34851</v>
      </c>
      <c r="B575" s="55" t="n">
        <v>45.9</v>
      </c>
      <c r="C575" s="56" t="n">
        <v>544.75</v>
      </c>
      <c r="D575" s="62">
        <f>(Table7[[#This Row],[S&amp;P]]-C563)/C563</f>
        <v/>
      </c>
      <c r="F575" s="3" t="n"/>
      <c r="K575" s="2" t="n"/>
    </row>
    <row r="576">
      <c r="A576" s="54" t="n">
        <v>34881</v>
      </c>
      <c r="B576" s="55" t="n">
        <v>50.7</v>
      </c>
      <c r="C576" s="56" t="n">
        <v>562.059998</v>
      </c>
      <c r="D576" s="62">
        <f>(Table7[[#This Row],[S&amp;P]]-C564)/C564</f>
        <v/>
      </c>
      <c r="F576" s="3" t="n"/>
      <c r="K576" s="2" t="n"/>
    </row>
    <row r="577">
      <c r="A577" s="54" t="n">
        <v>34912</v>
      </c>
      <c r="B577" s="55" t="n">
        <v>47.1</v>
      </c>
      <c r="C577" s="56" t="n">
        <v>561.880005</v>
      </c>
      <c r="D577" s="62">
        <f>(Table7[[#This Row],[S&amp;P]]-C565)/C565</f>
        <v/>
      </c>
      <c r="F577" s="3" t="n"/>
      <c r="K577" s="2" t="n"/>
    </row>
    <row r="578">
      <c r="A578" s="54" t="n">
        <v>34943</v>
      </c>
      <c r="B578" s="55" t="n">
        <v>48.1</v>
      </c>
      <c r="C578" s="56" t="n">
        <v>584.409973</v>
      </c>
      <c r="D578" s="62">
        <f>(Table7[[#This Row],[S&amp;P]]-C566)/C566</f>
        <v/>
      </c>
      <c r="F578" s="3" t="n"/>
      <c r="K578" s="2" t="n"/>
    </row>
    <row r="579">
      <c r="A579" s="54" t="n">
        <v>34973</v>
      </c>
      <c r="B579" s="55" t="n">
        <v>46.7</v>
      </c>
      <c r="C579" s="56" t="n">
        <v>581.5</v>
      </c>
      <c r="D579" s="62">
        <f>(Table7[[#This Row],[S&amp;P]]-C567)/C567</f>
        <v/>
      </c>
      <c r="F579" s="3" t="n"/>
      <c r="K579" s="2" t="n"/>
    </row>
    <row r="580">
      <c r="A580" s="54" t="n">
        <v>35004</v>
      </c>
      <c r="B580" s="55" t="n">
        <v>45.9</v>
      </c>
      <c r="C580" s="56" t="n">
        <v>605.369995</v>
      </c>
      <c r="D580" s="62">
        <f>(Table7[[#This Row],[S&amp;P]]-C568)/C568</f>
        <v/>
      </c>
      <c r="F580" s="3" t="n"/>
      <c r="K580" s="2" t="n"/>
    </row>
    <row r="581">
      <c r="A581" s="54" t="n">
        <v>35034</v>
      </c>
      <c r="B581" s="55" t="n">
        <v>46.2</v>
      </c>
      <c r="C581" s="56" t="n">
        <v>615.929993</v>
      </c>
      <c r="D581" s="62">
        <f>(Table7[[#This Row],[S&amp;P]]-C569)/C569</f>
        <v/>
      </c>
      <c r="F581" s="3" t="n"/>
      <c r="K581" s="2" t="n"/>
    </row>
    <row r="582">
      <c r="A582" s="54" t="n">
        <v>35065</v>
      </c>
      <c r="B582" s="55" t="n">
        <v>45.5</v>
      </c>
      <c r="C582" s="56" t="n">
        <v>636.02002</v>
      </c>
      <c r="D582" s="62">
        <f>(Table7[[#This Row],[S&amp;P]]-C570)/C570</f>
        <v/>
      </c>
      <c r="F582" s="3" t="n"/>
      <c r="K582" s="2" t="n"/>
    </row>
    <row r="583">
      <c r="A583" s="54" t="n">
        <v>35096</v>
      </c>
      <c r="B583" s="55" t="n">
        <v>45.9</v>
      </c>
      <c r="C583" s="56" t="n">
        <v>640.429993</v>
      </c>
      <c r="D583" s="62">
        <f>(Table7[[#This Row],[S&amp;P]]-C571)/C571</f>
        <v/>
      </c>
      <c r="F583" s="3" t="n"/>
      <c r="K583" s="2" t="n"/>
    </row>
    <row r="584">
      <c r="A584" s="54" t="n">
        <v>35125</v>
      </c>
      <c r="B584" s="55" t="n">
        <v>46.9</v>
      </c>
      <c r="C584" s="56" t="n">
        <v>645.5</v>
      </c>
      <c r="D584" s="62">
        <f>(Table7[[#This Row],[S&amp;P]]-C572)/C572</f>
        <v/>
      </c>
      <c r="F584" s="3" t="n"/>
      <c r="K584" s="2" t="n"/>
    </row>
    <row r="585">
      <c r="A585" s="54" t="n">
        <v>35156</v>
      </c>
      <c r="B585" s="55" t="n">
        <v>49.3</v>
      </c>
      <c r="C585" s="56" t="n">
        <v>654.169983</v>
      </c>
      <c r="D585" s="62">
        <f>(Table7[[#This Row],[S&amp;P]]-C573)/C573</f>
        <v/>
      </c>
      <c r="F585" s="3" t="n"/>
      <c r="K585" s="2" t="n"/>
    </row>
    <row r="586">
      <c r="A586" s="54" t="n">
        <v>35186</v>
      </c>
      <c r="B586" s="55" t="n">
        <v>49.1</v>
      </c>
      <c r="C586" s="56" t="n">
        <v>669.119995</v>
      </c>
      <c r="D586" s="62">
        <f>(Table7[[#This Row],[S&amp;P]]-C574)/C574</f>
        <v/>
      </c>
      <c r="F586" s="3" t="n"/>
      <c r="K586" s="2" t="n"/>
    </row>
    <row r="587">
      <c r="A587" s="54" t="n">
        <v>35217</v>
      </c>
      <c r="B587" s="55" t="n">
        <v>53.6</v>
      </c>
      <c r="C587" s="56" t="n">
        <v>670.630005</v>
      </c>
      <c r="D587" s="62">
        <f>(Table7[[#This Row],[S&amp;P]]-C575)/C575</f>
        <v/>
      </c>
      <c r="F587" s="3" t="n"/>
      <c r="K587" s="2" t="n"/>
    </row>
    <row r="588">
      <c r="A588" s="54" t="n">
        <v>35247</v>
      </c>
      <c r="B588" s="55" t="n">
        <v>49.7</v>
      </c>
      <c r="C588" s="56" t="n">
        <v>639.950012</v>
      </c>
      <c r="D588" s="62">
        <f>(Table7[[#This Row],[S&amp;P]]-C576)/C576</f>
        <v/>
      </c>
      <c r="F588" s="3" t="n"/>
      <c r="K588" s="2" t="n"/>
    </row>
    <row r="589">
      <c r="A589" s="54" t="n">
        <v>35278</v>
      </c>
      <c r="B589" s="55" t="n">
        <v>51.6</v>
      </c>
      <c r="C589" s="56" t="n">
        <v>651.98999</v>
      </c>
      <c r="D589" s="62">
        <f>(Table7[[#This Row],[S&amp;P]]-C577)/C577</f>
        <v/>
      </c>
      <c r="F589" s="3" t="n"/>
      <c r="K589" s="2" t="n"/>
    </row>
    <row r="590">
      <c r="A590" s="54" t="n">
        <v>35309</v>
      </c>
      <c r="B590" s="55" t="n">
        <v>51.1</v>
      </c>
      <c r="C590" s="56" t="n">
        <v>687.330017</v>
      </c>
      <c r="D590" s="62">
        <f>(Table7[[#This Row],[S&amp;P]]-C578)/C578</f>
        <v/>
      </c>
      <c r="F590" s="3" t="n"/>
      <c r="K590" s="2" t="n"/>
    </row>
    <row r="591">
      <c r="A591" s="54" t="n">
        <v>35339</v>
      </c>
      <c r="B591" s="55" t="n">
        <v>50.5</v>
      </c>
      <c r="C591" s="56" t="n">
        <v>705.27002</v>
      </c>
      <c r="D591" s="62">
        <f>(Table7[[#This Row],[S&amp;P]]-C579)/C579</f>
        <v/>
      </c>
      <c r="F591" s="3" t="n"/>
      <c r="K591" s="2" t="n"/>
    </row>
    <row r="592">
      <c r="A592" s="54" t="n">
        <v>35370</v>
      </c>
      <c r="B592" s="55" t="n">
        <v>53</v>
      </c>
      <c r="C592" s="56" t="n">
        <v>757.02002</v>
      </c>
      <c r="D592" s="62">
        <f>(Table7[[#This Row],[S&amp;P]]-C580)/C580</f>
        <v/>
      </c>
      <c r="F592" s="3" t="n"/>
      <c r="K592" s="2" t="n"/>
    </row>
    <row r="593">
      <c r="A593" s="54" t="n">
        <v>35400</v>
      </c>
      <c r="B593" s="55" t="n">
        <v>55.2</v>
      </c>
      <c r="C593" s="56" t="n">
        <v>740.73999</v>
      </c>
      <c r="D593" s="62">
        <f>(Table7[[#This Row],[S&amp;P]]-C581)/C581</f>
        <v/>
      </c>
      <c r="F593" s="3" t="n"/>
      <c r="K593" s="2" t="n"/>
    </row>
    <row r="594">
      <c r="A594" s="54" t="n">
        <v>35431</v>
      </c>
      <c r="B594" s="55" t="n">
        <v>53.8</v>
      </c>
      <c r="C594" s="56" t="n">
        <v>786.159973</v>
      </c>
      <c r="D594" s="62">
        <f>(Table7[[#This Row],[S&amp;P]]-C582)/C582</f>
        <v/>
      </c>
      <c r="F594" s="3" t="n"/>
      <c r="K594" s="2" t="n"/>
    </row>
    <row r="595">
      <c r="A595" s="54" t="n">
        <v>35462</v>
      </c>
      <c r="B595" s="55" t="n">
        <v>53.1</v>
      </c>
      <c r="C595" s="56" t="n">
        <v>790.820007</v>
      </c>
      <c r="D595" s="62">
        <f>(Table7[[#This Row],[S&amp;P]]-C583)/C583</f>
        <v/>
      </c>
      <c r="F595" s="3" t="n"/>
      <c r="K595" s="2" t="n"/>
    </row>
    <row r="596">
      <c r="A596" s="54" t="n">
        <v>35490</v>
      </c>
      <c r="B596" s="55" t="n">
        <v>53.8</v>
      </c>
      <c r="C596" s="56" t="n">
        <v>757.119995</v>
      </c>
      <c r="D596" s="62">
        <f>(Table7[[#This Row],[S&amp;P]]-C584)/C584</f>
        <v/>
      </c>
      <c r="F596" s="3" t="n"/>
      <c r="K596" s="2" t="n"/>
    </row>
    <row r="597">
      <c r="A597" s="54" t="n">
        <v>35521</v>
      </c>
      <c r="B597" s="55" t="n">
        <v>53.7</v>
      </c>
      <c r="C597" s="56" t="n">
        <v>801.340027</v>
      </c>
      <c r="D597" s="62">
        <f>(Table7[[#This Row],[S&amp;P]]-C585)/C585</f>
        <v/>
      </c>
      <c r="F597" s="3" t="n"/>
      <c r="K597" s="2" t="n"/>
    </row>
    <row r="598">
      <c r="A598" s="54" t="n">
        <v>35551</v>
      </c>
      <c r="B598" s="55" t="n">
        <v>56.1</v>
      </c>
      <c r="C598" s="56" t="n">
        <v>848.280029</v>
      </c>
      <c r="D598" s="62">
        <f>(Table7[[#This Row],[S&amp;P]]-C586)/C586</f>
        <v/>
      </c>
      <c r="F598" s="3" t="n"/>
      <c r="K598" s="2" t="n"/>
    </row>
    <row r="599">
      <c r="A599" s="54" t="n">
        <v>35582</v>
      </c>
      <c r="B599" s="55" t="n">
        <v>54.9</v>
      </c>
      <c r="C599" s="56" t="n">
        <v>885.1400149999999</v>
      </c>
      <c r="D599" s="62">
        <f>(Table7[[#This Row],[S&amp;P]]-C587)/C587</f>
        <v/>
      </c>
      <c r="F599" s="3" t="n"/>
      <c r="K599" s="2" t="n"/>
    </row>
    <row r="600">
      <c r="A600" s="54" t="n">
        <v>35612</v>
      </c>
      <c r="B600" s="55" t="n">
        <v>57.7</v>
      </c>
      <c r="C600" s="56" t="n">
        <v>954.309998</v>
      </c>
      <c r="D600" s="62">
        <f>(Table7[[#This Row],[S&amp;P]]-C588)/C588</f>
        <v/>
      </c>
      <c r="F600" s="3" t="n"/>
      <c r="K600" s="2" t="n"/>
    </row>
    <row r="601">
      <c r="A601" s="54" t="n">
        <v>35643</v>
      </c>
      <c r="B601" s="55" t="n">
        <v>56.3</v>
      </c>
      <c r="C601" s="56" t="n">
        <v>899.469971</v>
      </c>
      <c r="D601" s="62">
        <f>(Table7[[#This Row],[S&amp;P]]-C589)/C589</f>
        <v/>
      </c>
      <c r="F601" s="3" t="n"/>
      <c r="K601" s="2" t="n"/>
    </row>
    <row r="602">
      <c r="A602" s="54" t="n">
        <v>35674</v>
      </c>
      <c r="B602" s="55" t="n">
        <v>53.9</v>
      </c>
      <c r="C602" s="56" t="n">
        <v>947.280029</v>
      </c>
      <c r="D602" s="62">
        <f>(Table7[[#This Row],[S&amp;P]]-C590)/C590</f>
        <v/>
      </c>
      <c r="F602" s="3" t="n"/>
      <c r="K602" s="2" t="n"/>
    </row>
    <row r="603">
      <c r="A603" s="54" t="n">
        <v>35704</v>
      </c>
      <c r="B603" s="55" t="n">
        <v>56.4</v>
      </c>
      <c r="C603" s="56" t="n">
        <v>914.619995</v>
      </c>
      <c r="D603" s="62">
        <f>(Table7[[#This Row],[S&amp;P]]-C591)/C591</f>
        <v/>
      </c>
      <c r="F603" s="3" t="n"/>
      <c r="K603" s="2" t="n"/>
    </row>
    <row r="604">
      <c r="A604" s="54" t="n">
        <v>35735</v>
      </c>
      <c r="B604" s="55" t="n">
        <v>55.7</v>
      </c>
      <c r="C604" s="56" t="n">
        <v>955.400024</v>
      </c>
      <c r="D604" s="62">
        <f>(Table7[[#This Row],[S&amp;P]]-C592)/C592</f>
        <v/>
      </c>
      <c r="F604" s="3" t="n"/>
      <c r="K604" s="2" t="n"/>
    </row>
    <row r="605">
      <c r="A605" s="54" t="n">
        <v>35765</v>
      </c>
      <c r="B605" s="55" t="n">
        <v>54.5</v>
      </c>
      <c r="C605" s="56" t="n">
        <v>970.429993</v>
      </c>
      <c r="D605" s="62">
        <f>(Table7[[#This Row],[S&amp;P]]-C593)/C593</f>
        <v/>
      </c>
      <c r="F605" s="3" t="n"/>
      <c r="K605" s="2" t="n"/>
    </row>
    <row r="606">
      <c r="A606" s="54" t="n">
        <v>35796</v>
      </c>
      <c r="B606" s="55" t="n">
        <v>53.8</v>
      </c>
      <c r="C606" s="56" t="n">
        <v>980.280029</v>
      </c>
      <c r="D606" s="62">
        <f>(Table7[[#This Row],[S&amp;P]]-C594)/C594</f>
        <v/>
      </c>
      <c r="F606" s="3" t="n"/>
      <c r="K606" s="2" t="n"/>
    </row>
    <row r="607">
      <c r="A607" s="54" t="n">
        <v>35827</v>
      </c>
      <c r="B607" s="55" t="n">
        <v>52.9</v>
      </c>
      <c r="C607" s="56" t="n">
        <v>1049.339966</v>
      </c>
      <c r="D607" s="62">
        <f>(Table7[[#This Row],[S&amp;P]]-C595)/C595</f>
        <v/>
      </c>
      <c r="F607" s="3" t="n"/>
      <c r="K607" s="2" t="n"/>
    </row>
    <row r="608">
      <c r="A608" s="54" t="n">
        <v>35855</v>
      </c>
      <c r="B608" s="55" t="n">
        <v>52.9</v>
      </c>
      <c r="C608" s="56" t="n">
        <v>1101.75</v>
      </c>
      <c r="D608" s="62">
        <f>(Table7[[#This Row],[S&amp;P]]-C596)/C596</f>
        <v/>
      </c>
      <c r="F608" s="3" t="n"/>
      <c r="K608" s="2" t="n"/>
    </row>
    <row r="609">
      <c r="A609" s="54" t="n">
        <v>35886</v>
      </c>
      <c r="B609" s="55" t="n">
        <v>52.2</v>
      </c>
      <c r="C609" s="56" t="n">
        <v>1111.75</v>
      </c>
      <c r="D609" s="62">
        <f>(Table7[[#This Row],[S&amp;P]]-C597)/C597</f>
        <v/>
      </c>
      <c r="F609" s="3" t="n"/>
      <c r="K609" s="2" t="n"/>
    </row>
    <row r="610">
      <c r="A610" s="54" t="n">
        <v>35916</v>
      </c>
      <c r="B610" s="55" t="n">
        <v>50.9</v>
      </c>
      <c r="C610" s="56" t="n">
        <v>1090.819946</v>
      </c>
      <c r="D610" s="62">
        <f>(Table7[[#This Row],[S&amp;P]]-C598)/C598</f>
        <v/>
      </c>
      <c r="F610" s="3" t="n"/>
      <c r="K610" s="2" t="n"/>
    </row>
    <row r="611">
      <c r="A611" s="54" t="n">
        <v>35947</v>
      </c>
      <c r="B611" s="55" t="n">
        <v>48.9</v>
      </c>
      <c r="C611" s="56" t="n">
        <v>1133.839966</v>
      </c>
      <c r="D611" s="62">
        <f>(Table7[[#This Row],[S&amp;P]]-C599)/C599</f>
        <v/>
      </c>
      <c r="F611" s="3" t="n"/>
      <c r="K611" s="2" t="n"/>
    </row>
    <row r="612">
      <c r="A612" s="54" t="n">
        <v>35977</v>
      </c>
      <c r="B612" s="55" t="n">
        <v>49.2</v>
      </c>
      <c r="C612" s="56" t="n">
        <v>1120.670044</v>
      </c>
      <c r="D612" s="62">
        <f>(Table7[[#This Row],[S&amp;P]]-C600)/C600</f>
        <v/>
      </c>
      <c r="F612" s="3" t="n"/>
      <c r="K612" s="2" t="n"/>
    </row>
    <row r="613">
      <c r="A613" s="54" t="n">
        <v>36008</v>
      </c>
      <c r="B613" s="55" t="n">
        <v>49.3</v>
      </c>
      <c r="C613" s="56" t="n">
        <v>957.280029</v>
      </c>
      <c r="D613" s="62">
        <f>(Table7[[#This Row],[S&amp;P]]-C601)/C601</f>
        <v/>
      </c>
      <c r="F613" s="3" t="n"/>
      <c r="K613" s="2" t="n"/>
    </row>
    <row r="614">
      <c r="A614" s="54" t="n">
        <v>36039</v>
      </c>
      <c r="B614" s="55" t="n">
        <v>48.7</v>
      </c>
      <c r="C614" s="56" t="n">
        <v>1017.01001</v>
      </c>
      <c r="D614" s="62">
        <f>(Table7[[#This Row],[S&amp;P]]-C602)/C602</f>
        <v/>
      </c>
      <c r="F614" s="3" t="n"/>
      <c r="K614" s="2" t="n"/>
    </row>
    <row r="615">
      <c r="A615" s="54" t="n">
        <v>36069</v>
      </c>
      <c r="B615" s="55" t="n">
        <v>48.7</v>
      </c>
      <c r="C615" s="56" t="n">
        <v>1098.670044</v>
      </c>
      <c r="D615" s="62">
        <f>(Table7[[#This Row],[S&amp;P]]-C603)/C603</f>
        <v/>
      </c>
      <c r="F615" s="3" t="n"/>
      <c r="K615" s="2" t="n"/>
    </row>
    <row r="616">
      <c r="A616" s="54" t="n">
        <v>36100</v>
      </c>
      <c r="B616" s="55" t="n">
        <v>48.2</v>
      </c>
      <c r="C616" s="56" t="n">
        <v>1163.630005</v>
      </c>
      <c r="D616" s="62">
        <f>(Table7[[#This Row],[S&amp;P]]-C604)/C604</f>
        <v/>
      </c>
      <c r="F616" s="3" t="n"/>
      <c r="K616" s="2" t="n"/>
    </row>
    <row r="617">
      <c r="A617" s="54" t="n">
        <v>36130</v>
      </c>
      <c r="B617" s="55" t="n">
        <v>46.8</v>
      </c>
      <c r="C617" s="56" t="n">
        <v>1229.22998</v>
      </c>
      <c r="D617" s="62">
        <f>(Table7[[#This Row],[S&amp;P]]-C605)/C605</f>
        <v/>
      </c>
      <c r="F617" s="3" t="n"/>
      <c r="K617" s="2" t="n"/>
    </row>
    <row r="618">
      <c r="A618" s="54" t="n">
        <v>36161</v>
      </c>
      <c r="B618" s="55" t="n">
        <v>50.6</v>
      </c>
      <c r="C618" s="56" t="n">
        <v>1279.640015</v>
      </c>
      <c r="D618" s="62">
        <f>(Table7[[#This Row],[S&amp;P]]-C606)/C606</f>
        <v/>
      </c>
      <c r="F618" s="3" t="n"/>
      <c r="K618" s="2" t="n"/>
    </row>
    <row r="619">
      <c r="A619" s="54" t="n">
        <v>36192</v>
      </c>
      <c r="B619" s="55" t="n">
        <v>51.7</v>
      </c>
      <c r="C619" s="56" t="n">
        <v>1238.329956</v>
      </c>
      <c r="D619" s="62">
        <f>(Table7[[#This Row],[S&amp;P]]-C607)/C607</f>
        <v/>
      </c>
      <c r="F619" s="3" t="n"/>
      <c r="K619" s="2" t="n"/>
    </row>
    <row r="620">
      <c r="A620" s="54" t="n">
        <v>36220</v>
      </c>
      <c r="B620" s="55" t="n">
        <v>52.4</v>
      </c>
      <c r="C620" s="56" t="n">
        <v>1286.369995</v>
      </c>
      <c r="D620" s="62">
        <f>(Table7[[#This Row],[S&amp;P]]-C608)/C608</f>
        <v/>
      </c>
      <c r="F620" s="3" t="n"/>
      <c r="K620" s="2" t="n"/>
    </row>
    <row r="621">
      <c r="A621" s="54" t="n">
        <v>36251</v>
      </c>
      <c r="B621" s="55" t="n">
        <v>52.3</v>
      </c>
      <c r="C621" s="56" t="n">
        <v>1335.180054</v>
      </c>
      <c r="D621" s="62">
        <f>(Table7[[#This Row],[S&amp;P]]-C609)/C609</f>
        <v/>
      </c>
      <c r="F621" s="3" t="n"/>
      <c r="K621" s="2" t="n"/>
    </row>
    <row r="622">
      <c r="A622" s="54" t="n">
        <v>36281</v>
      </c>
      <c r="B622" s="55" t="n">
        <v>54.3</v>
      </c>
      <c r="C622" s="56" t="n">
        <v>1301.839966</v>
      </c>
      <c r="D622" s="62">
        <f>(Table7[[#This Row],[S&amp;P]]-C610)/C610</f>
        <v/>
      </c>
      <c r="F622" s="3" t="n"/>
      <c r="K622" s="2" t="n"/>
    </row>
    <row r="623">
      <c r="A623" s="54" t="n">
        <v>36312</v>
      </c>
      <c r="B623" s="55" t="n">
        <v>55.8</v>
      </c>
      <c r="C623" s="56" t="n">
        <v>1372.709961</v>
      </c>
      <c r="D623" s="62">
        <f>(Table7[[#This Row],[S&amp;P]]-C611)/C611</f>
        <v/>
      </c>
      <c r="F623" s="3" t="n"/>
      <c r="K623" s="2" t="n"/>
    </row>
    <row r="624">
      <c r="A624" s="54" t="n">
        <v>36342</v>
      </c>
      <c r="B624" s="55" t="n">
        <v>53.6</v>
      </c>
      <c r="C624" s="56" t="n">
        <v>1328.719971</v>
      </c>
      <c r="D624" s="62">
        <f>(Table7[[#This Row],[S&amp;P]]-C612)/C612</f>
        <v/>
      </c>
      <c r="F624" s="3" t="n"/>
      <c r="K624" s="2" t="n"/>
    </row>
    <row r="625">
      <c r="A625" s="54" t="n">
        <v>36373</v>
      </c>
      <c r="B625" s="55" t="n">
        <v>54.8</v>
      </c>
      <c r="C625" s="56" t="n">
        <v>1320.410034</v>
      </c>
      <c r="D625" s="62">
        <f>(Table7[[#This Row],[S&amp;P]]-C613)/C613</f>
        <v/>
      </c>
      <c r="F625" s="3" t="n"/>
      <c r="K625" s="2" t="n"/>
    </row>
    <row r="626">
      <c r="A626" s="54" t="n">
        <v>36404</v>
      </c>
      <c r="B626" s="55" t="n">
        <v>57</v>
      </c>
      <c r="C626" s="56" t="n">
        <v>1282.709961</v>
      </c>
      <c r="D626" s="62">
        <f>(Table7[[#This Row],[S&amp;P]]-C614)/C614</f>
        <v/>
      </c>
      <c r="F626" s="3" t="n"/>
      <c r="K626" s="2" t="n"/>
    </row>
    <row r="627">
      <c r="A627" s="54" t="n">
        <v>36434</v>
      </c>
      <c r="B627" s="55" t="n">
        <v>57.2</v>
      </c>
      <c r="C627" s="56" t="n">
        <v>1362.930054</v>
      </c>
      <c r="D627" s="62">
        <f>(Table7[[#This Row],[S&amp;P]]-C615)/C615</f>
        <v/>
      </c>
      <c r="F627" s="3" t="n"/>
      <c r="K627" s="2" t="n"/>
    </row>
    <row r="628">
      <c r="A628" s="54" t="n">
        <v>36465</v>
      </c>
      <c r="B628" s="55" t="n">
        <v>58.1</v>
      </c>
      <c r="C628" s="56" t="n">
        <v>1388.910034</v>
      </c>
      <c r="D628" s="62">
        <f>(Table7[[#This Row],[S&amp;P]]-C616)/C616</f>
        <v/>
      </c>
      <c r="F628" s="3" t="n"/>
      <c r="K628" s="2" t="n"/>
    </row>
    <row r="629">
      <c r="A629" s="54" t="n">
        <v>36495</v>
      </c>
      <c r="B629" s="55" t="n">
        <v>57.8</v>
      </c>
      <c r="C629" s="56" t="n">
        <v>1469.25</v>
      </c>
      <c r="D629" s="62">
        <f>(Table7[[#This Row],[S&amp;P]]-C617)/C617</f>
        <v/>
      </c>
      <c r="F629" s="3" t="n"/>
      <c r="K629" s="2" t="n"/>
    </row>
    <row r="630">
      <c r="A630" s="54" t="n">
        <v>36526</v>
      </c>
      <c r="B630" s="55" t="n">
        <v>56.7</v>
      </c>
      <c r="C630" s="56" t="n">
        <v>1394.459961</v>
      </c>
      <c r="D630" s="62">
        <f>(Table7[[#This Row],[S&amp;P]]-C618)/C618</f>
        <v/>
      </c>
      <c r="F630" s="3" t="n"/>
      <c r="K630" s="2" t="n"/>
    </row>
    <row r="631">
      <c r="A631" s="54" t="n">
        <v>36557</v>
      </c>
      <c r="B631" s="55" t="n">
        <v>55.8</v>
      </c>
      <c r="C631" s="56" t="n">
        <v>1366.420044</v>
      </c>
      <c r="D631" s="62">
        <f>(Table7[[#This Row],[S&amp;P]]-C619)/C619</f>
        <v/>
      </c>
      <c r="F631" s="3" t="n"/>
      <c r="K631" s="2" t="n"/>
    </row>
    <row r="632">
      <c r="A632" s="54" t="n">
        <v>36586</v>
      </c>
      <c r="B632" s="55" t="n">
        <v>54.9</v>
      </c>
      <c r="C632" s="56" t="n">
        <v>1498.579956</v>
      </c>
      <c r="D632" s="62">
        <f>(Table7[[#This Row],[S&amp;P]]-C620)/C620</f>
        <v/>
      </c>
      <c r="F632" s="3" t="n"/>
      <c r="K632" s="2" t="n"/>
    </row>
    <row r="633">
      <c r="A633" s="54" t="n">
        <v>36617</v>
      </c>
      <c r="B633" s="55" t="n">
        <v>54.7</v>
      </c>
      <c r="C633" s="56" t="n">
        <v>1452.430054</v>
      </c>
      <c r="D633" s="62">
        <f>(Table7[[#This Row],[S&amp;P]]-C621)/C621</f>
        <v/>
      </c>
      <c r="F633" s="3" t="n"/>
      <c r="K633" s="2" t="n"/>
    </row>
    <row r="634">
      <c r="A634" s="54" t="n">
        <v>36647</v>
      </c>
      <c r="B634" s="55" t="n">
        <v>53.2</v>
      </c>
      <c r="C634" s="56" t="n">
        <v>1420.599976</v>
      </c>
      <c r="D634" s="62">
        <f>(Table7[[#This Row],[S&amp;P]]-C622)/C622</f>
        <v/>
      </c>
      <c r="F634" s="3" t="n"/>
      <c r="K634" s="2" t="n"/>
    </row>
    <row r="635">
      <c r="A635" s="54" t="n">
        <v>36678</v>
      </c>
      <c r="B635" s="55" t="n">
        <v>51.4</v>
      </c>
      <c r="C635" s="56" t="n">
        <v>1454.599976</v>
      </c>
      <c r="D635" s="62">
        <f>(Table7[[#This Row],[S&amp;P]]-C623)/C623</f>
        <v/>
      </c>
      <c r="F635" s="3" t="n"/>
      <c r="K635" s="2" t="n"/>
    </row>
    <row r="636">
      <c r="A636" s="54" t="n">
        <v>36708</v>
      </c>
      <c r="B636" s="55" t="n">
        <v>52.5</v>
      </c>
      <c r="C636" s="56" t="n">
        <v>1430.829956</v>
      </c>
      <c r="D636" s="62">
        <f>(Table7[[#This Row],[S&amp;P]]-C624)/C624</f>
        <v/>
      </c>
      <c r="F636" s="3" t="n"/>
      <c r="K636" s="2" t="n"/>
    </row>
    <row r="637">
      <c r="A637" s="54" t="n">
        <v>36739</v>
      </c>
      <c r="B637" s="55" t="n">
        <v>49.9</v>
      </c>
      <c r="C637" s="56" t="n">
        <v>1517.680054</v>
      </c>
      <c r="D637" s="62">
        <f>(Table7[[#This Row],[S&amp;P]]-C625)/C625</f>
        <v/>
      </c>
      <c r="F637" s="3" t="n"/>
      <c r="K637" s="2" t="n"/>
    </row>
    <row r="638">
      <c r="A638" s="54" t="n">
        <v>36770</v>
      </c>
      <c r="B638" s="55" t="n">
        <v>49.7</v>
      </c>
      <c r="C638" s="56" t="n">
        <v>1436.51001</v>
      </c>
      <c r="D638" s="62">
        <f>(Table7[[#This Row],[S&amp;P]]-C626)/C626</f>
        <v/>
      </c>
      <c r="F638" s="3" t="n"/>
      <c r="K638" s="2" t="n"/>
    </row>
    <row r="639">
      <c r="A639" s="54" t="n">
        <v>36800</v>
      </c>
      <c r="B639" s="55" t="n">
        <v>48.7</v>
      </c>
      <c r="C639" s="56" t="n">
        <v>1429.400024</v>
      </c>
      <c r="D639" s="62">
        <f>(Table7[[#This Row],[S&amp;P]]-C627)/C627</f>
        <v/>
      </c>
      <c r="F639" s="3" t="n"/>
      <c r="K639" s="2" t="n"/>
    </row>
    <row r="640">
      <c r="A640" s="54" t="n">
        <v>36831</v>
      </c>
      <c r="B640" s="55" t="n">
        <v>48.5</v>
      </c>
      <c r="C640" s="56" t="n">
        <v>1314.949951</v>
      </c>
      <c r="D640" s="62">
        <f>(Table7[[#This Row],[S&amp;P]]-C628)/C628</f>
        <v/>
      </c>
      <c r="F640" s="3" t="n"/>
      <c r="K640" s="2" t="n"/>
    </row>
    <row r="641">
      <c r="A641" s="54" t="n">
        <v>36861</v>
      </c>
      <c r="B641" s="55" t="n">
        <v>43.9</v>
      </c>
      <c r="C641" s="56" t="n">
        <v>1320.280029</v>
      </c>
      <c r="D641" s="62">
        <f>(Table7[[#This Row],[S&amp;P]]-C629)/C629</f>
        <v/>
      </c>
      <c r="F641" s="3" t="n"/>
      <c r="K641" s="2" t="n"/>
    </row>
    <row r="642">
      <c r="A642" s="54" t="n">
        <v>36892</v>
      </c>
      <c r="B642" s="55" t="n">
        <v>42.3</v>
      </c>
      <c r="C642" s="56" t="n">
        <v>1366.01001</v>
      </c>
      <c r="D642" s="62">
        <f>(Table7[[#This Row],[S&amp;P]]-C630)/C630</f>
        <v/>
      </c>
      <c r="F642" s="3" t="n"/>
      <c r="K642" s="2" t="n"/>
    </row>
    <row r="643">
      <c r="A643" s="54" t="n">
        <v>36923</v>
      </c>
      <c r="B643" s="55" t="n">
        <v>42.1</v>
      </c>
      <c r="C643" s="56" t="n">
        <v>1239.939941</v>
      </c>
      <c r="D643" s="62">
        <f>(Table7[[#This Row],[S&amp;P]]-C631)/C631</f>
        <v/>
      </c>
      <c r="F643" s="3" t="n"/>
      <c r="K643" s="2" t="n"/>
    </row>
    <row r="644">
      <c r="A644" s="54" t="n">
        <v>36951</v>
      </c>
      <c r="B644" s="55" t="n">
        <v>43.1</v>
      </c>
      <c r="C644" s="56" t="n">
        <v>1160.329956</v>
      </c>
      <c r="D644" s="62">
        <f>(Table7[[#This Row],[S&amp;P]]-C632)/C632</f>
        <v/>
      </c>
      <c r="F644" s="3" t="n"/>
      <c r="K644" s="2" t="n"/>
    </row>
    <row r="645">
      <c r="A645" s="54" t="n">
        <v>36982</v>
      </c>
      <c r="B645" s="55" t="n">
        <v>42.7</v>
      </c>
      <c r="C645" s="56" t="n">
        <v>1249.459961</v>
      </c>
      <c r="D645" s="62">
        <f>(Table7[[#This Row],[S&amp;P]]-C633)/C633</f>
        <v/>
      </c>
      <c r="F645" s="3" t="n"/>
      <c r="K645" s="2" t="n"/>
    </row>
    <row r="646">
      <c r="A646" s="54" t="n">
        <v>37012</v>
      </c>
      <c r="B646" s="55" t="n">
        <v>41.3</v>
      </c>
      <c r="C646" s="56" t="n">
        <v>1255.819946</v>
      </c>
      <c r="D646" s="62">
        <f>(Table7[[#This Row],[S&amp;P]]-C634)/C634</f>
        <v/>
      </c>
      <c r="F646" s="3" t="n"/>
      <c r="K646" s="2" t="n"/>
    </row>
    <row r="647">
      <c r="A647" s="54" t="n">
        <v>37043</v>
      </c>
      <c r="B647" s="55" t="n">
        <v>43.2</v>
      </c>
      <c r="C647" s="56" t="n">
        <v>1224.380005</v>
      </c>
      <c r="D647" s="62">
        <f>(Table7[[#This Row],[S&amp;P]]-C635)/C635</f>
        <v/>
      </c>
      <c r="F647" s="3" t="n"/>
      <c r="K647" s="2" t="n"/>
    </row>
    <row r="648">
      <c r="A648" s="54" t="n">
        <v>37073</v>
      </c>
      <c r="B648" s="55" t="n">
        <v>43.5</v>
      </c>
      <c r="C648" s="56" t="n">
        <v>1211.22998</v>
      </c>
      <c r="D648" s="62">
        <f>(Table7[[#This Row],[S&amp;P]]-C636)/C636</f>
        <v/>
      </c>
      <c r="F648" s="3" t="n"/>
      <c r="K648" s="2" t="n"/>
    </row>
    <row r="649">
      <c r="A649" s="54" t="n">
        <v>37104</v>
      </c>
      <c r="B649" s="55" t="n">
        <v>46.3</v>
      </c>
      <c r="C649" s="56" t="n">
        <v>1133.579956</v>
      </c>
      <c r="D649" s="62">
        <f>(Table7[[#This Row],[S&amp;P]]-C637)/C637</f>
        <v/>
      </c>
      <c r="F649" s="3" t="n"/>
      <c r="K649" s="2" t="n"/>
    </row>
    <row r="650">
      <c r="A650" s="54" t="n">
        <v>37135</v>
      </c>
      <c r="B650" s="55" t="n">
        <v>46.2</v>
      </c>
      <c r="C650" s="56" t="n">
        <v>1040.939941</v>
      </c>
      <c r="D650" s="62">
        <f>(Table7[[#This Row],[S&amp;P]]-C638)/C638</f>
        <v/>
      </c>
      <c r="F650" s="3" t="n"/>
      <c r="K650" s="2" t="n"/>
    </row>
    <row r="651">
      <c r="A651" s="54" t="n">
        <v>37165</v>
      </c>
      <c r="B651" s="55" t="n">
        <v>40.8</v>
      </c>
      <c r="C651" s="56" t="n">
        <v>1059.780029</v>
      </c>
      <c r="D651" s="62">
        <f>(Table7[[#This Row],[S&amp;P]]-C639)/C639</f>
        <v/>
      </c>
      <c r="F651" s="3" t="n"/>
      <c r="K651" s="2" t="n"/>
    </row>
    <row r="652">
      <c r="A652" s="54" t="n">
        <v>37196</v>
      </c>
      <c r="B652" s="55" t="n">
        <v>44.1</v>
      </c>
      <c r="C652" s="56" t="n">
        <v>1139.449951</v>
      </c>
      <c r="D652" s="62">
        <f>(Table7[[#This Row],[S&amp;P]]-C640)/C640</f>
        <v/>
      </c>
      <c r="F652" s="3" t="n"/>
      <c r="K652" s="2" t="n"/>
    </row>
    <row r="653">
      <c r="A653" s="54" t="n">
        <v>37226</v>
      </c>
      <c r="B653" s="55" t="n">
        <v>45.3</v>
      </c>
      <c r="C653" s="56" t="n">
        <v>1148.079956</v>
      </c>
      <c r="D653" s="62">
        <f>(Table7[[#This Row],[S&amp;P]]-C641)/C641</f>
        <v/>
      </c>
      <c r="F653" s="3" t="n"/>
      <c r="K653" s="2" t="n"/>
    </row>
    <row r="654">
      <c r="A654" s="54" t="n">
        <v>37257</v>
      </c>
      <c r="B654" s="55" t="n">
        <v>47.5</v>
      </c>
      <c r="C654" s="56" t="n">
        <v>1130.199951</v>
      </c>
      <c r="D654" s="62">
        <f>(Table7[[#This Row],[S&amp;P]]-C642)/C642</f>
        <v/>
      </c>
      <c r="F654" s="3" t="n"/>
      <c r="K654" s="2" t="n"/>
    </row>
    <row r="655">
      <c r="A655" s="54" t="n">
        <v>37288</v>
      </c>
      <c r="B655" s="55" t="n">
        <v>50.7</v>
      </c>
      <c r="C655" s="56" t="n">
        <v>1106.72998</v>
      </c>
      <c r="D655" s="62">
        <f>(Table7[[#This Row],[S&amp;P]]-C643)/C643</f>
        <v/>
      </c>
      <c r="F655" s="3" t="n"/>
      <c r="K655" s="2" t="n"/>
    </row>
    <row r="656">
      <c r="A656" s="54" t="n">
        <v>37316</v>
      </c>
      <c r="B656" s="55" t="n">
        <v>52.4</v>
      </c>
      <c r="C656" s="56" t="n">
        <v>1147.390015</v>
      </c>
      <c r="D656" s="62">
        <f>(Table7[[#This Row],[S&amp;P]]-C644)/C644</f>
        <v/>
      </c>
      <c r="F656" s="3" t="n"/>
      <c r="K656" s="2" t="n"/>
    </row>
    <row r="657">
      <c r="A657" s="54" t="n">
        <v>37347</v>
      </c>
      <c r="B657" s="55" t="n">
        <v>52.4</v>
      </c>
      <c r="C657" s="56" t="n">
        <v>1076.920044</v>
      </c>
      <c r="D657" s="62">
        <f>(Table7[[#This Row],[S&amp;P]]-C645)/C645</f>
        <v/>
      </c>
      <c r="F657" s="3" t="n"/>
      <c r="K657" s="2" t="n"/>
    </row>
    <row r="658">
      <c r="A658" s="54" t="n">
        <v>37377</v>
      </c>
      <c r="B658" s="55" t="n">
        <v>53.1</v>
      </c>
      <c r="C658" s="56" t="n">
        <v>1067.140015</v>
      </c>
      <c r="D658" s="62">
        <f>(Table7[[#This Row],[S&amp;P]]-C646)/C646</f>
        <v/>
      </c>
      <c r="F658" s="3" t="n"/>
      <c r="K658" s="2" t="n"/>
    </row>
    <row r="659">
      <c r="A659" s="54" t="n">
        <v>37408</v>
      </c>
      <c r="B659" s="55" t="n">
        <v>53.6</v>
      </c>
      <c r="C659" s="56" t="n">
        <v>989.820007</v>
      </c>
      <c r="D659" s="62">
        <f>(Table7[[#This Row],[S&amp;P]]-C647)/C647</f>
        <v/>
      </c>
      <c r="F659" s="3" t="n"/>
      <c r="K659" s="2" t="n"/>
    </row>
    <row r="660">
      <c r="A660" s="54" t="n">
        <v>37438</v>
      </c>
      <c r="B660" s="55" t="n">
        <v>50.2</v>
      </c>
      <c r="C660" s="56" t="n">
        <v>911.619995</v>
      </c>
      <c r="D660" s="62">
        <f>(Table7[[#This Row],[S&amp;P]]-C648)/C648</f>
        <v/>
      </c>
      <c r="F660" s="3" t="n"/>
      <c r="K660" s="2" t="n"/>
    </row>
    <row r="661">
      <c r="A661" s="54" t="n">
        <v>37469</v>
      </c>
      <c r="B661" s="55" t="n">
        <v>50.3</v>
      </c>
      <c r="C661" s="56" t="n">
        <v>916.070007</v>
      </c>
      <c r="D661" s="62">
        <f>(Table7[[#This Row],[S&amp;P]]-C649)/C649</f>
        <v/>
      </c>
      <c r="F661" s="3" t="n"/>
      <c r="K661" s="2" t="n"/>
    </row>
    <row r="662">
      <c r="A662" s="54" t="n">
        <v>37500</v>
      </c>
      <c r="B662" s="55" t="n">
        <v>50.5</v>
      </c>
      <c r="C662" s="56" t="n">
        <v>815.280029</v>
      </c>
      <c r="D662" s="62">
        <f>(Table7[[#This Row],[S&amp;P]]-C650)/C650</f>
        <v/>
      </c>
      <c r="F662" s="3" t="n"/>
      <c r="K662" s="2" t="n"/>
    </row>
    <row r="663">
      <c r="A663" s="54" t="n">
        <v>37530</v>
      </c>
      <c r="B663" s="55" t="n">
        <v>49</v>
      </c>
      <c r="C663" s="56" t="n">
        <v>885.76001</v>
      </c>
      <c r="D663" s="62">
        <f>(Table7[[#This Row],[S&amp;P]]-C651)/C651</f>
        <v/>
      </c>
      <c r="F663" s="3" t="n"/>
      <c r="K663" s="2" t="n"/>
    </row>
    <row r="664">
      <c r="A664" s="54" t="n">
        <v>37561</v>
      </c>
      <c r="B664" s="55" t="n">
        <v>48.5</v>
      </c>
      <c r="C664" s="56" t="n">
        <v>936.309998</v>
      </c>
      <c r="D664" s="62">
        <f>(Table7[[#This Row],[S&amp;P]]-C652)/C652</f>
        <v/>
      </c>
      <c r="F664" s="3" t="n"/>
      <c r="K664" s="2" t="n"/>
    </row>
    <row r="665">
      <c r="A665" s="54" t="n">
        <v>37591</v>
      </c>
      <c r="B665" s="55" t="n">
        <v>51.6</v>
      </c>
      <c r="C665" s="56" t="n">
        <v>879.820007</v>
      </c>
      <c r="D665" s="62">
        <f>(Table7[[#This Row],[S&amp;P]]-C653)/C653</f>
        <v/>
      </c>
      <c r="F665" s="3" t="n"/>
      <c r="K665" s="2" t="n"/>
    </row>
    <row r="666">
      <c r="A666" s="54" t="n">
        <v>37622</v>
      </c>
      <c r="B666" s="55" t="n">
        <v>51.3</v>
      </c>
      <c r="C666" s="56" t="n">
        <v>855.700012</v>
      </c>
      <c r="D666" s="62">
        <f>(Table7[[#This Row],[S&amp;P]]-C654)/C654</f>
        <v/>
      </c>
      <c r="F666" s="3" t="n"/>
      <c r="K666" s="2" t="n"/>
    </row>
    <row r="667">
      <c r="A667" s="54" t="n">
        <v>37653</v>
      </c>
      <c r="B667" s="55" t="n">
        <v>48.8</v>
      </c>
      <c r="C667" s="56" t="n">
        <v>841.150024</v>
      </c>
      <c r="D667" s="62">
        <f>(Table7[[#This Row],[S&amp;P]]-C655)/C655</f>
        <v/>
      </c>
      <c r="F667" s="3" t="n"/>
      <c r="K667" s="2" t="n"/>
    </row>
    <row r="668">
      <c r="A668" s="54" t="n">
        <v>37681</v>
      </c>
      <c r="B668" s="55" t="n">
        <v>46.3</v>
      </c>
      <c r="C668" s="56" t="n">
        <v>848.179993</v>
      </c>
      <c r="D668" s="62">
        <f>(Table7[[#This Row],[S&amp;P]]-C656)/C656</f>
        <v/>
      </c>
      <c r="F668" s="3" t="n"/>
      <c r="K668" s="2" t="n"/>
    </row>
    <row r="669">
      <c r="A669" s="54" t="n">
        <v>37712</v>
      </c>
      <c r="B669" s="55" t="n">
        <v>46.1</v>
      </c>
      <c r="C669" s="56" t="n">
        <v>916.919983</v>
      </c>
      <c r="D669" s="62">
        <f>(Table7[[#This Row],[S&amp;P]]-C657)/C657</f>
        <v/>
      </c>
      <c r="F669" s="3" t="n"/>
      <c r="K669" s="2" t="n"/>
    </row>
    <row r="670">
      <c r="A670" s="54" t="n">
        <v>37742</v>
      </c>
      <c r="B670" s="55" t="n">
        <v>49</v>
      </c>
      <c r="C670" s="56" t="n">
        <v>963.590027</v>
      </c>
      <c r="D670" s="62">
        <f>(Table7[[#This Row],[S&amp;P]]-C658)/C658</f>
        <v/>
      </c>
      <c r="F670" s="3" t="n"/>
      <c r="K670" s="2" t="n"/>
    </row>
    <row r="671">
      <c r="A671" s="54" t="n">
        <v>37773</v>
      </c>
      <c r="B671" s="55" t="n">
        <v>49</v>
      </c>
      <c r="C671" s="56" t="n">
        <v>974.5</v>
      </c>
      <c r="D671" s="62">
        <f>(Table7[[#This Row],[S&amp;P]]-C659)/C659</f>
        <v/>
      </c>
      <c r="F671" s="3" t="n"/>
      <c r="K671" s="2" t="n"/>
    </row>
    <row r="672">
      <c r="A672" s="54" t="n">
        <v>37803</v>
      </c>
      <c r="B672" s="55" t="n">
        <v>51</v>
      </c>
      <c r="C672" s="56" t="n">
        <v>990.309998</v>
      </c>
      <c r="D672" s="62">
        <f>(Table7[[#This Row],[S&amp;P]]-C660)/C660</f>
        <v/>
      </c>
      <c r="F672" s="3" t="n"/>
      <c r="K672" s="2" t="n"/>
    </row>
    <row r="673">
      <c r="A673" s="54" t="n">
        <v>37834</v>
      </c>
      <c r="B673" s="55" t="n">
        <v>53.2</v>
      </c>
      <c r="C673" s="56" t="n">
        <v>1008.01001</v>
      </c>
      <c r="D673" s="62">
        <f>(Table7[[#This Row],[S&amp;P]]-C661)/C661</f>
        <v/>
      </c>
      <c r="F673" s="3" t="n"/>
      <c r="K673" s="2" t="n"/>
    </row>
    <row r="674">
      <c r="A674" s="54" t="n">
        <v>37865</v>
      </c>
      <c r="B674" s="55" t="n">
        <v>52.4</v>
      </c>
      <c r="C674" s="56" t="n">
        <v>995.969971</v>
      </c>
      <c r="D674" s="62">
        <f>(Table7[[#This Row],[S&amp;P]]-C662)/C662</f>
        <v/>
      </c>
      <c r="F674" s="3" t="n"/>
      <c r="K674" s="2" t="n"/>
    </row>
    <row r="675">
      <c r="A675" s="54" t="n">
        <v>37895</v>
      </c>
      <c r="B675" s="55" t="n">
        <v>55.2</v>
      </c>
      <c r="C675" s="56" t="n">
        <v>1050.709961</v>
      </c>
      <c r="D675" s="62">
        <f>(Table7[[#This Row],[S&amp;P]]-C663)/C663</f>
        <v/>
      </c>
      <c r="F675" s="3" t="n"/>
      <c r="K675" s="2" t="n"/>
    </row>
    <row r="676">
      <c r="A676" s="54" t="n">
        <v>37926</v>
      </c>
      <c r="B676" s="55" t="n">
        <v>58.4</v>
      </c>
      <c r="C676" s="56" t="n">
        <v>1058.199951</v>
      </c>
      <c r="D676" s="62">
        <f>(Table7[[#This Row],[S&amp;P]]-C664)/C664</f>
        <v/>
      </c>
      <c r="F676" s="3" t="n"/>
      <c r="K676" s="2" t="n"/>
    </row>
    <row r="677">
      <c r="A677" s="54" t="n">
        <v>37956</v>
      </c>
      <c r="B677" s="55" t="n">
        <v>60.1</v>
      </c>
      <c r="C677" s="56" t="n">
        <v>1111.920044</v>
      </c>
      <c r="D677" s="62">
        <f>(Table7[[#This Row],[S&amp;P]]-C665)/C665</f>
        <v/>
      </c>
      <c r="F677" s="3" t="n"/>
      <c r="K677" s="2" t="n"/>
    </row>
    <row r="678">
      <c r="A678" s="54" t="n">
        <v>37987</v>
      </c>
      <c r="B678" s="55" t="n">
        <v>60.8</v>
      </c>
      <c r="C678" s="56" t="n">
        <v>1131.130005</v>
      </c>
      <c r="D678" s="62">
        <f>(Table7[[#This Row],[S&amp;P]]-C666)/C666</f>
        <v/>
      </c>
      <c r="F678" s="3" t="n"/>
      <c r="K678" s="2" t="n"/>
    </row>
    <row r="679">
      <c r="A679" s="54" t="n">
        <v>38018</v>
      </c>
      <c r="B679" s="55" t="n">
        <v>59.9</v>
      </c>
      <c r="C679" s="56" t="n">
        <v>1144.939941</v>
      </c>
      <c r="D679" s="62">
        <f>(Table7[[#This Row],[S&amp;P]]-C667)/C667</f>
        <v/>
      </c>
      <c r="F679" s="3" t="n"/>
      <c r="K679" s="2" t="n"/>
    </row>
    <row r="680">
      <c r="A680" s="54" t="n">
        <v>38047</v>
      </c>
      <c r="B680" s="55" t="n">
        <v>60.6</v>
      </c>
      <c r="C680" s="56" t="n">
        <v>1126.209961</v>
      </c>
      <c r="D680" s="62">
        <f>(Table7[[#This Row],[S&amp;P]]-C668)/C668</f>
        <v/>
      </c>
      <c r="F680" s="3" t="n"/>
      <c r="K680" s="2" t="n"/>
    </row>
    <row r="681">
      <c r="A681" s="54" t="n">
        <v>38078</v>
      </c>
      <c r="B681" s="55" t="n">
        <v>60.6</v>
      </c>
      <c r="C681" s="56" t="n">
        <v>1107.300049</v>
      </c>
      <c r="D681" s="62">
        <f>(Table7[[#This Row],[S&amp;P]]-C669)/C669</f>
        <v/>
      </c>
      <c r="F681" s="3" t="n"/>
      <c r="K681" s="2" t="n"/>
    </row>
    <row r="682">
      <c r="A682" s="54" t="n">
        <v>38108</v>
      </c>
      <c r="B682" s="55" t="n">
        <v>61.4</v>
      </c>
      <c r="C682" s="56" t="n">
        <v>1120.680054</v>
      </c>
      <c r="D682" s="62">
        <f>(Table7[[#This Row],[S&amp;P]]-C670)/C670</f>
        <v/>
      </c>
      <c r="F682" s="3" t="n"/>
      <c r="K682" s="2" t="n"/>
    </row>
    <row r="683">
      <c r="A683" s="54" t="n">
        <v>38139</v>
      </c>
      <c r="B683" s="55" t="n">
        <v>60.5</v>
      </c>
      <c r="C683" s="56" t="n">
        <v>1140.839966</v>
      </c>
      <c r="D683" s="62">
        <f>(Table7[[#This Row],[S&amp;P]]-C671)/C671</f>
        <v/>
      </c>
      <c r="F683" s="3" t="n"/>
      <c r="K683" s="2" t="n"/>
    </row>
    <row r="684">
      <c r="A684" s="54" t="n">
        <v>38169</v>
      </c>
      <c r="B684" s="55" t="n">
        <v>59.9</v>
      </c>
      <c r="C684" s="56" t="n">
        <v>1101.719971</v>
      </c>
      <c r="D684" s="62">
        <f>(Table7[[#This Row],[S&amp;P]]-C672)/C672</f>
        <v/>
      </c>
      <c r="F684" s="3" t="n"/>
      <c r="K684" s="2" t="n"/>
    </row>
    <row r="685">
      <c r="A685" s="54" t="n">
        <v>38200</v>
      </c>
      <c r="B685" s="55" t="n">
        <v>58.5</v>
      </c>
      <c r="C685" s="56" t="n">
        <v>1104.23999</v>
      </c>
      <c r="D685" s="62">
        <f>(Table7[[#This Row],[S&amp;P]]-C673)/C673</f>
        <v/>
      </c>
      <c r="F685" s="3" t="n"/>
      <c r="K685" s="2" t="n"/>
    </row>
    <row r="686">
      <c r="A686" s="54" t="n">
        <v>38231</v>
      </c>
      <c r="B686" s="55" t="n">
        <v>57.4</v>
      </c>
      <c r="C686" s="56" t="n">
        <v>1114.579956</v>
      </c>
      <c r="D686" s="62">
        <f>(Table7[[#This Row],[S&amp;P]]-C674)/C674</f>
        <v/>
      </c>
      <c r="F686" s="3" t="n"/>
      <c r="K686" s="2" t="n"/>
    </row>
    <row r="687">
      <c r="A687" s="54" t="n">
        <v>38261</v>
      </c>
      <c r="B687" s="55" t="n">
        <v>56.3</v>
      </c>
      <c r="C687" s="56" t="n">
        <v>1130.199951</v>
      </c>
      <c r="D687" s="62">
        <f>(Table7[[#This Row],[S&amp;P]]-C675)/C675</f>
        <v/>
      </c>
      <c r="F687" s="3" t="n"/>
      <c r="K687" s="2" t="n"/>
    </row>
    <row r="688">
      <c r="A688" s="54" t="n">
        <v>38292</v>
      </c>
      <c r="B688" s="55" t="n">
        <v>56.2</v>
      </c>
      <c r="C688" s="56" t="n">
        <v>1173.819946</v>
      </c>
      <c r="D688" s="62">
        <f>(Table7[[#This Row],[S&amp;P]]-C676)/C676</f>
        <v/>
      </c>
      <c r="F688" s="3" t="n"/>
      <c r="K688" s="2" t="n"/>
    </row>
    <row r="689">
      <c r="A689" s="54" t="n">
        <v>38322</v>
      </c>
      <c r="B689" s="55" t="n">
        <v>57.2</v>
      </c>
      <c r="C689" s="56" t="n">
        <v>1211.920044</v>
      </c>
      <c r="D689" s="62">
        <f>(Table7[[#This Row],[S&amp;P]]-C677)/C677</f>
        <v/>
      </c>
      <c r="F689" s="3" t="n"/>
      <c r="K689" s="2" t="n"/>
    </row>
    <row r="690">
      <c r="A690" s="54" t="n">
        <v>38353</v>
      </c>
      <c r="B690" s="55" t="n">
        <v>56.8</v>
      </c>
      <c r="C690" s="56" t="n">
        <v>1181.27002</v>
      </c>
      <c r="D690" s="62">
        <f>(Table7[[#This Row],[S&amp;P]]-C678)/C678</f>
        <v/>
      </c>
      <c r="F690" s="3" t="n"/>
      <c r="K690" s="2" t="n"/>
    </row>
    <row r="691">
      <c r="A691" s="54" t="n">
        <v>38384</v>
      </c>
      <c r="B691" s="55" t="n">
        <v>55.5</v>
      </c>
      <c r="C691" s="56" t="n">
        <v>1203.599976</v>
      </c>
      <c r="D691" s="62">
        <f>(Table7[[#This Row],[S&amp;P]]-C679)/C679</f>
        <v/>
      </c>
      <c r="F691" s="3" t="n"/>
      <c r="K691" s="2" t="n"/>
    </row>
    <row r="692">
      <c r="A692" s="54" t="n">
        <v>38412</v>
      </c>
      <c r="B692" s="55" t="n">
        <v>55.2</v>
      </c>
      <c r="C692" s="56" t="n">
        <v>1180.589966</v>
      </c>
      <c r="D692" s="62">
        <f>(Table7[[#This Row],[S&amp;P]]-C680)/C680</f>
        <v/>
      </c>
      <c r="F692" s="3" t="n"/>
      <c r="K692" s="2" t="n"/>
    </row>
    <row r="693">
      <c r="A693" s="54" t="n">
        <v>38443</v>
      </c>
      <c r="B693" s="55" t="n">
        <v>52.2</v>
      </c>
      <c r="C693" s="56" t="n">
        <v>1156.849976</v>
      </c>
      <c r="D693" s="62">
        <f>(Table7[[#This Row],[S&amp;P]]-C681)/C681</f>
        <v/>
      </c>
      <c r="F693" s="3" t="n"/>
      <c r="K693" s="2" t="n"/>
    </row>
    <row r="694">
      <c r="A694" s="54" t="n">
        <v>38473</v>
      </c>
      <c r="B694" s="55" t="n">
        <v>50.8</v>
      </c>
      <c r="C694" s="56" t="n">
        <v>1191.5</v>
      </c>
      <c r="D694" s="62">
        <f>(Table7[[#This Row],[S&amp;P]]-C682)/C682</f>
        <v/>
      </c>
      <c r="F694" s="3" t="n"/>
      <c r="K694" s="2" t="n"/>
    </row>
    <row r="695">
      <c r="A695" s="54" t="n">
        <v>38504</v>
      </c>
      <c r="B695" s="55" t="n">
        <v>52.4</v>
      </c>
      <c r="C695" s="56" t="n">
        <v>1191.329956</v>
      </c>
      <c r="D695" s="62">
        <f>(Table7[[#This Row],[S&amp;P]]-C683)/C683</f>
        <v/>
      </c>
      <c r="F695" s="3" t="n"/>
      <c r="K695" s="2" t="n"/>
    </row>
    <row r="696">
      <c r="A696" s="54" t="n">
        <v>38534</v>
      </c>
      <c r="B696" s="55" t="n">
        <v>52.8</v>
      </c>
      <c r="C696" s="56" t="n">
        <v>1234.180054</v>
      </c>
      <c r="D696" s="62">
        <f>(Table7[[#This Row],[S&amp;P]]-C684)/C684</f>
        <v/>
      </c>
      <c r="F696" s="3" t="n"/>
      <c r="K696" s="2" t="n"/>
    </row>
    <row r="697">
      <c r="A697" s="54" t="n">
        <v>38565</v>
      </c>
      <c r="B697" s="55" t="n">
        <v>52.4</v>
      </c>
      <c r="C697" s="56" t="n">
        <v>1220.329956</v>
      </c>
      <c r="D697" s="62">
        <f>(Table7[[#This Row],[S&amp;P]]-C685)/C685</f>
        <v/>
      </c>
      <c r="F697" s="3" t="n"/>
      <c r="K697" s="2" t="n"/>
    </row>
    <row r="698">
      <c r="A698" s="54" t="n">
        <v>38596</v>
      </c>
      <c r="B698" s="55" t="n">
        <v>56.8</v>
      </c>
      <c r="C698" s="56" t="n">
        <v>1228.810059</v>
      </c>
      <c r="D698" s="62">
        <f>(Table7[[#This Row],[S&amp;P]]-C686)/C686</f>
        <v/>
      </c>
      <c r="F698" s="3" t="n"/>
      <c r="K698" s="2" t="n"/>
    </row>
    <row r="699">
      <c r="A699" s="54" t="n">
        <v>38626</v>
      </c>
      <c r="B699" s="55" t="n">
        <v>57.2</v>
      </c>
      <c r="C699" s="56" t="n">
        <v>1207.01001</v>
      </c>
      <c r="D699" s="62">
        <f>(Table7[[#This Row],[S&amp;P]]-C687)/C687</f>
        <v/>
      </c>
      <c r="F699" s="3" t="n"/>
      <c r="K699" s="2" t="n"/>
    </row>
    <row r="700">
      <c r="A700" s="54" t="n">
        <v>38657</v>
      </c>
      <c r="B700" s="55" t="n">
        <v>56.7</v>
      </c>
      <c r="C700" s="56" t="n">
        <v>1249.47998</v>
      </c>
      <c r="D700" s="62">
        <f>(Table7[[#This Row],[S&amp;P]]-C688)/C688</f>
        <v/>
      </c>
      <c r="F700" s="3" t="n"/>
      <c r="K700" s="2" t="n"/>
    </row>
    <row r="701">
      <c r="A701" s="54" t="n">
        <v>38687</v>
      </c>
      <c r="B701" s="55" t="n">
        <v>55.1</v>
      </c>
      <c r="C701" s="56" t="n">
        <v>1248.290039</v>
      </c>
      <c r="D701" s="62">
        <f>(Table7[[#This Row],[S&amp;P]]-C689)/C689</f>
        <v/>
      </c>
      <c r="F701" s="3" t="n"/>
      <c r="K701" s="2" t="n"/>
    </row>
    <row r="702">
      <c r="A702" s="54" t="n">
        <v>38718</v>
      </c>
      <c r="B702" s="55" t="n">
        <v>55</v>
      </c>
      <c r="C702" s="56" t="n">
        <v>1280.079956</v>
      </c>
      <c r="D702" s="62">
        <f>(Table7[[#This Row],[S&amp;P]]-C690)/C690</f>
        <v/>
      </c>
      <c r="F702" s="3" t="n"/>
      <c r="K702" s="2" t="n"/>
    </row>
    <row r="703">
      <c r="A703" s="54" t="n">
        <v>38749</v>
      </c>
      <c r="B703" s="55" t="n">
        <v>55.8</v>
      </c>
      <c r="C703" s="56" t="n">
        <v>1280.660034</v>
      </c>
      <c r="D703" s="62">
        <f>(Table7[[#This Row],[S&amp;P]]-C691)/C691</f>
        <v/>
      </c>
      <c r="F703" s="3" t="n"/>
      <c r="K703" s="2" t="n"/>
    </row>
    <row r="704">
      <c r="A704" s="54" t="n">
        <v>38777</v>
      </c>
      <c r="B704" s="55" t="n">
        <v>54.3</v>
      </c>
      <c r="C704" s="56" t="n">
        <v>1294.869995</v>
      </c>
      <c r="D704" s="62">
        <f>(Table7[[#This Row],[S&amp;P]]-C692)/C692</f>
        <v/>
      </c>
      <c r="F704" s="3" t="n"/>
      <c r="K704" s="2" t="n"/>
    </row>
    <row r="705">
      <c r="A705" s="54" t="n">
        <v>38808</v>
      </c>
      <c r="B705" s="55" t="n">
        <v>55.2</v>
      </c>
      <c r="C705" s="56" t="n">
        <v>1310.609985</v>
      </c>
      <c r="D705" s="62">
        <f>(Table7[[#This Row],[S&amp;P]]-C693)/C693</f>
        <v/>
      </c>
      <c r="F705" s="3" t="n"/>
      <c r="K705" s="2" t="n"/>
    </row>
    <row r="706">
      <c r="A706" s="54" t="n">
        <v>38838</v>
      </c>
      <c r="B706" s="55" t="n">
        <v>53.7</v>
      </c>
      <c r="C706" s="56" t="n">
        <v>1270.089966</v>
      </c>
      <c r="D706" s="62">
        <f>(Table7[[#This Row],[S&amp;P]]-C694)/C694</f>
        <v/>
      </c>
      <c r="F706" s="3" t="n"/>
      <c r="K706" s="2" t="n"/>
    </row>
    <row r="707">
      <c r="A707" s="54" t="n">
        <v>38869</v>
      </c>
      <c r="B707" s="55" t="n">
        <v>52</v>
      </c>
      <c r="C707" s="56" t="n">
        <v>1270.199951</v>
      </c>
      <c r="D707" s="62">
        <f>(Table7[[#This Row],[S&amp;P]]-C695)/C695</f>
        <v/>
      </c>
      <c r="F707" s="3" t="n"/>
      <c r="K707" s="2" t="n"/>
    </row>
    <row r="708">
      <c r="A708" s="54" t="n">
        <v>38899</v>
      </c>
      <c r="B708" s="55" t="n">
        <v>53</v>
      </c>
      <c r="C708" s="56" t="n">
        <v>1276.660034</v>
      </c>
      <c r="D708" s="62">
        <f>(Table7[[#This Row],[S&amp;P]]-C696)/C696</f>
        <v/>
      </c>
      <c r="F708" s="3" t="n"/>
      <c r="K708" s="2" t="n"/>
    </row>
    <row r="709">
      <c r="A709" s="54" t="n">
        <v>38930</v>
      </c>
      <c r="B709" s="55" t="n">
        <v>53.7</v>
      </c>
      <c r="C709" s="56" t="n">
        <v>1303.819946</v>
      </c>
      <c r="D709" s="62">
        <f>(Table7[[#This Row],[S&amp;P]]-C697)/C697</f>
        <v/>
      </c>
      <c r="F709" s="3" t="n"/>
      <c r="K709" s="2" t="n"/>
    </row>
    <row r="710">
      <c r="A710" s="54" t="n">
        <v>38961</v>
      </c>
      <c r="B710" s="55" t="n">
        <v>52.2</v>
      </c>
      <c r="C710" s="56" t="n">
        <v>1335.849976</v>
      </c>
      <c r="D710" s="62">
        <f>(Table7[[#This Row],[S&amp;P]]-C698)/C698</f>
        <v/>
      </c>
      <c r="F710" s="3" t="n"/>
      <c r="K710" s="2" t="n"/>
    </row>
    <row r="711">
      <c r="A711" s="54" t="n">
        <v>38991</v>
      </c>
      <c r="B711" s="55" t="n">
        <v>51.4</v>
      </c>
      <c r="C711" s="56" t="n">
        <v>1377.939941</v>
      </c>
      <c r="D711" s="62">
        <f>(Table7[[#This Row],[S&amp;P]]-C699)/C699</f>
        <v/>
      </c>
      <c r="F711" s="3" t="n"/>
      <c r="K711" s="2" t="n"/>
    </row>
    <row r="712">
      <c r="A712" s="54" t="n">
        <v>39022</v>
      </c>
      <c r="B712" s="55" t="n">
        <v>50.3</v>
      </c>
      <c r="C712" s="56" t="n">
        <v>1400.630005</v>
      </c>
      <c r="D712" s="62">
        <f>(Table7[[#This Row],[S&amp;P]]-C700)/C700</f>
        <v/>
      </c>
      <c r="F712" s="3" t="n"/>
      <c r="K712" s="2" t="n"/>
    </row>
    <row r="713">
      <c r="A713" s="54" t="n">
        <v>39052</v>
      </c>
      <c r="B713" s="55" t="n">
        <v>51.4</v>
      </c>
      <c r="C713" s="56" t="n">
        <v>1418.300049</v>
      </c>
      <c r="D713" s="62">
        <f>(Table7[[#This Row],[S&amp;P]]-C701)/C701</f>
        <v/>
      </c>
      <c r="F713" s="3" t="n"/>
      <c r="K713" s="2" t="n"/>
    </row>
    <row r="714">
      <c r="A714" s="54" t="n">
        <v>39083</v>
      </c>
      <c r="B714" s="55" t="n">
        <v>50.4</v>
      </c>
      <c r="C714" s="56" t="n">
        <v>1438.23999</v>
      </c>
      <c r="D714" s="62">
        <f>(Table7[[#This Row],[S&amp;P]]-C702)/C702</f>
        <v/>
      </c>
      <c r="F714" s="3" t="n"/>
      <c r="K714" s="2" t="n"/>
    </row>
    <row r="715">
      <c r="A715" s="54" t="n">
        <v>39114</v>
      </c>
      <c r="B715" s="55" t="n">
        <v>54.1</v>
      </c>
      <c r="C715" s="56" t="n">
        <v>1406.819946</v>
      </c>
      <c r="D715" s="62">
        <f>(Table7[[#This Row],[S&amp;P]]-C703)/C703</f>
        <v/>
      </c>
      <c r="F715" s="3" t="n"/>
      <c r="K715" s="2" t="n"/>
    </row>
    <row r="716">
      <c r="A716" s="54" t="n">
        <v>39142</v>
      </c>
      <c r="B716" s="55" t="n">
        <v>52.8</v>
      </c>
      <c r="C716" s="56" t="n">
        <v>1420.859985</v>
      </c>
      <c r="D716" s="62">
        <f>(Table7[[#This Row],[S&amp;P]]-C704)/C704</f>
        <v/>
      </c>
      <c r="F716" s="3" t="n"/>
      <c r="K716" s="2" t="n"/>
    </row>
    <row r="717">
      <c r="A717" s="54" t="n">
        <v>39173</v>
      </c>
      <c r="B717" s="55" t="n">
        <v>52.7</v>
      </c>
      <c r="C717" s="56" t="n">
        <v>1482.369995</v>
      </c>
      <c r="D717" s="62">
        <f>(Table7[[#This Row],[S&amp;P]]-C705)/C705</f>
        <v/>
      </c>
      <c r="F717" s="3" t="n"/>
      <c r="K717" s="2" t="n"/>
    </row>
    <row r="718">
      <c r="A718" s="54" t="n">
        <v>39203</v>
      </c>
      <c r="B718" s="55" t="n">
        <v>53.1</v>
      </c>
      <c r="C718" s="56" t="n">
        <v>1530.619995</v>
      </c>
      <c r="D718" s="62">
        <f>(Table7[[#This Row],[S&amp;P]]-C706)/C706</f>
        <v/>
      </c>
      <c r="F718" s="3" t="n"/>
      <c r="K718" s="2" t="n"/>
    </row>
    <row r="719">
      <c r="A719" s="54" t="n">
        <v>39234</v>
      </c>
      <c r="B719" s="55" t="n">
        <v>54</v>
      </c>
      <c r="C719" s="56" t="n">
        <v>1503.349976</v>
      </c>
      <c r="D719" s="62">
        <f>(Table7[[#This Row],[S&amp;P]]-C707)/C707</f>
        <v/>
      </c>
      <c r="F719" s="3" t="n"/>
      <c r="K719" s="2" t="n"/>
    </row>
    <row r="720">
      <c r="A720" s="54" t="n">
        <v>39264</v>
      </c>
      <c r="B720" s="55" t="n">
        <v>51.8</v>
      </c>
      <c r="C720" s="56" t="n">
        <v>1455.27002</v>
      </c>
      <c r="D720" s="62">
        <f>(Table7[[#This Row],[S&amp;P]]-C708)/C708</f>
        <v/>
      </c>
      <c r="F720" s="3" t="n"/>
      <c r="K720" s="2" t="n"/>
    </row>
    <row r="721">
      <c r="A721" s="54" t="n">
        <v>39295</v>
      </c>
      <c r="B721" s="55" t="n">
        <v>52.2</v>
      </c>
      <c r="C721" s="56" t="n">
        <v>1473.98999</v>
      </c>
      <c r="D721" s="62">
        <f>(Table7[[#This Row],[S&amp;P]]-C709)/C709</f>
        <v/>
      </c>
      <c r="F721" s="3" t="n"/>
      <c r="K721" s="2" t="n"/>
    </row>
    <row r="722">
      <c r="A722" s="54" t="n">
        <v>39326</v>
      </c>
      <c r="B722" s="55" t="n">
        <v>53.8</v>
      </c>
      <c r="C722" s="56" t="n">
        <v>1526.75</v>
      </c>
      <c r="D722" s="62">
        <f>(Table7[[#This Row],[S&amp;P]]-C710)/C710</f>
        <v/>
      </c>
      <c r="F722" s="3" t="n"/>
      <c r="K722" s="2" t="n"/>
    </row>
    <row r="723">
      <c r="A723" s="54" t="n">
        <v>39356</v>
      </c>
      <c r="B723" s="55" t="n">
        <v>52.8</v>
      </c>
      <c r="C723" s="56" t="n">
        <v>1549.380005</v>
      </c>
      <c r="D723" s="62">
        <f>(Table7[[#This Row],[S&amp;P]]-C711)/C711</f>
        <v/>
      </c>
      <c r="F723" s="3" t="n"/>
      <c r="K723" s="2" t="n"/>
    </row>
    <row r="724">
      <c r="A724" s="54" t="n">
        <v>39387</v>
      </c>
      <c r="B724" s="55" t="n">
        <v>51.5</v>
      </c>
      <c r="C724" s="56" t="n">
        <v>1481.140015</v>
      </c>
      <c r="D724" s="62">
        <f>(Table7[[#This Row],[S&amp;P]]-C712)/C712</f>
        <v/>
      </c>
      <c r="F724" s="3" t="n"/>
      <c r="K724" s="2" t="n"/>
    </row>
    <row r="725">
      <c r="A725" s="54" t="n">
        <v>39417</v>
      </c>
      <c r="B725" s="55" t="n">
        <v>50.1</v>
      </c>
      <c r="C725" s="56" t="n">
        <v>1468.359985</v>
      </c>
      <c r="D725" s="62">
        <f>(Table7[[#This Row],[S&amp;P]]-C713)/C713</f>
        <v/>
      </c>
      <c r="F725" s="3" t="n"/>
      <c r="K725" s="2" t="n"/>
    </row>
    <row r="726">
      <c r="A726" s="54" t="n">
        <v>39448</v>
      </c>
      <c r="B726" s="55" t="n">
        <v>50.9</v>
      </c>
      <c r="C726" s="56" t="n">
        <v>1378.550049</v>
      </c>
      <c r="D726" s="62">
        <f>(Table7[[#This Row],[S&amp;P]]-C714)/C714</f>
        <v/>
      </c>
      <c r="F726" s="3" t="n"/>
      <c r="K726" s="2" t="n"/>
    </row>
    <row r="727">
      <c r="A727" s="54" t="n">
        <v>39479</v>
      </c>
      <c r="B727" s="55" t="n">
        <v>48.8</v>
      </c>
      <c r="C727" s="56" t="n">
        <v>1330.630005</v>
      </c>
      <c r="D727" s="62">
        <f>(Table7[[#This Row],[S&amp;P]]-C715)/C715</f>
        <v/>
      </c>
      <c r="F727" s="3" t="n"/>
      <c r="K727" s="2" t="n"/>
    </row>
    <row r="728">
      <c r="A728" s="54" t="n">
        <v>39508</v>
      </c>
      <c r="B728" s="55" t="n">
        <v>49.7</v>
      </c>
      <c r="C728" s="56" t="n">
        <v>1322.699951</v>
      </c>
      <c r="D728" s="62">
        <f>(Table7[[#This Row],[S&amp;P]]-C716)/C716</f>
        <v/>
      </c>
      <c r="F728" s="3" t="n"/>
      <c r="K728" s="2" t="n"/>
    </row>
    <row r="729">
      <c r="A729" s="54" t="n">
        <v>39539</v>
      </c>
      <c r="B729" s="55" t="n">
        <v>48.5</v>
      </c>
      <c r="C729" s="56" t="n">
        <v>1385.589966</v>
      </c>
      <c r="D729" s="62">
        <f>(Table7[[#This Row],[S&amp;P]]-C717)/C717</f>
        <v/>
      </c>
      <c r="F729" s="3" t="n"/>
      <c r="K729" s="2" t="n"/>
    </row>
    <row r="730">
      <c r="A730" s="54" t="n">
        <v>39569</v>
      </c>
      <c r="B730" s="55" t="n">
        <v>48.9</v>
      </c>
      <c r="C730" s="56" t="n">
        <v>1400.380005</v>
      </c>
      <c r="D730" s="62">
        <f>(Table7[[#This Row],[S&amp;P]]-C718)/C718</f>
        <v/>
      </c>
      <c r="F730" s="3" t="n"/>
      <c r="K730" s="2" t="n"/>
    </row>
    <row r="731">
      <c r="A731" s="54" t="n">
        <v>39600</v>
      </c>
      <c r="B731" s="55" t="n">
        <v>49.9</v>
      </c>
      <c r="C731" s="56" t="n">
        <v>1280</v>
      </c>
      <c r="D731" s="62">
        <f>(Table7[[#This Row],[S&amp;P]]-C719)/C719</f>
        <v/>
      </c>
      <c r="F731" s="3" t="n"/>
      <c r="K731" s="2" t="n"/>
    </row>
    <row r="732">
      <c r="A732" s="54" t="n">
        <v>39630</v>
      </c>
      <c r="B732" s="55" t="n">
        <v>50.8</v>
      </c>
      <c r="C732" s="56" t="n">
        <v>1267.380005</v>
      </c>
      <c r="D732" s="62">
        <f>(Table7[[#This Row],[S&amp;P]]-C720)/C720</f>
        <v/>
      </c>
      <c r="F732" s="3" t="n"/>
      <c r="K732" s="2" t="n"/>
    </row>
    <row r="733">
      <c r="A733" s="54" t="n">
        <v>39661</v>
      </c>
      <c r="B733" s="55" t="n">
        <v>50.1</v>
      </c>
      <c r="C733" s="56" t="n">
        <v>1282.829956</v>
      </c>
      <c r="D733" s="62">
        <f>(Table7[[#This Row],[S&amp;P]]-C721)/C721</f>
        <v/>
      </c>
      <c r="F733" s="3" t="n"/>
      <c r="K733" s="2" t="n"/>
    </row>
    <row r="734">
      <c r="A734" s="54" t="n">
        <v>39692</v>
      </c>
      <c r="B734" s="55" t="n">
        <v>47.2</v>
      </c>
      <c r="C734" s="56" t="n">
        <v>1166.359985</v>
      </c>
      <c r="D734" s="62">
        <f>(Table7[[#This Row],[S&amp;P]]-C722)/C722</f>
        <v/>
      </c>
      <c r="F734" s="3" t="n"/>
      <c r="K734" s="2" t="n"/>
    </row>
    <row r="735">
      <c r="A735" s="54" t="n">
        <v>39722</v>
      </c>
      <c r="B735" s="55" t="n">
        <v>38.2</v>
      </c>
      <c r="C735" s="56" t="n">
        <v>968.75</v>
      </c>
      <c r="D735" s="62">
        <f>(Table7[[#This Row],[S&amp;P]]-C723)/C723</f>
        <v/>
      </c>
      <c r="F735" s="3" t="n"/>
      <c r="K735" s="2" t="n"/>
    </row>
    <row r="736">
      <c r="A736" s="54" t="n">
        <v>39753</v>
      </c>
      <c r="B736" s="55" t="n">
        <v>39</v>
      </c>
      <c r="C736" s="56" t="n">
        <v>896.23999</v>
      </c>
      <c r="D736" s="62">
        <f>(Table7[[#This Row],[S&amp;P]]-C724)/C724</f>
        <v/>
      </c>
      <c r="F736" s="3" t="n"/>
      <c r="K736" s="2" t="n"/>
    </row>
    <row r="737">
      <c r="A737" s="54" t="n">
        <v>39783</v>
      </c>
      <c r="B737" s="55" t="n">
        <v>34.5</v>
      </c>
      <c r="C737" s="56" t="n">
        <v>903.25</v>
      </c>
      <c r="D737" s="62">
        <f>(Table7[[#This Row],[S&amp;P]]-C725)/C725</f>
        <v/>
      </c>
      <c r="F737" s="3" t="n"/>
      <c r="K737" s="2" t="n"/>
    </row>
    <row r="738">
      <c r="A738" s="54" t="n">
        <v>39814</v>
      </c>
      <c r="B738" s="55" t="n">
        <v>36.4</v>
      </c>
      <c r="C738" s="56" t="n">
        <v>825.880005</v>
      </c>
      <c r="D738" s="62">
        <f>(Table7[[#This Row],[S&amp;P]]-C726)/C726</f>
        <v/>
      </c>
      <c r="F738" s="3" t="n"/>
      <c r="K738" s="2" t="n"/>
    </row>
    <row r="739">
      <c r="A739" s="54" t="n">
        <v>39845</v>
      </c>
      <c r="B739" s="55" t="n">
        <v>36.6</v>
      </c>
      <c r="C739" s="56" t="n">
        <v>735.090027</v>
      </c>
      <c r="D739" s="62">
        <f>(Table7[[#This Row],[S&amp;P]]-C727)/C727</f>
        <v/>
      </c>
      <c r="F739" s="3" t="n"/>
      <c r="K739" s="2" t="n"/>
    </row>
    <row r="740">
      <c r="A740" s="54" t="n">
        <v>39873</v>
      </c>
      <c r="B740" s="55" t="n">
        <v>37.2</v>
      </c>
      <c r="C740" s="56" t="n">
        <v>797.869995</v>
      </c>
      <c r="D740" s="62">
        <f>(Table7[[#This Row],[S&amp;P]]-C728)/C728</f>
        <v/>
      </c>
      <c r="F740" s="3" t="n"/>
      <c r="K740" s="2" t="n"/>
    </row>
    <row r="741">
      <c r="A741" s="54" t="n">
        <v>39904</v>
      </c>
      <c r="B741" s="55" t="n">
        <v>39.9</v>
      </c>
      <c r="C741" s="56" t="n">
        <v>872.809998</v>
      </c>
      <c r="D741" s="62">
        <f>(Table7[[#This Row],[S&amp;P]]-C729)/C729</f>
        <v/>
      </c>
      <c r="F741" s="3" t="n"/>
      <c r="K741" s="2" t="n"/>
    </row>
    <row r="742">
      <c r="A742" s="54" t="n">
        <v>39934</v>
      </c>
      <c r="B742" s="55" t="n">
        <v>44.1</v>
      </c>
      <c r="C742" s="56" t="n">
        <v>919.1400149999999</v>
      </c>
      <c r="D742" s="62">
        <f>(Table7[[#This Row],[S&amp;P]]-C730)/C730</f>
        <v/>
      </c>
      <c r="F742" s="3" t="n"/>
      <c r="K742" s="2" t="n"/>
    </row>
    <row r="743">
      <c r="A743" s="54" t="n">
        <v>39965</v>
      </c>
      <c r="B743" s="55" t="n">
        <v>46.3</v>
      </c>
      <c r="C743" s="56" t="n">
        <v>919.320007</v>
      </c>
      <c r="D743" s="62">
        <f>(Table7[[#This Row],[S&amp;P]]-C731)/C731</f>
        <v/>
      </c>
      <c r="F743" s="3" t="n"/>
      <c r="K743" s="2" t="n"/>
    </row>
    <row r="744">
      <c r="A744" s="54" t="n">
        <v>39995</v>
      </c>
      <c r="B744" s="55" t="n">
        <v>49.7</v>
      </c>
      <c r="C744" s="56" t="n">
        <v>987.47998</v>
      </c>
      <c r="D744" s="62">
        <f>(Table7[[#This Row],[S&amp;P]]-C732)/C732</f>
        <v/>
      </c>
      <c r="F744" s="3" t="n"/>
      <c r="K744" s="2" t="n"/>
    </row>
    <row r="745">
      <c r="A745" s="54" t="n">
        <v>40026</v>
      </c>
      <c r="B745" s="55" t="n">
        <v>53.4</v>
      </c>
      <c r="C745" s="56" t="n">
        <v>1020.619995</v>
      </c>
      <c r="D745" s="62">
        <f>(Table7[[#This Row],[S&amp;P]]-C733)/C733</f>
        <v/>
      </c>
      <c r="F745" s="3" t="n"/>
      <c r="K745" s="2" t="n"/>
    </row>
    <row r="746">
      <c r="A746" s="54" t="n">
        <v>40057</v>
      </c>
      <c r="B746" s="55" t="n">
        <v>54.9</v>
      </c>
      <c r="C746" s="56" t="n">
        <v>1057.079956</v>
      </c>
      <c r="D746" s="62">
        <f>(Table7[[#This Row],[S&amp;P]]-C734)/C734</f>
        <v/>
      </c>
      <c r="F746" s="3" t="n"/>
      <c r="K746" s="2" t="n"/>
    </row>
    <row r="747">
      <c r="A747" s="54" t="n">
        <v>40087</v>
      </c>
      <c r="B747" s="55" t="n">
        <v>57.6</v>
      </c>
      <c r="C747" s="56" t="n">
        <v>1036.189941</v>
      </c>
      <c r="D747" s="62">
        <f>(Table7[[#This Row],[S&amp;P]]-C735)/C735</f>
        <v/>
      </c>
      <c r="F747" s="3" t="n"/>
      <c r="K747" s="2" t="n"/>
    </row>
    <row r="748">
      <c r="A748" s="54" t="n">
        <v>40118</v>
      </c>
      <c r="B748" s="55" t="n">
        <v>55.4</v>
      </c>
      <c r="C748" s="56" t="n">
        <v>1095.630005</v>
      </c>
      <c r="D748" s="62">
        <f>(Table7[[#This Row],[S&amp;P]]-C736)/C736</f>
        <v/>
      </c>
      <c r="F748" s="3" t="n"/>
      <c r="K748" s="2" t="n"/>
    </row>
    <row r="749">
      <c r="A749" s="54" t="n">
        <v>40148</v>
      </c>
      <c r="B749" s="55" t="n">
        <v>55.8</v>
      </c>
      <c r="C749" s="56" t="n">
        <v>1115.099976</v>
      </c>
      <c r="D749" s="62">
        <f>(Table7[[#This Row],[S&amp;P]]-C737)/C737</f>
        <v/>
      </c>
      <c r="F749" s="3" t="n"/>
      <c r="K749" s="2" t="n"/>
    </row>
    <row r="750">
      <c r="A750" s="54" t="n">
        <v>40179</v>
      </c>
      <c r="B750" s="55" t="n">
        <v>56.3</v>
      </c>
      <c r="C750" s="56" t="n">
        <v>1073.869995</v>
      </c>
      <c r="D750" s="62">
        <f>(Table7[[#This Row],[S&amp;P]]-C738)/C738</f>
        <v/>
      </c>
      <c r="F750" s="3" t="n"/>
      <c r="K750" s="2" t="n"/>
    </row>
    <row r="751">
      <c r="A751" s="54" t="n">
        <v>40210</v>
      </c>
      <c r="B751" s="55" t="n">
        <v>55.5</v>
      </c>
      <c r="C751" s="56" t="n">
        <v>1104.48999</v>
      </c>
      <c r="D751" s="62">
        <f>(Table7[[#This Row],[S&amp;P]]-C739)/C739</f>
        <v/>
      </c>
      <c r="F751" s="3" t="n"/>
      <c r="K751" s="2" t="n"/>
    </row>
    <row r="752">
      <c r="A752" s="54" t="n">
        <v>40238</v>
      </c>
      <c r="B752" s="55" t="n">
        <v>58.8</v>
      </c>
      <c r="C752" s="56" t="n">
        <v>1169.430054</v>
      </c>
      <c r="D752" s="62">
        <f>(Table7[[#This Row],[S&amp;P]]-C740)/C740</f>
        <v/>
      </c>
      <c r="F752" s="3" t="n"/>
      <c r="K752" s="2" t="n"/>
    </row>
    <row r="753">
      <c r="A753" s="54" t="n">
        <v>40269</v>
      </c>
      <c r="B753" s="55" t="n">
        <v>58.1</v>
      </c>
      <c r="C753" s="56" t="n">
        <v>1186.689941</v>
      </c>
      <c r="D753" s="62">
        <f>(Table7[[#This Row],[S&amp;P]]-C741)/C741</f>
        <v/>
      </c>
      <c r="F753" s="3" t="n"/>
      <c r="K753" s="2" t="n"/>
    </row>
    <row r="754">
      <c r="A754" s="54" t="n">
        <v>40299</v>
      </c>
      <c r="B754" s="55" t="n">
        <v>57.4</v>
      </c>
      <c r="C754" s="56" t="n">
        <v>1089.410034</v>
      </c>
      <c r="D754" s="62">
        <f>(Table7[[#This Row],[S&amp;P]]-C742)/C742</f>
        <v/>
      </c>
      <c r="F754" s="3" t="n"/>
      <c r="K754" s="2" t="n"/>
    </row>
    <row r="755">
      <c r="A755" s="54" t="n">
        <v>40330</v>
      </c>
      <c r="B755" s="55" t="n">
        <v>56.5</v>
      </c>
      <c r="C755" s="56" t="n">
        <v>1030.709961</v>
      </c>
      <c r="D755" s="62">
        <f>(Table7[[#This Row],[S&amp;P]]-C743)/C743</f>
        <v/>
      </c>
      <c r="F755" s="3" t="n"/>
      <c r="K755" s="2" t="n"/>
    </row>
    <row r="756">
      <c r="A756" s="54" t="n">
        <v>40360</v>
      </c>
      <c r="B756" s="55" t="n">
        <v>56.1</v>
      </c>
      <c r="C756" s="56" t="n">
        <v>1101.599976</v>
      </c>
      <c r="D756" s="62">
        <f>(Table7[[#This Row],[S&amp;P]]-C744)/C744</f>
        <v/>
      </c>
      <c r="F756" s="3" t="n"/>
      <c r="K756" s="2" t="n"/>
    </row>
    <row r="757">
      <c r="A757" s="54" t="n">
        <v>40391</v>
      </c>
      <c r="B757" s="55" t="n">
        <v>56.4</v>
      </c>
      <c r="C757" s="56" t="n">
        <v>1049.329956</v>
      </c>
      <c r="D757" s="62">
        <f>(Table7[[#This Row],[S&amp;P]]-C745)/C745</f>
        <v/>
      </c>
      <c r="F757" s="3" t="n"/>
      <c r="K757" s="2" t="n"/>
    </row>
    <row r="758">
      <c r="A758" s="54" t="n">
        <v>40422</v>
      </c>
      <c r="B758" s="55" t="n">
        <v>55.3</v>
      </c>
      <c r="C758" s="56" t="n">
        <v>1141.199951</v>
      </c>
      <c r="D758" s="62">
        <f>(Table7[[#This Row],[S&amp;P]]-C746)/C746</f>
        <v/>
      </c>
      <c r="F758" s="3" t="n"/>
      <c r="K758" s="2" t="n"/>
    </row>
    <row r="759">
      <c r="A759" s="54" t="n">
        <v>40452</v>
      </c>
      <c r="B759" s="55" t="n">
        <v>56.9</v>
      </c>
      <c r="C759" s="56" t="n">
        <v>1183.26001</v>
      </c>
      <c r="D759" s="62">
        <f>(Table7[[#This Row],[S&amp;P]]-C747)/C747</f>
        <v/>
      </c>
      <c r="F759" s="3" t="n"/>
      <c r="K759" s="2" t="n"/>
    </row>
    <row r="760">
      <c r="A760" s="54" t="n">
        <v>40483</v>
      </c>
      <c r="B760" s="55" t="n">
        <v>57.3</v>
      </c>
      <c r="C760" s="56" t="n">
        <v>1180.550049</v>
      </c>
      <c r="D760" s="62">
        <f>(Table7[[#This Row],[S&amp;P]]-C748)/C748</f>
        <v/>
      </c>
      <c r="F760" s="3" t="n"/>
      <c r="K760" s="2" t="n"/>
    </row>
    <row r="761">
      <c r="A761" s="54" t="n">
        <v>40513</v>
      </c>
      <c r="B761" s="55" t="n">
        <v>56.6</v>
      </c>
      <c r="C761" s="56" t="n">
        <v>1257.640015</v>
      </c>
      <c r="D761" s="62">
        <f>(Table7[[#This Row],[S&amp;P]]-C749)/C749</f>
        <v/>
      </c>
      <c r="F761" s="3" t="n"/>
      <c r="K761" s="2" t="n"/>
    </row>
    <row r="762">
      <c r="A762" s="54" t="n">
        <v>40544</v>
      </c>
      <c r="B762" s="55" t="n">
        <v>59.1</v>
      </c>
      <c r="C762" s="56" t="n">
        <v>1286.119995</v>
      </c>
      <c r="D762" s="62">
        <f>(Table7[[#This Row],[S&amp;P]]-C750)/C750</f>
        <v/>
      </c>
      <c r="F762" s="3" t="n"/>
      <c r="K762" s="2" t="n"/>
    </row>
    <row r="763">
      <c r="A763" s="54" t="n">
        <v>40575</v>
      </c>
      <c r="B763" s="55" t="n">
        <v>59.2</v>
      </c>
      <c r="C763" s="56" t="n">
        <v>1327.219971</v>
      </c>
      <c r="D763" s="62">
        <f>(Table7[[#This Row],[S&amp;P]]-C751)/C751</f>
        <v/>
      </c>
      <c r="F763" s="3" t="n"/>
      <c r="K763" s="2" t="n"/>
    </row>
    <row r="764">
      <c r="A764" s="54" t="n">
        <v>40603</v>
      </c>
      <c r="B764" s="55" t="n">
        <v>58.4</v>
      </c>
      <c r="C764" s="56" t="n">
        <v>1325.829956</v>
      </c>
      <c r="D764" s="62">
        <f>(Table7[[#This Row],[S&amp;P]]-C752)/C752</f>
        <v/>
      </c>
      <c r="F764" s="3" t="n"/>
      <c r="K764" s="2" t="n"/>
    </row>
    <row r="765">
      <c r="A765" s="54" t="n">
        <v>40634</v>
      </c>
      <c r="B765" s="55" t="n">
        <v>57.9</v>
      </c>
      <c r="C765" s="56" t="n">
        <v>1363.609985</v>
      </c>
      <c r="D765" s="62">
        <f>(Table7[[#This Row],[S&amp;P]]-C753)/C753</f>
        <v/>
      </c>
      <c r="F765" s="3" t="n"/>
      <c r="K765" s="2" t="n"/>
    </row>
    <row r="766">
      <c r="A766" s="54" t="n">
        <v>40664</v>
      </c>
      <c r="B766" s="55" t="n">
        <v>54.8</v>
      </c>
      <c r="C766" s="56" t="n">
        <v>1345.199951</v>
      </c>
      <c r="D766" s="62">
        <f>(Table7[[#This Row],[S&amp;P]]-C754)/C754</f>
        <v/>
      </c>
      <c r="F766" s="3" t="n"/>
      <c r="K766" s="2" t="n"/>
    </row>
    <row r="767">
      <c r="A767" s="54" t="n">
        <v>40695</v>
      </c>
      <c r="B767" s="55" t="n">
        <v>55.8</v>
      </c>
      <c r="C767" s="56" t="n">
        <v>1320.640015</v>
      </c>
      <c r="D767" s="62">
        <f>(Table7[[#This Row],[S&amp;P]]-C755)/C755</f>
        <v/>
      </c>
      <c r="F767" s="3" t="n"/>
      <c r="K767" s="2" t="n"/>
    </row>
    <row r="768">
      <c r="A768" s="54" t="n">
        <v>40725</v>
      </c>
      <c r="B768" s="55" t="n">
        <v>52.9</v>
      </c>
      <c r="C768" s="56" t="n">
        <v>1292.280029</v>
      </c>
      <c r="D768" s="62">
        <f>(Table7[[#This Row],[S&amp;P]]-C756)/C756</f>
        <v/>
      </c>
      <c r="F768" s="3" t="n"/>
      <c r="K768" s="2" t="n"/>
    </row>
    <row r="769">
      <c r="A769" s="54" t="n">
        <v>40756</v>
      </c>
      <c r="B769" s="55" t="n">
        <v>52.6</v>
      </c>
      <c r="C769" s="56" t="n">
        <v>1218.890015</v>
      </c>
      <c r="D769" s="62">
        <f>(Table7[[#This Row],[S&amp;P]]-C757)/C757</f>
        <v/>
      </c>
      <c r="F769" s="3" t="n"/>
      <c r="K769" s="2" t="n"/>
    </row>
    <row r="770">
      <c r="A770" s="54" t="n">
        <v>40787</v>
      </c>
      <c r="B770" s="55" t="n">
        <v>53.7</v>
      </c>
      <c r="C770" s="56" t="n">
        <v>1131.420044</v>
      </c>
      <c r="D770" s="62">
        <f>(Table7[[#This Row],[S&amp;P]]-C758)/C758</f>
        <v/>
      </c>
      <c r="F770" s="3" t="n"/>
      <c r="K770" s="2" t="n"/>
    </row>
    <row r="771">
      <c r="A771" s="54" t="n">
        <v>40817</v>
      </c>
      <c r="B771" s="55" t="n">
        <v>51.4</v>
      </c>
      <c r="C771" s="56" t="n">
        <v>1253.300049</v>
      </c>
      <c r="D771" s="62">
        <f>(Table7[[#This Row],[S&amp;P]]-C759)/C759</f>
        <v/>
      </c>
      <c r="F771" s="3" t="n"/>
      <c r="K771" s="2" t="n"/>
    </row>
    <row r="772">
      <c r="A772" s="54" t="n">
        <v>40848</v>
      </c>
      <c r="B772" s="55" t="n">
        <v>51.8</v>
      </c>
      <c r="C772" s="56" t="n">
        <v>1246.959961</v>
      </c>
      <c r="D772" s="62">
        <f>(Table7[[#This Row],[S&amp;P]]-C760)/C760</f>
        <v/>
      </c>
      <c r="F772" s="3" t="n"/>
      <c r="K772" s="2" t="n"/>
    </row>
    <row r="773">
      <c r="A773" s="54" t="n">
        <v>40878</v>
      </c>
      <c r="B773" s="55" t="n">
        <v>53</v>
      </c>
      <c r="C773" s="56" t="n">
        <v>1257.599976</v>
      </c>
      <c r="D773" s="62">
        <f>(Table7[[#This Row],[S&amp;P]]-C761)/C761</f>
        <v/>
      </c>
      <c r="F773" s="3" t="n"/>
      <c r="K773" s="2" t="n"/>
    </row>
    <row r="774">
      <c r="A774" s="54" t="n">
        <v>40909</v>
      </c>
      <c r="B774" s="55" t="n">
        <v>52.6</v>
      </c>
      <c r="C774" s="56" t="n">
        <v>1312.410034</v>
      </c>
      <c r="D774" s="62">
        <f>(Table7[[#This Row],[S&amp;P]]-C762)/C762</f>
        <v/>
      </c>
      <c r="F774" s="3" t="n"/>
      <c r="K774" s="2" t="n"/>
    </row>
    <row r="775">
      <c r="A775" s="54" t="n">
        <v>40940</v>
      </c>
      <c r="B775" s="55" t="n">
        <v>53.1</v>
      </c>
      <c r="C775" s="56" t="n">
        <v>1365.680054</v>
      </c>
      <c r="D775" s="62">
        <f>(Table7[[#This Row],[S&amp;P]]-C763)/C763</f>
        <v/>
      </c>
      <c r="F775" s="3" t="n"/>
      <c r="K775" s="2" t="n"/>
    </row>
    <row r="776">
      <c r="A776" s="54" t="n">
        <v>40969</v>
      </c>
      <c r="B776" s="55" t="n">
        <v>53.5</v>
      </c>
      <c r="C776" s="56" t="n">
        <v>1408.469971</v>
      </c>
      <c r="D776" s="62">
        <f>(Table7[[#This Row],[S&amp;P]]-C764)/C764</f>
        <v/>
      </c>
      <c r="F776" s="3" t="n"/>
      <c r="K776" s="2" t="n"/>
    </row>
    <row r="777">
      <c r="A777" s="54" t="n">
        <v>41000</v>
      </c>
      <c r="B777" s="55" t="n">
        <v>53.5</v>
      </c>
      <c r="C777" s="56" t="n">
        <v>1397.910034</v>
      </c>
      <c r="D777" s="62">
        <f>(Table7[[#This Row],[S&amp;P]]-C765)/C765</f>
        <v/>
      </c>
      <c r="F777" s="3" t="n"/>
      <c r="K777" s="2" t="n"/>
    </row>
    <row r="778">
      <c r="A778" s="54" t="n">
        <v>41030</v>
      </c>
      <c r="B778" s="55" t="n">
        <v>52.6</v>
      </c>
      <c r="C778" s="56" t="n">
        <v>1310.329956</v>
      </c>
      <c r="D778" s="62">
        <f>(Table7[[#This Row],[S&amp;P]]-C766)/C766</f>
        <v/>
      </c>
      <c r="F778" s="3" t="n"/>
      <c r="K778" s="2" t="n"/>
    </row>
    <row r="779">
      <c r="A779" s="54" t="n">
        <v>41061</v>
      </c>
      <c r="B779" s="55" t="n">
        <v>49.7</v>
      </c>
      <c r="C779" s="56" t="n">
        <v>1362.160034</v>
      </c>
      <c r="D779" s="62">
        <f>(Table7[[#This Row],[S&amp;P]]-C767)/C767</f>
        <v/>
      </c>
      <c r="F779" s="3" t="n"/>
      <c r="K779" s="2" t="n"/>
    </row>
    <row r="780">
      <c r="A780" s="54" t="n">
        <v>41091</v>
      </c>
      <c r="B780" s="55" t="n">
        <v>50</v>
      </c>
      <c r="C780" s="56" t="n">
        <v>1379.319946</v>
      </c>
      <c r="D780" s="62">
        <f>(Table7[[#This Row],[S&amp;P]]-C768)/C768</f>
        <v/>
      </c>
      <c r="F780" s="3" t="n"/>
      <c r="K780" s="2" t="n"/>
    </row>
    <row r="781">
      <c r="A781" s="54" t="n">
        <v>41122</v>
      </c>
      <c r="B781" s="55" t="n">
        <v>50.2</v>
      </c>
      <c r="C781" s="56" t="n">
        <v>1406.579956</v>
      </c>
      <c r="D781" s="62">
        <f>(Table7[[#This Row],[S&amp;P]]-C769)/C769</f>
        <v/>
      </c>
      <c r="F781" s="3" t="n"/>
      <c r="K781" s="2" t="n"/>
    </row>
    <row r="782">
      <c r="A782" s="54" t="n">
        <v>41153</v>
      </c>
      <c r="B782" s="55" t="n">
        <v>51.8</v>
      </c>
      <c r="C782" s="56" t="n">
        <v>1440.670044</v>
      </c>
      <c r="D782" s="62">
        <f>(Table7[[#This Row],[S&amp;P]]-C770)/C770</f>
        <v/>
      </c>
      <c r="F782" s="3" t="n"/>
      <c r="K782" s="2" t="n"/>
    </row>
    <row r="783">
      <c r="A783" s="54" t="n">
        <v>41183</v>
      </c>
      <c r="B783" s="55" t="n">
        <v>50.7</v>
      </c>
      <c r="C783" s="56" t="n">
        <v>1412.160034</v>
      </c>
      <c r="D783" s="62">
        <f>(Table7[[#This Row],[S&amp;P]]-C771)/C771</f>
        <v/>
      </c>
      <c r="F783" s="3" t="n"/>
      <c r="K783" s="2" t="n"/>
    </row>
    <row r="784">
      <c r="A784" s="54" t="n">
        <v>41214</v>
      </c>
      <c r="B784" s="55" t="n">
        <v>48.9</v>
      </c>
      <c r="C784" s="56" t="n">
        <v>1416.180054</v>
      </c>
      <c r="D784" s="62">
        <f>(Table7[[#This Row],[S&amp;P]]-C772)/C772</f>
        <v/>
      </c>
      <c r="F784" s="3" t="n"/>
      <c r="K784" s="2" t="n"/>
    </row>
    <row r="785">
      <c r="A785" s="54" t="n">
        <v>41244</v>
      </c>
      <c r="B785" s="55" t="n">
        <v>49.8</v>
      </c>
      <c r="C785" s="56" t="n">
        <v>1426.189941</v>
      </c>
      <c r="D785" s="62">
        <f>(Table7[[#This Row],[S&amp;P]]-C773)/C773</f>
        <v/>
      </c>
      <c r="F785" s="3" t="n"/>
      <c r="K785" s="2" t="n"/>
    </row>
    <row r="786">
      <c r="A786" s="54" t="n">
        <v>41275</v>
      </c>
      <c r="B786" s="55" t="n">
        <v>52</v>
      </c>
      <c r="C786" s="56" t="n">
        <v>1498.109985</v>
      </c>
      <c r="D786" s="62">
        <f>(Table7[[#This Row],[S&amp;P]]-C774)/C774</f>
        <v/>
      </c>
      <c r="F786" s="3" t="n"/>
      <c r="K786" s="2" t="n"/>
    </row>
    <row r="787">
      <c r="A787" s="54" t="n">
        <v>41306</v>
      </c>
      <c r="B787" s="55" t="n">
        <v>53.6</v>
      </c>
      <c r="C787" s="56" t="n">
        <v>1514.680054</v>
      </c>
      <c r="D787" s="62">
        <f>(Table7[[#This Row],[S&amp;P]]-C775)/C775</f>
        <v/>
      </c>
      <c r="F787" s="3" t="n"/>
      <c r="K787" s="2" t="n"/>
    </row>
    <row r="788">
      <c r="A788" s="54" t="n">
        <v>41334</v>
      </c>
      <c r="B788" s="55" t="n">
        <v>52</v>
      </c>
      <c r="C788" s="56" t="n">
        <v>1569.189941</v>
      </c>
      <c r="D788" s="62">
        <f>(Table7[[#This Row],[S&amp;P]]-C776)/C776</f>
        <v/>
      </c>
      <c r="F788" s="3" t="n"/>
      <c r="K788" s="2" t="n"/>
    </row>
    <row r="789">
      <c r="A789" s="54" t="n">
        <v>41365</v>
      </c>
      <c r="B789" s="55" t="n">
        <v>49.7</v>
      </c>
      <c r="C789" s="56" t="n">
        <v>1597.569946</v>
      </c>
      <c r="D789" s="62">
        <f>(Table7[[#This Row],[S&amp;P]]-C777)/C777</f>
        <v/>
      </c>
      <c r="F789" s="3" t="n"/>
      <c r="K789" s="2" t="n"/>
    </row>
    <row r="790">
      <c r="A790" s="54" t="n">
        <v>41395</v>
      </c>
      <c r="B790" s="55" t="n">
        <v>50.5</v>
      </c>
      <c r="C790" s="56" t="n">
        <v>1630.73999</v>
      </c>
      <c r="D790" s="62">
        <f>(Table7[[#This Row],[S&amp;P]]-C778)/C778</f>
        <v/>
      </c>
      <c r="F790" s="3" t="n"/>
      <c r="K790" s="2" t="n"/>
    </row>
    <row r="791">
      <c r="A791" s="54" t="n">
        <v>41426</v>
      </c>
      <c r="B791" s="55" t="n">
        <v>51.5</v>
      </c>
      <c r="C791" s="56" t="n">
        <v>1606.280029</v>
      </c>
      <c r="D791" s="62">
        <f>(Table7[[#This Row],[S&amp;P]]-C779)/C779</f>
        <v/>
      </c>
      <c r="F791" s="3" t="n"/>
      <c r="K791" s="2" t="n"/>
    </row>
    <row r="792">
      <c r="A792" s="54" t="n">
        <v>41456</v>
      </c>
      <c r="B792" s="55" t="n">
        <v>53.5</v>
      </c>
      <c r="C792" s="56" t="n">
        <v>1685.72998</v>
      </c>
      <c r="D792" s="62">
        <f>(Table7[[#This Row],[S&amp;P]]-C780)/C780</f>
        <v/>
      </c>
      <c r="F792" s="3" t="n"/>
      <c r="K792" s="2" t="n"/>
    </row>
    <row r="793">
      <c r="A793" s="54" t="n">
        <v>41487</v>
      </c>
      <c r="B793" s="55" t="n">
        <v>55.9</v>
      </c>
      <c r="C793" s="56" t="n">
        <v>1632.969971</v>
      </c>
      <c r="D793" s="62">
        <f>(Table7[[#This Row],[S&amp;P]]-C781)/C781</f>
        <v/>
      </c>
      <c r="F793" s="3" t="n"/>
      <c r="K793" s="2" t="n"/>
    </row>
    <row r="794">
      <c r="A794" s="54" t="n">
        <v>41518</v>
      </c>
      <c r="B794" s="55" t="n">
        <v>54.8</v>
      </c>
      <c r="C794" s="56" t="n">
        <v>1681.550049</v>
      </c>
      <c r="D794" s="62">
        <f>(Table7[[#This Row],[S&amp;P]]-C782)/C782</f>
        <v/>
      </c>
      <c r="F794" s="3" t="n"/>
      <c r="K794" s="2" t="n"/>
    </row>
    <row r="795">
      <c r="A795" s="54" t="n">
        <v>41548</v>
      </c>
      <c r="B795" s="55" t="n">
        <v>55.3</v>
      </c>
      <c r="C795" s="56" t="n">
        <v>1756.540039</v>
      </c>
      <c r="D795" s="62">
        <f>(Table7[[#This Row],[S&amp;P]]-C783)/C783</f>
        <v/>
      </c>
      <c r="F795" s="3" t="n"/>
      <c r="K795" s="2" t="n"/>
    </row>
    <row r="796">
      <c r="A796" s="54" t="n">
        <v>41579</v>
      </c>
      <c r="B796" s="55" t="n">
        <v>56.3</v>
      </c>
      <c r="C796" s="56" t="n">
        <v>1805.810059</v>
      </c>
      <c r="D796" s="62">
        <f>(Table7[[#This Row],[S&amp;P]]-C784)/C784</f>
        <v/>
      </c>
      <c r="F796" s="3" t="n"/>
      <c r="K796" s="2" t="n"/>
    </row>
    <row r="797">
      <c r="A797" s="54" t="n">
        <v>41609</v>
      </c>
      <c r="B797" s="55" t="n">
        <v>55.9</v>
      </c>
      <c r="C797" s="56" t="n">
        <v>1848.359985</v>
      </c>
      <c r="D797" s="62">
        <f>(Table7[[#This Row],[S&amp;P]]-C785)/C785</f>
        <v/>
      </c>
      <c r="F797" s="3" t="n"/>
      <c r="K797" s="2" t="n"/>
    </row>
    <row r="798">
      <c r="A798" s="54" t="n">
        <v>41640</v>
      </c>
      <c r="B798" s="55" t="n">
        <v>51.7</v>
      </c>
      <c r="C798" s="56" t="n">
        <v>1782.589966</v>
      </c>
      <c r="D798" s="62">
        <f>(Table7[[#This Row],[S&amp;P]]-C786)/C786</f>
        <v/>
      </c>
      <c r="F798" s="3" t="n"/>
      <c r="K798" s="2" t="n"/>
    </row>
    <row r="799">
      <c r="A799" s="54" t="n">
        <v>41671</v>
      </c>
      <c r="B799" s="55" t="n">
        <v>54.6</v>
      </c>
      <c r="C799" s="56" t="n">
        <v>1859.449951</v>
      </c>
      <c r="D799" s="62">
        <f>(Table7[[#This Row],[S&amp;P]]-C787)/C787</f>
        <v/>
      </c>
      <c r="F799" s="3" t="n"/>
      <c r="K799" s="2" t="n"/>
    </row>
    <row r="800">
      <c r="A800" s="54" t="n">
        <v>41699</v>
      </c>
      <c r="B800" s="55" t="n">
        <v>55.3</v>
      </c>
      <c r="C800" s="56" t="n">
        <v>1872.339966</v>
      </c>
      <c r="D800" s="62">
        <f>(Table7[[#This Row],[S&amp;P]]-C788)/C788</f>
        <v/>
      </c>
      <c r="F800" s="3" t="n"/>
      <c r="K800" s="2" t="n"/>
    </row>
    <row r="801">
      <c r="A801" s="54" t="n">
        <v>41730</v>
      </c>
      <c r="B801" s="55" t="n">
        <v>55.7</v>
      </c>
      <c r="C801" s="56" t="n">
        <v>1883.949951</v>
      </c>
      <c r="D801" s="62">
        <f>(Table7[[#This Row],[S&amp;P]]-C789)/C789</f>
        <v/>
      </c>
      <c r="F801" s="3" t="n"/>
      <c r="K801" s="2" t="n"/>
    </row>
    <row r="802">
      <c r="A802" s="54" t="n">
        <v>41760</v>
      </c>
      <c r="B802" s="55" t="n">
        <v>55.8</v>
      </c>
      <c r="C802" s="56" t="n">
        <v>1923.569946</v>
      </c>
      <c r="D802" s="62">
        <f>(Table7[[#This Row],[S&amp;P]]-C790)/C790</f>
        <v/>
      </c>
      <c r="F802" s="3" t="n"/>
      <c r="K802" s="2" t="n"/>
    </row>
    <row r="803">
      <c r="A803" s="54" t="n">
        <v>41791</v>
      </c>
      <c r="B803" s="55" t="n">
        <v>54.9</v>
      </c>
      <c r="C803" s="56" t="n">
        <v>1960.22998</v>
      </c>
      <c r="D803" s="62">
        <f>(Table7[[#This Row],[S&amp;P]]-C791)/C791</f>
        <v/>
      </c>
      <c r="F803" s="3" t="n"/>
      <c r="K803" s="2" t="n"/>
    </row>
    <row r="804">
      <c r="A804" s="54" t="n">
        <v>41821</v>
      </c>
      <c r="B804" s="55" t="n">
        <v>55.3</v>
      </c>
      <c r="C804" s="56" t="n">
        <v>1930.670044</v>
      </c>
      <c r="D804" s="62">
        <f>(Table7[[#This Row],[S&amp;P]]-C792)/C792</f>
        <v/>
      </c>
      <c r="F804" s="3" t="n"/>
      <c r="K804" s="2" t="n"/>
    </row>
    <row r="805">
      <c r="A805" s="54" t="n">
        <v>41852</v>
      </c>
      <c r="B805" s="55" t="n">
        <v>58.2</v>
      </c>
      <c r="C805" s="56" t="n">
        <v>2003.369995</v>
      </c>
      <c r="D805" s="62">
        <f>(Table7[[#This Row],[S&amp;P]]-C793)/C793</f>
        <v/>
      </c>
      <c r="F805" s="3" t="n"/>
      <c r="K805" s="2" t="n"/>
    </row>
    <row r="806">
      <c r="A806" s="54" t="n">
        <v>41883</v>
      </c>
      <c r="B806" s="55" t="n">
        <v>55.5</v>
      </c>
      <c r="C806" s="56" t="n">
        <v>1972.290039</v>
      </c>
      <c r="D806" s="62">
        <f>(Table7[[#This Row],[S&amp;P]]-C794)/C794</f>
        <v/>
      </c>
      <c r="F806" s="3" t="n"/>
      <c r="K806" s="2" t="n"/>
    </row>
    <row r="807">
      <c r="A807" s="54" t="n">
        <v>41913</v>
      </c>
      <c r="B807" s="55" t="n">
        <v>56.8</v>
      </c>
      <c r="C807" s="56" t="n">
        <v>2018.050049</v>
      </c>
      <c r="D807" s="62">
        <f>(Table7[[#This Row],[S&amp;P]]-C795)/C795</f>
        <v/>
      </c>
      <c r="F807" s="3" t="n"/>
      <c r="K807" s="2" t="n"/>
    </row>
    <row r="808">
      <c r="A808" s="54" t="n">
        <v>41944</v>
      </c>
      <c r="B808" s="55" t="n">
        <v>57</v>
      </c>
      <c r="C808" s="56" t="n">
        <v>2067.560059</v>
      </c>
      <c r="D808" s="62">
        <f>(Table7[[#This Row],[S&amp;P]]-C796)/C796</f>
        <v/>
      </c>
      <c r="F808" s="3" t="n"/>
      <c r="K808" s="2" t="n"/>
    </row>
    <row r="809">
      <c r="A809" s="54" t="n">
        <v>41974</v>
      </c>
      <c r="B809" s="55" t="n">
        <v>54.7</v>
      </c>
      <c r="C809" s="56" t="n">
        <v>2058.899902</v>
      </c>
      <c r="D809" s="62">
        <f>(Table7[[#This Row],[S&amp;P]]-C797)/C797</f>
        <v/>
      </c>
      <c r="F809" s="3" t="n"/>
      <c r="K809" s="2" t="n"/>
    </row>
    <row r="810">
      <c r="A810" s="54" t="n">
        <v>42005</v>
      </c>
      <c r="B810" s="55" t="n">
        <v>53.9</v>
      </c>
      <c r="C810" s="56" t="n">
        <v>1994.98999</v>
      </c>
      <c r="D810" s="62">
        <f>(Table7[[#This Row],[S&amp;P]]-C798)/C798</f>
        <v/>
      </c>
      <c r="F810" s="3" t="n"/>
      <c r="K810" s="2" t="n"/>
    </row>
    <row r="811">
      <c r="A811" s="54" t="n">
        <v>42036</v>
      </c>
      <c r="B811" s="55" t="n">
        <v>53</v>
      </c>
      <c r="C811" s="56" t="n">
        <v>2104.5</v>
      </c>
      <c r="D811" s="62">
        <f>(Table7[[#This Row],[S&amp;P]]-C799)/C799</f>
        <v/>
      </c>
      <c r="F811" s="3" t="n"/>
      <c r="K811" s="2" t="n"/>
    </row>
    <row r="812">
      <c r="A812" s="54" t="n">
        <v>42064</v>
      </c>
      <c r="B812" s="55" t="n">
        <v>51.8</v>
      </c>
      <c r="C812" s="56" t="n">
        <v>2067.889893</v>
      </c>
      <c r="D812" s="62">
        <f>(Table7[[#This Row],[S&amp;P]]-C800)/C800</f>
        <v/>
      </c>
      <c r="F812" s="3" t="n"/>
      <c r="K812" s="2" t="n"/>
    </row>
    <row r="813">
      <c r="A813" s="54" t="n">
        <v>42095</v>
      </c>
      <c r="B813" s="55" t="n">
        <v>51.6</v>
      </c>
      <c r="C813" s="56" t="n">
        <v>2085.51001</v>
      </c>
      <c r="D813" s="62">
        <f>(Table7[[#This Row],[S&amp;P]]-C801)/C801</f>
        <v/>
      </c>
      <c r="F813" s="3" t="n"/>
      <c r="K813" s="2" t="n"/>
    </row>
    <row r="814">
      <c r="A814" s="54" t="n">
        <v>42125</v>
      </c>
      <c r="B814" s="55" t="n">
        <v>52.9</v>
      </c>
      <c r="C814" s="56" t="n">
        <v>2107.389893</v>
      </c>
      <c r="D814" s="62">
        <f>(Table7[[#This Row],[S&amp;P]]-C802)/C802</f>
        <v/>
      </c>
      <c r="F814" s="3" t="n"/>
      <c r="K814" s="2" t="n"/>
    </row>
    <row r="815">
      <c r="A815" s="54" t="n">
        <v>42156</v>
      </c>
      <c r="B815" s="55" t="n">
        <v>52.3</v>
      </c>
      <c r="C815" s="56" t="n">
        <v>2063.110107</v>
      </c>
      <c r="D815" s="62">
        <f>(Table7[[#This Row],[S&amp;P]]-C803)/C803</f>
        <v/>
      </c>
      <c r="F815" s="3" t="n"/>
      <c r="K815" s="2" t="n"/>
    </row>
    <row r="816">
      <c r="A816" s="54" t="n">
        <v>42186</v>
      </c>
      <c r="B816" s="55" t="n">
        <v>51.9</v>
      </c>
      <c r="C816" s="56" t="n">
        <v>2103.840088</v>
      </c>
      <c r="D816" s="62">
        <f>(Table7[[#This Row],[S&amp;P]]-C804)/C804</f>
        <v/>
      </c>
      <c r="F816" s="3" t="n"/>
      <c r="K816" s="2" t="n"/>
    </row>
    <row r="817">
      <c r="A817" s="54" t="n">
        <v>42217</v>
      </c>
      <c r="B817" s="55" t="n">
        <v>50.8</v>
      </c>
      <c r="C817" s="56" t="n">
        <v>1972.180054</v>
      </c>
      <c r="D817" s="62">
        <f>(Table7[[#This Row],[S&amp;P]]-C805)/C805</f>
        <v/>
      </c>
      <c r="F817" s="3" t="n"/>
      <c r="K817" s="2" t="n"/>
    </row>
    <row r="818">
      <c r="A818" s="54" t="n">
        <v>42248</v>
      </c>
      <c r="B818" s="55" t="n">
        <v>50.1</v>
      </c>
      <c r="C818" s="56" t="n">
        <v>1920.030029</v>
      </c>
      <c r="D818" s="62">
        <f>(Table7[[#This Row],[S&amp;P]]-C806)/C806</f>
        <v/>
      </c>
      <c r="F818" s="3" t="n"/>
      <c r="K818" s="2" t="n"/>
    </row>
    <row r="819">
      <c r="A819" s="54" t="n">
        <v>42278</v>
      </c>
      <c r="B819" s="55" t="n">
        <v>49.6</v>
      </c>
      <c r="C819" s="56" t="n">
        <v>2079.360107</v>
      </c>
      <c r="D819" s="62">
        <f>(Table7[[#This Row],[S&amp;P]]-C807)/C807</f>
        <v/>
      </c>
      <c r="F819" s="3" t="n"/>
      <c r="K819" s="2" t="n"/>
    </row>
    <row r="820">
      <c r="A820" s="54" t="n">
        <v>42309</v>
      </c>
      <c r="B820" s="55" t="n">
        <v>49.1</v>
      </c>
      <c r="C820" s="56" t="n">
        <v>2080.409912</v>
      </c>
      <c r="D820" s="62">
        <f>(Table7[[#This Row],[S&amp;P]]-C808)/C808</f>
        <v/>
      </c>
      <c r="F820" s="3" t="n"/>
      <c r="K820" s="2" t="n"/>
    </row>
    <row r="821">
      <c r="A821" s="54" t="n">
        <v>42339</v>
      </c>
      <c r="B821" s="55" t="n">
        <v>48.4</v>
      </c>
      <c r="C821" s="56" t="n">
        <v>2043.939941</v>
      </c>
      <c r="D821" s="62">
        <f>(Table7[[#This Row],[S&amp;P]]-C809)/C809</f>
        <v/>
      </c>
      <c r="F821" s="3" t="n"/>
      <c r="K821" s="2" t="n"/>
    </row>
    <row r="822">
      <c r="A822" s="54" t="n">
        <v>42370</v>
      </c>
      <c r="B822" s="55" t="n">
        <v>47.8</v>
      </c>
      <c r="C822" s="56" t="n">
        <v>1940.23999</v>
      </c>
      <c r="D822" s="62">
        <f>(Table7[[#This Row],[S&amp;P]]-C810)/C810</f>
        <v/>
      </c>
      <c r="F822" s="3" t="n"/>
      <c r="K822" s="2" t="n"/>
    </row>
    <row r="823">
      <c r="A823" s="54" t="n">
        <v>42401</v>
      </c>
      <c r="B823" s="55" t="n">
        <v>49.4</v>
      </c>
      <c r="C823" s="56" t="n">
        <v>1932.22998</v>
      </c>
      <c r="D823" s="62">
        <f>(Table7[[#This Row],[S&amp;P]]-C811)/C811</f>
        <v/>
      </c>
      <c r="F823" s="3" t="n"/>
      <c r="K823" s="2" t="n"/>
    </row>
    <row r="824">
      <c r="A824" s="54" t="n">
        <v>42430</v>
      </c>
      <c r="B824" s="55" t="n">
        <v>51.2</v>
      </c>
      <c r="C824" s="56" t="n">
        <v>2059.73999</v>
      </c>
      <c r="D824" s="62">
        <f>(Table7[[#This Row],[S&amp;P]]-C812)/C812</f>
        <v/>
      </c>
      <c r="F824" s="3" t="n"/>
      <c r="K824" s="2" t="n"/>
    </row>
    <row r="825">
      <c r="A825" s="54" t="n">
        <v>42461</v>
      </c>
      <c r="B825" s="55" t="n">
        <v>50.8</v>
      </c>
      <c r="C825" s="56" t="n">
        <v>2065.300049</v>
      </c>
      <c r="D825" s="62">
        <f>(Table7[[#This Row],[S&amp;P]]-C813)/C813</f>
        <v/>
      </c>
      <c r="F825" s="3" t="n"/>
      <c r="K825" s="2" t="n"/>
    </row>
    <row r="826">
      <c r="A826" s="54" t="n">
        <v>42491</v>
      </c>
      <c r="B826" s="55" t="n">
        <v>50.9</v>
      </c>
      <c r="C826" s="56" t="n">
        <v>2096.949951</v>
      </c>
      <c r="D826" s="62">
        <f>(Table7[[#This Row],[S&amp;P]]-C814)/C814</f>
        <v/>
      </c>
      <c r="F826" s="3" t="n"/>
      <c r="K826" s="2" t="n"/>
    </row>
    <row r="827">
      <c r="A827" s="54" t="n">
        <v>42522</v>
      </c>
      <c r="B827" s="55" t="n">
        <v>52.5</v>
      </c>
      <c r="C827" s="56" t="n">
        <v>2098.860107</v>
      </c>
      <c r="D827" s="62">
        <f>(Table7[[#This Row],[S&amp;P]]-C815)/C815</f>
        <v/>
      </c>
      <c r="F827" s="3" t="n"/>
      <c r="K827" s="2" t="n"/>
    </row>
    <row r="828">
      <c r="A828" s="54" t="n">
        <v>42552</v>
      </c>
      <c r="B828" s="55" t="n">
        <v>52.9</v>
      </c>
      <c r="C828" s="56" t="n">
        <v>2173.600098</v>
      </c>
      <c r="D828" s="62">
        <f>(Table7[[#This Row],[S&amp;P]]-C816)/C816</f>
        <v/>
      </c>
      <c r="F828" s="3" t="n"/>
      <c r="K828" s="2" t="n"/>
    </row>
    <row r="829">
      <c r="A829" s="54" t="n">
        <v>42583</v>
      </c>
      <c r="B829" s="55" t="n">
        <v>49.9</v>
      </c>
      <c r="C829" s="56" t="n">
        <v>2170.949951</v>
      </c>
      <c r="D829" s="62">
        <f>(Table7[[#This Row],[S&amp;P]]-C817)/C817</f>
        <v/>
      </c>
      <c r="F829" s="3" t="n"/>
      <c r="K829" s="2" t="n"/>
    </row>
    <row r="830">
      <c r="A830" s="54" t="n">
        <v>42614</v>
      </c>
      <c r="B830" s="55" t="n">
        <v>51.4</v>
      </c>
      <c r="C830" s="56" t="n">
        <v>2168.27002</v>
      </c>
      <c r="D830" s="62">
        <f>(Table7[[#This Row],[S&amp;P]]-C818)/C818</f>
        <v/>
      </c>
      <c r="F830" s="3" t="n"/>
      <c r="K830" s="2" t="n"/>
    </row>
    <row r="831">
      <c r="A831" s="54" t="n">
        <v>42644</v>
      </c>
      <c r="B831" s="55" t="n">
        <v>51.8</v>
      </c>
      <c r="C831" s="56" t="n">
        <v>2126.149902</v>
      </c>
      <c r="D831" s="62">
        <f>(Table7[[#This Row],[S&amp;P]]-C819)/C819</f>
        <v/>
      </c>
      <c r="F831" s="3" t="n"/>
      <c r="K831" s="2" t="n"/>
    </row>
    <row r="832">
      <c r="A832" s="54" t="n">
        <v>42675</v>
      </c>
      <c r="B832" s="55" t="n">
        <v>53.4</v>
      </c>
      <c r="C832" s="56" t="n">
        <v>2198.810059</v>
      </c>
      <c r="D832" s="62">
        <f>(Table7[[#This Row],[S&amp;P]]-C820)/C820</f>
        <v/>
      </c>
      <c r="F832" s="3" t="n"/>
      <c r="K832" s="2" t="n"/>
    </row>
    <row r="833">
      <c r="A833" s="54" t="n">
        <v>42705</v>
      </c>
      <c r="B833" s="55" t="n">
        <v>54.3</v>
      </c>
      <c r="C833" s="56" t="n">
        <v>2238.830078</v>
      </c>
      <c r="D833" s="62">
        <f>(Table7[[#This Row],[S&amp;P]]-C821)/C821</f>
        <v/>
      </c>
      <c r="F833" s="3" t="n"/>
      <c r="K833" s="2" t="n"/>
    </row>
    <row r="834">
      <c r="A834" s="54" t="n">
        <v>42736</v>
      </c>
      <c r="B834" s="55" t="n">
        <v>55.6</v>
      </c>
      <c r="C834" s="56" t="n">
        <v>2278.870117</v>
      </c>
      <c r="D834" s="62">
        <f>(Table7[[#This Row],[S&amp;P]]-C822)/C822</f>
        <v/>
      </c>
      <c r="F834" s="3" t="n"/>
      <c r="K834" s="2" t="n"/>
    </row>
    <row r="835">
      <c r="A835" s="54" t="n">
        <v>42767</v>
      </c>
      <c r="B835" s="55" t="n">
        <v>57.6</v>
      </c>
      <c r="C835" s="56" t="n">
        <v>2363.639893</v>
      </c>
      <c r="D835" s="62">
        <f>(Table7[[#This Row],[S&amp;P]]-C823)/C823</f>
        <v/>
      </c>
      <c r="F835" s="3" t="n"/>
      <c r="K835" s="2" t="n"/>
    </row>
    <row r="836">
      <c r="A836" s="54" t="n">
        <v>42795</v>
      </c>
      <c r="B836" s="55" t="n">
        <v>56.6</v>
      </c>
      <c r="C836" s="56" t="n">
        <v>2362.719971</v>
      </c>
      <c r="D836" s="62">
        <f>(Table7[[#This Row],[S&amp;P]]-C824)/C824</f>
        <v/>
      </c>
      <c r="F836" s="3" t="n"/>
      <c r="K836" s="2" t="n"/>
    </row>
    <row r="837">
      <c r="A837" s="54" t="n">
        <v>42826</v>
      </c>
      <c r="B837" s="55" t="n">
        <v>55.5</v>
      </c>
      <c r="C837" s="56" t="n">
        <v>2384.199951</v>
      </c>
      <c r="D837" s="62">
        <f>(Table7[[#This Row],[S&amp;P]]-C825)/C825</f>
        <v/>
      </c>
      <c r="F837" s="3" t="n"/>
      <c r="K837" s="2" t="n"/>
    </row>
    <row r="838">
      <c r="A838" s="54" t="n">
        <v>42856</v>
      </c>
      <c r="B838" s="55" t="n">
        <v>56.7</v>
      </c>
      <c r="C838" s="56" t="n">
        <v>2411.800049</v>
      </c>
      <c r="D838" s="62">
        <f>(Table7[[#This Row],[S&amp;P]]-C826)/C826</f>
        <v/>
      </c>
      <c r="F838" s="3" t="n"/>
      <c r="K838" s="2" t="n"/>
    </row>
    <row r="839">
      <c r="A839" s="54" t="n">
        <v>42887</v>
      </c>
      <c r="B839" s="55" t="n">
        <v>56.5</v>
      </c>
      <c r="C839" s="56" t="n">
        <v>2423.409912</v>
      </c>
      <c r="D839" s="62">
        <f>(Table7[[#This Row],[S&amp;P]]-C827)/C827</f>
        <v/>
      </c>
      <c r="F839" s="3" t="n"/>
      <c r="K839" s="2" t="n"/>
    </row>
    <row r="840">
      <c r="A840" s="54" t="n">
        <v>42917</v>
      </c>
      <c r="B840" s="55" t="n">
        <v>59.3</v>
      </c>
      <c r="C840" s="56" t="n">
        <v>2470.300049</v>
      </c>
      <c r="D840" s="62">
        <f>(Table7[[#This Row],[S&amp;P]]-C828)/C828</f>
        <v/>
      </c>
      <c r="F840" s="3" t="n"/>
      <c r="K840" s="2" t="n"/>
    </row>
    <row r="841">
      <c r="A841" s="54" t="n">
        <v>42948</v>
      </c>
      <c r="B841" s="55" t="n">
        <v>60.2</v>
      </c>
      <c r="C841" s="56" t="n">
        <v>2471.649902</v>
      </c>
      <c r="D841" s="62">
        <f>(Table7[[#This Row],[S&amp;P]]-C829)/C829</f>
        <v/>
      </c>
      <c r="F841" s="3" t="n"/>
      <c r="K841" s="2" t="n"/>
    </row>
    <row r="842">
      <c r="A842" s="54" t="n">
        <v>42979</v>
      </c>
      <c r="B842" s="55" t="n">
        <v>58.5</v>
      </c>
      <c r="C842" s="56" t="n">
        <v>2519.360107</v>
      </c>
      <c r="D842" s="62">
        <f>(Table7[[#This Row],[S&amp;P]]-C830)/C830</f>
        <v/>
      </c>
      <c r="F842" s="3" t="n"/>
      <c r="K842" s="2" t="n"/>
    </row>
    <row r="843">
      <c r="A843" s="54" t="n">
        <v>43009</v>
      </c>
      <c r="B843" s="55" t="n">
        <v>58.2</v>
      </c>
      <c r="C843" s="56" t="n">
        <v>2575.26001</v>
      </c>
      <c r="D843" s="62">
        <f>(Table7[[#This Row],[S&amp;P]]-C831)/C831</f>
        <v/>
      </c>
      <c r="F843" s="3" t="n"/>
      <c r="K843" s="2" t="n"/>
    </row>
    <row r="844">
      <c r="A844" s="54" t="n">
        <v>43040</v>
      </c>
      <c r="B844" s="55" t="n">
        <v>59.3</v>
      </c>
      <c r="C844" s="56" t="n">
        <v>2584.840088</v>
      </c>
      <c r="D844" s="62">
        <f>(Table7[[#This Row],[S&amp;P]]-C832)/C832</f>
        <v/>
      </c>
      <c r="F844" s="3" t="n"/>
      <c r="K844" s="2" t="n"/>
    </row>
    <row r="845">
      <c r="A845" s="54" t="n">
        <v>43070</v>
      </c>
      <c r="B845" s="55" t="n">
        <v>59.1</v>
      </c>
      <c r="C845" s="56" t="n">
        <v>2673.610107</v>
      </c>
      <c r="D845" s="62">
        <f>(Table7[[#This Row],[S&amp;P]]-C833)/C833</f>
        <v/>
      </c>
      <c r="F845" s="3" t="n"/>
      <c r="K845" s="2" t="n"/>
    </row>
    <row r="846">
      <c r="A846" s="54" t="n">
        <v>43101</v>
      </c>
      <c r="B846" s="55" t="n">
        <v>60.8</v>
      </c>
      <c r="C846" s="56" t="n">
        <v>2823.810059</v>
      </c>
      <c r="D846" s="62">
        <f>(Table7[[#This Row],[S&amp;P]]-C834)/C834</f>
        <v/>
      </c>
      <c r="F846" s="4" t="n"/>
      <c r="K846" s="2" t="n"/>
    </row>
    <row r="847">
      <c r="A847" s="60" t="n">
        <v>43132</v>
      </c>
      <c r="B847" s="55" t="n">
        <v>59.3</v>
      </c>
      <c r="C847" s="56" t="n">
        <v>2713.830078</v>
      </c>
      <c r="D847" s="62">
        <f>(Table7[[#This Row],[S&amp;P]]-C835)/C835</f>
        <v/>
      </c>
    </row>
    <row r="848">
      <c r="A848" s="54" t="n">
        <v>43160</v>
      </c>
      <c r="B848" s="55" t="n">
        <v>57.3</v>
      </c>
      <c r="C848" s="56" t="n">
        <v>2640.870117</v>
      </c>
      <c r="D848" s="62">
        <f>(Table7[[#This Row],[S&amp;P]]-C836)/C836</f>
        <v/>
      </c>
    </row>
    <row r="849">
      <c r="A849" s="60" t="n">
        <v>43191</v>
      </c>
      <c r="B849" s="55">
        <f>VLOOKUP(Table7[[#This Row],[Date]],'ISM Manufacturing'!A:B,2,)</f>
        <v/>
      </c>
      <c r="C849" s="56" t="n">
        <v>2648.050049</v>
      </c>
      <c r="D849" s="62">
        <f>(Table7[[#This Row],[S&amp;P]]-C837)/C837</f>
        <v/>
      </c>
    </row>
    <row r="850">
      <c r="A850" s="54" t="n">
        <v>43221</v>
      </c>
      <c r="B850" s="55">
        <f>VLOOKUP(Table7[[#This Row],[Date]],'ISM Manufacturing'!A:B,2,)</f>
        <v/>
      </c>
      <c r="C850" s="56" t="n">
        <v>2705.27002</v>
      </c>
      <c r="D850" s="62">
        <f>(Table7[[#This Row],[S&amp;P]]-C838)/C838</f>
        <v/>
      </c>
    </row>
    <row r="851">
      <c r="A851" s="60" t="n">
        <v>43252</v>
      </c>
      <c r="B851" s="55">
        <f>VLOOKUP(Table7[[#This Row],[Date]],'ISM Manufacturing'!A:B,2,)</f>
        <v/>
      </c>
      <c r="C851" s="56" t="n">
        <v>2718.370117</v>
      </c>
      <c r="D851" s="62">
        <f>(Table7[[#This Row],[S&amp;P]]-C839)/C839</f>
        <v/>
      </c>
    </row>
    <row r="852">
      <c r="A852" s="60" t="n">
        <v>43282</v>
      </c>
      <c r="B852" s="55">
        <f>VLOOKUP(Table7[[#This Row],[Date]],'ISM Manufacturing'!A:B,2,)</f>
        <v/>
      </c>
      <c r="C852" s="56" t="n">
        <v>2816.290039</v>
      </c>
      <c r="D852" s="62">
        <f>(Table7[[#This Row],[S&amp;P]]-C840)/C840</f>
        <v/>
      </c>
    </row>
    <row r="853">
      <c r="A853" s="60" t="n">
        <v>43313</v>
      </c>
      <c r="B853" s="55">
        <f>VLOOKUP(Table7[[#This Row],[Date]],'ISM Manufacturing'!A:B,2,)</f>
        <v/>
      </c>
      <c r="C853" s="56" t="n">
        <v>2901.52002</v>
      </c>
      <c r="D853" s="62">
        <f>(Table7[[#This Row],[S&amp;P]]-C841)/C841</f>
        <v/>
      </c>
    </row>
    <row r="854">
      <c r="A854" s="60" t="n">
        <v>43344</v>
      </c>
      <c r="B854" s="55">
        <f>VLOOKUP(Table7[[#This Row],[Date]],'ISM Manufacturing'!A:B,2,)</f>
        <v/>
      </c>
      <c r="C854" s="56" t="n">
        <v>2913.97998</v>
      </c>
      <c r="D854" s="62">
        <f>(Table7[[#This Row],[S&amp;P]]-C842)/C842</f>
        <v/>
      </c>
    </row>
    <row r="855">
      <c r="A855" s="60" t="n">
        <v>43374</v>
      </c>
      <c r="B855" s="55">
        <f>VLOOKUP(Table7[[#This Row],[Date]],'ISM Manufacturing'!A:B,2,)</f>
        <v/>
      </c>
      <c r="C855" s="56" t="n">
        <v>2711.73999</v>
      </c>
      <c r="D855" s="62">
        <f>(Table7[[#This Row],[S&amp;P]]-C843)/C843</f>
        <v/>
      </c>
    </row>
    <row r="856">
      <c r="A856" s="60" t="n">
        <v>43405</v>
      </c>
      <c r="B856" s="55">
        <f>VLOOKUP(Table7[[#This Row],[Date]],'ISM Manufacturing'!A:B,2,)</f>
        <v/>
      </c>
      <c r="C856" s="56" t="n">
        <v>2760.169922</v>
      </c>
      <c r="D856" s="62">
        <f>(Table7[[#This Row],[S&amp;P]]-C844)/C844</f>
        <v/>
      </c>
    </row>
    <row r="857">
      <c r="A857" s="60" t="n">
        <v>43435</v>
      </c>
      <c r="B857" s="55">
        <f>VLOOKUP(Table7[[#This Row],[Date]],'ISM Manufacturing'!A:B,2,)</f>
        <v/>
      </c>
      <c r="C857" s="56" t="n">
        <v>2506.85</v>
      </c>
      <c r="D857" s="62">
        <f>(Table7[[#This Row],[S&amp;P]]-C845)/C845</f>
        <v/>
      </c>
    </row>
    <row r="858">
      <c r="A858" s="60" t="n">
        <v>43466</v>
      </c>
      <c r="B858" s="55">
        <f>VLOOKUP(Table7[[#This Row],[Date]],'ISM Manufacturing'!A:B,2,)</f>
        <v/>
      </c>
      <c r="C858" s="56" t="n">
        <v>2704.1</v>
      </c>
      <c r="D858" s="62">
        <f>(Table7[[#This Row],[S&amp;P]]-C846)/C846</f>
        <v/>
      </c>
    </row>
    <row r="859">
      <c r="A859" s="60" t="n">
        <v>43497</v>
      </c>
      <c r="B859" s="55">
        <f>VLOOKUP(Table7[[#This Row],[Date]],'ISM Manufacturing'!A:B,2,)</f>
        <v/>
      </c>
      <c r="C859" s="56" t="n">
        <v>2784.49</v>
      </c>
      <c r="D859" s="62">
        <f>(Table7[[#This Row],[S&amp;P]]-C847)/C847</f>
        <v/>
      </c>
    </row>
    <row r="860">
      <c r="A860" s="60" t="n">
        <v>43525</v>
      </c>
      <c r="B860" s="55">
        <f>VLOOKUP(Table7[[#This Row],[Date]],'ISM Manufacturing'!A:B,2,)</f>
        <v/>
      </c>
      <c r="C860" s="56" t="n">
        <v>2834.4</v>
      </c>
      <c r="D860" s="62">
        <f>(Table7[[#This Row],[S&amp;P]]-C848)/C848</f>
        <v/>
      </c>
    </row>
    <row r="861">
      <c r="A861" s="60" t="n">
        <v>43556</v>
      </c>
      <c r="B861" s="55">
        <f>VLOOKUP(Table7[[#This Row],[Date]],'ISM Manufacturing'!A:B,2,)</f>
        <v/>
      </c>
      <c r="C861" s="56" t="n">
        <v>2945.83</v>
      </c>
      <c r="D861" s="62">
        <f>(Table7[[#This Row],[S&amp;P]]-C849)/C849</f>
        <v/>
      </c>
    </row>
    <row r="862">
      <c r="A862" s="60" t="n">
        <v>43586</v>
      </c>
      <c r="B862" s="55">
        <f>VLOOKUP(Table7[[#This Row],[Date]],'ISM Manufacturing'!A:B,2,)</f>
        <v/>
      </c>
      <c r="C862" s="56" t="n">
        <v>2752.06</v>
      </c>
      <c r="D862" s="62">
        <f>(Table7[[#This Row],[S&amp;P]]-C850)/C850</f>
        <v/>
      </c>
    </row>
    <row r="863">
      <c r="A863" s="60" t="n">
        <v>43617</v>
      </c>
      <c r="B863" s="55">
        <f>VLOOKUP(Table7[[#This Row],[Date]],'ISM Manufacturing'!A:B,2,)</f>
        <v/>
      </c>
      <c r="C863" s="56" t="n">
        <v>2941.76</v>
      </c>
      <c r="D863" s="62">
        <f>(Table7[[#This Row],[S&amp;P]]-C851)/C851</f>
        <v/>
      </c>
    </row>
    <row r="864">
      <c r="A864" s="60" t="n">
        <v>43647</v>
      </c>
      <c r="B864" s="55">
        <f>VLOOKUP(Table7[[#This Row],[Date]],'ISM Manufacturing'!A:B,2,)</f>
        <v/>
      </c>
      <c r="C864" s="56" t="n">
        <v>2980.38</v>
      </c>
      <c r="D864" s="62">
        <f>(Table7[[#This Row],[S&amp;P]]-C852)/C852</f>
        <v/>
      </c>
    </row>
    <row r="865">
      <c r="A865" s="60" t="n">
        <v>43678</v>
      </c>
      <c r="B865" s="55">
        <f>VLOOKUP(Table7[[#This Row],[Date]],'ISM Manufacturing'!A:B,2,)</f>
        <v/>
      </c>
      <c r="C865" s="56" t="n">
        <v>2926.46</v>
      </c>
      <c r="D865" s="62">
        <f>(Table7[[#This Row],[S&amp;P]]-C853)/C853</f>
        <v/>
      </c>
    </row>
    <row r="866">
      <c r="A866" s="60" t="n">
        <v>43709</v>
      </c>
      <c r="B866" s="55" t="n">
        <v>47.8</v>
      </c>
      <c r="C866" s="56" t="n">
        <v>2976.74</v>
      </c>
      <c r="D866" s="62">
        <f>(Table7[[#This Row],[S&amp;P]]-C854)/C854</f>
        <v/>
      </c>
    </row>
    <row r="867">
      <c r="A867" s="60" t="n">
        <v>43739</v>
      </c>
      <c r="B867" s="55">
        <f>VLOOKUP(Table7[[#This Row],[Date]],'ISM Manufacturing'!A:B,2,)</f>
        <v/>
      </c>
      <c r="C867" s="56" t="n">
        <v>3037.56</v>
      </c>
      <c r="D867" s="62">
        <f>(Table7[[#This Row],[S&amp;P]]-C855)/C855</f>
        <v/>
      </c>
    </row>
    <row r="868">
      <c r="A868" s="60" t="n">
        <v>43770</v>
      </c>
      <c r="B868" s="55">
        <f>VLOOKUP(Table7[[#This Row],[Date]],'ISM Manufacturing'!A:B,2,)</f>
        <v/>
      </c>
      <c r="C868" s="56" t="n">
        <v>3140.98</v>
      </c>
      <c r="D868" s="62">
        <f>(Table7[[#This Row],[S&amp;P]]-C856)/C856</f>
        <v/>
      </c>
    </row>
    <row r="869">
      <c r="A869" s="60" t="n">
        <v>43800</v>
      </c>
      <c r="B869" s="55" t="n">
        <v>47.8</v>
      </c>
      <c r="C869" s="56" t="n">
        <v>3230.78</v>
      </c>
      <c r="D869" s="62">
        <f>(Table7[[#This Row],[S&amp;P]]-C857)/C857</f>
        <v/>
      </c>
    </row>
    <row r="870">
      <c r="A870" s="60" t="n">
        <v>43831</v>
      </c>
      <c r="B870" s="55" t="n">
        <v>50.9</v>
      </c>
      <c r="C870" s="56" t="n">
        <v>3225.52</v>
      </c>
      <c r="D870" s="62">
        <f>(Table7[[#This Row],[S&amp;P]]-C858)/C858</f>
        <v/>
      </c>
    </row>
    <row r="871">
      <c r="A871" s="60" t="n">
        <v>43862</v>
      </c>
      <c r="B871" s="55" t="n">
        <v>50.1</v>
      </c>
      <c r="C871" s="56" t="n">
        <v>2954.22</v>
      </c>
      <c r="D871" s="62">
        <f>(Table7[[#This Row],[S&amp;P]]-C859)/C859</f>
        <v/>
      </c>
    </row>
    <row r="872">
      <c r="A872" s="60" t="n">
        <v>43891</v>
      </c>
      <c r="B872" s="55" t="n">
        <v>49.1</v>
      </c>
      <c r="C872" s="56" t="n">
        <v>2584.59</v>
      </c>
      <c r="D872" s="62">
        <f>(Table7[[#This Row],[S&amp;P]]-C860)/C860</f>
        <v/>
      </c>
    </row>
    <row r="873">
      <c r="A873" s="60" t="n">
        <v>43922</v>
      </c>
      <c r="B873" s="55" t="n">
        <v>41.5</v>
      </c>
      <c r="C873" s="56" t="n">
        <v>2912.43</v>
      </c>
      <c r="D873" s="62">
        <f>(Table7[[#This Row],[S&amp;P]]-C861)/C861</f>
        <v/>
      </c>
    </row>
    <row r="874">
      <c r="A874" s="60" t="n">
        <v>43952</v>
      </c>
      <c r="B874" s="55" t="n">
        <v>43.1</v>
      </c>
      <c r="C874" s="56" t="n">
        <v>3044.31</v>
      </c>
      <c r="D874" s="62">
        <f>(Table7[[#This Row],[S&amp;P]]-C862)/C862</f>
        <v/>
      </c>
    </row>
    <row r="875">
      <c r="A875" s="60" t="n">
        <v>43983</v>
      </c>
      <c r="B875" s="55" t="n">
        <v>52.6</v>
      </c>
      <c r="C875" s="56" t="n">
        <v>3100.29</v>
      </c>
      <c r="D875" s="62">
        <f>(Table7[[#This Row],[S&amp;P]]-C863)/C863</f>
        <v/>
      </c>
    </row>
    <row r="876">
      <c r="A876" s="60" t="n">
        <v>44013</v>
      </c>
      <c r="B876" s="55" t="n">
        <v>54.2</v>
      </c>
      <c r="C876" s="56" t="n">
        <v>3271.12</v>
      </c>
      <c r="D876" s="62">
        <f>(Table7[[#This Row],[S&amp;P]]-C864)/C864</f>
        <v/>
      </c>
    </row>
    <row r="877">
      <c r="A877" s="60" t="n">
        <v>44044</v>
      </c>
      <c r="B877" s="55" t="n">
        <v>56</v>
      </c>
      <c r="C877" s="56" t="n">
        <v>3500.31</v>
      </c>
      <c r="D877" s="62">
        <f>(Table7[[#This Row],[S&amp;P]]-C865)/C865</f>
        <v/>
      </c>
    </row>
    <row r="878">
      <c r="A878" s="60" t="n">
        <v>44075</v>
      </c>
      <c r="B878" s="55" t="n">
        <v>55.4</v>
      </c>
      <c r="C878" s="56" t="n">
        <v>3363</v>
      </c>
      <c r="D878" s="62">
        <f>(Table7[[#This Row],[S&amp;P]]-C866)/C866</f>
        <v/>
      </c>
    </row>
    <row r="879">
      <c r="A879" s="60" t="n">
        <v>44105</v>
      </c>
      <c r="B879" s="55" t="n">
        <v>59.3</v>
      </c>
      <c r="C879" s="56" t="n">
        <v>3269.96</v>
      </c>
      <c r="D879" s="62">
        <f>(Table7[[#This Row],[S&amp;P]]-C867)/C867</f>
        <v/>
      </c>
    </row>
    <row r="880">
      <c r="A880" s="60" t="n">
        <v>44136</v>
      </c>
      <c r="B880" s="55" t="n">
        <v>57.5</v>
      </c>
      <c r="C880" s="56" t="n">
        <v>3621.63</v>
      </c>
      <c r="D880" s="62">
        <f>(Table7[[#This Row],[S&amp;P]]-C868)/C868</f>
        <v/>
      </c>
    </row>
    <row r="881">
      <c r="A881" s="60" t="n">
        <v>44166</v>
      </c>
      <c r="B881" s="55" t="n">
        <v>60.5</v>
      </c>
      <c r="C881" s="56" t="n">
        <v>3756.07</v>
      </c>
      <c r="D881" s="62">
        <f>(Table7[[#This Row],[S&amp;P]]-C869)/C869</f>
        <v/>
      </c>
    </row>
    <row r="882">
      <c r="A882" s="60" t="n">
        <v>44197</v>
      </c>
      <c r="B882" s="55" t="n">
        <v>58.7</v>
      </c>
      <c r="C882" s="56" t="n">
        <v>3714.24</v>
      </c>
      <c r="D882" s="62">
        <f>(Table7[[#This Row],[S&amp;P]]-C870)/C870</f>
        <v/>
      </c>
    </row>
    <row r="883">
      <c r="A883" s="60" t="n">
        <v>44228</v>
      </c>
      <c r="B883" s="55" t="n">
        <v>60.8</v>
      </c>
      <c r="C883" s="56" t="n">
        <v>3811.15</v>
      </c>
      <c r="D883" s="62">
        <f>(Table7[[#This Row],[S&amp;P]]-C871)/C871</f>
        <v/>
      </c>
    </row>
    <row r="884">
      <c r="A884" s="60" t="n">
        <v>44256</v>
      </c>
      <c r="B884" s="55" t="n">
        <v>64.7</v>
      </c>
      <c r="C884" s="56" t="n">
        <v>3972.89</v>
      </c>
      <c r="D884" s="62">
        <f>(Table7[[#This Row],[S&amp;P]]-C872)/C872</f>
        <v/>
      </c>
    </row>
    <row r="885">
      <c r="A885" s="60" t="n">
        <v>44287</v>
      </c>
      <c r="B885" s="55" t="n">
        <v>60.7</v>
      </c>
      <c r="C885" s="56" t="n">
        <v>4181.17</v>
      </c>
      <c r="D885" s="62">
        <f>(Table7[[#This Row],[S&amp;P]]-C873)/C873</f>
        <v/>
      </c>
    </row>
    <row r="886">
      <c r="A886" s="60" t="n">
        <v>44317</v>
      </c>
      <c r="B886" s="55" t="n">
        <v>61.2</v>
      </c>
      <c r="C886" s="56" t="n">
        <v>4204.11</v>
      </c>
      <c r="D886" s="62">
        <f>(Table7[[#This Row],[S&amp;P]]-C874)/C874</f>
        <v/>
      </c>
    </row>
    <row r="887">
      <c r="A887" s="60" t="n">
        <v>44348</v>
      </c>
      <c r="B887" s="55" t="n">
        <v>60.6</v>
      </c>
      <c r="C887" s="56" t="n">
        <v>4297.5</v>
      </c>
      <c r="D887" s="62">
        <f>(Table7[[#This Row],[S&amp;P]]-C875)/C875</f>
        <v/>
      </c>
    </row>
    <row r="888">
      <c r="A888" s="60" t="n">
        <v>44378</v>
      </c>
      <c r="B888" s="55" t="n">
        <v>59.5</v>
      </c>
      <c r="C888" s="56" t="n">
        <v>4395.26</v>
      </c>
      <c r="D888" s="62">
        <f>(Table7[[#This Row],[S&amp;P]]-C876)/C876</f>
        <v/>
      </c>
    </row>
    <row r="889">
      <c r="A889" s="60" t="n">
        <v>44409</v>
      </c>
      <c r="B889" s="55" t="n">
        <v>59.9</v>
      </c>
      <c r="C889" s="56" t="n">
        <v>4522.68</v>
      </c>
      <c r="D889" s="62">
        <f>(Table7[[#This Row],[S&amp;P]]-C877)/C877</f>
        <v/>
      </c>
    </row>
    <row r="890">
      <c r="A890" s="60" t="n">
        <v>44440</v>
      </c>
      <c r="B890" s="55" t="n">
        <v>61.1</v>
      </c>
      <c r="C890" s="56" t="n">
        <v>4307.54</v>
      </c>
      <c r="D890" s="62">
        <f>(Table7[[#This Row],[S&amp;P]]-C878)/C878</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codeName="Sheet9">
    <tabColor rgb="FFFF0000"/>
    <outlinePr summaryBelow="1" summaryRight="1"/>
    <pageSetUpPr/>
  </sheetPr>
  <dimension ref="A1:J890"/>
  <sheetViews>
    <sheetView zoomScale="160" zoomScaleNormal="160" workbookViewId="0">
      <pane ySplit="5" topLeftCell="A838" activePane="bottomLeft" state="frozen"/>
      <selection pane="bottomLeft" activeCell="B890" sqref="B890"/>
    </sheetView>
  </sheetViews>
  <sheetFormatPr baseColWidth="10" defaultColWidth="9.1640625" defaultRowHeight="15"/>
  <cols>
    <col width="18.33203125" customWidth="1" style="116" min="1" max="1"/>
    <col width="11" customWidth="1" style="116" min="2" max="3"/>
    <col width="9.1640625" customWidth="1" style="116" min="4" max="6"/>
    <col width="12.83203125" customWidth="1" style="116" min="7" max="7"/>
    <col width="14.33203125" customWidth="1" style="116" min="8" max="8"/>
    <col width="9.1640625" customWidth="1" style="116" min="9" max="9"/>
    <col width="14.83203125" customWidth="1" style="116" min="10" max="10"/>
    <col width="9.1640625" customWidth="1" style="116" min="11" max="17"/>
    <col width="9.1640625" customWidth="1" style="116" min="18" max="16384"/>
  </cols>
  <sheetData>
    <row r="1">
      <c r="A1" s="117" t="inlineStr">
        <is>
          <t>ISM Manufacturing</t>
        </is>
      </c>
      <c r="I1" s="130" t="n"/>
    </row>
    <row r="2">
      <c r="B2" s="130" t="n"/>
      <c r="C2" s="130" t="n"/>
    </row>
    <row r="3">
      <c r="B3" s="130" t="n"/>
      <c r="C3" s="130" t="n"/>
    </row>
    <row r="4" ht="16" customHeight="1" thickBot="1">
      <c r="B4" s="130" t="n"/>
      <c r="C4" s="130" t="n"/>
    </row>
    <row r="5">
      <c r="A5" s="57" t="inlineStr">
        <is>
          <t>Date</t>
        </is>
      </c>
      <c r="B5" s="58" t="inlineStr">
        <is>
          <t>PMI</t>
        </is>
      </c>
      <c r="C5" s="59" t="inlineStr">
        <is>
          <t>Change</t>
        </is>
      </c>
    </row>
    <row r="6">
      <c r="A6" s="54" t="n">
        <v>17533</v>
      </c>
      <c r="B6" s="55" t="n">
        <v>51.7</v>
      </c>
      <c r="C6" s="55" t="n"/>
    </row>
    <row r="7">
      <c r="A7" s="54" t="n">
        <v>17564</v>
      </c>
      <c r="B7" s="55" t="n">
        <v>50.2</v>
      </c>
      <c r="C7" s="55">
        <f>Table9[[#This Row],[PMI]]-B6</f>
        <v/>
      </c>
    </row>
    <row r="8">
      <c r="A8" s="54" t="n">
        <v>17593</v>
      </c>
      <c r="B8" s="55" t="n">
        <v>43.3</v>
      </c>
      <c r="C8" s="55">
        <f>Table9[[#This Row],[PMI]]-B7</f>
        <v/>
      </c>
    </row>
    <row r="9">
      <c r="A9" s="54" t="n">
        <v>17624</v>
      </c>
      <c r="B9" s="55" t="n">
        <v>45.4</v>
      </c>
      <c r="C9" s="55">
        <f>Table9[[#This Row],[PMI]]-B8</f>
        <v/>
      </c>
    </row>
    <row r="10">
      <c r="A10" s="54" t="n">
        <v>17654</v>
      </c>
      <c r="B10" s="55" t="n">
        <v>49.5</v>
      </c>
      <c r="C10" s="55">
        <f>Table9[[#This Row],[PMI]]-B9</f>
        <v/>
      </c>
    </row>
    <row r="11">
      <c r="A11" s="54" t="n">
        <v>17685</v>
      </c>
      <c r="B11" s="55" t="n">
        <v>53</v>
      </c>
      <c r="C11" s="55">
        <f>Table9[[#This Row],[PMI]]-B10</f>
        <v/>
      </c>
    </row>
    <row r="12">
      <c r="A12" s="54" t="n">
        <v>17715</v>
      </c>
      <c r="B12" s="55" t="n">
        <v>48.4</v>
      </c>
      <c r="C12" s="55">
        <f>Table9[[#This Row],[PMI]]-B11</f>
        <v/>
      </c>
    </row>
    <row r="13">
      <c r="A13" s="54" t="n">
        <v>17746</v>
      </c>
      <c r="B13" s="55" t="n">
        <v>45.1</v>
      </c>
      <c r="C13" s="55">
        <f>Table9[[#This Row],[PMI]]-B12</f>
        <v/>
      </c>
    </row>
    <row r="14">
      <c r="A14" s="54" t="n">
        <v>17777</v>
      </c>
      <c r="B14" s="55" t="n">
        <v>42.1</v>
      </c>
      <c r="C14" s="55">
        <f>Table9[[#This Row],[PMI]]-B13</f>
        <v/>
      </c>
    </row>
    <row r="15">
      <c r="A15" s="54" t="n">
        <v>17807</v>
      </c>
      <c r="B15" s="55" t="n">
        <v>47.2</v>
      </c>
      <c r="C15" s="55">
        <f>Table9[[#This Row],[PMI]]-B14</f>
        <v/>
      </c>
    </row>
    <row r="16">
      <c r="A16" s="54" t="n">
        <v>17838</v>
      </c>
      <c r="B16" s="55" t="n">
        <v>42.4</v>
      </c>
      <c r="C16" s="55">
        <f>Table9[[#This Row],[PMI]]-B15</f>
        <v/>
      </c>
    </row>
    <row r="17">
      <c r="A17" s="54" t="n">
        <v>17868</v>
      </c>
      <c r="B17" s="55" t="n">
        <v>35</v>
      </c>
      <c r="C17" s="55">
        <f>Table9[[#This Row],[PMI]]-B16</f>
        <v/>
      </c>
    </row>
    <row r="18">
      <c r="A18" s="54" t="n">
        <v>17899</v>
      </c>
      <c r="B18" s="55" t="n">
        <v>32.9</v>
      </c>
      <c r="C18" s="55">
        <f>Table9[[#This Row],[PMI]]-B17</f>
        <v/>
      </c>
    </row>
    <row r="19">
      <c r="A19" s="54" t="n">
        <v>17930</v>
      </c>
      <c r="B19" s="55" t="n">
        <v>31.3</v>
      </c>
      <c r="C19" s="55">
        <f>Table9[[#This Row],[PMI]]-B18</f>
        <v/>
      </c>
    </row>
    <row r="20">
      <c r="A20" s="54" t="n">
        <v>17958</v>
      </c>
      <c r="B20" s="55" t="n">
        <v>34.5</v>
      </c>
      <c r="C20" s="55">
        <f>Table9[[#This Row],[PMI]]-B19</f>
        <v/>
      </c>
    </row>
    <row r="21">
      <c r="A21" s="54" t="n">
        <v>17989</v>
      </c>
      <c r="B21" s="55" t="n">
        <v>35.5</v>
      </c>
      <c r="C21" s="55">
        <f>Table9[[#This Row],[PMI]]-B20</f>
        <v/>
      </c>
    </row>
    <row r="22">
      <c r="A22" s="54" t="n">
        <v>18019</v>
      </c>
      <c r="B22" s="55" t="n">
        <v>32.6</v>
      </c>
      <c r="C22" s="55">
        <f>Table9[[#This Row],[PMI]]-B21</f>
        <v/>
      </c>
    </row>
    <row r="23">
      <c r="A23" s="54" t="n">
        <v>18050</v>
      </c>
      <c r="B23" s="55" t="n">
        <v>31.6</v>
      </c>
      <c r="C23" s="55">
        <f>Table9[[#This Row],[PMI]]-B22</f>
        <v/>
      </c>
    </row>
    <row r="24">
      <c r="A24" s="54" t="n">
        <v>18080</v>
      </c>
      <c r="B24" s="55" t="n">
        <v>39</v>
      </c>
      <c r="C24" s="55">
        <f>Table9[[#This Row],[PMI]]-B23</f>
        <v/>
      </c>
    </row>
    <row r="25">
      <c r="A25" s="54" t="n">
        <v>18111</v>
      </c>
      <c r="B25" s="55" t="n">
        <v>47</v>
      </c>
      <c r="C25" s="55">
        <f>Table9[[#This Row],[PMI]]-B24</f>
        <v/>
      </c>
    </row>
    <row r="26">
      <c r="A26" s="54" t="n">
        <v>18142</v>
      </c>
      <c r="B26" s="55" t="n">
        <v>52.3</v>
      </c>
      <c r="C26" s="55">
        <f>Table9[[#This Row],[PMI]]-B25</f>
        <v/>
      </c>
    </row>
    <row r="27">
      <c r="A27" s="54" t="n">
        <v>18172</v>
      </c>
      <c r="B27" s="55" t="n">
        <v>51</v>
      </c>
      <c r="C27" s="55">
        <f>Table9[[#This Row],[PMI]]-B26</f>
        <v/>
      </c>
    </row>
    <row r="28">
      <c r="A28" s="54" t="n">
        <v>18203</v>
      </c>
      <c r="B28" s="55" t="n">
        <v>51</v>
      </c>
      <c r="C28" s="55">
        <f>Table9[[#This Row],[PMI]]-B27</f>
        <v/>
      </c>
    </row>
    <row r="29">
      <c r="A29" s="54" t="n">
        <v>18233</v>
      </c>
      <c r="B29" s="55" t="n">
        <v>57.3</v>
      </c>
      <c r="C29" s="55">
        <f>Table9[[#This Row],[PMI]]-B28</f>
        <v/>
      </c>
    </row>
    <row r="30">
      <c r="A30" s="54" t="n">
        <v>18264</v>
      </c>
      <c r="B30" s="55" t="n">
        <v>59.1</v>
      </c>
      <c r="C30" s="55">
        <f>Table9[[#This Row],[PMI]]-B29</f>
        <v/>
      </c>
    </row>
    <row r="31">
      <c r="A31" s="54" t="n">
        <v>18295</v>
      </c>
      <c r="B31" s="55" t="n">
        <v>60.5</v>
      </c>
      <c r="C31" s="55">
        <f>Table9[[#This Row],[PMI]]-B30</f>
        <v/>
      </c>
    </row>
    <row r="32">
      <c r="A32" s="54" t="n">
        <v>18323</v>
      </c>
      <c r="B32" s="55" t="n">
        <v>62.1</v>
      </c>
      <c r="C32" s="55">
        <f>Table9[[#This Row],[PMI]]-B31</f>
        <v/>
      </c>
    </row>
    <row r="33">
      <c r="A33" s="54" t="n">
        <v>18354</v>
      </c>
      <c r="B33" s="55" t="n">
        <v>68.09999999999999</v>
      </c>
      <c r="C33" s="55">
        <f>Table9[[#This Row],[PMI]]-B32</f>
        <v/>
      </c>
    </row>
    <row r="34">
      <c r="A34" s="54" t="n">
        <v>18384</v>
      </c>
      <c r="B34" s="55" t="n">
        <v>74.7</v>
      </c>
      <c r="C34" s="55">
        <f>Table9[[#This Row],[PMI]]-B33</f>
        <v/>
      </c>
    </row>
    <row r="35">
      <c r="A35" s="54" t="n">
        <v>18415</v>
      </c>
      <c r="B35" s="55" t="n">
        <v>76.59999999999999</v>
      </c>
      <c r="C35" s="55">
        <f>Table9[[#This Row],[PMI]]-B34</f>
        <v/>
      </c>
    </row>
    <row r="36">
      <c r="A36" s="54" t="n">
        <v>18445</v>
      </c>
      <c r="B36" s="55" t="n">
        <v>77.5</v>
      </c>
      <c r="C36" s="55">
        <f>Table9[[#This Row],[PMI]]-B35</f>
        <v/>
      </c>
    </row>
    <row r="37">
      <c r="A37" s="54" t="n">
        <v>18476</v>
      </c>
      <c r="B37" s="55" t="n">
        <v>75.8</v>
      </c>
      <c r="C37" s="55">
        <f>Table9[[#This Row],[PMI]]-B36</f>
        <v/>
      </c>
    </row>
    <row r="38">
      <c r="A38" s="54" t="n">
        <v>18507</v>
      </c>
      <c r="B38" s="55" t="n">
        <v>68.09999999999999</v>
      </c>
      <c r="C38" s="55">
        <f>Table9[[#This Row],[PMI]]-B37</f>
        <v/>
      </c>
    </row>
    <row r="39">
      <c r="A39" s="54" t="n">
        <v>18537</v>
      </c>
      <c r="B39" s="55" t="n">
        <v>59.2</v>
      </c>
      <c r="C39" s="55">
        <f>Table9[[#This Row],[PMI]]-B38</f>
        <v/>
      </c>
    </row>
    <row r="40">
      <c r="A40" s="54" t="n">
        <v>18568</v>
      </c>
      <c r="B40" s="55" t="n">
        <v>63.1</v>
      </c>
      <c r="C40" s="55">
        <f>Table9[[#This Row],[PMI]]-B39</f>
        <v/>
      </c>
    </row>
    <row r="41">
      <c r="A41" s="54" t="n">
        <v>18598</v>
      </c>
      <c r="B41" s="55" t="n">
        <v>67.09999999999999</v>
      </c>
      <c r="C41" s="55">
        <f>Table9[[#This Row],[PMI]]-B40</f>
        <v/>
      </c>
    </row>
    <row r="42">
      <c r="A42" s="54" t="n">
        <v>18629</v>
      </c>
      <c r="B42" s="55" t="n">
        <v>67.8</v>
      </c>
      <c r="C42" s="55">
        <f>Table9[[#This Row],[PMI]]-B41</f>
        <v/>
      </c>
    </row>
    <row r="43">
      <c r="A43" s="54" t="n">
        <v>18660</v>
      </c>
      <c r="B43" s="55" t="n">
        <v>69.3</v>
      </c>
      <c r="C43" s="55">
        <f>Table9[[#This Row],[PMI]]-B42</f>
        <v/>
      </c>
    </row>
    <row r="44">
      <c r="A44" s="54" t="n">
        <v>18688</v>
      </c>
      <c r="B44" s="55" t="n">
        <v>65.5</v>
      </c>
      <c r="C44" s="55">
        <f>Table9[[#This Row],[PMI]]-B43</f>
        <v/>
      </c>
    </row>
    <row r="45">
      <c r="A45" s="54" t="n">
        <v>18719</v>
      </c>
      <c r="B45" s="55" t="n">
        <v>53.5</v>
      </c>
      <c r="C45" s="55">
        <f>Table9[[#This Row],[PMI]]-B44</f>
        <v/>
      </c>
    </row>
    <row r="46">
      <c r="A46" s="54" t="n">
        <v>18749</v>
      </c>
      <c r="B46" s="55" t="n">
        <v>50.7</v>
      </c>
      <c r="C46" s="55">
        <f>Table9[[#This Row],[PMI]]-B45</f>
        <v/>
      </c>
    </row>
    <row r="47">
      <c r="A47" s="54" t="n">
        <v>18780</v>
      </c>
      <c r="B47" s="55" t="n">
        <v>45.5</v>
      </c>
      <c r="C47" s="55">
        <f>Table9[[#This Row],[PMI]]-B46</f>
        <v/>
      </c>
    </row>
    <row r="48">
      <c r="A48" s="54" t="n">
        <v>18810</v>
      </c>
      <c r="B48" s="55" t="n">
        <v>42.1</v>
      </c>
      <c r="C48" s="55">
        <f>Table9[[#This Row],[PMI]]-B47</f>
        <v/>
      </c>
    </row>
    <row r="49">
      <c r="A49" s="54" t="n">
        <v>18841</v>
      </c>
      <c r="B49" s="55" t="n">
        <v>43.6</v>
      </c>
      <c r="C49" s="55">
        <f>Table9[[#This Row],[PMI]]-B48</f>
        <v/>
      </c>
    </row>
    <row r="50">
      <c r="A50" s="54" t="n">
        <v>18872</v>
      </c>
      <c r="B50" s="55" t="n">
        <v>48.1</v>
      </c>
      <c r="C50" s="55">
        <f>Table9[[#This Row],[PMI]]-B49</f>
        <v/>
      </c>
    </row>
    <row r="51">
      <c r="A51" s="54" t="n">
        <v>18902</v>
      </c>
      <c r="B51" s="55" t="n">
        <v>49.6</v>
      </c>
      <c r="C51" s="55">
        <f>Table9[[#This Row],[PMI]]-B50</f>
        <v/>
      </c>
    </row>
    <row r="52">
      <c r="A52" s="54" t="n">
        <v>18933</v>
      </c>
      <c r="B52" s="55" t="n">
        <v>47.2</v>
      </c>
      <c r="C52" s="55">
        <f>Table9[[#This Row],[PMI]]-B51</f>
        <v/>
      </c>
    </row>
    <row r="53">
      <c r="A53" s="54" t="n">
        <v>18963</v>
      </c>
      <c r="B53" s="55" t="n">
        <v>46.5</v>
      </c>
      <c r="C53" s="55">
        <f>Table9[[#This Row],[PMI]]-B52</f>
        <v/>
      </c>
    </row>
    <row r="54">
      <c r="A54" s="54" t="n">
        <v>18994</v>
      </c>
      <c r="B54" s="55" t="n">
        <v>44.7</v>
      </c>
      <c r="C54" s="55">
        <f>Table9[[#This Row],[PMI]]-B53</f>
        <v/>
      </c>
    </row>
    <row r="55">
      <c r="A55" s="54" t="n">
        <v>19025</v>
      </c>
      <c r="B55" s="55" t="n">
        <v>41.8</v>
      </c>
      <c r="C55" s="55">
        <f>Table9[[#This Row],[PMI]]-B54</f>
        <v/>
      </c>
    </row>
    <row r="56">
      <c r="A56" s="54" t="n">
        <v>19054</v>
      </c>
      <c r="B56" s="55" t="n">
        <v>40</v>
      </c>
      <c r="C56" s="55">
        <f>Table9[[#This Row],[PMI]]-B55</f>
        <v/>
      </c>
    </row>
    <row r="57">
      <c r="A57" s="54" t="n">
        <v>19085</v>
      </c>
      <c r="B57" s="55" t="n">
        <v>36.7</v>
      </c>
      <c r="C57" s="55">
        <f>Table9[[#This Row],[PMI]]-B56</f>
        <v/>
      </c>
    </row>
    <row r="58">
      <c r="A58" s="54" t="n">
        <v>19115</v>
      </c>
      <c r="B58" s="55" t="n">
        <v>39.5</v>
      </c>
      <c r="C58" s="55">
        <f>Table9[[#This Row],[PMI]]-B57</f>
        <v/>
      </c>
    </row>
    <row r="59">
      <c r="A59" s="54" t="n">
        <v>19146</v>
      </c>
      <c r="B59" s="55" t="n">
        <v>43.3</v>
      </c>
      <c r="C59" s="55">
        <f>Table9[[#This Row],[PMI]]-B58</f>
        <v/>
      </c>
    </row>
    <row r="60">
      <c r="A60" s="54" t="n">
        <v>19176</v>
      </c>
      <c r="B60" s="55" t="n">
        <v>48.3</v>
      </c>
      <c r="C60" s="55">
        <f>Table9[[#This Row],[PMI]]-B59</f>
        <v/>
      </c>
    </row>
    <row r="61">
      <c r="A61" s="54" t="n">
        <v>19207</v>
      </c>
      <c r="B61" s="55" t="n">
        <v>60.4</v>
      </c>
      <c r="C61" s="55">
        <f>Table9[[#This Row],[PMI]]-B60</f>
        <v/>
      </c>
    </row>
    <row r="62">
      <c r="A62" s="54" t="n">
        <v>19238</v>
      </c>
      <c r="B62" s="55" t="n">
        <v>56.1</v>
      </c>
      <c r="C62" s="55">
        <f>Table9[[#This Row],[PMI]]-B61</f>
        <v/>
      </c>
    </row>
    <row r="63">
      <c r="A63" s="54" t="n">
        <v>19268</v>
      </c>
      <c r="B63" s="55" t="n">
        <v>56.2</v>
      </c>
      <c r="C63" s="55">
        <f>Table9[[#This Row],[PMI]]-B62</f>
        <v/>
      </c>
    </row>
    <row r="64">
      <c r="A64" s="54" t="n">
        <v>19299</v>
      </c>
      <c r="B64" s="55" t="n">
        <v>56.8</v>
      </c>
      <c r="C64" s="55">
        <f>Table9[[#This Row],[PMI]]-B63</f>
        <v/>
      </c>
    </row>
    <row r="65">
      <c r="A65" s="54" t="n">
        <v>19329</v>
      </c>
      <c r="B65" s="55" t="n">
        <v>55.8</v>
      </c>
      <c r="C65" s="55">
        <f>Table9[[#This Row],[PMI]]-B64</f>
        <v/>
      </c>
    </row>
    <row r="66">
      <c r="A66" s="54" t="n">
        <v>19360</v>
      </c>
      <c r="B66" s="55" t="n">
        <v>59.4</v>
      </c>
      <c r="C66" s="55">
        <f>Table9[[#This Row],[PMI]]-B65</f>
        <v/>
      </c>
    </row>
    <row r="67">
      <c r="A67" s="54" t="n">
        <v>19391</v>
      </c>
      <c r="B67" s="55" t="n">
        <v>55.4</v>
      </c>
      <c r="C67" s="55">
        <f>Table9[[#This Row],[PMI]]-B66</f>
        <v/>
      </c>
    </row>
    <row r="68">
      <c r="A68" s="54" t="n">
        <v>19419</v>
      </c>
      <c r="B68" s="55" t="n">
        <v>50.5</v>
      </c>
      <c r="C68" s="55">
        <f>Table9[[#This Row],[PMI]]-B67</f>
        <v/>
      </c>
    </row>
    <row r="69">
      <c r="A69" s="54" t="n">
        <v>19450</v>
      </c>
      <c r="B69" s="55" t="n">
        <v>51.1</v>
      </c>
      <c r="C69" s="55">
        <f>Table9[[#This Row],[PMI]]-B68</f>
        <v/>
      </c>
    </row>
    <row r="70">
      <c r="A70" s="54" t="n">
        <v>19480</v>
      </c>
      <c r="B70" s="55" t="n">
        <v>48.9</v>
      </c>
      <c r="C70" s="55">
        <f>Table9[[#This Row],[PMI]]-B69</f>
        <v/>
      </c>
    </row>
    <row r="71">
      <c r="A71" s="54" t="n">
        <v>19511</v>
      </c>
      <c r="B71" s="55" t="n">
        <v>48.5</v>
      </c>
      <c r="C71" s="55">
        <f>Table9[[#This Row],[PMI]]-B70</f>
        <v/>
      </c>
    </row>
    <row r="72">
      <c r="A72" s="54" t="n">
        <v>19541</v>
      </c>
      <c r="B72" s="55" t="n">
        <v>46.3</v>
      </c>
      <c r="C72" s="55">
        <f>Table9[[#This Row],[PMI]]-B71</f>
        <v/>
      </c>
    </row>
    <row r="73">
      <c r="A73" s="54" t="n">
        <v>19572</v>
      </c>
      <c r="B73" s="55" t="n">
        <v>43.5</v>
      </c>
      <c r="C73" s="55">
        <f>Table9[[#This Row],[PMI]]-B72</f>
        <v/>
      </c>
    </row>
    <row r="74">
      <c r="A74" s="54" t="n">
        <v>19603</v>
      </c>
      <c r="B74" s="55" t="n">
        <v>40.2</v>
      </c>
      <c r="C74" s="55">
        <f>Table9[[#This Row],[PMI]]-B73</f>
        <v/>
      </c>
    </row>
    <row r="75">
      <c r="A75" s="54" t="n">
        <v>19633</v>
      </c>
      <c r="B75" s="55" t="n">
        <v>37.4</v>
      </c>
      <c r="C75" s="55">
        <f>Table9[[#This Row],[PMI]]-B74</f>
        <v/>
      </c>
    </row>
    <row r="76">
      <c r="A76" s="54" t="n">
        <v>19664</v>
      </c>
      <c r="B76" s="55" t="n">
        <v>36.9</v>
      </c>
      <c r="C76" s="55">
        <f>Table9[[#This Row],[PMI]]-B75</f>
        <v/>
      </c>
    </row>
    <row r="77">
      <c r="A77" s="54" t="n">
        <v>19694</v>
      </c>
      <c r="B77" s="55" t="n">
        <v>35.6</v>
      </c>
      <c r="C77" s="55">
        <f>Table9[[#This Row],[PMI]]-B76</f>
        <v/>
      </c>
    </row>
    <row r="78">
      <c r="A78" s="54" t="n">
        <v>19725</v>
      </c>
      <c r="B78" s="55" t="n">
        <v>37.4</v>
      </c>
      <c r="C78" s="55">
        <f>Table9[[#This Row],[PMI]]-B77</f>
        <v/>
      </c>
    </row>
    <row r="79">
      <c r="A79" s="54" t="n">
        <v>19756</v>
      </c>
      <c r="B79" s="55" t="n">
        <v>40.7</v>
      </c>
      <c r="C79" s="55">
        <f>Table9[[#This Row],[PMI]]-B78</f>
        <v/>
      </c>
    </row>
    <row r="80">
      <c r="A80" s="54" t="n">
        <v>19784</v>
      </c>
      <c r="B80" s="55" t="n">
        <v>44.7</v>
      </c>
      <c r="C80" s="55">
        <f>Table9[[#This Row],[PMI]]-B79</f>
        <v/>
      </c>
    </row>
    <row r="81">
      <c r="A81" s="54" t="n">
        <v>19815</v>
      </c>
      <c r="B81" s="55" t="n">
        <v>47.7</v>
      </c>
      <c r="C81" s="55">
        <f>Table9[[#This Row],[PMI]]-B80</f>
        <v/>
      </c>
    </row>
    <row r="82">
      <c r="A82" s="54" t="n">
        <v>19845</v>
      </c>
      <c r="B82" s="55" t="n">
        <v>50.1</v>
      </c>
      <c r="C82" s="55">
        <f>Table9[[#This Row],[PMI]]-B81</f>
        <v/>
      </c>
    </row>
    <row r="83">
      <c r="A83" s="54" t="n">
        <v>19876</v>
      </c>
      <c r="B83" s="55" t="n">
        <v>52.1</v>
      </c>
      <c r="C83" s="55">
        <f>Table9[[#This Row],[PMI]]-B82</f>
        <v/>
      </c>
    </row>
    <row r="84">
      <c r="A84" s="54" t="n">
        <v>19906</v>
      </c>
      <c r="B84" s="55" t="n">
        <v>51.7</v>
      </c>
      <c r="C84" s="55">
        <f>Table9[[#This Row],[PMI]]-B83</f>
        <v/>
      </c>
    </row>
    <row r="85">
      <c r="A85" s="54" t="n">
        <v>19937</v>
      </c>
      <c r="B85" s="55" t="n">
        <v>54.4</v>
      </c>
      <c r="C85" s="55">
        <f>Table9[[#This Row],[PMI]]-B84</f>
        <v/>
      </c>
    </row>
    <row r="86">
      <c r="A86" s="54" t="n">
        <v>19968</v>
      </c>
      <c r="B86" s="55" t="n">
        <v>53.5</v>
      </c>
      <c r="C86" s="55">
        <f>Table9[[#This Row],[PMI]]-B85</f>
        <v/>
      </c>
    </row>
    <row r="87">
      <c r="A87" s="54" t="n">
        <v>19998</v>
      </c>
      <c r="B87" s="55" t="n">
        <v>58.2</v>
      </c>
      <c r="C87" s="55">
        <f>Table9[[#This Row],[PMI]]-B86</f>
        <v/>
      </c>
    </row>
    <row r="88">
      <c r="A88" s="54" t="n">
        <v>20029</v>
      </c>
      <c r="B88" s="55" t="n">
        <v>58.8</v>
      </c>
      <c r="C88" s="55">
        <f>Table9[[#This Row],[PMI]]-B87</f>
        <v/>
      </c>
    </row>
    <row r="89">
      <c r="A89" s="54" t="n">
        <v>20059</v>
      </c>
      <c r="B89" s="55" t="n">
        <v>63.8</v>
      </c>
      <c r="C89" s="55">
        <f>Table9[[#This Row],[PMI]]-B88</f>
        <v/>
      </c>
    </row>
    <row r="90">
      <c r="A90" s="54" t="n">
        <v>20090</v>
      </c>
      <c r="B90" s="55" t="n">
        <v>63</v>
      </c>
      <c r="C90" s="55">
        <f>Table9[[#This Row],[PMI]]-B89</f>
        <v/>
      </c>
    </row>
    <row r="91">
      <c r="A91" s="54" t="n">
        <v>20121</v>
      </c>
      <c r="B91" s="55" t="n">
        <v>67.8</v>
      </c>
      <c r="C91" s="55">
        <f>Table9[[#This Row],[PMI]]-B90</f>
        <v/>
      </c>
    </row>
    <row r="92">
      <c r="A92" s="54" t="n">
        <v>20149</v>
      </c>
      <c r="B92" s="55" t="n">
        <v>67.5</v>
      </c>
      <c r="C92" s="55">
        <f>Table9[[#This Row],[PMI]]-B91</f>
        <v/>
      </c>
    </row>
    <row r="93">
      <c r="A93" s="54" t="n">
        <v>20180</v>
      </c>
      <c r="B93" s="55" t="n">
        <v>68.7</v>
      </c>
      <c r="C93" s="55">
        <f>Table9[[#This Row],[PMI]]-B92</f>
        <v/>
      </c>
    </row>
    <row r="94">
      <c r="A94" s="54" t="n">
        <v>20210</v>
      </c>
      <c r="B94" s="55" t="n">
        <v>69.5</v>
      </c>
      <c r="C94" s="55">
        <f>Table9[[#This Row],[PMI]]-B93</f>
        <v/>
      </c>
    </row>
    <row r="95">
      <c r="A95" s="54" t="n">
        <v>20241</v>
      </c>
      <c r="B95" s="55" t="n">
        <v>63.3</v>
      </c>
      <c r="C95" s="55">
        <f>Table9[[#This Row],[PMI]]-B94</f>
        <v/>
      </c>
    </row>
    <row r="96">
      <c r="A96" s="54" t="n">
        <v>20271</v>
      </c>
      <c r="B96" s="55" t="n">
        <v>66.2</v>
      </c>
      <c r="C96" s="55">
        <f>Table9[[#This Row],[PMI]]-B95</f>
        <v/>
      </c>
    </row>
    <row r="97">
      <c r="A97" s="54" t="n">
        <v>20302</v>
      </c>
      <c r="B97" s="55" t="n">
        <v>64.8</v>
      </c>
      <c r="C97" s="55">
        <f>Table9[[#This Row],[PMI]]-B96</f>
        <v/>
      </c>
    </row>
    <row r="98">
      <c r="A98" s="54" t="n">
        <v>20333</v>
      </c>
      <c r="B98" s="55" t="n">
        <v>62.4</v>
      </c>
      <c r="C98" s="55">
        <f>Table9[[#This Row],[PMI]]-B97</f>
        <v/>
      </c>
    </row>
    <row r="99">
      <c r="A99" s="54" t="n">
        <v>20363</v>
      </c>
      <c r="B99" s="55" t="n">
        <v>63.7</v>
      </c>
      <c r="C99" s="55">
        <f>Table9[[#This Row],[PMI]]-B98</f>
        <v/>
      </c>
    </row>
    <row r="100">
      <c r="A100" s="54" t="n">
        <v>20394</v>
      </c>
      <c r="B100" s="55" t="n">
        <v>62</v>
      </c>
      <c r="C100" s="55">
        <f>Table9[[#This Row],[PMI]]-B99</f>
        <v/>
      </c>
    </row>
    <row r="101">
      <c r="A101" s="54" t="n">
        <v>20424</v>
      </c>
      <c r="B101" s="55" t="n">
        <v>65.59999999999999</v>
      </c>
      <c r="C101" s="55">
        <f>Table9[[#This Row],[PMI]]-B100</f>
        <v/>
      </c>
    </row>
    <row r="102">
      <c r="A102" s="54" t="n">
        <v>20455</v>
      </c>
      <c r="B102" s="55" t="n">
        <v>60.2</v>
      </c>
      <c r="C102" s="55">
        <f>Table9[[#This Row],[PMI]]-B101</f>
        <v/>
      </c>
    </row>
    <row r="103">
      <c r="A103" s="54" t="n">
        <v>20486</v>
      </c>
      <c r="B103" s="55" t="n">
        <v>58.2</v>
      </c>
      <c r="C103" s="55">
        <f>Table9[[#This Row],[PMI]]-B102</f>
        <v/>
      </c>
    </row>
    <row r="104">
      <c r="A104" s="54" t="n">
        <v>20515</v>
      </c>
      <c r="B104" s="55" t="n">
        <v>57.2</v>
      </c>
      <c r="C104" s="55">
        <f>Table9[[#This Row],[PMI]]-B103</f>
        <v/>
      </c>
    </row>
    <row r="105">
      <c r="A105" s="54" t="n">
        <v>20546</v>
      </c>
      <c r="B105" s="55" t="n">
        <v>55.9</v>
      </c>
      <c r="C105" s="55">
        <f>Table9[[#This Row],[PMI]]-B104</f>
        <v/>
      </c>
    </row>
    <row r="106">
      <c r="A106" s="54" t="n">
        <v>20576</v>
      </c>
      <c r="B106" s="55" t="n">
        <v>51.2</v>
      </c>
      <c r="C106" s="55">
        <f>Table9[[#This Row],[PMI]]-B105</f>
        <v/>
      </c>
    </row>
    <row r="107">
      <c r="A107" s="54" t="n">
        <v>20607</v>
      </c>
      <c r="B107" s="55" t="n">
        <v>47.7</v>
      </c>
      <c r="C107" s="55">
        <f>Table9[[#This Row],[PMI]]-B106</f>
        <v/>
      </c>
    </row>
    <row r="108">
      <c r="A108" s="54" t="n">
        <v>20637</v>
      </c>
      <c r="B108" s="55" t="n">
        <v>44.2</v>
      </c>
      <c r="C108" s="55">
        <f>Table9[[#This Row],[PMI]]-B107</f>
        <v/>
      </c>
    </row>
    <row r="109">
      <c r="A109" s="54" t="n">
        <v>20668</v>
      </c>
      <c r="B109" s="55" t="n">
        <v>51.5</v>
      </c>
      <c r="C109" s="55">
        <f>Table9[[#This Row],[PMI]]-B108</f>
        <v/>
      </c>
    </row>
    <row r="110">
      <c r="A110" s="54" t="n">
        <v>20699</v>
      </c>
      <c r="B110" s="55" t="n">
        <v>55.5</v>
      </c>
      <c r="C110" s="55">
        <f>Table9[[#This Row],[PMI]]-B109</f>
        <v/>
      </c>
    </row>
    <row r="111">
      <c r="A111" s="54" t="n">
        <v>20729</v>
      </c>
      <c r="B111" s="55" t="n">
        <v>52.7</v>
      </c>
      <c r="C111" s="55">
        <f>Table9[[#This Row],[PMI]]-B110</f>
        <v/>
      </c>
    </row>
    <row r="112">
      <c r="A112" s="54" t="n">
        <v>20760</v>
      </c>
      <c r="B112" s="55" t="n">
        <v>55</v>
      </c>
      <c r="C112" s="55">
        <f>Table9[[#This Row],[PMI]]-B111</f>
        <v/>
      </c>
    </row>
    <row r="113">
      <c r="A113" s="54" t="n">
        <v>20790</v>
      </c>
      <c r="B113" s="55" t="n">
        <v>52.7</v>
      </c>
      <c r="C113" s="55">
        <f>Table9[[#This Row],[PMI]]-B112</f>
        <v/>
      </c>
    </row>
    <row r="114">
      <c r="A114" s="54" t="n">
        <v>20821</v>
      </c>
      <c r="B114" s="55" t="n">
        <v>53.6</v>
      </c>
      <c r="C114" s="55">
        <f>Table9[[#This Row],[PMI]]-B113</f>
        <v/>
      </c>
    </row>
    <row r="115">
      <c r="A115" s="54" t="n">
        <v>20852</v>
      </c>
      <c r="B115" s="55" t="n">
        <v>51</v>
      </c>
      <c r="C115" s="55">
        <f>Table9[[#This Row],[PMI]]-B114</f>
        <v/>
      </c>
    </row>
    <row r="116">
      <c r="A116" s="54" t="n">
        <v>20880</v>
      </c>
      <c r="B116" s="55" t="n">
        <v>47.5</v>
      </c>
      <c r="C116" s="55">
        <f>Table9[[#This Row],[PMI]]-B115</f>
        <v/>
      </c>
    </row>
    <row r="117">
      <c r="A117" s="54" t="n">
        <v>20911</v>
      </c>
      <c r="B117" s="55" t="n">
        <v>43.1</v>
      </c>
      <c r="C117" s="55">
        <f>Table9[[#This Row],[PMI]]-B116</f>
        <v/>
      </c>
    </row>
    <row r="118">
      <c r="A118" s="54" t="n">
        <v>20941</v>
      </c>
      <c r="B118" s="55" t="n">
        <v>43.4</v>
      </c>
      <c r="C118" s="55">
        <f>Table9[[#This Row],[PMI]]-B117</f>
        <v/>
      </c>
    </row>
    <row r="119">
      <c r="A119" s="54" t="n">
        <v>20972</v>
      </c>
      <c r="B119" s="55" t="n">
        <v>45.9</v>
      </c>
      <c r="C119" s="55">
        <f>Table9[[#This Row],[PMI]]-B118</f>
        <v/>
      </c>
    </row>
    <row r="120">
      <c r="A120" s="54" t="n">
        <v>21002</v>
      </c>
      <c r="B120" s="55" t="n">
        <v>45.7</v>
      </c>
      <c r="C120" s="55">
        <f>Table9[[#This Row],[PMI]]-B119</f>
        <v/>
      </c>
    </row>
    <row r="121">
      <c r="A121" s="54" t="n">
        <v>21033</v>
      </c>
      <c r="B121" s="55" t="n">
        <v>45.3</v>
      </c>
      <c r="C121" s="55">
        <f>Table9[[#This Row],[PMI]]-B120</f>
        <v/>
      </c>
    </row>
    <row r="122">
      <c r="A122" s="54" t="n">
        <v>21064</v>
      </c>
      <c r="B122" s="55" t="n">
        <v>45.8</v>
      </c>
      <c r="C122" s="55">
        <f>Table9[[#This Row],[PMI]]-B121</f>
        <v/>
      </c>
    </row>
    <row r="123">
      <c r="A123" s="54" t="n">
        <v>21094</v>
      </c>
      <c r="B123" s="55" t="n">
        <v>41.1</v>
      </c>
      <c r="C123" s="55">
        <f>Table9[[#This Row],[PMI]]-B122</f>
        <v/>
      </c>
    </row>
    <row r="124">
      <c r="A124" s="54" t="n">
        <v>21125</v>
      </c>
      <c r="B124" s="55" t="n">
        <v>40.4</v>
      </c>
      <c r="C124" s="55">
        <f>Table9[[#This Row],[PMI]]-B123</f>
        <v/>
      </c>
    </row>
    <row r="125">
      <c r="A125" s="54" t="n">
        <v>21155</v>
      </c>
      <c r="B125" s="55" t="n">
        <v>36.8</v>
      </c>
      <c r="C125" s="55">
        <f>Table9[[#This Row],[PMI]]-B124</f>
        <v/>
      </c>
    </row>
    <row r="126">
      <c r="A126" s="54" t="n">
        <v>21186</v>
      </c>
      <c r="B126" s="55" t="n">
        <v>33.4</v>
      </c>
      <c r="C126" s="55">
        <f>Table9[[#This Row],[PMI]]-B125</f>
        <v/>
      </c>
    </row>
    <row r="127">
      <c r="A127" s="54" t="n">
        <v>21217</v>
      </c>
      <c r="B127" s="55" t="n">
        <v>37.2</v>
      </c>
      <c r="C127" s="55">
        <f>Table9[[#This Row],[PMI]]-B126</f>
        <v/>
      </c>
    </row>
    <row r="128">
      <c r="A128" s="54" t="n">
        <v>21245</v>
      </c>
      <c r="B128" s="55" t="n">
        <v>39.8</v>
      </c>
      <c r="C128" s="55">
        <f>Table9[[#This Row],[PMI]]-B127</f>
        <v/>
      </c>
    </row>
    <row r="129">
      <c r="A129" s="54" t="n">
        <v>21276</v>
      </c>
      <c r="B129" s="55" t="n">
        <v>39.1</v>
      </c>
      <c r="C129" s="55">
        <f>Table9[[#This Row],[PMI]]-B128</f>
        <v/>
      </c>
    </row>
    <row r="130">
      <c r="A130" s="54" t="n">
        <v>21306</v>
      </c>
      <c r="B130" s="55" t="n">
        <v>46.6</v>
      </c>
      <c r="C130" s="55">
        <f>Table9[[#This Row],[PMI]]-B129</f>
        <v/>
      </c>
    </row>
    <row r="131">
      <c r="A131" s="54" t="n">
        <v>21337</v>
      </c>
      <c r="B131" s="55" t="n">
        <v>51.4</v>
      </c>
      <c r="C131" s="55">
        <f>Table9[[#This Row],[PMI]]-B130</f>
        <v/>
      </c>
    </row>
    <row r="132">
      <c r="A132" s="54" t="n">
        <v>21367</v>
      </c>
      <c r="B132" s="55" t="n">
        <v>54.7</v>
      </c>
      <c r="C132" s="55">
        <f>Table9[[#This Row],[PMI]]-B131</f>
        <v/>
      </c>
    </row>
    <row r="133">
      <c r="A133" s="54" t="n">
        <v>21398</v>
      </c>
      <c r="B133" s="55" t="n">
        <v>57.3</v>
      </c>
      <c r="C133" s="55">
        <f>Table9[[#This Row],[PMI]]-B132</f>
        <v/>
      </c>
    </row>
    <row r="134">
      <c r="A134" s="54" t="n">
        <v>21429</v>
      </c>
      <c r="B134" s="55" t="n">
        <v>59.8</v>
      </c>
      <c r="C134" s="55">
        <f>Table9[[#This Row],[PMI]]-B133</f>
        <v/>
      </c>
    </row>
    <row r="135">
      <c r="A135" s="54" t="n">
        <v>21459</v>
      </c>
      <c r="B135" s="55" t="n">
        <v>62.3</v>
      </c>
      <c r="C135" s="55">
        <f>Table9[[#This Row],[PMI]]-B134</f>
        <v/>
      </c>
    </row>
    <row r="136">
      <c r="A136" s="54" t="n">
        <v>21490</v>
      </c>
      <c r="B136" s="55" t="n">
        <v>62.7</v>
      </c>
      <c r="C136" s="55">
        <f>Table9[[#This Row],[PMI]]-B135</f>
        <v/>
      </c>
    </row>
    <row r="137">
      <c r="A137" s="54" t="n">
        <v>21520</v>
      </c>
      <c r="B137" s="55" t="n">
        <v>60.5</v>
      </c>
      <c r="C137" s="55">
        <f>Table9[[#This Row],[PMI]]-B136</f>
        <v/>
      </c>
    </row>
    <row r="138">
      <c r="A138" s="54" t="n">
        <v>21551</v>
      </c>
      <c r="B138" s="55" t="n">
        <v>64.40000000000001</v>
      </c>
      <c r="C138" s="55">
        <f>Table9[[#This Row],[PMI]]-B137</f>
        <v/>
      </c>
    </row>
    <row r="139">
      <c r="A139" s="54" t="n">
        <v>21582</v>
      </c>
      <c r="B139" s="55" t="n">
        <v>66.90000000000001</v>
      </c>
      <c r="C139" s="55">
        <f>Table9[[#This Row],[PMI]]-B138</f>
        <v/>
      </c>
    </row>
    <row r="140">
      <c r="A140" s="54" t="n">
        <v>21610</v>
      </c>
      <c r="B140" s="55" t="n">
        <v>67.09999999999999</v>
      </c>
      <c r="C140" s="55">
        <f>Table9[[#This Row],[PMI]]-B139</f>
        <v/>
      </c>
    </row>
    <row r="141">
      <c r="A141" s="54" t="n">
        <v>21641</v>
      </c>
      <c r="B141" s="55" t="n">
        <v>66.90000000000001</v>
      </c>
      <c r="C141" s="55">
        <f>Table9[[#This Row],[PMI]]-B140</f>
        <v/>
      </c>
    </row>
    <row r="142">
      <c r="A142" s="54" t="n">
        <v>21671</v>
      </c>
      <c r="B142" s="55" t="n">
        <v>68.2</v>
      </c>
      <c r="C142" s="55">
        <f>Table9[[#This Row],[PMI]]-B141</f>
        <v/>
      </c>
    </row>
    <row r="143">
      <c r="A143" s="54" t="n">
        <v>21702</v>
      </c>
      <c r="B143" s="55" t="n">
        <v>64.40000000000001</v>
      </c>
      <c r="C143" s="55">
        <f>Table9[[#This Row],[PMI]]-B142</f>
        <v/>
      </c>
    </row>
    <row r="144">
      <c r="A144" s="54" t="n">
        <v>21732</v>
      </c>
      <c r="B144" s="55" t="n">
        <v>61.5</v>
      </c>
      <c r="C144" s="55">
        <f>Table9[[#This Row],[PMI]]-B143</f>
        <v/>
      </c>
    </row>
    <row r="145">
      <c r="A145" s="54" t="n">
        <v>21763</v>
      </c>
      <c r="B145" s="55" t="n">
        <v>55.1</v>
      </c>
      <c r="C145" s="55">
        <f>Table9[[#This Row],[PMI]]-B144</f>
        <v/>
      </c>
    </row>
    <row r="146">
      <c r="A146" s="54" t="n">
        <v>21794</v>
      </c>
      <c r="B146" s="55" t="n">
        <v>48.3</v>
      </c>
      <c r="C146" s="55">
        <f>Table9[[#This Row],[PMI]]-B145</f>
        <v/>
      </c>
    </row>
    <row r="147">
      <c r="A147" s="54" t="n">
        <v>21824</v>
      </c>
      <c r="B147" s="55" t="n">
        <v>49.7</v>
      </c>
      <c r="C147" s="55">
        <f>Table9[[#This Row],[PMI]]-B146</f>
        <v/>
      </c>
    </row>
    <row r="148">
      <c r="A148" s="54" t="n">
        <v>21855</v>
      </c>
      <c r="B148" s="55" t="n">
        <v>50.6</v>
      </c>
      <c r="C148" s="55">
        <f>Table9[[#This Row],[PMI]]-B147</f>
        <v/>
      </c>
    </row>
    <row r="149">
      <c r="A149" s="54" t="n">
        <v>21885</v>
      </c>
      <c r="B149" s="55" t="n">
        <v>58.2</v>
      </c>
      <c r="C149" s="55">
        <f>Table9[[#This Row],[PMI]]-B148</f>
        <v/>
      </c>
    </row>
    <row r="150">
      <c r="A150" s="54" t="n">
        <v>21916</v>
      </c>
      <c r="B150" s="55" t="n">
        <v>61.5</v>
      </c>
      <c r="C150" s="55">
        <f>Table9[[#This Row],[PMI]]-B149</f>
        <v/>
      </c>
    </row>
    <row r="151">
      <c r="A151" s="54" t="n">
        <v>21947</v>
      </c>
      <c r="B151" s="55" t="n">
        <v>52.3</v>
      </c>
      <c r="C151" s="55">
        <f>Table9[[#This Row],[PMI]]-B150</f>
        <v/>
      </c>
    </row>
    <row r="152">
      <c r="A152" s="54" t="n">
        <v>21976</v>
      </c>
      <c r="B152" s="55" t="n">
        <v>47.8</v>
      </c>
      <c r="C152" s="55">
        <f>Table9[[#This Row],[PMI]]-B151</f>
        <v/>
      </c>
    </row>
    <row r="153">
      <c r="A153" s="54" t="n">
        <v>22007</v>
      </c>
      <c r="B153" s="55" t="n">
        <v>45.3</v>
      </c>
      <c r="C153" s="55">
        <f>Table9[[#This Row],[PMI]]-B152</f>
        <v/>
      </c>
    </row>
    <row r="154">
      <c r="A154" s="54" t="n">
        <v>22037</v>
      </c>
      <c r="B154" s="55" t="n">
        <v>42.6</v>
      </c>
      <c r="C154" s="55">
        <f>Table9[[#This Row],[PMI]]-B153</f>
        <v/>
      </c>
    </row>
    <row r="155">
      <c r="A155" s="54" t="n">
        <v>22068</v>
      </c>
      <c r="B155" s="55" t="n">
        <v>44.4</v>
      </c>
      <c r="C155" s="55">
        <f>Table9[[#This Row],[PMI]]-B154</f>
        <v/>
      </c>
    </row>
    <row r="156">
      <c r="A156" s="54" t="n">
        <v>22098</v>
      </c>
      <c r="B156" s="55" t="n">
        <v>43.7</v>
      </c>
      <c r="C156" s="55">
        <f>Table9[[#This Row],[PMI]]-B155</f>
        <v/>
      </c>
    </row>
    <row r="157">
      <c r="A157" s="54" t="n">
        <v>22129</v>
      </c>
      <c r="B157" s="55" t="n">
        <v>47.6</v>
      </c>
      <c r="C157" s="55">
        <f>Table9[[#This Row],[PMI]]-B156</f>
        <v/>
      </c>
    </row>
    <row r="158">
      <c r="A158" s="54" t="n">
        <v>22160</v>
      </c>
      <c r="B158" s="55" t="n">
        <v>45.4</v>
      </c>
      <c r="C158" s="55">
        <f>Table9[[#This Row],[PMI]]-B157</f>
        <v/>
      </c>
    </row>
    <row r="159">
      <c r="A159" s="54" t="n">
        <v>22190</v>
      </c>
      <c r="B159" s="55" t="n">
        <v>46</v>
      </c>
      <c r="C159" s="55">
        <f>Table9[[#This Row],[PMI]]-B158</f>
        <v/>
      </c>
    </row>
    <row r="160">
      <c r="A160" s="54" t="n">
        <v>22221</v>
      </c>
      <c r="B160" s="55" t="n">
        <v>44.3</v>
      </c>
      <c r="C160" s="55">
        <f>Table9[[#This Row],[PMI]]-B159</f>
        <v/>
      </c>
    </row>
    <row r="161">
      <c r="A161" s="54" t="n">
        <v>22251</v>
      </c>
      <c r="B161" s="55" t="n">
        <v>44.3</v>
      </c>
      <c r="C161" s="55">
        <f>Table9[[#This Row],[PMI]]-B160</f>
        <v/>
      </c>
    </row>
    <row r="162">
      <c r="A162" s="54" t="n">
        <v>22282</v>
      </c>
      <c r="B162" s="55" t="n">
        <v>43.9</v>
      </c>
      <c r="C162" s="55">
        <f>Table9[[#This Row],[PMI]]-B161</f>
        <v/>
      </c>
    </row>
    <row r="163">
      <c r="A163" s="54" t="n">
        <v>22313</v>
      </c>
      <c r="B163" s="55" t="n">
        <v>43.6</v>
      </c>
      <c r="C163" s="55">
        <f>Table9[[#This Row],[PMI]]-B162</f>
        <v/>
      </c>
    </row>
    <row r="164">
      <c r="A164" s="54" t="n">
        <v>22341</v>
      </c>
      <c r="B164" s="55" t="n">
        <v>49.1</v>
      </c>
      <c r="C164" s="55">
        <f>Table9[[#This Row],[PMI]]-B163</f>
        <v/>
      </c>
    </row>
    <row r="165">
      <c r="A165" s="54" t="n">
        <v>22372</v>
      </c>
      <c r="B165" s="55" t="n">
        <v>57.6</v>
      </c>
      <c r="C165" s="55">
        <f>Table9[[#This Row],[PMI]]-B164</f>
        <v/>
      </c>
    </row>
    <row r="166">
      <c r="A166" s="54" t="n">
        <v>22402</v>
      </c>
      <c r="B166" s="55" t="n">
        <v>58.9</v>
      </c>
      <c r="C166" s="55">
        <f>Table9[[#This Row],[PMI]]-B165</f>
        <v/>
      </c>
    </row>
    <row r="167">
      <c r="A167" s="54" t="n">
        <v>22433</v>
      </c>
      <c r="B167" s="55" t="n">
        <v>58.1</v>
      </c>
      <c r="C167" s="55">
        <f>Table9[[#This Row],[PMI]]-B166</f>
        <v/>
      </c>
    </row>
    <row r="168">
      <c r="A168" s="54" t="n">
        <v>22463</v>
      </c>
      <c r="B168" s="55" t="n">
        <v>58.2</v>
      </c>
      <c r="C168" s="55">
        <f>Table9[[#This Row],[PMI]]-B167</f>
        <v/>
      </c>
    </row>
    <row r="169">
      <c r="A169" s="54" t="n">
        <v>22494</v>
      </c>
      <c r="B169" s="55" t="n">
        <v>60.7</v>
      </c>
      <c r="C169" s="55">
        <f>Table9[[#This Row],[PMI]]-B168</f>
        <v/>
      </c>
    </row>
    <row r="170">
      <c r="A170" s="54" t="n">
        <v>22525</v>
      </c>
      <c r="B170" s="55" t="n">
        <v>63</v>
      </c>
      <c r="C170" s="55">
        <f>Table9[[#This Row],[PMI]]-B169</f>
        <v/>
      </c>
    </row>
    <row r="171">
      <c r="A171" s="54" t="n">
        <v>22555</v>
      </c>
      <c r="B171" s="55" t="n">
        <v>62.2</v>
      </c>
      <c r="C171" s="55">
        <f>Table9[[#This Row],[PMI]]-B170</f>
        <v/>
      </c>
    </row>
    <row r="172">
      <c r="A172" s="54" t="n">
        <v>22586</v>
      </c>
      <c r="B172" s="55" t="n">
        <v>59</v>
      </c>
      <c r="C172" s="55">
        <f>Table9[[#This Row],[PMI]]-B171</f>
        <v/>
      </c>
    </row>
    <row r="173">
      <c r="A173" s="54" t="n">
        <v>22616</v>
      </c>
      <c r="B173" s="55" t="n">
        <v>64.2</v>
      </c>
      <c r="C173" s="55">
        <f>Table9[[#This Row],[PMI]]-B172</f>
        <v/>
      </c>
    </row>
    <row r="174">
      <c r="A174" s="54" t="n">
        <v>22647</v>
      </c>
      <c r="B174" s="55" t="n">
        <v>60.9</v>
      </c>
      <c r="C174" s="55">
        <f>Table9[[#This Row],[PMI]]-B173</f>
        <v/>
      </c>
    </row>
    <row r="175">
      <c r="A175" s="54" t="n">
        <v>22678</v>
      </c>
      <c r="B175" s="55" t="n">
        <v>61.1</v>
      </c>
      <c r="C175" s="55">
        <f>Table9[[#This Row],[PMI]]-B174</f>
        <v/>
      </c>
    </row>
    <row r="176">
      <c r="A176" s="54" t="n">
        <v>22706</v>
      </c>
      <c r="B176" s="55" t="n">
        <v>60.6</v>
      </c>
      <c r="C176" s="55">
        <f>Table9[[#This Row],[PMI]]-B175</f>
        <v/>
      </c>
    </row>
    <row r="177">
      <c r="A177" s="54" t="n">
        <v>22737</v>
      </c>
      <c r="B177" s="55" t="n">
        <v>55.1</v>
      </c>
      <c r="C177" s="55">
        <f>Table9[[#This Row],[PMI]]-B176</f>
        <v/>
      </c>
    </row>
    <row r="178">
      <c r="A178" s="54" t="n">
        <v>22767</v>
      </c>
      <c r="B178" s="55" t="n">
        <v>52.2</v>
      </c>
      <c r="C178" s="55">
        <f>Table9[[#This Row],[PMI]]-B177</f>
        <v/>
      </c>
    </row>
    <row r="179">
      <c r="A179" s="54" t="n">
        <v>22798</v>
      </c>
      <c r="B179" s="55" t="n">
        <v>50.8</v>
      </c>
      <c r="C179" s="55">
        <f>Table9[[#This Row],[PMI]]-B178</f>
        <v/>
      </c>
    </row>
    <row r="180">
      <c r="A180" s="54" t="n">
        <v>22828</v>
      </c>
      <c r="B180" s="55" t="n">
        <v>51</v>
      </c>
      <c r="C180" s="55">
        <f>Table9[[#This Row],[PMI]]-B179</f>
        <v/>
      </c>
    </row>
    <row r="181">
      <c r="A181" s="54" t="n">
        <v>22859</v>
      </c>
      <c r="B181" s="55" t="n">
        <v>49.5</v>
      </c>
      <c r="C181" s="55">
        <f>Table9[[#This Row],[PMI]]-B180</f>
        <v/>
      </c>
    </row>
    <row r="182">
      <c r="A182" s="54" t="n">
        <v>22890</v>
      </c>
      <c r="B182" s="55" t="n">
        <v>50</v>
      </c>
      <c r="C182" s="55">
        <f>Table9[[#This Row],[PMI]]-B181</f>
        <v/>
      </c>
    </row>
    <row r="183">
      <c r="A183" s="54" t="n">
        <v>22920</v>
      </c>
      <c r="B183" s="55" t="n">
        <v>51.2</v>
      </c>
      <c r="C183" s="55">
        <f>Table9[[#This Row],[PMI]]-B182</f>
        <v/>
      </c>
    </row>
    <row r="184">
      <c r="A184" s="54" t="n">
        <v>22951</v>
      </c>
      <c r="B184" s="55" t="n">
        <v>53.8</v>
      </c>
      <c r="C184" s="55">
        <f>Table9[[#This Row],[PMI]]-B183</f>
        <v/>
      </c>
    </row>
    <row r="185">
      <c r="A185" s="54" t="n">
        <v>22981</v>
      </c>
      <c r="B185" s="55" t="n">
        <v>57.2</v>
      </c>
      <c r="C185" s="55">
        <f>Table9[[#This Row],[PMI]]-B184</f>
        <v/>
      </c>
    </row>
    <row r="186">
      <c r="A186" s="54" t="n">
        <v>23012</v>
      </c>
      <c r="B186" s="55" t="n">
        <v>55.2</v>
      </c>
      <c r="C186" s="55">
        <f>Table9[[#This Row],[PMI]]-B185</f>
        <v/>
      </c>
    </row>
    <row r="187">
      <c r="A187" s="54" t="n">
        <v>23043</v>
      </c>
      <c r="B187" s="55" t="n">
        <v>55.1</v>
      </c>
      <c r="C187" s="55">
        <f>Table9[[#This Row],[PMI]]-B186</f>
        <v/>
      </c>
    </row>
    <row r="188">
      <c r="A188" s="54" t="n">
        <v>23071</v>
      </c>
      <c r="B188" s="55" t="n">
        <v>54.7</v>
      </c>
      <c r="C188" s="55">
        <f>Table9[[#This Row],[PMI]]-B187</f>
        <v/>
      </c>
    </row>
    <row r="189">
      <c r="A189" s="54" t="n">
        <v>23102</v>
      </c>
      <c r="B189" s="55" t="n">
        <v>57.6</v>
      </c>
      <c r="C189" s="55">
        <f>Table9[[#This Row],[PMI]]-B188</f>
        <v/>
      </c>
    </row>
    <row r="190">
      <c r="A190" s="54" t="n">
        <v>23132</v>
      </c>
      <c r="B190" s="55" t="n">
        <v>59.8</v>
      </c>
      <c r="C190" s="55">
        <f>Table9[[#This Row],[PMI]]-B189</f>
        <v/>
      </c>
    </row>
    <row r="191">
      <c r="A191" s="54" t="n">
        <v>23163</v>
      </c>
      <c r="B191" s="55" t="n">
        <v>58.2</v>
      </c>
      <c r="C191" s="55">
        <f>Table9[[#This Row],[PMI]]-B190</f>
        <v/>
      </c>
    </row>
    <row r="192">
      <c r="A192" s="54" t="n">
        <v>23193</v>
      </c>
      <c r="B192" s="55" t="n">
        <v>55.5</v>
      </c>
      <c r="C192" s="55">
        <f>Table9[[#This Row],[PMI]]-B191</f>
        <v/>
      </c>
    </row>
    <row r="193">
      <c r="A193" s="54" t="n">
        <v>23224</v>
      </c>
      <c r="B193" s="55" t="n">
        <v>55.1</v>
      </c>
      <c r="C193" s="55">
        <f>Table9[[#This Row],[PMI]]-B192</f>
        <v/>
      </c>
    </row>
    <row r="194">
      <c r="A194" s="54" t="n">
        <v>23255</v>
      </c>
      <c r="B194" s="55" t="n">
        <v>56.9</v>
      </c>
      <c r="C194" s="55">
        <f>Table9[[#This Row],[PMI]]-B193</f>
        <v/>
      </c>
    </row>
    <row r="195">
      <c r="A195" s="54" t="n">
        <v>23285</v>
      </c>
      <c r="B195" s="55" t="n">
        <v>57.7</v>
      </c>
      <c r="C195" s="55">
        <f>Table9[[#This Row],[PMI]]-B194</f>
        <v/>
      </c>
    </row>
    <row r="196">
      <c r="A196" s="54" t="n">
        <v>23316</v>
      </c>
      <c r="B196" s="55" t="n">
        <v>57.5</v>
      </c>
      <c r="C196" s="55">
        <f>Table9[[#This Row],[PMI]]-B195</f>
        <v/>
      </c>
    </row>
    <row r="197">
      <c r="A197" s="54" t="n">
        <v>23346</v>
      </c>
      <c r="B197" s="55" t="n">
        <v>54</v>
      </c>
      <c r="C197" s="55">
        <f>Table9[[#This Row],[PMI]]-B196</f>
        <v/>
      </c>
    </row>
    <row r="198">
      <c r="A198" s="54" t="n">
        <v>23377</v>
      </c>
      <c r="B198" s="55" t="n">
        <v>57.1</v>
      </c>
      <c r="C198" s="55">
        <f>Table9[[#This Row],[PMI]]-B197</f>
        <v/>
      </c>
    </row>
    <row r="199">
      <c r="A199" s="54" t="n">
        <v>23408</v>
      </c>
      <c r="B199" s="55" t="n">
        <v>57.9</v>
      </c>
      <c r="C199" s="55">
        <f>Table9[[#This Row],[PMI]]-B198</f>
        <v/>
      </c>
    </row>
    <row r="200">
      <c r="A200" s="54" t="n">
        <v>23437</v>
      </c>
      <c r="B200" s="55" t="n">
        <v>60.2</v>
      </c>
      <c r="C200" s="55">
        <f>Table9[[#This Row],[PMI]]-B199</f>
        <v/>
      </c>
    </row>
    <row r="201">
      <c r="A201" s="54" t="n">
        <v>23468</v>
      </c>
      <c r="B201" s="55" t="n">
        <v>59.2</v>
      </c>
      <c r="C201" s="55">
        <f>Table9[[#This Row],[PMI]]-B200</f>
        <v/>
      </c>
    </row>
    <row r="202">
      <c r="A202" s="54" t="n">
        <v>23498</v>
      </c>
      <c r="B202" s="55" t="n">
        <v>58.7</v>
      </c>
      <c r="C202" s="55">
        <f>Table9[[#This Row],[PMI]]-B201</f>
        <v/>
      </c>
    </row>
    <row r="203">
      <c r="A203" s="54" t="n">
        <v>23529</v>
      </c>
      <c r="B203" s="55" t="n">
        <v>60.1</v>
      </c>
      <c r="C203" s="55">
        <f>Table9[[#This Row],[PMI]]-B202</f>
        <v/>
      </c>
    </row>
    <row r="204">
      <c r="A204" s="54" t="n">
        <v>23559</v>
      </c>
      <c r="B204" s="55" t="n">
        <v>62.9</v>
      </c>
      <c r="C204" s="55">
        <f>Table9[[#This Row],[PMI]]-B203</f>
        <v/>
      </c>
    </row>
    <row r="205">
      <c r="A205" s="54" t="n">
        <v>23590</v>
      </c>
      <c r="B205" s="55" t="n">
        <v>63.3</v>
      </c>
      <c r="C205" s="55">
        <f>Table9[[#This Row],[PMI]]-B204</f>
        <v/>
      </c>
    </row>
    <row r="206">
      <c r="A206" s="54" t="n">
        <v>23621</v>
      </c>
      <c r="B206" s="55" t="n">
        <v>63.3</v>
      </c>
      <c r="C206" s="55">
        <f>Table9[[#This Row],[PMI]]-B205</f>
        <v/>
      </c>
    </row>
    <row r="207">
      <c r="A207" s="54" t="n">
        <v>23651</v>
      </c>
      <c r="B207" s="55" t="n">
        <v>60.7</v>
      </c>
      <c r="C207" s="55">
        <f>Table9[[#This Row],[PMI]]-B206</f>
        <v/>
      </c>
    </row>
    <row r="208">
      <c r="A208" s="54" t="n">
        <v>23682</v>
      </c>
      <c r="B208" s="55" t="n">
        <v>61.8</v>
      </c>
      <c r="C208" s="55">
        <f>Table9[[#This Row],[PMI]]-B207</f>
        <v/>
      </c>
    </row>
    <row r="209">
      <c r="A209" s="54" t="n">
        <v>23712</v>
      </c>
      <c r="B209" s="55" t="n">
        <v>62.4</v>
      </c>
      <c r="C209" s="55">
        <f>Table9[[#This Row],[PMI]]-B208</f>
        <v/>
      </c>
    </row>
    <row r="210">
      <c r="A210" s="54" t="n">
        <v>23743</v>
      </c>
      <c r="B210" s="55" t="n">
        <v>61</v>
      </c>
      <c r="C210" s="55">
        <f>Table9[[#This Row],[PMI]]-B209</f>
        <v/>
      </c>
    </row>
    <row r="211">
      <c r="A211" s="54" t="n">
        <v>23774</v>
      </c>
      <c r="B211" s="55" t="n">
        <v>62.1</v>
      </c>
      <c r="C211" s="55">
        <f>Table9[[#This Row],[PMI]]-B210</f>
        <v/>
      </c>
    </row>
    <row r="212">
      <c r="A212" s="54" t="n">
        <v>23802</v>
      </c>
      <c r="B212" s="55" t="n">
        <v>64.90000000000001</v>
      </c>
      <c r="C212" s="55">
        <f>Table9[[#This Row],[PMI]]-B211</f>
        <v/>
      </c>
    </row>
    <row r="213">
      <c r="A213" s="54" t="n">
        <v>23833</v>
      </c>
      <c r="B213" s="138" t="n">
        <v>62</v>
      </c>
      <c r="C213" s="55">
        <f>Table9[[#This Row],[PMI]]-B212</f>
        <v/>
      </c>
    </row>
    <row r="214">
      <c r="A214" s="54" t="n">
        <v>23863</v>
      </c>
      <c r="B214" s="138" t="n">
        <v>61.3</v>
      </c>
      <c r="C214" s="55">
        <f>Table9[[#This Row],[PMI]]-B213</f>
        <v/>
      </c>
    </row>
    <row r="215">
      <c r="A215" s="54" t="n">
        <v>23894</v>
      </c>
      <c r="B215" s="138" t="n">
        <v>58.7</v>
      </c>
      <c r="C215" s="55">
        <f>Table9[[#This Row],[PMI]]-B214</f>
        <v/>
      </c>
    </row>
    <row r="216">
      <c r="A216" s="54" t="n">
        <v>23924</v>
      </c>
      <c r="B216" s="138" t="n">
        <v>58.1</v>
      </c>
      <c r="C216" s="55">
        <f>Table9[[#This Row],[PMI]]-B215</f>
        <v/>
      </c>
    </row>
    <row r="217">
      <c r="A217" s="54" t="n">
        <v>23955</v>
      </c>
      <c r="B217" s="138" t="n">
        <v>58.1</v>
      </c>
      <c r="C217" s="55">
        <f>Table9[[#This Row],[PMI]]-B216</f>
        <v/>
      </c>
    </row>
    <row r="218">
      <c r="A218" s="54" t="n">
        <v>23986</v>
      </c>
      <c r="B218" s="138" t="n">
        <v>61</v>
      </c>
      <c r="C218" s="55">
        <f>Table9[[#This Row],[PMI]]-B217</f>
        <v/>
      </c>
    </row>
    <row r="219">
      <c r="A219" s="54" t="n">
        <v>24016</v>
      </c>
      <c r="B219" s="138" t="n">
        <v>58.6</v>
      </c>
      <c r="C219" s="55">
        <f>Table9[[#This Row],[PMI]]-B218</f>
        <v/>
      </c>
    </row>
    <row r="220">
      <c r="A220" s="54" t="n">
        <v>24047</v>
      </c>
      <c r="B220" s="138" t="n">
        <v>59.4</v>
      </c>
      <c r="C220" s="55">
        <f>Table9[[#This Row],[PMI]]-B219</f>
        <v/>
      </c>
    </row>
    <row r="221">
      <c r="A221" s="54" t="n">
        <v>24077</v>
      </c>
      <c r="B221" s="138" t="n">
        <v>62.8</v>
      </c>
      <c r="C221" s="55">
        <f>Table9[[#This Row],[PMI]]-B220</f>
        <v/>
      </c>
    </row>
    <row r="222">
      <c r="A222" s="54" t="n">
        <v>24108</v>
      </c>
      <c r="B222" s="138" t="n">
        <v>65.8</v>
      </c>
      <c r="C222" s="55">
        <f>Table9[[#This Row],[PMI]]-B221</f>
        <v/>
      </c>
    </row>
    <row r="223">
      <c r="A223" s="54" t="n">
        <v>24139</v>
      </c>
      <c r="B223" s="138" t="n">
        <v>65.5</v>
      </c>
      <c r="C223" s="55">
        <f>Table9[[#This Row],[PMI]]-B222</f>
        <v/>
      </c>
    </row>
    <row r="224">
      <c r="A224" s="54" t="n">
        <v>24167</v>
      </c>
      <c r="B224" s="138" t="n">
        <v>65.7</v>
      </c>
      <c r="C224" s="55">
        <f>Table9[[#This Row],[PMI]]-B223</f>
        <v/>
      </c>
    </row>
    <row r="225">
      <c r="A225" s="54" t="n">
        <v>24198</v>
      </c>
      <c r="B225" s="138" t="n">
        <v>64.2</v>
      </c>
      <c r="C225" s="55">
        <f>Table9[[#This Row],[PMI]]-B224</f>
        <v/>
      </c>
    </row>
    <row r="226">
      <c r="A226" s="54" t="n">
        <v>24228</v>
      </c>
      <c r="B226" s="138" t="n">
        <v>57.7</v>
      </c>
      <c r="C226" s="55">
        <f>Table9[[#This Row],[PMI]]-B225</f>
        <v/>
      </c>
    </row>
    <row r="227">
      <c r="A227" s="54" t="n">
        <v>24259</v>
      </c>
      <c r="B227" s="138" t="n">
        <v>59</v>
      </c>
      <c r="C227" s="55">
        <f>Table9[[#This Row],[PMI]]-B226</f>
        <v/>
      </c>
    </row>
    <row r="228">
      <c r="A228" s="54" t="n">
        <v>24289</v>
      </c>
      <c r="B228" s="138" t="n">
        <v>60.3</v>
      </c>
      <c r="C228" s="55">
        <f>Table9[[#This Row],[PMI]]-B227</f>
        <v/>
      </c>
    </row>
    <row r="229">
      <c r="A229" s="54" t="n">
        <v>24320</v>
      </c>
      <c r="B229" s="138" t="n">
        <v>58.5</v>
      </c>
      <c r="C229" s="55">
        <f>Table9[[#This Row],[PMI]]-B228</f>
        <v/>
      </c>
    </row>
    <row r="230">
      <c r="A230" s="54" t="n">
        <v>24351</v>
      </c>
      <c r="B230" s="138" t="n">
        <v>58.7</v>
      </c>
      <c r="C230" s="55">
        <f>Table9[[#This Row],[PMI]]-B229</f>
        <v/>
      </c>
    </row>
    <row r="231">
      <c r="A231" s="54" t="n">
        <v>24381</v>
      </c>
      <c r="B231" s="138" t="n">
        <v>57.2</v>
      </c>
      <c r="C231" s="55">
        <f>Table9[[#This Row],[PMI]]-B230</f>
        <v/>
      </c>
    </row>
    <row r="232">
      <c r="A232" s="54" t="n">
        <v>24412</v>
      </c>
      <c r="B232" s="138" t="n">
        <v>53.7</v>
      </c>
      <c r="C232" s="55">
        <f>Table9[[#This Row],[PMI]]-B231</f>
        <v/>
      </c>
    </row>
    <row r="233">
      <c r="A233" s="54" t="n">
        <v>24442</v>
      </c>
      <c r="B233" s="138" t="n">
        <v>52.4</v>
      </c>
      <c r="C233" s="55">
        <f>Table9[[#This Row],[PMI]]-B232</f>
        <v/>
      </c>
    </row>
    <row r="234">
      <c r="A234" s="54" t="n">
        <v>24473</v>
      </c>
      <c r="B234" s="138" t="n">
        <v>49.1</v>
      </c>
      <c r="C234" s="55">
        <f>Table9[[#This Row],[PMI]]-B233</f>
        <v/>
      </c>
    </row>
    <row r="235">
      <c r="A235" s="54" t="n">
        <v>24504</v>
      </c>
      <c r="B235" s="138" t="n">
        <v>47.6</v>
      </c>
      <c r="C235" s="55">
        <f>Table9[[#This Row],[PMI]]-B234</f>
        <v/>
      </c>
    </row>
    <row r="236">
      <c r="A236" s="54" t="n">
        <v>24532</v>
      </c>
      <c r="B236" s="138" t="n">
        <v>45.3</v>
      </c>
      <c r="C236" s="55">
        <f>Table9[[#This Row],[PMI]]-B235</f>
        <v/>
      </c>
    </row>
    <row r="237">
      <c r="A237" s="54" t="n">
        <v>24563</v>
      </c>
      <c r="B237" s="138" t="n">
        <v>42.8</v>
      </c>
      <c r="C237" s="55">
        <f>Table9[[#This Row],[PMI]]-B236</f>
        <v/>
      </c>
    </row>
    <row r="238">
      <c r="A238" s="54" t="n">
        <v>24593</v>
      </c>
      <c r="B238" s="138" t="n">
        <v>44.5</v>
      </c>
      <c r="C238" s="55">
        <f>Table9[[#This Row],[PMI]]-B237</f>
        <v/>
      </c>
    </row>
    <row r="239">
      <c r="A239" s="54" t="n">
        <v>24624</v>
      </c>
      <c r="B239" s="138" t="n">
        <v>46.8</v>
      </c>
      <c r="C239" s="55">
        <f>Table9[[#This Row],[PMI]]-B238</f>
        <v/>
      </c>
    </row>
    <row r="240">
      <c r="A240" s="54" t="n">
        <v>24654</v>
      </c>
      <c r="B240" s="138" t="n">
        <v>49.5</v>
      </c>
      <c r="C240" s="55">
        <f>Table9[[#This Row],[PMI]]-B239</f>
        <v/>
      </c>
    </row>
    <row r="241">
      <c r="A241" s="54" t="n">
        <v>24685</v>
      </c>
      <c r="B241" s="138" t="n">
        <v>52.2</v>
      </c>
      <c r="C241" s="55">
        <f>Table9[[#This Row],[PMI]]-B240</f>
        <v/>
      </c>
    </row>
    <row r="242">
      <c r="A242" s="54" t="n">
        <v>24716</v>
      </c>
      <c r="B242" s="138" t="n">
        <v>54.9</v>
      </c>
      <c r="C242" s="55">
        <f>Table9[[#This Row],[PMI]]-B241</f>
        <v/>
      </c>
    </row>
    <row r="243">
      <c r="A243" s="54" t="n">
        <v>24746</v>
      </c>
      <c r="B243" s="138" t="n">
        <v>54.1</v>
      </c>
      <c r="C243" s="55">
        <f>Table9[[#This Row],[PMI]]-B242</f>
        <v/>
      </c>
    </row>
    <row r="244">
      <c r="A244" s="54" t="n">
        <v>24777</v>
      </c>
      <c r="B244" s="138" t="n">
        <v>54.2</v>
      </c>
      <c r="C244" s="55">
        <f>Table9[[#This Row],[PMI]]-B243</f>
        <v/>
      </c>
    </row>
    <row r="245">
      <c r="A245" s="54" t="n">
        <v>24807</v>
      </c>
      <c r="B245" s="138" t="n">
        <v>55.6</v>
      </c>
      <c r="C245" s="55">
        <f>Table9[[#This Row],[PMI]]-B244</f>
        <v/>
      </c>
    </row>
    <row r="246">
      <c r="A246" s="54" t="n">
        <v>24838</v>
      </c>
      <c r="B246" s="138" t="n">
        <v>56.6</v>
      </c>
      <c r="C246" s="55">
        <f>Table9[[#This Row],[PMI]]-B245</f>
        <v/>
      </c>
      <c r="J246" s="4" t="n"/>
    </row>
    <row r="247">
      <c r="A247" s="54" t="n">
        <v>24869</v>
      </c>
      <c r="B247" s="138" t="n">
        <v>55</v>
      </c>
      <c r="C247" s="55">
        <f>Table9[[#This Row],[PMI]]-B246</f>
        <v/>
      </c>
      <c r="J247" s="4" t="n"/>
    </row>
    <row r="248">
      <c r="A248" s="54" t="n">
        <v>24898</v>
      </c>
      <c r="B248" s="138" t="n">
        <v>53.8</v>
      </c>
      <c r="C248" s="55">
        <f>Table9[[#This Row],[PMI]]-B247</f>
        <v/>
      </c>
      <c r="J248" s="4" t="n"/>
    </row>
    <row r="249">
      <c r="A249" s="54" t="n">
        <v>24929</v>
      </c>
      <c r="B249" s="138" t="n">
        <v>58</v>
      </c>
      <c r="C249" s="55">
        <f>Table9[[#This Row],[PMI]]-B248</f>
        <v/>
      </c>
      <c r="J249" s="4" t="n"/>
    </row>
    <row r="250">
      <c r="A250" s="54" t="n">
        <v>24959</v>
      </c>
      <c r="B250" s="138" t="n">
        <v>55.3</v>
      </c>
      <c r="C250" s="55">
        <f>Table9[[#This Row],[PMI]]-B249</f>
        <v/>
      </c>
      <c r="J250" s="4" t="n"/>
    </row>
    <row r="251">
      <c r="A251" s="54" t="n">
        <v>24990</v>
      </c>
      <c r="B251" s="138" t="n">
        <v>53.5</v>
      </c>
      <c r="C251" s="55">
        <f>Table9[[#This Row],[PMI]]-B250</f>
        <v/>
      </c>
      <c r="J251" s="4" t="n"/>
    </row>
    <row r="252">
      <c r="A252" s="54" t="n">
        <v>25020</v>
      </c>
      <c r="B252" s="138" t="n">
        <v>54.1</v>
      </c>
      <c r="C252" s="55">
        <f>Table9[[#This Row],[PMI]]-B251</f>
        <v/>
      </c>
      <c r="J252" s="4" t="n"/>
    </row>
    <row r="253">
      <c r="A253" s="54" t="n">
        <v>25051</v>
      </c>
      <c r="B253" s="138" t="n">
        <v>52.7</v>
      </c>
      <c r="C253" s="55">
        <f>Table9[[#This Row],[PMI]]-B252</f>
        <v/>
      </c>
      <c r="J253" s="4" t="n"/>
    </row>
    <row r="254">
      <c r="A254" s="54" t="n">
        <v>25082</v>
      </c>
      <c r="B254" s="138" t="n">
        <v>51.8</v>
      </c>
      <c r="C254" s="55">
        <f>Table9[[#This Row],[PMI]]-B253</f>
        <v/>
      </c>
      <c r="J254" s="4" t="n"/>
    </row>
    <row r="255">
      <c r="A255" s="54" t="n">
        <v>25112</v>
      </c>
      <c r="B255" s="138" t="n">
        <v>55.8</v>
      </c>
      <c r="C255" s="55">
        <f>Table9[[#This Row],[PMI]]-B254</f>
        <v/>
      </c>
      <c r="J255" s="4" t="n"/>
    </row>
    <row r="256">
      <c r="A256" s="54" t="n">
        <v>25143</v>
      </c>
      <c r="B256" s="138" t="n">
        <v>58.1</v>
      </c>
      <c r="C256" s="55">
        <f>Table9[[#This Row],[PMI]]-B255</f>
        <v/>
      </c>
      <c r="J256" s="4" t="n"/>
    </row>
    <row r="257">
      <c r="A257" s="54" t="n">
        <v>25173</v>
      </c>
      <c r="B257" s="138" t="n">
        <v>56.1</v>
      </c>
      <c r="C257" s="55">
        <f>Table9[[#This Row],[PMI]]-B256</f>
        <v/>
      </c>
      <c r="J257" s="4" t="n"/>
    </row>
    <row r="258">
      <c r="A258" s="54" t="n">
        <v>25204</v>
      </c>
      <c r="B258" s="138" t="n">
        <v>54.9</v>
      </c>
      <c r="C258" s="55">
        <f>Table9[[#This Row],[PMI]]-B257</f>
        <v/>
      </c>
      <c r="J258" s="4" t="n"/>
    </row>
    <row r="259">
      <c r="A259" s="54" t="n">
        <v>25235</v>
      </c>
      <c r="B259" s="138" t="n">
        <v>57</v>
      </c>
      <c r="C259" s="55">
        <f>Table9[[#This Row],[PMI]]-B258</f>
        <v/>
      </c>
      <c r="J259" s="4" t="n"/>
    </row>
    <row r="260">
      <c r="A260" s="54" t="n">
        <v>25263</v>
      </c>
      <c r="B260" s="138" t="n">
        <v>57.1</v>
      </c>
      <c r="C260" s="55">
        <f>Table9[[#This Row],[PMI]]-B259</f>
        <v/>
      </c>
      <c r="J260" s="4" t="n"/>
    </row>
    <row r="261">
      <c r="A261" s="54" t="n">
        <v>25294</v>
      </c>
      <c r="B261" s="138" t="n">
        <v>55.2</v>
      </c>
      <c r="C261" s="55">
        <f>Table9[[#This Row],[PMI]]-B260</f>
        <v/>
      </c>
      <c r="J261" s="4" t="n"/>
    </row>
    <row r="262">
      <c r="A262" s="54" t="n">
        <v>25324</v>
      </c>
      <c r="B262" s="138" t="n">
        <v>56.7</v>
      </c>
      <c r="C262" s="55">
        <f>Table9[[#This Row],[PMI]]-B261</f>
        <v/>
      </c>
      <c r="J262" s="4" t="n"/>
    </row>
    <row r="263">
      <c r="A263" s="54" t="n">
        <v>25355</v>
      </c>
      <c r="B263" s="138" t="n">
        <v>55.5</v>
      </c>
      <c r="C263" s="55">
        <f>Table9[[#This Row],[PMI]]-B262</f>
        <v/>
      </c>
      <c r="J263" s="4" t="n"/>
    </row>
    <row r="264">
      <c r="A264" s="54" t="n">
        <v>25385</v>
      </c>
      <c r="B264" s="138" t="n">
        <v>53.1</v>
      </c>
      <c r="C264" s="55">
        <f>Table9[[#This Row],[PMI]]-B263</f>
        <v/>
      </c>
      <c r="J264" s="4" t="n"/>
    </row>
    <row r="265">
      <c r="A265" s="54" t="n">
        <v>25416</v>
      </c>
      <c r="B265" s="138" t="n">
        <v>54.8</v>
      </c>
      <c r="C265" s="55">
        <f>Table9[[#This Row],[PMI]]-B264</f>
        <v/>
      </c>
      <c r="J265" s="4" t="n"/>
    </row>
    <row r="266">
      <c r="A266" s="54" t="n">
        <v>25447</v>
      </c>
      <c r="B266" s="138" t="n">
        <v>54.1</v>
      </c>
      <c r="C266" s="55">
        <f>Table9[[#This Row],[PMI]]-B265</f>
        <v/>
      </c>
      <c r="J266" s="4" t="n"/>
    </row>
    <row r="267">
      <c r="A267" s="54" t="n">
        <v>25477</v>
      </c>
      <c r="B267" s="138" t="n">
        <v>54.6</v>
      </c>
      <c r="C267" s="55">
        <f>Table9[[#This Row],[PMI]]-B266</f>
        <v/>
      </c>
      <c r="J267" s="4" t="n"/>
    </row>
    <row r="268">
      <c r="A268" s="54" t="n">
        <v>25508</v>
      </c>
      <c r="B268" s="138" t="n">
        <v>53.2</v>
      </c>
      <c r="C268" s="55">
        <f>Table9[[#This Row],[PMI]]-B267</f>
        <v/>
      </c>
      <c r="J268" s="4" t="n"/>
    </row>
    <row r="269">
      <c r="A269" s="54" t="n">
        <v>25538</v>
      </c>
      <c r="B269" s="138" t="n">
        <v>52</v>
      </c>
      <c r="C269" s="55">
        <f>Table9[[#This Row],[PMI]]-B268</f>
        <v/>
      </c>
      <c r="J269" s="4" t="n"/>
    </row>
    <row r="270">
      <c r="A270" s="54" t="n">
        <v>25569</v>
      </c>
      <c r="B270" s="138" t="n">
        <v>48.7</v>
      </c>
      <c r="C270" s="55">
        <f>Table9[[#This Row],[PMI]]-B269</f>
        <v/>
      </c>
      <c r="J270" s="4" t="n"/>
    </row>
    <row r="271">
      <c r="A271" s="54" t="n">
        <v>25600</v>
      </c>
      <c r="B271" s="138" t="n">
        <v>47.4</v>
      </c>
      <c r="C271" s="55">
        <f>Table9[[#This Row],[PMI]]-B270</f>
        <v/>
      </c>
      <c r="J271" s="4" t="n"/>
    </row>
    <row r="272">
      <c r="A272" s="54" t="n">
        <v>25628</v>
      </c>
      <c r="B272" s="138" t="n">
        <v>46.9</v>
      </c>
      <c r="C272" s="55">
        <f>Table9[[#This Row],[PMI]]-B271</f>
        <v/>
      </c>
      <c r="J272" s="4" t="n"/>
    </row>
    <row r="273">
      <c r="A273" s="54" t="n">
        <v>25659</v>
      </c>
      <c r="B273" s="138" t="n">
        <v>45</v>
      </c>
      <c r="C273" s="55">
        <f>Table9[[#This Row],[PMI]]-B272</f>
        <v/>
      </c>
      <c r="J273" s="4" t="n"/>
    </row>
    <row r="274">
      <c r="A274" s="54" t="n">
        <v>25689</v>
      </c>
      <c r="B274" s="138" t="n">
        <v>47.2</v>
      </c>
      <c r="C274" s="55">
        <f>Table9[[#This Row],[PMI]]-B273</f>
        <v/>
      </c>
      <c r="J274" s="4" t="n"/>
    </row>
    <row r="275">
      <c r="A275" s="54" t="n">
        <v>25720</v>
      </c>
      <c r="B275" s="138" t="n">
        <v>51.1</v>
      </c>
      <c r="C275" s="55">
        <f>Table9[[#This Row],[PMI]]-B274</f>
        <v/>
      </c>
      <c r="J275" s="4" t="n"/>
    </row>
    <row r="276">
      <c r="A276" s="54" t="n">
        <v>25750</v>
      </c>
      <c r="B276" s="138" t="n">
        <v>49.5</v>
      </c>
      <c r="C276" s="55">
        <f>Table9[[#This Row],[PMI]]-B275</f>
        <v/>
      </c>
      <c r="J276" s="4" t="n"/>
    </row>
    <row r="277">
      <c r="A277" s="54" t="n">
        <v>25781</v>
      </c>
      <c r="B277" s="138" t="n">
        <v>47.3</v>
      </c>
      <c r="C277" s="55">
        <f>Table9[[#This Row],[PMI]]-B276</f>
        <v/>
      </c>
      <c r="J277" s="4" t="n"/>
    </row>
    <row r="278">
      <c r="A278" s="54" t="n">
        <v>25812</v>
      </c>
      <c r="B278" s="138" t="n">
        <v>44.1</v>
      </c>
      <c r="C278" s="55">
        <f>Table9[[#This Row],[PMI]]-B277</f>
        <v/>
      </c>
      <c r="J278" s="4" t="n"/>
    </row>
    <row r="279">
      <c r="A279" s="54" t="n">
        <v>25842</v>
      </c>
      <c r="B279" s="138" t="n">
        <v>42.4</v>
      </c>
      <c r="C279" s="55">
        <f>Table9[[#This Row],[PMI]]-B278</f>
        <v/>
      </c>
      <c r="J279" s="4" t="n"/>
    </row>
    <row r="280">
      <c r="A280" s="54" t="n">
        <v>25873</v>
      </c>
      <c r="B280" s="138" t="n">
        <v>39.7</v>
      </c>
      <c r="C280" s="55">
        <f>Table9[[#This Row],[PMI]]-B279</f>
        <v/>
      </c>
      <c r="J280" s="4" t="n"/>
    </row>
    <row r="281">
      <c r="A281" s="54" t="n">
        <v>25903</v>
      </c>
      <c r="B281" s="138" t="n">
        <v>45.4</v>
      </c>
      <c r="C281" s="55">
        <f>Table9[[#This Row],[PMI]]-B280</f>
        <v/>
      </c>
      <c r="J281" s="4" t="n"/>
    </row>
    <row r="282">
      <c r="A282" s="54" t="n">
        <v>25934</v>
      </c>
      <c r="B282" s="138" t="n">
        <v>47.9</v>
      </c>
      <c r="C282" s="55">
        <f>Table9[[#This Row],[PMI]]-B281</f>
        <v/>
      </c>
      <c r="J282" s="4" t="n"/>
    </row>
    <row r="283">
      <c r="A283" s="54" t="n">
        <v>25965</v>
      </c>
      <c r="B283" s="138" t="n">
        <v>54.8</v>
      </c>
      <c r="C283" s="55">
        <f>Table9[[#This Row],[PMI]]-B282</f>
        <v/>
      </c>
      <c r="J283" s="4" t="n"/>
    </row>
    <row r="284">
      <c r="A284" s="54" t="n">
        <v>25993</v>
      </c>
      <c r="B284" s="138" t="n">
        <v>51.2</v>
      </c>
      <c r="C284" s="55">
        <f>Table9[[#This Row],[PMI]]-B283</f>
        <v/>
      </c>
      <c r="J284" s="4" t="n"/>
    </row>
    <row r="285">
      <c r="A285" s="54" t="n">
        <v>26024</v>
      </c>
      <c r="B285" s="138" t="n">
        <v>54.5</v>
      </c>
      <c r="C285" s="55">
        <f>Table9[[#This Row],[PMI]]-B284</f>
        <v/>
      </c>
      <c r="J285" s="4" t="n"/>
    </row>
    <row r="286">
      <c r="A286" s="54" t="n">
        <v>26054</v>
      </c>
      <c r="B286" s="138" t="n">
        <v>54.2</v>
      </c>
      <c r="C286" s="55">
        <f>Table9[[#This Row],[PMI]]-B285</f>
        <v/>
      </c>
      <c r="J286" s="4" t="n"/>
    </row>
    <row r="287">
      <c r="A287" s="54" t="n">
        <v>26085</v>
      </c>
      <c r="B287" s="138" t="n">
        <v>53.8</v>
      </c>
      <c r="C287" s="55">
        <f>Table9[[#This Row],[PMI]]-B286</f>
        <v/>
      </c>
      <c r="J287" s="4" t="n"/>
    </row>
    <row r="288">
      <c r="A288" s="54" t="n">
        <v>26115</v>
      </c>
      <c r="B288" s="138" t="n">
        <v>54.4</v>
      </c>
      <c r="C288" s="55">
        <f>Table9[[#This Row],[PMI]]-B287</f>
        <v/>
      </c>
      <c r="J288" s="4" t="n"/>
    </row>
    <row r="289">
      <c r="A289" s="54" t="n">
        <v>26146</v>
      </c>
      <c r="B289" s="138" t="n">
        <v>53.6</v>
      </c>
      <c r="C289" s="55">
        <f>Table9[[#This Row],[PMI]]-B288</f>
        <v/>
      </c>
      <c r="J289" s="4" t="n"/>
    </row>
    <row r="290">
      <c r="A290" s="54" t="n">
        <v>26177</v>
      </c>
      <c r="B290" s="138" t="n">
        <v>55.1</v>
      </c>
      <c r="C290" s="55">
        <f>Table9[[#This Row],[PMI]]-B289</f>
        <v/>
      </c>
      <c r="J290" s="4" t="n"/>
    </row>
    <row r="291">
      <c r="A291" s="54" t="n">
        <v>26207</v>
      </c>
      <c r="B291" s="138" t="n">
        <v>55</v>
      </c>
      <c r="C291" s="55">
        <f>Table9[[#This Row],[PMI]]-B290</f>
        <v/>
      </c>
      <c r="J291" s="4" t="n"/>
    </row>
    <row r="292">
      <c r="A292" s="54" t="n">
        <v>26238</v>
      </c>
      <c r="B292" s="138" t="n">
        <v>52.3</v>
      </c>
      <c r="C292" s="55">
        <f>Table9[[#This Row],[PMI]]-B291</f>
        <v/>
      </c>
      <c r="J292" s="4" t="n"/>
    </row>
    <row r="293">
      <c r="A293" s="54" t="n">
        <v>26268</v>
      </c>
      <c r="B293" s="138" t="n">
        <v>57.6</v>
      </c>
      <c r="C293" s="55">
        <f>Table9[[#This Row],[PMI]]-B292</f>
        <v/>
      </c>
      <c r="J293" s="4" t="n"/>
    </row>
    <row r="294">
      <c r="A294" s="54" t="n">
        <v>26299</v>
      </c>
      <c r="B294" s="138" t="n">
        <v>59.6</v>
      </c>
      <c r="C294" s="55">
        <f>Table9[[#This Row],[PMI]]-B293</f>
        <v/>
      </c>
      <c r="J294" s="4" t="n"/>
    </row>
    <row r="295">
      <c r="A295" s="54" t="n">
        <v>26330</v>
      </c>
      <c r="B295" s="138" t="n">
        <v>60.6</v>
      </c>
      <c r="C295" s="55">
        <f>Table9[[#This Row],[PMI]]-B294</f>
        <v/>
      </c>
      <c r="J295" s="4" t="n"/>
    </row>
    <row r="296">
      <c r="A296" s="54" t="n">
        <v>26359</v>
      </c>
      <c r="B296" s="138" t="n">
        <v>59.8</v>
      </c>
      <c r="C296" s="55">
        <f>Table9[[#This Row],[PMI]]-B295</f>
        <v/>
      </c>
      <c r="J296" s="4" t="n"/>
    </row>
    <row r="297">
      <c r="A297" s="54" t="n">
        <v>26390</v>
      </c>
      <c r="B297" s="138" t="n">
        <v>59.3</v>
      </c>
      <c r="C297" s="55">
        <f>Table9[[#This Row],[PMI]]-B296</f>
        <v/>
      </c>
      <c r="J297" s="4" t="n"/>
    </row>
    <row r="298">
      <c r="A298" s="54" t="n">
        <v>26420</v>
      </c>
      <c r="B298" s="138" t="n">
        <v>61.4</v>
      </c>
      <c r="C298" s="55">
        <f>Table9[[#This Row],[PMI]]-B297</f>
        <v/>
      </c>
      <c r="J298" s="4" t="n"/>
    </row>
    <row r="299">
      <c r="A299" s="54" t="n">
        <v>26451</v>
      </c>
      <c r="B299" s="138" t="n">
        <v>58.6</v>
      </c>
      <c r="C299" s="55">
        <f>Table9[[#This Row],[PMI]]-B298</f>
        <v/>
      </c>
      <c r="J299" s="4" t="n"/>
    </row>
    <row r="300">
      <c r="A300" s="54" t="n">
        <v>26481</v>
      </c>
      <c r="B300" s="138" t="n">
        <v>60.1</v>
      </c>
      <c r="C300" s="55">
        <f>Table9[[#This Row],[PMI]]-B299</f>
        <v/>
      </c>
      <c r="J300" s="4" t="n"/>
    </row>
    <row r="301">
      <c r="A301" s="54" t="n">
        <v>26512</v>
      </c>
      <c r="B301" s="138" t="n">
        <v>61.7</v>
      </c>
      <c r="C301" s="55">
        <f>Table9[[#This Row],[PMI]]-B300</f>
        <v/>
      </c>
      <c r="J301" s="4" t="n"/>
    </row>
    <row r="302">
      <c r="A302" s="54" t="n">
        <v>26543</v>
      </c>
      <c r="B302" s="138" t="n">
        <v>65.09999999999999</v>
      </c>
      <c r="C302" s="55">
        <f>Table9[[#This Row],[PMI]]-B301</f>
        <v/>
      </c>
      <c r="J302" s="4" t="n"/>
    </row>
    <row r="303">
      <c r="A303" s="54" t="n">
        <v>26573</v>
      </c>
      <c r="B303" s="138" t="n">
        <v>67</v>
      </c>
      <c r="C303" s="55">
        <f>Table9[[#This Row],[PMI]]-B302</f>
        <v/>
      </c>
      <c r="J303" s="4" t="n"/>
    </row>
    <row r="304">
      <c r="A304" s="54" t="n">
        <v>26604</v>
      </c>
      <c r="B304" s="138" t="n">
        <v>69.90000000000001</v>
      </c>
      <c r="C304" s="55">
        <f>Table9[[#This Row],[PMI]]-B303</f>
        <v/>
      </c>
      <c r="J304" s="4" t="n"/>
    </row>
    <row r="305">
      <c r="A305" s="54" t="n">
        <v>26634</v>
      </c>
      <c r="B305" s="138" t="n">
        <v>70.5</v>
      </c>
      <c r="C305" s="55">
        <f>Table9[[#This Row],[PMI]]-B304</f>
        <v/>
      </c>
      <c r="J305" s="4" t="n"/>
    </row>
    <row r="306">
      <c r="A306" s="54" t="n">
        <v>26665</v>
      </c>
      <c r="B306" s="138" t="n">
        <v>72.09999999999999</v>
      </c>
      <c r="C306" s="55">
        <f>Table9[[#This Row],[PMI]]-B305</f>
        <v/>
      </c>
      <c r="J306" s="4" t="n"/>
    </row>
    <row r="307">
      <c r="A307" s="54" t="n">
        <v>26696</v>
      </c>
      <c r="B307" s="138" t="n">
        <v>69.59999999999999</v>
      </c>
      <c r="C307" s="55">
        <f>Table9[[#This Row],[PMI]]-B306</f>
        <v/>
      </c>
      <c r="J307" s="4" t="n"/>
    </row>
    <row r="308">
      <c r="A308" s="54" t="n">
        <v>26724</v>
      </c>
      <c r="B308" s="138" t="n">
        <v>69.59999999999999</v>
      </c>
      <c r="C308" s="55">
        <f>Table9[[#This Row],[PMI]]-B307</f>
        <v/>
      </c>
      <c r="J308" s="4" t="n"/>
    </row>
    <row r="309">
      <c r="A309" s="54" t="n">
        <v>26755</v>
      </c>
      <c r="B309" s="138" t="n">
        <v>67.7</v>
      </c>
      <c r="C309" s="55">
        <f>Table9[[#This Row],[PMI]]-B308</f>
        <v/>
      </c>
      <c r="J309" s="4" t="n"/>
    </row>
    <row r="310">
      <c r="A310" s="54" t="n">
        <v>26785</v>
      </c>
      <c r="B310" s="138" t="n">
        <v>64.8</v>
      </c>
      <c r="C310" s="55">
        <f>Table9[[#This Row],[PMI]]-B309</f>
        <v/>
      </c>
      <c r="J310" s="4" t="n"/>
    </row>
    <row r="311">
      <c r="A311" s="54" t="n">
        <v>26816</v>
      </c>
      <c r="B311" s="138" t="n">
        <v>65</v>
      </c>
      <c r="C311" s="55">
        <f>Table9[[#This Row],[PMI]]-B310</f>
        <v/>
      </c>
      <c r="J311" s="4" t="n"/>
    </row>
    <row r="312">
      <c r="A312" s="54" t="n">
        <v>26846</v>
      </c>
      <c r="B312" s="138" t="n">
        <v>57.8</v>
      </c>
      <c r="C312" s="55">
        <f>Table9[[#This Row],[PMI]]-B311</f>
        <v/>
      </c>
      <c r="J312" s="4" t="n"/>
    </row>
    <row r="313">
      <c r="A313" s="54" t="n">
        <v>26877</v>
      </c>
      <c r="B313" s="138" t="n">
        <v>62.7</v>
      </c>
      <c r="C313" s="55">
        <f>Table9[[#This Row],[PMI]]-B312</f>
        <v/>
      </c>
      <c r="J313" s="4" t="n"/>
    </row>
    <row r="314">
      <c r="A314" s="54" t="n">
        <v>26908</v>
      </c>
      <c r="B314" s="138" t="n">
        <v>63.5</v>
      </c>
      <c r="C314" s="55">
        <f>Table9[[#This Row],[PMI]]-B313</f>
        <v/>
      </c>
      <c r="J314" s="4" t="n"/>
    </row>
    <row r="315">
      <c r="A315" s="54" t="n">
        <v>26938</v>
      </c>
      <c r="B315" s="138" t="n">
        <v>66.2</v>
      </c>
      <c r="C315" s="55">
        <f>Table9[[#This Row],[PMI]]-B314</f>
        <v/>
      </c>
      <c r="J315" s="4" t="n"/>
    </row>
    <row r="316">
      <c r="A316" s="54" t="n">
        <v>26969</v>
      </c>
      <c r="B316" s="138" t="n">
        <v>68.09999999999999</v>
      </c>
      <c r="C316" s="55">
        <f>Table9[[#This Row],[PMI]]-B315</f>
        <v/>
      </c>
      <c r="J316" s="4" t="n"/>
    </row>
    <row r="317">
      <c r="A317" s="54" t="n">
        <v>26999</v>
      </c>
      <c r="B317" s="138" t="n">
        <v>63.6</v>
      </c>
      <c r="C317" s="55">
        <f>Table9[[#This Row],[PMI]]-B316</f>
        <v/>
      </c>
      <c r="J317" s="4" t="n"/>
    </row>
    <row r="318">
      <c r="A318" s="54" t="n">
        <v>27030</v>
      </c>
      <c r="B318" s="138" t="n">
        <v>62.1</v>
      </c>
      <c r="C318" s="55">
        <f>Table9[[#This Row],[PMI]]-B317</f>
        <v/>
      </c>
      <c r="J318" s="4" t="n"/>
    </row>
    <row r="319">
      <c r="A319" s="54" t="n">
        <v>27061</v>
      </c>
      <c r="B319" s="138" t="n">
        <v>58.6</v>
      </c>
      <c r="C319" s="55">
        <f>Table9[[#This Row],[PMI]]-B318</f>
        <v/>
      </c>
      <c r="J319" s="4" t="n"/>
    </row>
    <row r="320">
      <c r="A320" s="54" t="n">
        <v>27089</v>
      </c>
      <c r="B320" s="138" t="n">
        <v>61.8</v>
      </c>
      <c r="C320" s="55">
        <f>Table9[[#This Row],[PMI]]-B319</f>
        <v/>
      </c>
      <c r="J320" s="4" t="n"/>
    </row>
    <row r="321">
      <c r="A321" s="54" t="n">
        <v>27120</v>
      </c>
      <c r="B321" s="138" t="n">
        <v>59.9</v>
      </c>
      <c r="C321" s="55">
        <f>Table9[[#This Row],[PMI]]-B320</f>
        <v/>
      </c>
      <c r="J321" s="4" t="n"/>
    </row>
    <row r="322">
      <c r="A322" s="54" t="n">
        <v>27150</v>
      </c>
      <c r="B322" s="138" t="n">
        <v>55.7</v>
      </c>
      <c r="C322" s="55">
        <f>Table9[[#This Row],[PMI]]-B321</f>
        <v/>
      </c>
      <c r="J322" s="4" t="n"/>
    </row>
    <row r="323">
      <c r="A323" s="54" t="n">
        <v>27181</v>
      </c>
      <c r="B323" s="138" t="n">
        <v>54.7</v>
      </c>
      <c r="C323" s="55">
        <f>Table9[[#This Row],[PMI]]-B322</f>
        <v/>
      </c>
      <c r="J323" s="4" t="n"/>
    </row>
    <row r="324">
      <c r="A324" s="54" t="n">
        <v>27211</v>
      </c>
      <c r="B324" s="138" t="n">
        <v>54.8</v>
      </c>
      <c r="C324" s="55">
        <f>Table9[[#This Row],[PMI]]-B323</f>
        <v/>
      </c>
      <c r="J324" s="4" t="n"/>
    </row>
    <row r="325">
      <c r="A325" s="54" t="n">
        <v>27242</v>
      </c>
      <c r="B325" s="138" t="n">
        <v>52.9</v>
      </c>
      <c r="C325" s="55">
        <f>Table9[[#This Row],[PMI]]-B324</f>
        <v/>
      </c>
      <c r="J325" s="4" t="n"/>
    </row>
    <row r="326">
      <c r="A326" s="54" t="n">
        <v>27273</v>
      </c>
      <c r="B326" s="138" t="n">
        <v>46.2</v>
      </c>
      <c r="C326" s="55">
        <f>Table9[[#This Row],[PMI]]-B325</f>
        <v/>
      </c>
      <c r="J326" s="4" t="n"/>
    </row>
    <row r="327">
      <c r="A327" s="54" t="n">
        <v>27303</v>
      </c>
      <c r="B327" s="138" t="n">
        <v>42.7</v>
      </c>
      <c r="C327" s="55">
        <f>Table9[[#This Row],[PMI]]-B326</f>
        <v/>
      </c>
      <c r="J327" s="4" t="n"/>
    </row>
    <row r="328">
      <c r="A328" s="54" t="n">
        <v>27334</v>
      </c>
      <c r="B328" s="138" t="n">
        <v>37.9</v>
      </c>
      <c r="C328" s="55">
        <f>Table9[[#This Row],[PMI]]-B327</f>
        <v/>
      </c>
      <c r="J328" s="4" t="n"/>
    </row>
    <row r="329">
      <c r="A329" s="54" t="n">
        <v>27364</v>
      </c>
      <c r="B329" s="138" t="n">
        <v>30.9</v>
      </c>
      <c r="C329" s="55">
        <f>Table9[[#This Row],[PMI]]-B328</f>
        <v/>
      </c>
    </row>
    <row r="330">
      <c r="A330" s="54" t="n">
        <v>27395</v>
      </c>
      <c r="B330" s="138" t="n">
        <v>30.7</v>
      </c>
      <c r="C330" s="55">
        <f>Table9[[#This Row],[PMI]]-B329</f>
        <v/>
      </c>
    </row>
    <row r="331">
      <c r="A331" s="54" t="n">
        <v>27426</v>
      </c>
      <c r="B331" s="138" t="n">
        <v>34.4</v>
      </c>
      <c r="C331" s="55">
        <f>Table9[[#This Row],[PMI]]-B330</f>
        <v/>
      </c>
    </row>
    <row r="332">
      <c r="A332" s="54" t="n">
        <v>27454</v>
      </c>
      <c r="B332" s="138" t="n">
        <v>31.6</v>
      </c>
      <c r="C332" s="55">
        <f>Table9[[#This Row],[PMI]]-B331</f>
        <v/>
      </c>
    </row>
    <row r="333">
      <c r="A333" s="54" t="n">
        <v>27485</v>
      </c>
      <c r="B333" s="138" t="n">
        <v>37.5</v>
      </c>
      <c r="C333" s="55">
        <f>Table9[[#This Row],[PMI]]-B332</f>
        <v/>
      </c>
    </row>
    <row r="334">
      <c r="A334" s="54" t="n">
        <v>27515</v>
      </c>
      <c r="B334" s="138" t="n">
        <v>41.2</v>
      </c>
      <c r="C334" s="55">
        <f>Table9[[#This Row],[PMI]]-B333</f>
        <v/>
      </c>
    </row>
    <row r="335">
      <c r="A335" s="54" t="n">
        <v>27546</v>
      </c>
      <c r="B335" s="138" t="n">
        <v>45.1</v>
      </c>
      <c r="C335" s="55">
        <f>Table9[[#This Row],[PMI]]-B334</f>
        <v/>
      </c>
    </row>
    <row r="336">
      <c r="A336" s="54" t="n">
        <v>27576</v>
      </c>
      <c r="B336" s="138" t="n">
        <v>47.2</v>
      </c>
      <c r="C336" s="55">
        <f>Table9[[#This Row],[PMI]]-B335</f>
        <v/>
      </c>
    </row>
    <row r="337">
      <c r="A337" s="54" t="n">
        <v>27607</v>
      </c>
      <c r="B337" s="138" t="n">
        <v>51.4</v>
      </c>
      <c r="C337" s="55">
        <f>Table9[[#This Row],[PMI]]-B336</f>
        <v/>
      </c>
    </row>
    <row r="338">
      <c r="A338" s="54" t="n">
        <v>27638</v>
      </c>
      <c r="B338" s="138" t="n">
        <v>54.4</v>
      </c>
      <c r="C338" s="55">
        <f>Table9[[#This Row],[PMI]]-B337</f>
        <v/>
      </c>
    </row>
    <row r="339">
      <c r="A339" s="54" t="n">
        <v>27668</v>
      </c>
      <c r="B339" s="138" t="n">
        <v>55.5</v>
      </c>
      <c r="C339" s="55">
        <f>Table9[[#This Row],[PMI]]-B338</f>
        <v/>
      </c>
    </row>
    <row r="340">
      <c r="A340" s="54" t="n">
        <v>27699</v>
      </c>
      <c r="B340" s="138" t="n">
        <v>54.5</v>
      </c>
      <c r="C340" s="55">
        <f>Table9[[#This Row],[PMI]]-B339</f>
        <v/>
      </c>
    </row>
    <row r="341">
      <c r="A341" s="54" t="n">
        <v>27729</v>
      </c>
      <c r="B341" s="138" t="n">
        <v>54.9</v>
      </c>
      <c r="C341" s="55">
        <f>Table9[[#This Row],[PMI]]-B340</f>
        <v/>
      </c>
    </row>
    <row r="342">
      <c r="A342" s="54" t="n">
        <v>27760</v>
      </c>
      <c r="B342" s="138" t="n">
        <v>58.8</v>
      </c>
      <c r="C342" s="55">
        <f>Table9[[#This Row],[PMI]]-B341</f>
        <v/>
      </c>
    </row>
    <row r="343">
      <c r="A343" s="54" t="n">
        <v>27791</v>
      </c>
      <c r="B343" s="138" t="n">
        <v>61.5</v>
      </c>
      <c r="C343" s="55">
        <f>Table9[[#This Row],[PMI]]-B342</f>
        <v/>
      </c>
    </row>
    <row r="344">
      <c r="A344" s="54" t="n">
        <v>27820</v>
      </c>
      <c r="B344" s="138" t="n">
        <v>58.4</v>
      </c>
      <c r="C344" s="55">
        <f>Table9[[#This Row],[PMI]]-B343</f>
        <v/>
      </c>
    </row>
    <row r="345">
      <c r="A345" s="54" t="n">
        <v>27851</v>
      </c>
      <c r="B345" s="138" t="n">
        <v>60.6</v>
      </c>
      <c r="C345" s="55">
        <f>Table9[[#This Row],[PMI]]-B344</f>
        <v/>
      </c>
    </row>
    <row r="346">
      <c r="A346" s="54" t="n">
        <v>27881</v>
      </c>
      <c r="B346" s="138" t="n">
        <v>58.8</v>
      </c>
      <c r="C346" s="55">
        <f>Table9[[#This Row],[PMI]]-B345</f>
        <v/>
      </c>
    </row>
    <row r="347">
      <c r="A347" s="54" t="n">
        <v>27912</v>
      </c>
      <c r="B347" s="138" t="n">
        <v>58.2</v>
      </c>
      <c r="C347" s="55">
        <f>Table9[[#This Row],[PMI]]-B346</f>
        <v/>
      </c>
    </row>
    <row r="348">
      <c r="A348" s="54" t="n">
        <v>27942</v>
      </c>
      <c r="B348" s="138" t="n">
        <v>55.9</v>
      </c>
      <c r="C348" s="55">
        <f>Table9[[#This Row],[PMI]]-B347</f>
        <v/>
      </c>
    </row>
    <row r="349">
      <c r="A349" s="54" t="n">
        <v>27973</v>
      </c>
      <c r="B349" s="138" t="n">
        <v>54.5</v>
      </c>
      <c r="C349" s="55">
        <f>Table9[[#This Row],[PMI]]-B348</f>
        <v/>
      </c>
    </row>
    <row r="350">
      <c r="A350" s="54" t="n">
        <v>28004</v>
      </c>
      <c r="B350" s="138" t="n">
        <v>53.6</v>
      </c>
      <c r="C350" s="55">
        <f>Table9[[#This Row],[PMI]]-B349</f>
        <v/>
      </c>
    </row>
    <row r="351">
      <c r="A351" s="54" t="n">
        <v>28034</v>
      </c>
      <c r="B351" s="138" t="n">
        <v>53.5</v>
      </c>
      <c r="C351" s="55">
        <f>Table9[[#This Row],[PMI]]-B350</f>
        <v/>
      </c>
    </row>
    <row r="352">
      <c r="A352" s="54" t="n">
        <v>28065</v>
      </c>
      <c r="B352" s="138" t="n">
        <v>51.7</v>
      </c>
      <c r="C352" s="55">
        <f>Table9[[#This Row],[PMI]]-B351</f>
        <v/>
      </c>
    </row>
    <row r="353">
      <c r="A353" s="54" t="n">
        <v>28095</v>
      </c>
      <c r="B353" s="138" t="n">
        <v>56.6</v>
      </c>
      <c r="C353" s="55">
        <f>Table9[[#This Row],[PMI]]-B352</f>
        <v/>
      </c>
    </row>
    <row r="354">
      <c r="A354" s="54" t="n">
        <v>28126</v>
      </c>
      <c r="B354" s="138" t="n">
        <v>54.8</v>
      </c>
      <c r="C354" s="55">
        <f>Table9[[#This Row],[PMI]]-B353</f>
        <v/>
      </c>
    </row>
    <row r="355">
      <c r="A355" s="54" t="n">
        <v>28157</v>
      </c>
      <c r="B355" s="138" t="n">
        <v>55</v>
      </c>
      <c r="C355" s="55">
        <f>Table9[[#This Row],[PMI]]-B354</f>
        <v/>
      </c>
    </row>
    <row r="356">
      <c r="A356" s="54" t="n">
        <v>28185</v>
      </c>
      <c r="B356" s="138" t="n">
        <v>58.4</v>
      </c>
      <c r="C356" s="55">
        <f>Table9[[#This Row],[PMI]]-B355</f>
        <v/>
      </c>
    </row>
    <row r="357">
      <c r="A357" s="54" t="n">
        <v>28216</v>
      </c>
      <c r="B357" s="138" t="n">
        <v>56.9</v>
      </c>
      <c r="C357" s="55">
        <f>Table9[[#This Row],[PMI]]-B356</f>
        <v/>
      </c>
    </row>
    <row r="358">
      <c r="A358" s="54" t="n">
        <v>28246</v>
      </c>
      <c r="B358" s="138" t="n">
        <v>59.7</v>
      </c>
      <c r="C358" s="55">
        <f>Table9[[#This Row],[PMI]]-B357</f>
        <v/>
      </c>
    </row>
    <row r="359">
      <c r="A359" s="54" t="n">
        <v>28277</v>
      </c>
      <c r="B359" s="138" t="n">
        <v>56.8</v>
      </c>
      <c r="C359" s="55">
        <f>Table9[[#This Row],[PMI]]-B358</f>
        <v/>
      </c>
    </row>
    <row r="360">
      <c r="A360" s="54" t="n">
        <v>28307</v>
      </c>
      <c r="B360" s="138" t="n">
        <v>57.7</v>
      </c>
      <c r="C360" s="55">
        <f>Table9[[#This Row],[PMI]]-B359</f>
        <v/>
      </c>
    </row>
    <row r="361">
      <c r="A361" s="54" t="n">
        <v>28338</v>
      </c>
      <c r="B361" s="138" t="n">
        <v>54.9</v>
      </c>
      <c r="C361" s="55">
        <f>Table9[[#This Row],[PMI]]-B360</f>
        <v/>
      </c>
    </row>
    <row r="362">
      <c r="A362" s="54" t="n">
        <v>28369</v>
      </c>
      <c r="B362" s="138" t="n">
        <v>53.9</v>
      </c>
      <c r="C362" s="55">
        <f>Table9[[#This Row],[PMI]]-B361</f>
        <v/>
      </c>
    </row>
    <row r="363">
      <c r="A363" s="54" t="n">
        <v>28399</v>
      </c>
      <c r="B363" s="138" t="n">
        <v>55.4</v>
      </c>
      <c r="C363" s="55">
        <f>Table9[[#This Row],[PMI]]-B362</f>
        <v/>
      </c>
    </row>
    <row r="364">
      <c r="A364" s="54" t="n">
        <v>28430</v>
      </c>
      <c r="B364" s="138" t="n">
        <v>56.1</v>
      </c>
      <c r="C364" s="55">
        <f>Table9[[#This Row],[PMI]]-B363</f>
        <v/>
      </c>
    </row>
    <row r="365">
      <c r="A365" s="54" t="n">
        <v>28460</v>
      </c>
      <c r="B365" s="138" t="n">
        <v>59.8</v>
      </c>
      <c r="C365" s="55">
        <f>Table9[[#This Row],[PMI]]-B364</f>
        <v/>
      </c>
    </row>
    <row r="366">
      <c r="A366" s="54" t="n">
        <v>28491</v>
      </c>
      <c r="B366" s="138" t="n">
        <v>57.4</v>
      </c>
      <c r="C366" s="55">
        <f>Table9[[#This Row],[PMI]]-B365</f>
        <v/>
      </c>
    </row>
    <row r="367">
      <c r="A367" s="54" t="n">
        <v>28522</v>
      </c>
      <c r="B367" s="138" t="n">
        <v>55.9</v>
      </c>
      <c r="C367" s="55">
        <f>Table9[[#This Row],[PMI]]-B366</f>
        <v/>
      </c>
    </row>
    <row r="368">
      <c r="A368" s="54" t="n">
        <v>28550</v>
      </c>
      <c r="B368" s="138" t="n">
        <v>55</v>
      </c>
      <c r="C368" s="55">
        <f>Table9[[#This Row],[PMI]]-B367</f>
        <v/>
      </c>
    </row>
    <row r="369">
      <c r="A369" s="54" t="n">
        <v>28581</v>
      </c>
      <c r="B369" s="138" t="n">
        <v>57.7</v>
      </c>
      <c r="C369" s="55">
        <f>Table9[[#This Row],[PMI]]-B368</f>
        <v/>
      </c>
    </row>
    <row r="370">
      <c r="A370" s="54" t="n">
        <v>28611</v>
      </c>
      <c r="B370" s="138" t="n">
        <v>60.2</v>
      </c>
      <c r="C370" s="55">
        <f>Table9[[#This Row],[PMI]]-B369</f>
        <v/>
      </c>
    </row>
    <row r="371">
      <c r="A371" s="54" t="n">
        <v>28642</v>
      </c>
      <c r="B371" s="138" t="n">
        <v>60.5</v>
      </c>
      <c r="C371" s="55">
        <f>Table9[[#This Row],[PMI]]-B370</f>
        <v/>
      </c>
    </row>
    <row r="372">
      <c r="A372" s="54" t="n">
        <v>28672</v>
      </c>
      <c r="B372" s="138" t="n">
        <v>62.2</v>
      </c>
      <c r="C372" s="55">
        <f>Table9[[#This Row],[PMI]]-B371</f>
        <v/>
      </c>
    </row>
    <row r="373">
      <c r="A373" s="54" t="n">
        <v>28703</v>
      </c>
      <c r="B373" s="138" t="n">
        <v>60.3</v>
      </c>
      <c r="C373" s="55">
        <f>Table9[[#This Row],[PMI]]-B372</f>
        <v/>
      </c>
    </row>
    <row r="374">
      <c r="A374" s="54" t="n">
        <v>28734</v>
      </c>
      <c r="B374" s="138" t="n">
        <v>60.5</v>
      </c>
      <c r="C374" s="55">
        <f>Table9[[#This Row],[PMI]]-B373</f>
        <v/>
      </c>
    </row>
    <row r="375">
      <c r="A375" s="54" t="n">
        <v>28764</v>
      </c>
      <c r="B375" s="138" t="n">
        <v>60.1</v>
      </c>
      <c r="C375" s="55">
        <f>Table9[[#This Row],[PMI]]-B374</f>
        <v/>
      </c>
    </row>
    <row r="376">
      <c r="A376" s="54" t="n">
        <v>28795</v>
      </c>
      <c r="B376" s="138" t="n">
        <v>61.3</v>
      </c>
      <c r="C376" s="55">
        <f>Table9[[#This Row],[PMI]]-B375</f>
        <v/>
      </c>
    </row>
    <row r="377">
      <c r="A377" s="54" t="n">
        <v>28825</v>
      </c>
      <c r="B377" s="138" t="n">
        <v>59.4</v>
      </c>
      <c r="C377" s="55">
        <f>Table9[[#This Row],[PMI]]-B376</f>
        <v/>
      </c>
    </row>
    <row r="378">
      <c r="A378" s="54" t="n">
        <v>28856</v>
      </c>
      <c r="B378" s="138" t="n">
        <v>58.5</v>
      </c>
      <c r="C378" s="55">
        <f>Table9[[#This Row],[PMI]]-B377</f>
        <v/>
      </c>
    </row>
    <row r="379">
      <c r="A379" s="54" t="n">
        <v>28887</v>
      </c>
      <c r="B379" s="138" t="n">
        <v>58.2</v>
      </c>
      <c r="C379" s="55">
        <f>Table9[[#This Row],[PMI]]-B378</f>
        <v/>
      </c>
    </row>
    <row r="380">
      <c r="A380" s="54" t="n">
        <v>28915</v>
      </c>
      <c r="B380" s="138" t="n">
        <v>57.7</v>
      </c>
      <c r="C380" s="55">
        <f>Table9[[#This Row],[PMI]]-B379</f>
        <v/>
      </c>
    </row>
    <row r="381">
      <c r="A381" s="54" t="n">
        <v>28946</v>
      </c>
      <c r="B381" s="138" t="n">
        <v>56.2</v>
      </c>
      <c r="C381" s="55">
        <f>Table9[[#This Row],[PMI]]-B380</f>
        <v/>
      </c>
    </row>
    <row r="382">
      <c r="A382" s="54" t="n">
        <v>28976</v>
      </c>
      <c r="B382" s="138" t="n">
        <v>54.4</v>
      </c>
      <c r="C382" s="55">
        <f>Table9[[#This Row],[PMI]]-B381</f>
        <v/>
      </c>
    </row>
    <row r="383">
      <c r="A383" s="54" t="n">
        <v>29007</v>
      </c>
      <c r="B383" s="138" t="n">
        <v>52.7</v>
      </c>
      <c r="C383" s="55">
        <f>Table9[[#This Row],[PMI]]-B382</f>
        <v/>
      </c>
    </row>
    <row r="384">
      <c r="A384" s="54" t="n">
        <v>29037</v>
      </c>
      <c r="B384" s="138" t="n">
        <v>51.3</v>
      </c>
      <c r="C384" s="55">
        <f>Table9[[#This Row],[PMI]]-B383</f>
        <v/>
      </c>
    </row>
    <row r="385">
      <c r="A385" s="54" t="n">
        <v>29068</v>
      </c>
      <c r="B385" s="138" t="n">
        <v>49.5</v>
      </c>
      <c r="C385" s="55">
        <f>Table9[[#This Row],[PMI]]-B384</f>
        <v/>
      </c>
    </row>
    <row r="386">
      <c r="A386" s="54" t="n">
        <v>29099</v>
      </c>
      <c r="B386" s="138" t="n">
        <v>49.6</v>
      </c>
      <c r="C386" s="55">
        <f>Table9[[#This Row],[PMI]]-B385</f>
        <v/>
      </c>
    </row>
    <row r="387">
      <c r="A387" s="54" t="n">
        <v>29129</v>
      </c>
      <c r="B387" s="138" t="n">
        <v>49</v>
      </c>
      <c r="C387" s="55">
        <f>Table9[[#This Row],[PMI]]-B386</f>
        <v/>
      </c>
    </row>
    <row r="388">
      <c r="A388" s="54" t="n">
        <v>29160</v>
      </c>
      <c r="B388" s="138" t="n">
        <v>48</v>
      </c>
      <c r="C388" s="55">
        <f>Table9[[#This Row],[PMI]]-B387</f>
        <v/>
      </c>
    </row>
    <row r="389">
      <c r="A389" s="54" t="n">
        <v>29190</v>
      </c>
      <c r="B389" s="138" t="n">
        <v>44.8</v>
      </c>
      <c r="C389" s="55">
        <f>Table9[[#This Row],[PMI]]-B388</f>
        <v/>
      </c>
    </row>
    <row r="390">
      <c r="A390" s="54" t="n">
        <v>29221</v>
      </c>
      <c r="B390" s="138" t="n">
        <v>46.2</v>
      </c>
      <c r="C390" s="55">
        <f>Table9[[#This Row],[PMI]]-B389</f>
        <v/>
      </c>
    </row>
    <row r="391">
      <c r="A391" s="54" t="n">
        <v>29252</v>
      </c>
      <c r="B391" s="138" t="n">
        <v>50.2</v>
      </c>
      <c r="C391" s="55">
        <f>Table9[[#This Row],[PMI]]-B390</f>
        <v/>
      </c>
    </row>
    <row r="392">
      <c r="A392" s="54" t="n">
        <v>29281</v>
      </c>
      <c r="B392" s="138" t="n">
        <v>43.6</v>
      </c>
      <c r="C392" s="55">
        <f>Table9[[#This Row],[PMI]]-B391</f>
        <v/>
      </c>
    </row>
    <row r="393">
      <c r="A393" s="54" t="n">
        <v>29312</v>
      </c>
      <c r="B393" s="138" t="n">
        <v>37.4</v>
      </c>
      <c r="C393" s="55">
        <f>Table9[[#This Row],[PMI]]-B392</f>
        <v/>
      </c>
    </row>
    <row r="394">
      <c r="A394" s="54" t="n">
        <v>29342</v>
      </c>
      <c r="B394" s="138" t="n">
        <v>29.4</v>
      </c>
      <c r="C394" s="55">
        <f>Table9[[#This Row],[PMI]]-B393</f>
        <v/>
      </c>
    </row>
    <row r="395">
      <c r="A395" s="54" t="n">
        <v>29373</v>
      </c>
      <c r="B395" s="138" t="n">
        <v>30.3</v>
      </c>
      <c r="C395" s="55">
        <f>Table9[[#This Row],[PMI]]-B394</f>
        <v/>
      </c>
    </row>
    <row r="396">
      <c r="A396" s="54" t="n">
        <v>29403</v>
      </c>
      <c r="B396" s="138" t="n">
        <v>35</v>
      </c>
      <c r="C396" s="55">
        <f>Table9[[#This Row],[PMI]]-B395</f>
        <v/>
      </c>
    </row>
    <row r="397">
      <c r="A397" s="54" t="n">
        <v>29434</v>
      </c>
      <c r="B397" s="138" t="n">
        <v>45.5</v>
      </c>
      <c r="C397" s="55">
        <f>Table9[[#This Row],[PMI]]-B396</f>
        <v/>
      </c>
    </row>
    <row r="398">
      <c r="A398" s="54" t="n">
        <v>29465</v>
      </c>
      <c r="B398" s="138" t="n">
        <v>50.1</v>
      </c>
      <c r="C398" s="55">
        <f>Table9[[#This Row],[PMI]]-B397</f>
        <v/>
      </c>
    </row>
    <row r="399">
      <c r="A399" s="54" t="n">
        <v>29495</v>
      </c>
      <c r="B399" s="138" t="n">
        <v>55.5</v>
      </c>
      <c r="C399" s="55">
        <f>Table9[[#This Row],[PMI]]-B398</f>
        <v/>
      </c>
    </row>
    <row r="400">
      <c r="A400" s="54" t="n">
        <v>29526</v>
      </c>
      <c r="B400" s="138" t="n">
        <v>58.2</v>
      </c>
      <c r="C400" s="55">
        <f>Table9[[#This Row],[PMI]]-B399</f>
        <v/>
      </c>
    </row>
    <row r="401">
      <c r="A401" s="54" t="n">
        <v>29556</v>
      </c>
      <c r="B401" s="138" t="n">
        <v>53</v>
      </c>
      <c r="C401" s="55">
        <f>Table9[[#This Row],[PMI]]-B400</f>
        <v/>
      </c>
    </row>
    <row r="402">
      <c r="A402" s="54" t="n">
        <v>29587</v>
      </c>
      <c r="B402" s="138" t="n">
        <v>49.2</v>
      </c>
      <c r="C402" s="55">
        <f>Table9[[#This Row],[PMI]]-B401</f>
        <v/>
      </c>
    </row>
    <row r="403">
      <c r="A403" s="54" t="n">
        <v>29618</v>
      </c>
      <c r="B403" s="138" t="n">
        <v>48.8</v>
      </c>
      <c r="C403" s="55">
        <f>Table9[[#This Row],[PMI]]-B402</f>
        <v/>
      </c>
    </row>
    <row r="404">
      <c r="A404" s="54" t="n">
        <v>29646</v>
      </c>
      <c r="B404" s="138" t="n">
        <v>49.6</v>
      </c>
      <c r="C404" s="55">
        <f>Table9[[#This Row],[PMI]]-B403</f>
        <v/>
      </c>
    </row>
    <row r="405">
      <c r="A405" s="54" t="n">
        <v>29677</v>
      </c>
      <c r="B405" s="138" t="n">
        <v>51.6</v>
      </c>
      <c r="C405" s="55">
        <f>Table9[[#This Row],[PMI]]-B404</f>
        <v/>
      </c>
    </row>
    <row r="406">
      <c r="A406" s="54" t="n">
        <v>29707</v>
      </c>
      <c r="B406" s="138" t="n">
        <v>53.5</v>
      </c>
      <c r="C406" s="55">
        <f>Table9[[#This Row],[PMI]]-B405</f>
        <v/>
      </c>
    </row>
    <row r="407">
      <c r="A407" s="54" t="n">
        <v>29738</v>
      </c>
      <c r="B407" s="138" t="n">
        <v>50.7</v>
      </c>
      <c r="C407" s="55">
        <f>Table9[[#This Row],[PMI]]-B406</f>
        <v/>
      </c>
    </row>
    <row r="408">
      <c r="A408" s="54" t="n">
        <v>29768</v>
      </c>
      <c r="B408" s="138" t="n">
        <v>46.7</v>
      </c>
      <c r="C408" s="55">
        <f>Table9[[#This Row],[PMI]]-B407</f>
        <v/>
      </c>
    </row>
    <row r="409">
      <c r="A409" s="54" t="n">
        <v>29799</v>
      </c>
      <c r="B409" s="138" t="n">
        <v>48.3</v>
      </c>
      <c r="C409" s="55">
        <f>Table9[[#This Row],[PMI]]-B408</f>
        <v/>
      </c>
    </row>
    <row r="410">
      <c r="A410" s="54" t="n">
        <v>29830</v>
      </c>
      <c r="B410" s="138" t="n">
        <v>42.5</v>
      </c>
      <c r="C410" s="55">
        <f>Table9[[#This Row],[PMI]]-B409</f>
        <v/>
      </c>
    </row>
    <row r="411">
      <c r="A411" s="54" t="n">
        <v>29860</v>
      </c>
      <c r="B411" s="138" t="n">
        <v>40</v>
      </c>
      <c r="C411" s="55">
        <f>Table9[[#This Row],[PMI]]-B410</f>
        <v/>
      </c>
    </row>
    <row r="412">
      <c r="A412" s="54" t="n">
        <v>29891</v>
      </c>
      <c r="B412" s="138" t="n">
        <v>36.1</v>
      </c>
      <c r="C412" s="55">
        <f>Table9[[#This Row],[PMI]]-B411</f>
        <v/>
      </c>
    </row>
    <row r="413">
      <c r="A413" s="54" t="n">
        <v>29921</v>
      </c>
      <c r="B413" s="138" t="n">
        <v>37.8</v>
      </c>
      <c r="C413" s="55">
        <f>Table9[[#This Row],[PMI]]-B412</f>
        <v/>
      </c>
    </row>
    <row r="414">
      <c r="A414" s="54" t="n">
        <v>29952</v>
      </c>
      <c r="B414" s="138" t="n">
        <v>38.2</v>
      </c>
      <c r="C414" s="55">
        <f>Table9[[#This Row],[PMI]]-B413</f>
        <v/>
      </c>
    </row>
    <row r="415">
      <c r="A415" s="54" t="n">
        <v>29983</v>
      </c>
      <c r="B415" s="138" t="n">
        <v>38.3</v>
      </c>
      <c r="C415" s="55">
        <f>Table9[[#This Row],[PMI]]-B414</f>
        <v/>
      </c>
    </row>
    <row r="416">
      <c r="A416" s="54" t="n">
        <v>30011</v>
      </c>
      <c r="B416" s="138" t="n">
        <v>36.8</v>
      </c>
      <c r="C416" s="55">
        <f>Table9[[#This Row],[PMI]]-B415</f>
        <v/>
      </c>
    </row>
    <row r="417">
      <c r="A417" s="54" t="n">
        <v>30042</v>
      </c>
      <c r="B417" s="138" t="n">
        <v>37.8</v>
      </c>
      <c r="C417" s="55">
        <f>Table9[[#This Row],[PMI]]-B416</f>
        <v/>
      </c>
    </row>
    <row r="418">
      <c r="A418" s="54" t="n">
        <v>30072</v>
      </c>
      <c r="B418" s="138" t="n">
        <v>35.5</v>
      </c>
      <c r="C418" s="55">
        <f>Table9[[#This Row],[PMI]]-B417</f>
        <v/>
      </c>
    </row>
    <row r="419">
      <c r="A419" s="54" t="n">
        <v>30103</v>
      </c>
      <c r="B419" s="138" t="n">
        <v>38.3</v>
      </c>
      <c r="C419" s="55">
        <f>Table9[[#This Row],[PMI]]-B418</f>
        <v/>
      </c>
    </row>
    <row r="420">
      <c r="A420" s="54" t="n">
        <v>30133</v>
      </c>
      <c r="B420" s="138" t="n">
        <v>38.4</v>
      </c>
      <c r="C420" s="55">
        <f>Table9[[#This Row],[PMI]]-B419</f>
        <v/>
      </c>
    </row>
    <row r="421">
      <c r="A421" s="54" t="n">
        <v>30164</v>
      </c>
      <c r="B421" s="138" t="n">
        <v>38.3</v>
      </c>
      <c r="C421" s="55">
        <f>Table9[[#This Row],[PMI]]-B420</f>
        <v/>
      </c>
    </row>
    <row r="422">
      <c r="A422" s="54" t="n">
        <v>30195</v>
      </c>
      <c r="B422" s="138" t="n">
        <v>38.8</v>
      </c>
      <c r="C422" s="55">
        <f>Table9[[#This Row],[PMI]]-B421</f>
        <v/>
      </c>
    </row>
    <row r="423">
      <c r="A423" s="54" t="n">
        <v>30225</v>
      </c>
      <c r="B423" s="138" t="n">
        <v>39.4</v>
      </c>
      <c r="C423" s="55">
        <f>Table9[[#This Row],[PMI]]-B422</f>
        <v/>
      </c>
    </row>
    <row r="424">
      <c r="A424" s="54" t="n">
        <v>30256</v>
      </c>
      <c r="B424" s="138" t="n">
        <v>39.2</v>
      </c>
      <c r="C424" s="55">
        <f>Table9[[#This Row],[PMI]]-B423</f>
        <v/>
      </c>
    </row>
    <row r="425">
      <c r="A425" s="54" t="n">
        <v>30286</v>
      </c>
      <c r="B425" s="138" t="n">
        <v>42.8</v>
      </c>
      <c r="C425" s="55">
        <f>Table9[[#This Row],[PMI]]-B424</f>
        <v/>
      </c>
    </row>
    <row r="426">
      <c r="A426" s="54" t="n">
        <v>30317</v>
      </c>
      <c r="B426" s="138" t="n">
        <v>46</v>
      </c>
      <c r="C426" s="55">
        <f>Table9[[#This Row],[PMI]]-B425</f>
        <v/>
      </c>
    </row>
    <row r="427">
      <c r="A427" s="54" t="n">
        <v>30348</v>
      </c>
      <c r="B427" s="138" t="n">
        <v>54.4</v>
      </c>
      <c r="C427" s="55">
        <f>Table9[[#This Row],[PMI]]-B426</f>
        <v/>
      </c>
    </row>
    <row r="428">
      <c r="A428" s="54" t="n">
        <v>30376</v>
      </c>
      <c r="B428" s="138" t="n">
        <v>53.9</v>
      </c>
      <c r="C428" s="55">
        <f>Table9[[#This Row],[PMI]]-B427</f>
        <v/>
      </c>
    </row>
    <row r="429">
      <c r="A429" s="54" t="n">
        <v>30407</v>
      </c>
      <c r="B429" s="138" t="n">
        <v>54.2</v>
      </c>
      <c r="C429" s="55">
        <f>Table9[[#This Row],[PMI]]-B428</f>
        <v/>
      </c>
    </row>
    <row r="430">
      <c r="A430" s="54" t="n">
        <v>30437</v>
      </c>
      <c r="B430" s="138" t="n">
        <v>56.1</v>
      </c>
      <c r="C430" s="55">
        <f>Table9[[#This Row],[PMI]]-B429</f>
        <v/>
      </c>
    </row>
    <row r="431">
      <c r="A431" s="54" t="n">
        <v>30468</v>
      </c>
      <c r="B431" s="138" t="n">
        <v>57.5</v>
      </c>
      <c r="C431" s="55">
        <f>Table9[[#This Row],[PMI]]-B430</f>
        <v/>
      </c>
    </row>
    <row r="432">
      <c r="A432" s="54" t="n">
        <v>30498</v>
      </c>
      <c r="B432" s="138" t="n">
        <v>63.6</v>
      </c>
      <c r="C432" s="55">
        <f>Table9[[#This Row],[PMI]]-B431</f>
        <v/>
      </c>
    </row>
    <row r="433">
      <c r="A433" s="54" t="n">
        <v>30529</v>
      </c>
      <c r="B433" s="138" t="n">
        <v>63.1</v>
      </c>
      <c r="C433" s="55">
        <f>Table9[[#This Row],[PMI]]-B432</f>
        <v/>
      </c>
    </row>
    <row r="434">
      <c r="A434" s="54" t="n">
        <v>30560</v>
      </c>
      <c r="B434" s="138" t="n">
        <v>62.5</v>
      </c>
      <c r="C434" s="55">
        <f>Table9[[#This Row],[PMI]]-B433</f>
        <v/>
      </c>
    </row>
    <row r="435">
      <c r="A435" s="54" t="n">
        <v>30590</v>
      </c>
      <c r="B435" s="138" t="n">
        <v>64.40000000000001</v>
      </c>
      <c r="C435" s="55">
        <f>Table9[[#This Row],[PMI]]-B434</f>
        <v/>
      </c>
    </row>
    <row r="436">
      <c r="A436" s="54" t="n">
        <v>30621</v>
      </c>
      <c r="B436" s="138" t="n">
        <v>66</v>
      </c>
      <c r="C436" s="55">
        <f>Table9[[#This Row],[PMI]]-B435</f>
        <v/>
      </c>
    </row>
    <row r="437">
      <c r="A437" s="54" t="n">
        <v>30651</v>
      </c>
      <c r="B437" s="138" t="n">
        <v>69.90000000000001</v>
      </c>
      <c r="C437" s="55">
        <f>Table9[[#This Row],[PMI]]-B436</f>
        <v/>
      </c>
    </row>
    <row r="438">
      <c r="A438" s="54" t="n">
        <v>30682</v>
      </c>
      <c r="B438" s="138" t="n">
        <v>60.5</v>
      </c>
      <c r="C438" s="55">
        <f>Table9[[#This Row],[PMI]]-B437</f>
        <v/>
      </c>
    </row>
    <row r="439">
      <c r="A439" s="54" t="n">
        <v>30713</v>
      </c>
      <c r="B439" s="138" t="n">
        <v>61.3</v>
      </c>
      <c r="C439" s="55">
        <f>Table9[[#This Row],[PMI]]-B438</f>
        <v/>
      </c>
    </row>
    <row r="440">
      <c r="A440" s="54" t="n">
        <v>30742</v>
      </c>
      <c r="B440" s="138" t="n">
        <v>58.9</v>
      </c>
      <c r="C440" s="55">
        <f>Table9[[#This Row],[PMI]]-B439</f>
        <v/>
      </c>
    </row>
    <row r="441">
      <c r="A441" s="54" t="n">
        <v>30773</v>
      </c>
      <c r="B441" s="138" t="n">
        <v>61</v>
      </c>
      <c r="C441" s="55">
        <f>Table9[[#This Row],[PMI]]-B440</f>
        <v/>
      </c>
    </row>
    <row r="442">
      <c r="A442" s="54" t="n">
        <v>30803</v>
      </c>
      <c r="B442" s="138" t="n">
        <v>58.6</v>
      </c>
      <c r="C442" s="55">
        <f>Table9[[#This Row],[PMI]]-B441</f>
        <v/>
      </c>
    </row>
    <row r="443">
      <c r="A443" s="54" t="n">
        <v>30834</v>
      </c>
      <c r="B443" s="138" t="n">
        <v>58.1</v>
      </c>
      <c r="C443" s="55">
        <f>Table9[[#This Row],[PMI]]-B442</f>
        <v/>
      </c>
    </row>
    <row r="444">
      <c r="A444" s="54" t="n">
        <v>30864</v>
      </c>
      <c r="B444" s="138" t="n">
        <v>56.1</v>
      </c>
      <c r="C444" s="55">
        <f>Table9[[#This Row],[PMI]]-B443</f>
        <v/>
      </c>
    </row>
    <row r="445">
      <c r="A445" s="54" t="n">
        <v>30895</v>
      </c>
      <c r="B445" s="138" t="n">
        <v>53</v>
      </c>
      <c r="C445" s="55">
        <f>Table9[[#This Row],[PMI]]-B444</f>
        <v/>
      </c>
    </row>
    <row r="446">
      <c r="A446" s="54" t="n">
        <v>30926</v>
      </c>
      <c r="B446" s="138" t="n">
        <v>50</v>
      </c>
      <c r="C446" s="55">
        <f>Table9[[#This Row],[PMI]]-B445</f>
        <v/>
      </c>
    </row>
    <row r="447">
      <c r="A447" s="54" t="n">
        <v>30956</v>
      </c>
      <c r="B447" s="138" t="n">
        <v>50.8</v>
      </c>
      <c r="C447" s="55">
        <f>Table9[[#This Row],[PMI]]-B446</f>
        <v/>
      </c>
    </row>
    <row r="448">
      <c r="A448" s="54" t="n">
        <v>30987</v>
      </c>
      <c r="B448" s="138" t="n">
        <v>50.3</v>
      </c>
      <c r="C448" s="55">
        <f>Table9[[#This Row],[PMI]]-B447</f>
        <v/>
      </c>
    </row>
    <row r="449">
      <c r="A449" s="54" t="n">
        <v>31017</v>
      </c>
      <c r="B449" s="138" t="n">
        <v>50.6</v>
      </c>
      <c r="C449" s="55">
        <f>Table9[[#This Row],[PMI]]-B448</f>
        <v/>
      </c>
    </row>
    <row r="450">
      <c r="A450" s="54" t="n">
        <v>31048</v>
      </c>
      <c r="B450" s="138" t="n">
        <v>50.3</v>
      </c>
      <c r="C450" s="55">
        <f>Table9[[#This Row],[PMI]]-B449</f>
        <v/>
      </c>
    </row>
    <row r="451">
      <c r="A451" s="54" t="n">
        <v>31079</v>
      </c>
      <c r="B451" s="138" t="n">
        <v>49.9</v>
      </c>
      <c r="C451" s="55">
        <f>Table9[[#This Row],[PMI]]-B450</f>
        <v/>
      </c>
    </row>
    <row r="452">
      <c r="A452" s="54" t="n">
        <v>31107</v>
      </c>
      <c r="B452" s="138" t="n">
        <v>47.8</v>
      </c>
      <c r="C452" s="55">
        <f>Table9[[#This Row],[PMI]]-B451</f>
        <v/>
      </c>
    </row>
    <row r="453">
      <c r="A453" s="54" t="n">
        <v>31138</v>
      </c>
      <c r="B453" s="138" t="n">
        <v>48.2</v>
      </c>
      <c r="C453" s="55">
        <f>Table9[[#This Row],[PMI]]-B452</f>
        <v/>
      </c>
    </row>
    <row r="454">
      <c r="A454" s="54" t="n">
        <v>31168</v>
      </c>
      <c r="B454" s="138" t="n">
        <v>47.1</v>
      </c>
      <c r="C454" s="55">
        <f>Table9[[#This Row],[PMI]]-B453</f>
        <v/>
      </c>
    </row>
    <row r="455">
      <c r="A455" s="54" t="n">
        <v>31199</v>
      </c>
      <c r="B455" s="138" t="n">
        <v>47.8</v>
      </c>
      <c r="C455" s="55">
        <f>Table9[[#This Row],[PMI]]-B454</f>
        <v/>
      </c>
    </row>
    <row r="456">
      <c r="A456" s="54" t="n">
        <v>31229</v>
      </c>
      <c r="B456" s="138" t="n">
        <v>47.9</v>
      </c>
      <c r="C456" s="55">
        <f>Table9[[#This Row],[PMI]]-B455</f>
        <v/>
      </c>
    </row>
    <row r="457">
      <c r="A457" s="54" t="n">
        <v>31260</v>
      </c>
      <c r="B457" s="138" t="n">
        <v>47.7</v>
      </c>
      <c r="C457" s="55">
        <f>Table9[[#This Row],[PMI]]-B456</f>
        <v/>
      </c>
    </row>
    <row r="458">
      <c r="A458" s="54" t="n">
        <v>31291</v>
      </c>
      <c r="B458" s="138" t="n">
        <v>49.9</v>
      </c>
      <c r="C458" s="55">
        <f>Table9[[#This Row],[PMI]]-B457</f>
        <v/>
      </c>
    </row>
    <row r="459">
      <c r="A459" s="54" t="n">
        <v>31321</v>
      </c>
      <c r="B459" s="138" t="n">
        <v>50.9</v>
      </c>
      <c r="C459" s="55">
        <f>Table9[[#This Row],[PMI]]-B458</f>
        <v/>
      </c>
    </row>
    <row r="460">
      <c r="A460" s="54" t="n">
        <v>31352</v>
      </c>
      <c r="B460" s="138" t="n">
        <v>52</v>
      </c>
      <c r="C460" s="55">
        <f>Table9[[#This Row],[PMI]]-B459</f>
        <v/>
      </c>
    </row>
    <row r="461">
      <c r="A461" s="54" t="n">
        <v>31382</v>
      </c>
      <c r="B461" s="138" t="n">
        <v>50.7</v>
      </c>
      <c r="C461" s="55">
        <f>Table9[[#This Row],[PMI]]-B460</f>
        <v/>
      </c>
    </row>
    <row r="462">
      <c r="A462" s="54" t="n">
        <v>31413</v>
      </c>
      <c r="B462" s="138" t="n">
        <v>51.2</v>
      </c>
      <c r="C462" s="55">
        <f>Table9[[#This Row],[PMI]]-B461</f>
        <v/>
      </c>
    </row>
    <row r="463">
      <c r="A463" s="54" t="n">
        <v>31444</v>
      </c>
      <c r="B463" s="138" t="n">
        <v>51</v>
      </c>
      <c r="C463" s="55">
        <f>Table9[[#This Row],[PMI]]-B462</f>
        <v/>
      </c>
    </row>
    <row r="464">
      <c r="A464" s="54" t="n">
        <v>31472</v>
      </c>
      <c r="B464" s="138" t="n">
        <v>51</v>
      </c>
      <c r="C464" s="55">
        <f>Table9[[#This Row],[PMI]]-B463</f>
        <v/>
      </c>
    </row>
    <row r="465">
      <c r="A465" s="54" t="n">
        <v>31503</v>
      </c>
      <c r="B465" s="138" t="n">
        <v>49.7</v>
      </c>
      <c r="C465" s="55">
        <f>Table9[[#This Row],[PMI]]-B464</f>
        <v/>
      </c>
    </row>
    <row r="466">
      <c r="A466" s="54" t="n">
        <v>31533</v>
      </c>
      <c r="B466" s="138" t="n">
        <v>53.4</v>
      </c>
      <c r="C466" s="55">
        <f>Table9[[#This Row],[PMI]]-B465</f>
        <v/>
      </c>
    </row>
    <row r="467">
      <c r="A467" s="54" t="n">
        <v>31564</v>
      </c>
      <c r="B467" s="138" t="n">
        <v>50.5</v>
      </c>
      <c r="C467" s="55">
        <f>Table9[[#This Row],[PMI]]-B466</f>
        <v/>
      </c>
    </row>
    <row r="468">
      <c r="A468" s="54" t="n">
        <v>31594</v>
      </c>
      <c r="B468" s="138" t="n">
        <v>48</v>
      </c>
      <c r="C468" s="55">
        <f>Table9[[#This Row],[PMI]]-B467</f>
        <v/>
      </c>
    </row>
    <row r="469">
      <c r="A469" s="54" t="n">
        <v>31625</v>
      </c>
      <c r="B469" s="138" t="n">
        <v>52.6</v>
      </c>
      <c r="C469" s="55">
        <f>Table9[[#This Row],[PMI]]-B468</f>
        <v/>
      </c>
    </row>
    <row r="470">
      <c r="A470" s="54" t="n">
        <v>31656</v>
      </c>
      <c r="B470" s="138" t="n">
        <v>52.4</v>
      </c>
      <c r="C470" s="55">
        <f>Table9[[#This Row],[PMI]]-B469</f>
        <v/>
      </c>
    </row>
    <row r="471">
      <c r="A471" s="54" t="n">
        <v>31686</v>
      </c>
      <c r="B471" s="138" t="n">
        <v>51.2</v>
      </c>
      <c r="C471" s="55">
        <f>Table9[[#This Row],[PMI]]-B470</f>
        <v/>
      </c>
    </row>
    <row r="472">
      <c r="A472" s="54" t="n">
        <v>31717</v>
      </c>
      <c r="B472" s="138" t="n">
        <v>51.2</v>
      </c>
      <c r="C472" s="55">
        <f>Table9[[#This Row],[PMI]]-B471</f>
        <v/>
      </c>
    </row>
    <row r="473">
      <c r="A473" s="54" t="n">
        <v>31747</v>
      </c>
      <c r="B473" s="138" t="n">
        <v>50.5</v>
      </c>
      <c r="C473" s="55">
        <f>Table9[[#This Row],[PMI]]-B472</f>
        <v/>
      </c>
    </row>
    <row r="474">
      <c r="A474" s="54" t="n">
        <v>31778</v>
      </c>
      <c r="B474" s="138" t="n">
        <v>54.9</v>
      </c>
      <c r="C474" s="55">
        <f>Table9[[#This Row],[PMI]]-B473</f>
        <v/>
      </c>
    </row>
    <row r="475">
      <c r="A475" s="54" t="n">
        <v>31809</v>
      </c>
      <c r="B475" s="138" t="n">
        <v>52.6</v>
      </c>
      <c r="C475" s="55">
        <f>Table9[[#This Row],[PMI]]-B474</f>
        <v/>
      </c>
    </row>
    <row r="476">
      <c r="A476" s="54" t="n">
        <v>31837</v>
      </c>
      <c r="B476" s="138" t="n">
        <v>55</v>
      </c>
      <c r="C476" s="55">
        <f>Table9[[#This Row],[PMI]]-B475</f>
        <v/>
      </c>
    </row>
    <row r="477">
      <c r="A477" s="54" t="n">
        <v>31868</v>
      </c>
      <c r="B477" s="138" t="n">
        <v>55.5</v>
      </c>
      <c r="C477" s="55">
        <f>Table9[[#This Row],[PMI]]-B476</f>
        <v/>
      </c>
    </row>
    <row r="478">
      <c r="A478" s="54" t="n">
        <v>31898</v>
      </c>
      <c r="B478" s="55" t="n">
        <v>57.2</v>
      </c>
      <c r="C478" s="55">
        <f>Table9[[#This Row],[PMI]]-B477</f>
        <v/>
      </c>
    </row>
    <row r="479">
      <c r="A479" s="54" t="n">
        <v>31929</v>
      </c>
      <c r="B479" s="55" t="n">
        <v>57.4</v>
      </c>
      <c r="C479" s="55">
        <f>Table9[[#This Row],[PMI]]-B478</f>
        <v/>
      </c>
    </row>
    <row r="480">
      <c r="A480" s="54" t="n">
        <v>31959</v>
      </c>
      <c r="B480" s="55" t="n">
        <v>57.5</v>
      </c>
      <c r="C480" s="55">
        <f>Table9[[#This Row],[PMI]]-B479</f>
        <v/>
      </c>
    </row>
    <row r="481">
      <c r="A481" s="54" t="n">
        <v>31990</v>
      </c>
      <c r="B481" s="55" t="n">
        <v>59.3</v>
      </c>
      <c r="C481" s="55">
        <f>Table9[[#This Row],[PMI]]-B480</f>
        <v/>
      </c>
    </row>
    <row r="482">
      <c r="A482" s="54" t="n">
        <v>32021</v>
      </c>
      <c r="B482" s="55" t="n">
        <v>60</v>
      </c>
      <c r="C482" s="55">
        <f>Table9[[#This Row],[PMI]]-B481</f>
        <v/>
      </c>
    </row>
    <row r="483">
      <c r="A483" s="54" t="n">
        <v>32051</v>
      </c>
      <c r="B483" s="55" t="n">
        <v>60.7</v>
      </c>
      <c r="C483" s="55">
        <f>Table9[[#This Row],[PMI]]-B482</f>
        <v/>
      </c>
    </row>
    <row r="484">
      <c r="A484" s="54" t="n">
        <v>32082</v>
      </c>
      <c r="B484" s="55" t="n">
        <v>58.8</v>
      </c>
      <c r="C484" s="55">
        <f>Table9[[#This Row],[PMI]]-B483</f>
        <v/>
      </c>
    </row>
    <row r="485">
      <c r="A485" s="54" t="n">
        <v>32112</v>
      </c>
      <c r="B485" s="55" t="n">
        <v>61</v>
      </c>
      <c r="C485" s="55">
        <f>Table9[[#This Row],[PMI]]-B484</f>
        <v/>
      </c>
    </row>
    <row r="486">
      <c r="A486" s="54" t="n">
        <v>32143</v>
      </c>
      <c r="B486" s="55" t="n">
        <v>57.5</v>
      </c>
      <c r="C486" s="55">
        <f>Table9[[#This Row],[PMI]]-B485</f>
        <v/>
      </c>
    </row>
    <row r="487">
      <c r="A487" s="54" t="n">
        <v>32174</v>
      </c>
      <c r="B487" s="55" t="n">
        <v>56.2</v>
      </c>
      <c r="C487" s="55">
        <f>Table9[[#This Row],[PMI]]-B486</f>
        <v/>
      </c>
    </row>
    <row r="488">
      <c r="A488" s="54" t="n">
        <v>32203</v>
      </c>
      <c r="B488" s="55" t="n">
        <v>54.6</v>
      </c>
      <c r="C488" s="55">
        <f>Table9[[#This Row],[PMI]]-B487</f>
        <v/>
      </c>
    </row>
    <row r="489">
      <c r="A489" s="54" t="n">
        <v>32234</v>
      </c>
      <c r="B489" s="55" t="n">
        <v>55.8</v>
      </c>
      <c r="C489" s="55">
        <f>Table9[[#This Row],[PMI]]-B488</f>
        <v/>
      </c>
    </row>
    <row r="490">
      <c r="A490" s="54" t="n">
        <v>32264</v>
      </c>
      <c r="B490" s="55" t="n">
        <v>55.5</v>
      </c>
      <c r="C490" s="55">
        <f>Table9[[#This Row],[PMI]]-B489</f>
        <v/>
      </c>
    </row>
    <row r="491">
      <c r="A491" s="54" t="n">
        <v>32295</v>
      </c>
      <c r="B491" s="55" t="n">
        <v>59.3</v>
      </c>
      <c r="C491" s="55">
        <f>Table9[[#This Row],[PMI]]-B490</f>
        <v/>
      </c>
    </row>
    <row r="492">
      <c r="A492" s="54" t="n">
        <v>32325</v>
      </c>
      <c r="B492" s="55" t="n">
        <v>58.2</v>
      </c>
      <c r="C492" s="55">
        <f>Table9[[#This Row],[PMI]]-B491</f>
        <v/>
      </c>
    </row>
    <row r="493">
      <c r="A493" s="54" t="n">
        <v>32356</v>
      </c>
      <c r="B493" s="55" t="n">
        <v>56</v>
      </c>
      <c r="C493" s="55">
        <f>Table9[[#This Row],[PMI]]-B492</f>
        <v/>
      </c>
    </row>
    <row r="494">
      <c r="A494" s="54" t="n">
        <v>32387</v>
      </c>
      <c r="B494" s="55" t="n">
        <v>54.5</v>
      </c>
      <c r="C494" s="55">
        <f>Table9[[#This Row],[PMI]]-B493</f>
        <v/>
      </c>
    </row>
    <row r="495">
      <c r="A495" s="54" t="n">
        <v>32417</v>
      </c>
      <c r="B495" s="55" t="n">
        <v>55.4</v>
      </c>
      <c r="C495" s="55">
        <f>Table9[[#This Row],[PMI]]-B494</f>
        <v/>
      </c>
    </row>
    <row r="496">
      <c r="A496" s="54" t="n">
        <v>32448</v>
      </c>
      <c r="B496" s="55" t="n">
        <v>55.6</v>
      </c>
      <c r="C496" s="55">
        <f>Table9[[#This Row],[PMI]]-B495</f>
        <v/>
      </c>
    </row>
    <row r="497">
      <c r="A497" s="54" t="n">
        <v>32478</v>
      </c>
      <c r="B497" s="55" t="n">
        <v>56</v>
      </c>
      <c r="C497" s="55">
        <f>Table9[[#This Row],[PMI]]-B496</f>
        <v/>
      </c>
    </row>
    <row r="498">
      <c r="A498" s="54" t="n">
        <v>32509</v>
      </c>
      <c r="B498" s="55" t="n">
        <v>54.7</v>
      </c>
      <c r="C498" s="55">
        <f>Table9[[#This Row],[PMI]]-B497</f>
        <v/>
      </c>
    </row>
    <row r="499">
      <c r="A499" s="54" t="n">
        <v>32540</v>
      </c>
      <c r="B499" s="55" t="n">
        <v>54.1</v>
      </c>
      <c r="C499" s="55">
        <f>Table9[[#This Row],[PMI]]-B498</f>
        <v/>
      </c>
    </row>
    <row r="500">
      <c r="A500" s="54" t="n">
        <v>32568</v>
      </c>
      <c r="B500" s="55" t="n">
        <v>51.5</v>
      </c>
      <c r="C500" s="55">
        <f>Table9[[#This Row],[PMI]]-B499</f>
        <v/>
      </c>
    </row>
    <row r="501">
      <c r="A501" s="54" t="n">
        <v>32599</v>
      </c>
      <c r="B501" s="55" t="n">
        <v>52.2</v>
      </c>
      <c r="C501" s="55">
        <f>Table9[[#This Row],[PMI]]-B500</f>
        <v/>
      </c>
    </row>
    <row r="502">
      <c r="A502" s="54" t="n">
        <v>32629</v>
      </c>
      <c r="B502" s="55" t="n">
        <v>49.3</v>
      </c>
      <c r="C502" s="55">
        <f>Table9[[#This Row],[PMI]]-B501</f>
        <v/>
      </c>
    </row>
    <row r="503">
      <c r="A503" s="54" t="n">
        <v>32660</v>
      </c>
      <c r="B503" s="55" t="n">
        <v>47.3</v>
      </c>
      <c r="C503" s="55">
        <f>Table9[[#This Row],[PMI]]-B502</f>
        <v/>
      </c>
    </row>
    <row r="504">
      <c r="A504" s="54" t="n">
        <v>32690</v>
      </c>
      <c r="B504" s="55" t="n">
        <v>45.9</v>
      </c>
      <c r="C504" s="55">
        <f>Table9[[#This Row],[PMI]]-B503</f>
        <v/>
      </c>
    </row>
    <row r="505">
      <c r="A505" s="54" t="n">
        <v>32721</v>
      </c>
      <c r="B505" s="55" t="n">
        <v>45.1</v>
      </c>
      <c r="C505" s="55">
        <f>Table9[[#This Row],[PMI]]-B504</f>
        <v/>
      </c>
    </row>
    <row r="506">
      <c r="A506" s="54" t="n">
        <v>32752</v>
      </c>
      <c r="B506" s="55" t="n">
        <v>46</v>
      </c>
      <c r="C506" s="55">
        <f>Table9[[#This Row],[PMI]]-B505</f>
        <v/>
      </c>
    </row>
    <row r="507">
      <c r="A507" s="54" t="n">
        <v>32782</v>
      </c>
      <c r="B507" s="55" t="n">
        <v>46.8</v>
      </c>
      <c r="C507" s="55">
        <f>Table9[[#This Row],[PMI]]-B506</f>
        <v/>
      </c>
    </row>
    <row r="508">
      <c r="A508" s="54" t="n">
        <v>32813</v>
      </c>
      <c r="B508" s="55" t="n">
        <v>46.8</v>
      </c>
      <c r="C508" s="55">
        <f>Table9[[#This Row],[PMI]]-B507</f>
        <v/>
      </c>
    </row>
    <row r="509">
      <c r="A509" s="54" t="n">
        <v>32843</v>
      </c>
      <c r="B509" s="55" t="n">
        <v>47.4</v>
      </c>
      <c r="C509" s="55">
        <f>Table9[[#This Row],[PMI]]-B508</f>
        <v/>
      </c>
    </row>
    <row r="510">
      <c r="A510" s="54" t="n">
        <v>32874</v>
      </c>
      <c r="B510" s="55" t="n">
        <v>47.2</v>
      </c>
      <c r="C510" s="55">
        <f>Table9[[#This Row],[PMI]]-B509</f>
        <v/>
      </c>
    </row>
    <row r="511">
      <c r="A511" s="54" t="n">
        <v>32905</v>
      </c>
      <c r="B511" s="55" t="n">
        <v>49.1</v>
      </c>
      <c r="C511" s="55">
        <f>Table9[[#This Row],[PMI]]-B510</f>
        <v/>
      </c>
    </row>
    <row r="512">
      <c r="A512" s="54" t="n">
        <v>32933</v>
      </c>
      <c r="B512" s="55" t="n">
        <v>49.9</v>
      </c>
      <c r="C512" s="55">
        <f>Table9[[#This Row],[PMI]]-B511</f>
        <v/>
      </c>
    </row>
    <row r="513">
      <c r="A513" s="54" t="n">
        <v>32964</v>
      </c>
      <c r="B513" s="55" t="n">
        <v>50</v>
      </c>
      <c r="C513" s="55">
        <f>Table9[[#This Row],[PMI]]-B512</f>
        <v/>
      </c>
    </row>
    <row r="514">
      <c r="A514" s="54" t="n">
        <v>32994</v>
      </c>
      <c r="B514" s="55" t="n">
        <v>49.5</v>
      </c>
      <c r="C514" s="55">
        <f>Table9[[#This Row],[PMI]]-B513</f>
        <v/>
      </c>
    </row>
    <row r="515">
      <c r="A515" s="54" t="n">
        <v>33025</v>
      </c>
      <c r="B515" s="55" t="n">
        <v>49.2</v>
      </c>
      <c r="C515" s="55">
        <f>Table9[[#This Row],[PMI]]-B514</f>
        <v/>
      </c>
    </row>
    <row r="516">
      <c r="A516" s="54" t="n">
        <v>33055</v>
      </c>
      <c r="B516" s="55" t="n">
        <v>46.6</v>
      </c>
      <c r="C516" s="55">
        <f>Table9[[#This Row],[PMI]]-B515</f>
        <v/>
      </c>
    </row>
    <row r="517">
      <c r="A517" s="54" t="n">
        <v>33086</v>
      </c>
      <c r="B517" s="55" t="n">
        <v>46.1</v>
      </c>
      <c r="C517" s="55">
        <f>Table9[[#This Row],[PMI]]-B516</f>
        <v/>
      </c>
    </row>
    <row r="518">
      <c r="A518" s="54" t="n">
        <v>33117</v>
      </c>
      <c r="B518" s="55" t="n">
        <v>44.5</v>
      </c>
      <c r="C518" s="55">
        <f>Table9[[#This Row],[PMI]]-B517</f>
        <v/>
      </c>
    </row>
    <row r="519">
      <c r="A519" s="54" t="n">
        <v>33147</v>
      </c>
      <c r="B519" s="55" t="n">
        <v>43.2</v>
      </c>
      <c r="C519" s="55">
        <f>Table9[[#This Row],[PMI]]-B518</f>
        <v/>
      </c>
    </row>
    <row r="520">
      <c r="A520" s="54" t="n">
        <v>33178</v>
      </c>
      <c r="B520" s="55" t="n">
        <v>41.3</v>
      </c>
      <c r="C520" s="55">
        <f>Table9[[#This Row],[PMI]]-B519</f>
        <v/>
      </c>
    </row>
    <row r="521">
      <c r="A521" s="54" t="n">
        <v>33208</v>
      </c>
      <c r="B521" s="55" t="n">
        <v>40.8</v>
      </c>
      <c r="C521" s="55">
        <f>Table9[[#This Row],[PMI]]-B520</f>
        <v/>
      </c>
    </row>
    <row r="522">
      <c r="A522" s="54" t="n">
        <v>33239</v>
      </c>
      <c r="B522" s="55" t="n">
        <v>39.2</v>
      </c>
      <c r="C522" s="55">
        <f>Table9[[#This Row],[PMI]]-B521</f>
        <v/>
      </c>
    </row>
    <row r="523">
      <c r="A523" s="54" t="n">
        <v>33270</v>
      </c>
      <c r="B523" s="55" t="n">
        <v>39.4</v>
      </c>
      <c r="C523" s="55">
        <f>Table9[[#This Row],[PMI]]-B522</f>
        <v/>
      </c>
    </row>
    <row r="524">
      <c r="A524" s="54" t="n">
        <v>33298</v>
      </c>
      <c r="B524" s="55" t="n">
        <v>40.7</v>
      </c>
      <c r="C524" s="55">
        <f>Table9[[#This Row],[PMI]]-B523</f>
        <v/>
      </c>
    </row>
    <row r="525">
      <c r="A525" s="54" t="n">
        <v>33329</v>
      </c>
      <c r="B525" s="55" t="n">
        <v>42.8</v>
      </c>
      <c r="C525" s="55">
        <f>Table9[[#This Row],[PMI]]-B524</f>
        <v/>
      </c>
    </row>
    <row r="526">
      <c r="A526" s="54" t="n">
        <v>33359</v>
      </c>
      <c r="B526" s="55" t="n">
        <v>44.5</v>
      </c>
      <c r="C526" s="55">
        <f>Table9[[#This Row],[PMI]]-B525</f>
        <v/>
      </c>
    </row>
    <row r="527">
      <c r="A527" s="54" t="n">
        <v>33390</v>
      </c>
      <c r="B527" s="55" t="n">
        <v>50.3</v>
      </c>
      <c r="C527" s="55">
        <f>Table9[[#This Row],[PMI]]-B526</f>
        <v/>
      </c>
    </row>
    <row r="528">
      <c r="A528" s="54" t="n">
        <v>33420</v>
      </c>
      <c r="B528" s="55" t="n">
        <v>50.6</v>
      </c>
      <c r="C528" s="55">
        <f>Table9[[#This Row],[PMI]]-B527</f>
        <v/>
      </c>
    </row>
    <row r="529">
      <c r="A529" s="54" t="n">
        <v>33451</v>
      </c>
      <c r="B529" s="55" t="n">
        <v>52.9</v>
      </c>
      <c r="C529" s="55">
        <f>Table9[[#This Row],[PMI]]-B528</f>
        <v/>
      </c>
    </row>
    <row r="530">
      <c r="A530" s="54" t="n">
        <v>33482</v>
      </c>
      <c r="B530" s="55" t="n">
        <v>54.9</v>
      </c>
      <c r="C530" s="55">
        <f>Table9[[#This Row],[PMI]]-B529</f>
        <v/>
      </c>
    </row>
    <row r="531">
      <c r="A531" s="54" t="n">
        <v>33512</v>
      </c>
      <c r="B531" s="55" t="n">
        <v>53.1</v>
      </c>
      <c r="C531" s="55">
        <f>Table9[[#This Row],[PMI]]-B530</f>
        <v/>
      </c>
    </row>
    <row r="532">
      <c r="A532" s="54" t="n">
        <v>33543</v>
      </c>
      <c r="B532" s="55" t="n">
        <v>49.5</v>
      </c>
      <c r="C532" s="55">
        <f>Table9[[#This Row],[PMI]]-B531</f>
        <v/>
      </c>
    </row>
    <row r="533">
      <c r="A533" s="54" t="n">
        <v>33573</v>
      </c>
      <c r="B533" s="55" t="n">
        <v>46.8</v>
      </c>
      <c r="C533" s="55">
        <f>Table9[[#This Row],[PMI]]-B532</f>
        <v/>
      </c>
    </row>
    <row r="534">
      <c r="A534" s="54" t="n">
        <v>33604</v>
      </c>
      <c r="B534" s="55" t="n">
        <v>47.3</v>
      </c>
      <c r="C534" s="55">
        <f>Table9[[#This Row],[PMI]]-B533</f>
        <v/>
      </c>
    </row>
    <row r="535">
      <c r="A535" s="54" t="n">
        <v>33635</v>
      </c>
      <c r="B535" s="55" t="n">
        <v>52.7</v>
      </c>
      <c r="C535" s="55">
        <f>Table9[[#This Row],[PMI]]-B534</f>
        <v/>
      </c>
    </row>
    <row r="536">
      <c r="A536" s="54" t="n">
        <v>33664</v>
      </c>
      <c r="B536" s="55" t="n">
        <v>54.6</v>
      </c>
      <c r="C536" s="55">
        <f>Table9[[#This Row],[PMI]]-B535</f>
        <v/>
      </c>
    </row>
    <row r="537">
      <c r="A537" s="54" t="n">
        <v>33695</v>
      </c>
      <c r="B537" s="55" t="n">
        <v>52.6</v>
      </c>
      <c r="C537" s="55">
        <f>Table9[[#This Row],[PMI]]-B536</f>
        <v/>
      </c>
    </row>
    <row r="538">
      <c r="A538" s="54" t="n">
        <v>33725</v>
      </c>
      <c r="B538" s="55" t="n">
        <v>55.7</v>
      </c>
      <c r="C538" s="55">
        <f>Table9[[#This Row],[PMI]]-B537</f>
        <v/>
      </c>
    </row>
    <row r="539">
      <c r="A539" s="54" t="n">
        <v>33756</v>
      </c>
      <c r="B539" s="55" t="n">
        <v>53.6</v>
      </c>
      <c r="C539" s="55">
        <f>Table9[[#This Row],[PMI]]-B538</f>
        <v/>
      </c>
    </row>
    <row r="540">
      <c r="A540" s="54" t="n">
        <v>33786</v>
      </c>
      <c r="B540" s="55" t="n">
        <v>53.9</v>
      </c>
      <c r="C540" s="55">
        <f>Table9[[#This Row],[PMI]]-B539</f>
        <v/>
      </c>
    </row>
    <row r="541">
      <c r="A541" s="54" t="n">
        <v>33817</v>
      </c>
      <c r="B541" s="55" t="n">
        <v>53.4</v>
      </c>
      <c r="C541" s="55">
        <f>Table9[[#This Row],[PMI]]-B540</f>
        <v/>
      </c>
    </row>
    <row r="542">
      <c r="A542" s="54" t="n">
        <v>33848</v>
      </c>
      <c r="B542" s="55" t="n">
        <v>49.7</v>
      </c>
      <c r="C542" s="55">
        <f>Table9[[#This Row],[PMI]]-B541</f>
        <v/>
      </c>
    </row>
    <row r="543">
      <c r="A543" s="54" t="n">
        <v>33878</v>
      </c>
      <c r="B543" s="55" t="n">
        <v>50.3</v>
      </c>
      <c r="C543" s="55">
        <f>Table9[[#This Row],[PMI]]-B542</f>
        <v/>
      </c>
    </row>
    <row r="544">
      <c r="A544" s="54" t="n">
        <v>33909</v>
      </c>
      <c r="B544" s="55" t="n">
        <v>53.6</v>
      </c>
      <c r="C544" s="55">
        <f>Table9[[#This Row],[PMI]]-B543</f>
        <v/>
      </c>
    </row>
    <row r="545">
      <c r="A545" s="54" t="n">
        <v>33939</v>
      </c>
      <c r="B545" s="55" t="n">
        <v>54.2</v>
      </c>
      <c r="C545" s="55">
        <f>Table9[[#This Row],[PMI]]-B544</f>
        <v/>
      </c>
    </row>
    <row r="546">
      <c r="A546" s="54" t="n">
        <v>33970</v>
      </c>
      <c r="B546" s="55" t="n">
        <v>55.8</v>
      </c>
      <c r="C546" s="55">
        <f>Table9[[#This Row],[PMI]]-B545</f>
        <v/>
      </c>
    </row>
    <row r="547">
      <c r="A547" s="54" t="n">
        <v>34001</v>
      </c>
      <c r="B547" s="55" t="n">
        <v>55.2</v>
      </c>
      <c r="C547" s="55">
        <f>Table9[[#This Row],[PMI]]-B546</f>
        <v/>
      </c>
    </row>
    <row r="548">
      <c r="A548" s="54" t="n">
        <v>34029</v>
      </c>
      <c r="B548" s="55" t="n">
        <v>53.5</v>
      </c>
      <c r="C548" s="55">
        <f>Table9[[#This Row],[PMI]]-B547</f>
        <v/>
      </c>
    </row>
    <row r="549">
      <c r="A549" s="54" t="n">
        <v>34060</v>
      </c>
      <c r="B549" s="55" t="n">
        <v>50.2</v>
      </c>
      <c r="C549" s="55">
        <f>Table9[[#This Row],[PMI]]-B548</f>
        <v/>
      </c>
    </row>
    <row r="550">
      <c r="A550" s="54" t="n">
        <v>34090</v>
      </c>
      <c r="B550" s="55" t="n">
        <v>51.2</v>
      </c>
      <c r="C550" s="55">
        <f>Table9[[#This Row],[PMI]]-B549</f>
        <v/>
      </c>
    </row>
    <row r="551">
      <c r="A551" s="54" t="n">
        <v>34121</v>
      </c>
      <c r="B551" s="55" t="n">
        <v>49.6</v>
      </c>
      <c r="C551" s="55">
        <f>Table9[[#This Row],[PMI]]-B550</f>
        <v/>
      </c>
    </row>
    <row r="552">
      <c r="A552" s="54" t="n">
        <v>34151</v>
      </c>
      <c r="B552" s="55" t="n">
        <v>50.2</v>
      </c>
      <c r="C552" s="55">
        <f>Table9[[#This Row],[PMI]]-B551</f>
        <v/>
      </c>
    </row>
    <row r="553">
      <c r="A553" s="54" t="n">
        <v>34182</v>
      </c>
      <c r="B553" s="55" t="n">
        <v>50.7</v>
      </c>
      <c r="C553" s="55">
        <f>Table9[[#This Row],[PMI]]-B552</f>
        <v/>
      </c>
    </row>
    <row r="554">
      <c r="A554" s="54" t="n">
        <v>34213</v>
      </c>
      <c r="B554" s="55" t="n">
        <v>50.8</v>
      </c>
      <c r="C554" s="55">
        <f>Table9[[#This Row],[PMI]]-B553</f>
        <v/>
      </c>
    </row>
    <row r="555">
      <c r="A555" s="54" t="n">
        <v>34243</v>
      </c>
      <c r="B555" s="55" t="n">
        <v>53.4</v>
      </c>
      <c r="C555" s="55">
        <f>Table9[[#This Row],[PMI]]-B554</f>
        <v/>
      </c>
    </row>
    <row r="556">
      <c r="A556" s="54" t="n">
        <v>34274</v>
      </c>
      <c r="B556" s="55" t="n">
        <v>53.8</v>
      </c>
      <c r="C556" s="55">
        <f>Table9[[#This Row],[PMI]]-B555</f>
        <v/>
      </c>
    </row>
    <row r="557">
      <c r="A557" s="54" t="n">
        <v>34304</v>
      </c>
      <c r="B557" s="55" t="n">
        <v>55.6</v>
      </c>
      <c r="C557" s="55">
        <f>Table9[[#This Row],[PMI]]-B556</f>
        <v/>
      </c>
    </row>
    <row r="558">
      <c r="A558" s="54" t="n">
        <v>34335</v>
      </c>
      <c r="B558" s="55" t="n">
        <v>56</v>
      </c>
      <c r="C558" s="55">
        <f>Table9[[#This Row],[PMI]]-B557</f>
        <v/>
      </c>
    </row>
    <row r="559">
      <c r="A559" s="54" t="n">
        <v>34366</v>
      </c>
      <c r="B559" s="55" t="n">
        <v>56.5</v>
      </c>
      <c r="C559" s="55">
        <f>Table9[[#This Row],[PMI]]-B558</f>
        <v/>
      </c>
    </row>
    <row r="560">
      <c r="A560" s="54" t="n">
        <v>34394</v>
      </c>
      <c r="B560" s="55" t="n">
        <v>56.9</v>
      </c>
      <c r="C560" s="55">
        <f>Table9[[#This Row],[PMI]]-B559</f>
        <v/>
      </c>
    </row>
    <row r="561">
      <c r="A561" s="54" t="n">
        <v>34425</v>
      </c>
      <c r="B561" s="55" t="n">
        <v>57.4</v>
      </c>
      <c r="C561" s="55">
        <f>Table9[[#This Row],[PMI]]-B560</f>
        <v/>
      </c>
    </row>
    <row r="562">
      <c r="A562" s="54" t="n">
        <v>34455</v>
      </c>
      <c r="B562" s="55" t="n">
        <v>58.2</v>
      </c>
      <c r="C562" s="55">
        <f>Table9[[#This Row],[PMI]]-B561</f>
        <v/>
      </c>
    </row>
    <row r="563">
      <c r="A563" s="54" t="n">
        <v>34486</v>
      </c>
      <c r="B563" s="55" t="n">
        <v>58.8</v>
      </c>
      <c r="C563" s="55">
        <f>Table9[[#This Row],[PMI]]-B562</f>
        <v/>
      </c>
    </row>
    <row r="564">
      <c r="A564" s="54" t="n">
        <v>34516</v>
      </c>
      <c r="B564" s="55" t="n">
        <v>58.5</v>
      </c>
      <c r="C564" s="55">
        <f>Table9[[#This Row],[PMI]]-B563</f>
        <v/>
      </c>
    </row>
    <row r="565">
      <c r="A565" s="54" t="n">
        <v>34547</v>
      </c>
      <c r="B565" s="55" t="n">
        <v>58</v>
      </c>
      <c r="C565" s="55">
        <f>Table9[[#This Row],[PMI]]-B564</f>
        <v/>
      </c>
    </row>
    <row r="566">
      <c r="A566" s="54" t="n">
        <v>34578</v>
      </c>
      <c r="B566" s="55" t="n">
        <v>59</v>
      </c>
      <c r="C566" s="55">
        <f>Table9[[#This Row],[PMI]]-B565</f>
        <v/>
      </c>
    </row>
    <row r="567">
      <c r="A567" s="54" t="n">
        <v>34608</v>
      </c>
      <c r="B567" s="55" t="n">
        <v>59.4</v>
      </c>
      <c r="C567" s="55">
        <f>Table9[[#This Row],[PMI]]-B566</f>
        <v/>
      </c>
    </row>
    <row r="568">
      <c r="A568" s="54" t="n">
        <v>34639</v>
      </c>
      <c r="B568" s="55" t="n">
        <v>59.2</v>
      </c>
      <c r="C568" s="55">
        <f>Table9[[#This Row],[PMI]]-B567</f>
        <v/>
      </c>
    </row>
    <row r="569">
      <c r="A569" s="54" t="n">
        <v>34669</v>
      </c>
      <c r="B569" s="55" t="n">
        <v>56.1</v>
      </c>
      <c r="C569" s="55">
        <f>Table9[[#This Row],[PMI]]-B568</f>
        <v/>
      </c>
    </row>
    <row r="570">
      <c r="A570" s="54" t="n">
        <v>34700</v>
      </c>
      <c r="B570" s="55" t="n">
        <v>57.4</v>
      </c>
      <c r="C570" s="55">
        <f>Table9[[#This Row],[PMI]]-B569</f>
        <v/>
      </c>
    </row>
    <row r="571">
      <c r="A571" s="54" t="n">
        <v>34731</v>
      </c>
      <c r="B571" s="55" t="n">
        <v>55.1</v>
      </c>
      <c r="C571" s="55">
        <f>Table9[[#This Row],[PMI]]-B570</f>
        <v/>
      </c>
    </row>
    <row r="572">
      <c r="A572" s="54" t="n">
        <v>34759</v>
      </c>
      <c r="B572" s="55" t="n">
        <v>52.1</v>
      </c>
      <c r="C572" s="55">
        <f>Table9[[#This Row],[PMI]]-B571</f>
        <v/>
      </c>
    </row>
    <row r="573">
      <c r="A573" s="54" t="n">
        <v>34790</v>
      </c>
      <c r="B573" s="55" t="n">
        <v>51.5</v>
      </c>
      <c r="C573" s="55">
        <f>Table9[[#This Row],[PMI]]-B572</f>
        <v/>
      </c>
    </row>
    <row r="574">
      <c r="A574" s="54" t="n">
        <v>34820</v>
      </c>
      <c r="B574" s="55" t="n">
        <v>46.7</v>
      </c>
      <c r="C574" s="55">
        <f>Table9[[#This Row],[PMI]]-B573</f>
        <v/>
      </c>
    </row>
    <row r="575">
      <c r="A575" s="54" t="n">
        <v>34851</v>
      </c>
      <c r="B575" s="55" t="n">
        <v>45.9</v>
      </c>
      <c r="C575" s="55">
        <f>Table9[[#This Row],[PMI]]-B574</f>
        <v/>
      </c>
    </row>
    <row r="576">
      <c r="A576" s="54" t="n">
        <v>34881</v>
      </c>
      <c r="B576" s="55" t="n">
        <v>50.7</v>
      </c>
      <c r="C576" s="55">
        <f>Table9[[#This Row],[PMI]]-B575</f>
        <v/>
      </c>
    </row>
    <row r="577">
      <c r="A577" s="54" t="n">
        <v>34912</v>
      </c>
      <c r="B577" s="55" t="n">
        <v>47.1</v>
      </c>
      <c r="C577" s="55">
        <f>Table9[[#This Row],[PMI]]-B576</f>
        <v/>
      </c>
    </row>
    <row r="578">
      <c r="A578" s="54" t="n">
        <v>34943</v>
      </c>
      <c r="B578" s="55" t="n">
        <v>48.1</v>
      </c>
      <c r="C578" s="55">
        <f>Table9[[#This Row],[PMI]]-B577</f>
        <v/>
      </c>
    </row>
    <row r="579">
      <c r="A579" s="54" t="n">
        <v>34973</v>
      </c>
      <c r="B579" s="55" t="n">
        <v>46.7</v>
      </c>
      <c r="C579" s="55">
        <f>Table9[[#This Row],[PMI]]-B578</f>
        <v/>
      </c>
    </row>
    <row r="580">
      <c r="A580" s="54" t="n">
        <v>35004</v>
      </c>
      <c r="B580" s="55" t="n">
        <v>45.9</v>
      </c>
      <c r="C580" s="55">
        <f>Table9[[#This Row],[PMI]]-B579</f>
        <v/>
      </c>
    </row>
    <row r="581">
      <c r="A581" s="54" t="n">
        <v>35034</v>
      </c>
      <c r="B581" s="55" t="n">
        <v>46.2</v>
      </c>
      <c r="C581" s="55">
        <f>Table9[[#This Row],[PMI]]-B580</f>
        <v/>
      </c>
    </row>
    <row r="582">
      <c r="A582" s="54" t="n">
        <v>35065</v>
      </c>
      <c r="B582" s="55" t="n">
        <v>45.5</v>
      </c>
      <c r="C582" s="55">
        <f>Table9[[#This Row],[PMI]]-B581</f>
        <v/>
      </c>
    </row>
    <row r="583">
      <c r="A583" s="54" t="n">
        <v>35096</v>
      </c>
      <c r="B583" s="55" t="n">
        <v>45.9</v>
      </c>
      <c r="C583" s="55">
        <f>Table9[[#This Row],[PMI]]-B582</f>
        <v/>
      </c>
    </row>
    <row r="584">
      <c r="A584" s="54" t="n">
        <v>35125</v>
      </c>
      <c r="B584" s="55" t="n">
        <v>46.9</v>
      </c>
      <c r="C584" s="55">
        <f>Table9[[#This Row],[PMI]]-B583</f>
        <v/>
      </c>
    </row>
    <row r="585">
      <c r="A585" s="54" t="n">
        <v>35156</v>
      </c>
      <c r="B585" s="55" t="n">
        <v>49.3</v>
      </c>
      <c r="C585" s="55">
        <f>Table9[[#This Row],[PMI]]-B584</f>
        <v/>
      </c>
    </row>
    <row r="586">
      <c r="A586" s="54" t="n">
        <v>35186</v>
      </c>
      <c r="B586" s="55" t="n">
        <v>49.1</v>
      </c>
      <c r="C586" s="55">
        <f>Table9[[#This Row],[PMI]]-B585</f>
        <v/>
      </c>
    </row>
    <row r="587">
      <c r="A587" s="54" t="n">
        <v>35217</v>
      </c>
      <c r="B587" s="55" t="n">
        <v>53.6</v>
      </c>
      <c r="C587" s="55">
        <f>Table9[[#This Row],[PMI]]-B586</f>
        <v/>
      </c>
    </row>
    <row r="588">
      <c r="A588" s="54" t="n">
        <v>35247</v>
      </c>
      <c r="B588" s="55" t="n">
        <v>49.7</v>
      </c>
      <c r="C588" s="55">
        <f>Table9[[#This Row],[PMI]]-B587</f>
        <v/>
      </c>
    </row>
    <row r="589">
      <c r="A589" s="54" t="n">
        <v>35278</v>
      </c>
      <c r="B589" s="55" t="n">
        <v>51.6</v>
      </c>
      <c r="C589" s="55">
        <f>Table9[[#This Row],[PMI]]-B588</f>
        <v/>
      </c>
    </row>
    <row r="590">
      <c r="A590" s="54" t="n">
        <v>35309</v>
      </c>
      <c r="B590" s="55" t="n">
        <v>51.1</v>
      </c>
      <c r="C590" s="55">
        <f>Table9[[#This Row],[PMI]]-B589</f>
        <v/>
      </c>
    </row>
    <row r="591">
      <c r="A591" s="54" t="n">
        <v>35339</v>
      </c>
      <c r="B591" s="55" t="n">
        <v>50.5</v>
      </c>
      <c r="C591" s="55">
        <f>Table9[[#This Row],[PMI]]-B590</f>
        <v/>
      </c>
    </row>
    <row r="592">
      <c r="A592" s="54" t="n">
        <v>35370</v>
      </c>
      <c r="B592" s="55" t="n">
        <v>53</v>
      </c>
      <c r="C592" s="55">
        <f>Table9[[#This Row],[PMI]]-B591</f>
        <v/>
      </c>
    </row>
    <row r="593">
      <c r="A593" s="54" t="n">
        <v>35400</v>
      </c>
      <c r="B593" s="55" t="n">
        <v>55.2</v>
      </c>
      <c r="C593" s="55">
        <f>Table9[[#This Row],[PMI]]-B592</f>
        <v/>
      </c>
    </row>
    <row r="594">
      <c r="A594" s="54" t="n">
        <v>35431</v>
      </c>
      <c r="B594" s="55" t="n">
        <v>53.8</v>
      </c>
      <c r="C594" s="55">
        <f>Table9[[#This Row],[PMI]]-B593</f>
        <v/>
      </c>
    </row>
    <row r="595">
      <c r="A595" s="54" t="n">
        <v>35462</v>
      </c>
      <c r="B595" s="55" t="n">
        <v>53.1</v>
      </c>
      <c r="C595" s="55">
        <f>Table9[[#This Row],[PMI]]-B594</f>
        <v/>
      </c>
    </row>
    <row r="596">
      <c r="A596" s="54" t="n">
        <v>35490</v>
      </c>
      <c r="B596" s="55" t="n">
        <v>53.8</v>
      </c>
      <c r="C596" s="55">
        <f>Table9[[#This Row],[PMI]]-B595</f>
        <v/>
      </c>
    </row>
    <row r="597">
      <c r="A597" s="54" t="n">
        <v>35521</v>
      </c>
      <c r="B597" s="55" t="n">
        <v>53.7</v>
      </c>
      <c r="C597" s="55">
        <f>Table9[[#This Row],[PMI]]-B596</f>
        <v/>
      </c>
    </row>
    <row r="598">
      <c r="A598" s="54" t="n">
        <v>35551</v>
      </c>
      <c r="B598" s="55" t="n">
        <v>56.1</v>
      </c>
      <c r="C598" s="55">
        <f>Table9[[#This Row],[PMI]]-B597</f>
        <v/>
      </c>
    </row>
    <row r="599">
      <c r="A599" s="54" t="n">
        <v>35582</v>
      </c>
      <c r="B599" s="55" t="n">
        <v>54.9</v>
      </c>
      <c r="C599" s="55">
        <f>Table9[[#This Row],[PMI]]-B598</f>
        <v/>
      </c>
    </row>
    <row r="600">
      <c r="A600" s="54" t="n">
        <v>35612</v>
      </c>
      <c r="B600" s="55" t="n">
        <v>57.7</v>
      </c>
      <c r="C600" s="55">
        <f>Table9[[#This Row],[PMI]]-B599</f>
        <v/>
      </c>
    </row>
    <row r="601">
      <c r="A601" s="54" t="n">
        <v>35643</v>
      </c>
      <c r="B601" s="55" t="n">
        <v>56.3</v>
      </c>
      <c r="C601" s="55">
        <f>Table9[[#This Row],[PMI]]-B600</f>
        <v/>
      </c>
    </row>
    <row r="602">
      <c r="A602" s="54" t="n">
        <v>35674</v>
      </c>
      <c r="B602" s="55" t="n">
        <v>53.9</v>
      </c>
      <c r="C602" s="55">
        <f>Table9[[#This Row],[PMI]]-B601</f>
        <v/>
      </c>
    </row>
    <row r="603">
      <c r="A603" s="54" t="n">
        <v>35704</v>
      </c>
      <c r="B603" s="55" t="n">
        <v>56.4</v>
      </c>
      <c r="C603" s="55">
        <f>Table9[[#This Row],[PMI]]-B602</f>
        <v/>
      </c>
    </row>
    <row r="604">
      <c r="A604" s="54" t="n">
        <v>35735</v>
      </c>
      <c r="B604" s="55" t="n">
        <v>55.7</v>
      </c>
      <c r="C604" s="55">
        <f>Table9[[#This Row],[PMI]]-B603</f>
        <v/>
      </c>
    </row>
    <row r="605">
      <c r="A605" s="54" t="n">
        <v>35765</v>
      </c>
      <c r="B605" s="55" t="n">
        <v>54.5</v>
      </c>
      <c r="C605" s="55">
        <f>Table9[[#This Row],[PMI]]-B604</f>
        <v/>
      </c>
    </row>
    <row r="606">
      <c r="A606" s="54" t="n">
        <v>35796</v>
      </c>
      <c r="B606" s="55" t="n">
        <v>53.8</v>
      </c>
      <c r="C606" s="55">
        <f>Table9[[#This Row],[PMI]]-B605</f>
        <v/>
      </c>
    </row>
    <row r="607">
      <c r="A607" s="54" t="n">
        <v>35827</v>
      </c>
      <c r="B607" s="55" t="n">
        <v>52.9</v>
      </c>
      <c r="C607" s="55">
        <f>Table9[[#This Row],[PMI]]-B606</f>
        <v/>
      </c>
    </row>
    <row r="608">
      <c r="A608" s="54" t="n">
        <v>35855</v>
      </c>
      <c r="B608" s="55" t="n">
        <v>52.9</v>
      </c>
      <c r="C608" s="55">
        <f>Table9[[#This Row],[PMI]]-B607</f>
        <v/>
      </c>
    </row>
    <row r="609">
      <c r="A609" s="54" t="n">
        <v>35886</v>
      </c>
      <c r="B609" s="55" t="n">
        <v>52.2</v>
      </c>
      <c r="C609" s="55">
        <f>Table9[[#This Row],[PMI]]-B608</f>
        <v/>
      </c>
    </row>
    <row r="610">
      <c r="A610" s="54" t="n">
        <v>35916</v>
      </c>
      <c r="B610" s="55" t="n">
        <v>50.9</v>
      </c>
      <c r="C610" s="55">
        <f>Table9[[#This Row],[PMI]]-B609</f>
        <v/>
      </c>
    </row>
    <row r="611">
      <c r="A611" s="54" t="n">
        <v>35947</v>
      </c>
      <c r="B611" s="55" t="n">
        <v>48.9</v>
      </c>
      <c r="C611" s="55">
        <f>Table9[[#This Row],[PMI]]-B610</f>
        <v/>
      </c>
    </row>
    <row r="612">
      <c r="A612" s="54" t="n">
        <v>35977</v>
      </c>
      <c r="B612" s="55" t="n">
        <v>49.2</v>
      </c>
      <c r="C612" s="55">
        <f>Table9[[#This Row],[PMI]]-B611</f>
        <v/>
      </c>
    </row>
    <row r="613">
      <c r="A613" s="54" t="n">
        <v>36008</v>
      </c>
      <c r="B613" s="55" t="n">
        <v>49.3</v>
      </c>
      <c r="C613" s="55">
        <f>Table9[[#This Row],[PMI]]-B612</f>
        <v/>
      </c>
    </row>
    <row r="614">
      <c r="A614" s="54" t="n">
        <v>36039</v>
      </c>
      <c r="B614" s="55" t="n">
        <v>48.7</v>
      </c>
      <c r="C614" s="55">
        <f>Table9[[#This Row],[PMI]]-B613</f>
        <v/>
      </c>
    </row>
    <row r="615">
      <c r="A615" s="54" t="n">
        <v>36069</v>
      </c>
      <c r="B615" s="55" t="n">
        <v>48.7</v>
      </c>
      <c r="C615" s="55">
        <f>Table9[[#This Row],[PMI]]-B614</f>
        <v/>
      </c>
    </row>
    <row r="616">
      <c r="A616" s="54" t="n">
        <v>36100</v>
      </c>
      <c r="B616" s="55" t="n">
        <v>48.2</v>
      </c>
      <c r="C616" s="55">
        <f>Table9[[#This Row],[PMI]]-B615</f>
        <v/>
      </c>
    </row>
    <row r="617">
      <c r="A617" s="54" t="n">
        <v>36130</v>
      </c>
      <c r="B617" s="55" t="n">
        <v>46.8</v>
      </c>
      <c r="C617" s="55">
        <f>Table9[[#This Row],[PMI]]-B616</f>
        <v/>
      </c>
    </row>
    <row r="618">
      <c r="A618" s="54" t="n">
        <v>36161</v>
      </c>
      <c r="B618" s="55" t="n">
        <v>50.6</v>
      </c>
      <c r="C618" s="55">
        <f>Table9[[#This Row],[PMI]]-B617</f>
        <v/>
      </c>
    </row>
    <row r="619">
      <c r="A619" s="54" t="n">
        <v>36192</v>
      </c>
      <c r="B619" s="55" t="n">
        <v>51.7</v>
      </c>
      <c r="C619" s="55">
        <f>Table9[[#This Row],[PMI]]-B618</f>
        <v/>
      </c>
    </row>
    <row r="620">
      <c r="A620" s="54" t="n">
        <v>36220</v>
      </c>
      <c r="B620" s="55" t="n">
        <v>52.4</v>
      </c>
      <c r="C620" s="55">
        <f>Table9[[#This Row],[PMI]]-B619</f>
        <v/>
      </c>
    </row>
    <row r="621">
      <c r="A621" s="54" t="n">
        <v>36251</v>
      </c>
      <c r="B621" s="55" t="n">
        <v>52.3</v>
      </c>
      <c r="C621" s="55">
        <f>Table9[[#This Row],[PMI]]-B620</f>
        <v/>
      </c>
    </row>
    <row r="622">
      <c r="A622" s="54" t="n">
        <v>36281</v>
      </c>
      <c r="B622" s="55" t="n">
        <v>54.3</v>
      </c>
      <c r="C622" s="55">
        <f>Table9[[#This Row],[PMI]]-B621</f>
        <v/>
      </c>
    </row>
    <row r="623">
      <c r="A623" s="54" t="n">
        <v>36312</v>
      </c>
      <c r="B623" s="55" t="n">
        <v>55.8</v>
      </c>
      <c r="C623" s="55">
        <f>Table9[[#This Row],[PMI]]-B622</f>
        <v/>
      </c>
    </row>
    <row r="624">
      <c r="A624" s="54" t="n">
        <v>36342</v>
      </c>
      <c r="B624" s="55" t="n">
        <v>53.6</v>
      </c>
      <c r="C624" s="55">
        <f>Table9[[#This Row],[PMI]]-B623</f>
        <v/>
      </c>
    </row>
    <row r="625">
      <c r="A625" s="54" t="n">
        <v>36373</v>
      </c>
      <c r="B625" s="55" t="n">
        <v>54.8</v>
      </c>
      <c r="C625" s="55">
        <f>Table9[[#This Row],[PMI]]-B624</f>
        <v/>
      </c>
    </row>
    <row r="626">
      <c r="A626" s="54" t="n">
        <v>36404</v>
      </c>
      <c r="B626" s="55" t="n">
        <v>57</v>
      </c>
      <c r="C626" s="55">
        <f>Table9[[#This Row],[PMI]]-B625</f>
        <v/>
      </c>
    </row>
    <row r="627">
      <c r="A627" s="54" t="n">
        <v>36434</v>
      </c>
      <c r="B627" s="55" t="n">
        <v>57.2</v>
      </c>
      <c r="C627" s="55">
        <f>Table9[[#This Row],[PMI]]-B626</f>
        <v/>
      </c>
    </row>
    <row r="628">
      <c r="A628" s="54" t="n">
        <v>36465</v>
      </c>
      <c r="B628" s="55" t="n">
        <v>58.1</v>
      </c>
      <c r="C628" s="55">
        <f>Table9[[#This Row],[PMI]]-B627</f>
        <v/>
      </c>
    </row>
    <row r="629">
      <c r="A629" s="54" t="n">
        <v>36495</v>
      </c>
      <c r="B629" s="55" t="n">
        <v>57.8</v>
      </c>
      <c r="C629" s="55">
        <f>Table9[[#This Row],[PMI]]-B628</f>
        <v/>
      </c>
    </row>
    <row r="630">
      <c r="A630" s="54" t="n">
        <v>36526</v>
      </c>
      <c r="B630" s="55" t="n">
        <v>56.7</v>
      </c>
      <c r="C630" s="55">
        <f>Table9[[#This Row],[PMI]]-B629</f>
        <v/>
      </c>
    </row>
    <row r="631">
      <c r="A631" s="54" t="n">
        <v>36557</v>
      </c>
      <c r="B631" s="55" t="n">
        <v>55.8</v>
      </c>
      <c r="C631" s="55">
        <f>Table9[[#This Row],[PMI]]-B630</f>
        <v/>
      </c>
    </row>
    <row r="632">
      <c r="A632" s="54" t="n">
        <v>36586</v>
      </c>
      <c r="B632" s="55" t="n">
        <v>54.9</v>
      </c>
      <c r="C632" s="55">
        <f>Table9[[#This Row],[PMI]]-B631</f>
        <v/>
      </c>
    </row>
    <row r="633">
      <c r="A633" s="54" t="n">
        <v>36617</v>
      </c>
      <c r="B633" s="55" t="n">
        <v>54.7</v>
      </c>
      <c r="C633" s="55">
        <f>Table9[[#This Row],[PMI]]-B632</f>
        <v/>
      </c>
    </row>
    <row r="634">
      <c r="A634" s="54" t="n">
        <v>36647</v>
      </c>
      <c r="B634" s="55" t="n">
        <v>53.2</v>
      </c>
      <c r="C634" s="55">
        <f>Table9[[#This Row],[PMI]]-B633</f>
        <v/>
      </c>
    </row>
    <row r="635">
      <c r="A635" s="54" t="n">
        <v>36678</v>
      </c>
      <c r="B635" s="55" t="n">
        <v>51.4</v>
      </c>
      <c r="C635" s="55">
        <f>Table9[[#This Row],[PMI]]-B634</f>
        <v/>
      </c>
    </row>
    <row r="636">
      <c r="A636" s="54" t="n">
        <v>36708</v>
      </c>
      <c r="B636" s="55" t="n">
        <v>52.5</v>
      </c>
      <c r="C636" s="55">
        <f>Table9[[#This Row],[PMI]]-B635</f>
        <v/>
      </c>
    </row>
    <row r="637">
      <c r="A637" s="54" t="n">
        <v>36739</v>
      </c>
      <c r="B637" s="55" t="n">
        <v>49.9</v>
      </c>
      <c r="C637" s="55">
        <f>Table9[[#This Row],[PMI]]-B636</f>
        <v/>
      </c>
    </row>
    <row r="638">
      <c r="A638" s="54" t="n">
        <v>36770</v>
      </c>
      <c r="B638" s="55" t="n">
        <v>49.7</v>
      </c>
      <c r="C638" s="55">
        <f>Table9[[#This Row],[PMI]]-B637</f>
        <v/>
      </c>
    </row>
    <row r="639">
      <c r="A639" s="54" t="n">
        <v>36800</v>
      </c>
      <c r="B639" s="55" t="n">
        <v>48.7</v>
      </c>
      <c r="C639" s="55">
        <f>Table9[[#This Row],[PMI]]-B638</f>
        <v/>
      </c>
    </row>
    <row r="640">
      <c r="A640" s="54" t="n">
        <v>36831</v>
      </c>
      <c r="B640" s="55" t="n">
        <v>48.5</v>
      </c>
      <c r="C640" s="55">
        <f>Table9[[#This Row],[PMI]]-B639</f>
        <v/>
      </c>
    </row>
    <row r="641">
      <c r="A641" s="54" t="n">
        <v>36861</v>
      </c>
      <c r="B641" s="55" t="n">
        <v>43.9</v>
      </c>
      <c r="C641" s="55">
        <f>Table9[[#This Row],[PMI]]-B640</f>
        <v/>
      </c>
    </row>
    <row r="642">
      <c r="A642" s="54" t="n">
        <v>36892</v>
      </c>
      <c r="B642" s="55" t="n">
        <v>42.3</v>
      </c>
      <c r="C642" s="55">
        <f>Table9[[#This Row],[PMI]]-B641</f>
        <v/>
      </c>
    </row>
    <row r="643">
      <c r="A643" s="54" t="n">
        <v>36923</v>
      </c>
      <c r="B643" s="55" t="n">
        <v>42.1</v>
      </c>
      <c r="C643" s="55">
        <f>Table9[[#This Row],[PMI]]-B642</f>
        <v/>
      </c>
    </row>
    <row r="644">
      <c r="A644" s="54" t="n">
        <v>36951</v>
      </c>
      <c r="B644" s="55" t="n">
        <v>43.1</v>
      </c>
      <c r="C644" s="55">
        <f>Table9[[#This Row],[PMI]]-B643</f>
        <v/>
      </c>
    </row>
    <row r="645">
      <c r="A645" s="54" t="n">
        <v>36982</v>
      </c>
      <c r="B645" s="55" t="n">
        <v>42.7</v>
      </c>
      <c r="C645" s="55">
        <f>Table9[[#This Row],[PMI]]-B644</f>
        <v/>
      </c>
    </row>
    <row r="646">
      <c r="A646" s="54" t="n">
        <v>37012</v>
      </c>
      <c r="B646" s="55" t="n">
        <v>41.3</v>
      </c>
      <c r="C646" s="55">
        <f>Table9[[#This Row],[PMI]]-B645</f>
        <v/>
      </c>
    </row>
    <row r="647">
      <c r="A647" s="54" t="n">
        <v>37043</v>
      </c>
      <c r="B647" s="55" t="n">
        <v>43.2</v>
      </c>
      <c r="C647" s="55">
        <f>Table9[[#This Row],[PMI]]-B646</f>
        <v/>
      </c>
    </row>
    <row r="648">
      <c r="A648" s="54" t="n">
        <v>37073</v>
      </c>
      <c r="B648" s="55" t="n">
        <v>43.5</v>
      </c>
      <c r="C648" s="55">
        <f>Table9[[#This Row],[PMI]]-B647</f>
        <v/>
      </c>
    </row>
    <row r="649">
      <c r="A649" s="54" t="n">
        <v>37104</v>
      </c>
      <c r="B649" s="55" t="n">
        <v>46.3</v>
      </c>
      <c r="C649" s="55">
        <f>Table9[[#This Row],[PMI]]-B648</f>
        <v/>
      </c>
    </row>
    <row r="650">
      <c r="A650" s="54" t="n">
        <v>37135</v>
      </c>
      <c r="B650" s="55" t="n">
        <v>46.2</v>
      </c>
      <c r="C650" s="55">
        <f>Table9[[#This Row],[PMI]]-B649</f>
        <v/>
      </c>
    </row>
    <row r="651">
      <c r="A651" s="54" t="n">
        <v>37165</v>
      </c>
      <c r="B651" s="55" t="n">
        <v>40.8</v>
      </c>
      <c r="C651" s="55">
        <f>Table9[[#This Row],[PMI]]-B650</f>
        <v/>
      </c>
    </row>
    <row r="652">
      <c r="A652" s="54" t="n">
        <v>37196</v>
      </c>
      <c r="B652" s="55" t="n">
        <v>44.1</v>
      </c>
      <c r="C652" s="55">
        <f>Table9[[#This Row],[PMI]]-B651</f>
        <v/>
      </c>
    </row>
    <row r="653">
      <c r="A653" s="54" t="n">
        <v>37226</v>
      </c>
      <c r="B653" s="55" t="n">
        <v>45.3</v>
      </c>
      <c r="C653" s="55">
        <f>Table9[[#This Row],[PMI]]-B652</f>
        <v/>
      </c>
    </row>
    <row r="654">
      <c r="A654" s="54" t="n">
        <v>37257</v>
      </c>
      <c r="B654" s="55" t="n">
        <v>47.5</v>
      </c>
      <c r="C654" s="55">
        <f>Table9[[#This Row],[PMI]]-B653</f>
        <v/>
      </c>
    </row>
    <row r="655">
      <c r="A655" s="54" t="n">
        <v>37288</v>
      </c>
      <c r="B655" s="55" t="n">
        <v>50.7</v>
      </c>
      <c r="C655" s="55">
        <f>Table9[[#This Row],[PMI]]-B654</f>
        <v/>
      </c>
    </row>
    <row r="656">
      <c r="A656" s="54" t="n">
        <v>37316</v>
      </c>
      <c r="B656" s="55" t="n">
        <v>52.4</v>
      </c>
      <c r="C656" s="55">
        <f>Table9[[#This Row],[PMI]]-B655</f>
        <v/>
      </c>
    </row>
    <row r="657">
      <c r="A657" s="54" t="n">
        <v>37347</v>
      </c>
      <c r="B657" s="55" t="n">
        <v>52.4</v>
      </c>
      <c r="C657" s="55">
        <f>Table9[[#This Row],[PMI]]-B656</f>
        <v/>
      </c>
    </row>
    <row r="658">
      <c r="A658" s="54" t="n">
        <v>37377</v>
      </c>
      <c r="B658" s="55" t="n">
        <v>53.1</v>
      </c>
      <c r="C658" s="55">
        <f>Table9[[#This Row],[PMI]]-B657</f>
        <v/>
      </c>
    </row>
    <row r="659">
      <c r="A659" s="54" t="n">
        <v>37408</v>
      </c>
      <c r="B659" s="55" t="n">
        <v>53.6</v>
      </c>
      <c r="C659" s="55">
        <f>Table9[[#This Row],[PMI]]-B658</f>
        <v/>
      </c>
    </row>
    <row r="660">
      <c r="A660" s="54" t="n">
        <v>37438</v>
      </c>
      <c r="B660" s="55" t="n">
        <v>50.2</v>
      </c>
      <c r="C660" s="55">
        <f>Table9[[#This Row],[PMI]]-B659</f>
        <v/>
      </c>
    </row>
    <row r="661">
      <c r="A661" s="54" t="n">
        <v>37469</v>
      </c>
      <c r="B661" s="55" t="n">
        <v>50.3</v>
      </c>
      <c r="C661" s="55">
        <f>Table9[[#This Row],[PMI]]-B660</f>
        <v/>
      </c>
    </row>
    <row r="662">
      <c r="A662" s="54" t="n">
        <v>37500</v>
      </c>
      <c r="B662" s="55" t="n">
        <v>50.5</v>
      </c>
      <c r="C662" s="55">
        <f>Table9[[#This Row],[PMI]]-B661</f>
        <v/>
      </c>
    </row>
    <row r="663">
      <c r="A663" s="54" t="n">
        <v>37530</v>
      </c>
      <c r="B663" s="55" t="n">
        <v>49</v>
      </c>
      <c r="C663" s="55">
        <f>Table9[[#This Row],[PMI]]-B662</f>
        <v/>
      </c>
    </row>
    <row r="664">
      <c r="A664" s="54" t="n">
        <v>37561</v>
      </c>
      <c r="B664" s="55" t="n">
        <v>48.5</v>
      </c>
      <c r="C664" s="55">
        <f>Table9[[#This Row],[PMI]]-B663</f>
        <v/>
      </c>
    </row>
    <row r="665">
      <c r="A665" s="54" t="n">
        <v>37591</v>
      </c>
      <c r="B665" s="55" t="n">
        <v>51.6</v>
      </c>
      <c r="C665" s="55">
        <f>Table9[[#This Row],[PMI]]-B664</f>
        <v/>
      </c>
    </row>
    <row r="666">
      <c r="A666" s="54" t="n">
        <v>37622</v>
      </c>
      <c r="B666" s="55" t="n">
        <v>51.3</v>
      </c>
      <c r="C666" s="55">
        <f>Table9[[#This Row],[PMI]]-B665</f>
        <v/>
      </c>
    </row>
    <row r="667">
      <c r="A667" s="54" t="n">
        <v>37653</v>
      </c>
      <c r="B667" s="55" t="n">
        <v>48.8</v>
      </c>
      <c r="C667" s="55">
        <f>Table9[[#This Row],[PMI]]-B666</f>
        <v/>
      </c>
    </row>
    <row r="668">
      <c r="A668" s="54" t="n">
        <v>37681</v>
      </c>
      <c r="B668" s="55" t="n">
        <v>46.3</v>
      </c>
      <c r="C668" s="55">
        <f>Table9[[#This Row],[PMI]]-B667</f>
        <v/>
      </c>
    </row>
    <row r="669">
      <c r="A669" s="54" t="n">
        <v>37712</v>
      </c>
      <c r="B669" s="55" t="n">
        <v>46.1</v>
      </c>
      <c r="C669" s="55">
        <f>Table9[[#This Row],[PMI]]-B668</f>
        <v/>
      </c>
    </row>
    <row r="670">
      <c r="A670" s="54" t="n">
        <v>37742</v>
      </c>
      <c r="B670" s="55" t="n">
        <v>49</v>
      </c>
      <c r="C670" s="55">
        <f>Table9[[#This Row],[PMI]]-B669</f>
        <v/>
      </c>
    </row>
    <row r="671">
      <c r="A671" s="54" t="n">
        <v>37773</v>
      </c>
      <c r="B671" s="55" t="n">
        <v>49</v>
      </c>
      <c r="C671" s="55">
        <f>Table9[[#This Row],[PMI]]-B670</f>
        <v/>
      </c>
    </row>
    <row r="672">
      <c r="A672" s="54" t="n">
        <v>37803</v>
      </c>
      <c r="B672" s="55" t="n">
        <v>51</v>
      </c>
      <c r="C672" s="55">
        <f>Table9[[#This Row],[PMI]]-B671</f>
        <v/>
      </c>
    </row>
    <row r="673">
      <c r="A673" s="54" t="n">
        <v>37834</v>
      </c>
      <c r="B673" s="55" t="n">
        <v>53.2</v>
      </c>
      <c r="C673" s="55">
        <f>Table9[[#This Row],[PMI]]-B672</f>
        <v/>
      </c>
    </row>
    <row r="674">
      <c r="A674" s="54" t="n">
        <v>37865</v>
      </c>
      <c r="B674" s="55" t="n">
        <v>52.4</v>
      </c>
      <c r="C674" s="55">
        <f>Table9[[#This Row],[PMI]]-B673</f>
        <v/>
      </c>
    </row>
    <row r="675">
      <c r="A675" s="54" t="n">
        <v>37895</v>
      </c>
      <c r="B675" s="55" t="n">
        <v>55.2</v>
      </c>
      <c r="C675" s="55">
        <f>Table9[[#This Row],[PMI]]-B674</f>
        <v/>
      </c>
    </row>
    <row r="676">
      <c r="A676" s="54" t="n">
        <v>37926</v>
      </c>
      <c r="B676" s="55" t="n">
        <v>58.4</v>
      </c>
      <c r="C676" s="55">
        <f>Table9[[#This Row],[PMI]]-B675</f>
        <v/>
      </c>
    </row>
    <row r="677">
      <c r="A677" s="54" t="n">
        <v>37956</v>
      </c>
      <c r="B677" s="55" t="n">
        <v>60.1</v>
      </c>
      <c r="C677" s="55">
        <f>Table9[[#This Row],[PMI]]-B676</f>
        <v/>
      </c>
    </row>
    <row r="678">
      <c r="A678" s="54" t="n">
        <v>37987</v>
      </c>
      <c r="B678" s="55" t="n">
        <v>60.8</v>
      </c>
      <c r="C678" s="55">
        <f>Table9[[#This Row],[PMI]]-B677</f>
        <v/>
      </c>
    </row>
    <row r="679">
      <c r="A679" s="54" t="n">
        <v>38018</v>
      </c>
      <c r="B679" s="55" t="n">
        <v>59.9</v>
      </c>
      <c r="C679" s="55">
        <f>Table9[[#This Row],[PMI]]-B678</f>
        <v/>
      </c>
    </row>
    <row r="680">
      <c r="A680" s="54" t="n">
        <v>38047</v>
      </c>
      <c r="B680" s="55" t="n">
        <v>60.6</v>
      </c>
      <c r="C680" s="55">
        <f>Table9[[#This Row],[PMI]]-B679</f>
        <v/>
      </c>
    </row>
    <row r="681">
      <c r="A681" s="54" t="n">
        <v>38078</v>
      </c>
      <c r="B681" s="55" t="n">
        <v>60.6</v>
      </c>
      <c r="C681" s="55">
        <f>Table9[[#This Row],[PMI]]-B680</f>
        <v/>
      </c>
    </row>
    <row r="682">
      <c r="A682" s="54" t="n">
        <v>38108</v>
      </c>
      <c r="B682" s="55" t="n">
        <v>61.4</v>
      </c>
      <c r="C682" s="55">
        <f>Table9[[#This Row],[PMI]]-B681</f>
        <v/>
      </c>
    </row>
    <row r="683">
      <c r="A683" s="54" t="n">
        <v>38139</v>
      </c>
      <c r="B683" s="55" t="n">
        <v>60.5</v>
      </c>
      <c r="C683" s="55">
        <f>Table9[[#This Row],[PMI]]-B682</f>
        <v/>
      </c>
    </row>
    <row r="684">
      <c r="A684" s="54" t="n">
        <v>38169</v>
      </c>
      <c r="B684" s="55" t="n">
        <v>59.9</v>
      </c>
      <c r="C684" s="55">
        <f>Table9[[#This Row],[PMI]]-B683</f>
        <v/>
      </c>
    </row>
    <row r="685">
      <c r="A685" s="54" t="n">
        <v>38200</v>
      </c>
      <c r="B685" s="55" t="n">
        <v>58.5</v>
      </c>
      <c r="C685" s="55">
        <f>Table9[[#This Row],[PMI]]-B684</f>
        <v/>
      </c>
    </row>
    <row r="686">
      <c r="A686" s="54" t="n">
        <v>38231</v>
      </c>
      <c r="B686" s="55" t="n">
        <v>57.4</v>
      </c>
      <c r="C686" s="55">
        <f>Table9[[#This Row],[PMI]]-B685</f>
        <v/>
      </c>
    </row>
    <row r="687">
      <c r="A687" s="54" t="n">
        <v>38261</v>
      </c>
      <c r="B687" s="55" t="n">
        <v>56.3</v>
      </c>
      <c r="C687" s="55">
        <f>Table9[[#This Row],[PMI]]-B686</f>
        <v/>
      </c>
    </row>
    <row r="688">
      <c r="A688" s="54" t="n">
        <v>38292</v>
      </c>
      <c r="B688" s="55" t="n">
        <v>56.2</v>
      </c>
      <c r="C688" s="55">
        <f>Table9[[#This Row],[PMI]]-B687</f>
        <v/>
      </c>
    </row>
    <row r="689">
      <c r="A689" s="54" t="n">
        <v>38322</v>
      </c>
      <c r="B689" s="55" t="n">
        <v>57.2</v>
      </c>
      <c r="C689" s="55">
        <f>Table9[[#This Row],[PMI]]-B688</f>
        <v/>
      </c>
      <c r="G689" s="4" t="n"/>
    </row>
    <row r="690">
      <c r="A690" s="54" t="n">
        <v>38353</v>
      </c>
      <c r="B690" s="55" t="n">
        <v>56.8</v>
      </c>
      <c r="C690" s="55">
        <f>Table9[[#This Row],[PMI]]-B689</f>
        <v/>
      </c>
      <c r="G690" s="4" t="n"/>
    </row>
    <row r="691">
      <c r="A691" s="54" t="n">
        <v>38384</v>
      </c>
      <c r="B691" s="55" t="n">
        <v>55.5</v>
      </c>
      <c r="C691" s="55">
        <f>Table9[[#This Row],[PMI]]-B690</f>
        <v/>
      </c>
      <c r="G691" s="4" t="n"/>
    </row>
    <row r="692">
      <c r="A692" s="54" t="n">
        <v>38412</v>
      </c>
      <c r="B692" s="55" t="n">
        <v>55.2</v>
      </c>
      <c r="C692" s="55">
        <f>Table9[[#This Row],[PMI]]-B691</f>
        <v/>
      </c>
      <c r="G692" s="4" t="n"/>
    </row>
    <row r="693">
      <c r="A693" s="54" t="n">
        <v>38443</v>
      </c>
      <c r="B693" s="55" t="n">
        <v>52.2</v>
      </c>
      <c r="C693" s="55">
        <f>Table9[[#This Row],[PMI]]-B692</f>
        <v/>
      </c>
      <c r="G693" s="4" t="n"/>
    </row>
    <row r="694">
      <c r="A694" s="54" t="n">
        <v>38473</v>
      </c>
      <c r="B694" s="55" t="n">
        <v>50.8</v>
      </c>
      <c r="C694" s="55">
        <f>Table9[[#This Row],[PMI]]-B693</f>
        <v/>
      </c>
      <c r="G694" s="4" t="n"/>
    </row>
    <row r="695">
      <c r="A695" s="54" t="n">
        <v>38504</v>
      </c>
      <c r="B695" s="55" t="n">
        <v>52.4</v>
      </c>
      <c r="C695" s="55">
        <f>Table9[[#This Row],[PMI]]-B694</f>
        <v/>
      </c>
      <c r="G695" s="4" t="n"/>
    </row>
    <row r="696">
      <c r="A696" s="54" t="n">
        <v>38534</v>
      </c>
      <c r="B696" s="55" t="n">
        <v>52.8</v>
      </c>
      <c r="C696" s="55">
        <f>Table9[[#This Row],[PMI]]-B695</f>
        <v/>
      </c>
      <c r="G696" s="4" t="n"/>
    </row>
    <row r="697">
      <c r="A697" s="54" t="n">
        <v>38565</v>
      </c>
      <c r="B697" s="55" t="n">
        <v>52.4</v>
      </c>
      <c r="C697" s="55">
        <f>Table9[[#This Row],[PMI]]-B696</f>
        <v/>
      </c>
      <c r="G697" s="4" t="n"/>
    </row>
    <row r="698">
      <c r="A698" s="54" t="n">
        <v>38596</v>
      </c>
      <c r="B698" s="55" t="n">
        <v>56.8</v>
      </c>
      <c r="C698" s="55">
        <f>Table9[[#This Row],[PMI]]-B697</f>
        <v/>
      </c>
      <c r="G698" s="4" t="n"/>
    </row>
    <row r="699">
      <c r="A699" s="54" t="n">
        <v>38626</v>
      </c>
      <c r="B699" s="55" t="n">
        <v>57.2</v>
      </c>
      <c r="C699" s="55">
        <f>Table9[[#This Row],[PMI]]-B698</f>
        <v/>
      </c>
      <c r="G699" s="4" t="n"/>
    </row>
    <row r="700">
      <c r="A700" s="54" t="n">
        <v>38657</v>
      </c>
      <c r="B700" s="55" t="n">
        <v>56.7</v>
      </c>
      <c r="C700" s="55">
        <f>Table9[[#This Row],[PMI]]-B699</f>
        <v/>
      </c>
      <c r="G700" s="4" t="n"/>
    </row>
    <row r="701">
      <c r="A701" s="54" t="n">
        <v>38687</v>
      </c>
      <c r="B701" s="55" t="n">
        <v>55.1</v>
      </c>
      <c r="C701" s="55">
        <f>Table9[[#This Row],[PMI]]-B700</f>
        <v/>
      </c>
      <c r="G701" s="4" t="n"/>
    </row>
    <row r="702">
      <c r="A702" s="54" t="n">
        <v>38718</v>
      </c>
      <c r="B702" s="55" t="n">
        <v>55</v>
      </c>
      <c r="C702" s="55">
        <f>Table9[[#This Row],[PMI]]-B701</f>
        <v/>
      </c>
      <c r="G702" s="4" t="n"/>
    </row>
    <row r="703">
      <c r="A703" s="54" t="n">
        <v>38749</v>
      </c>
      <c r="B703" s="55" t="n">
        <v>55.8</v>
      </c>
      <c r="C703" s="55">
        <f>Table9[[#This Row],[PMI]]-B702</f>
        <v/>
      </c>
      <c r="G703" s="4" t="n"/>
    </row>
    <row r="704">
      <c r="A704" s="54" t="n">
        <v>38777</v>
      </c>
      <c r="B704" s="55" t="n">
        <v>54.3</v>
      </c>
      <c r="C704" s="55">
        <f>Table9[[#This Row],[PMI]]-B703</f>
        <v/>
      </c>
      <c r="G704" s="4" t="n"/>
    </row>
    <row r="705">
      <c r="A705" s="54" t="n">
        <v>38808</v>
      </c>
      <c r="B705" s="55" t="n">
        <v>55.2</v>
      </c>
      <c r="C705" s="55">
        <f>Table9[[#This Row],[PMI]]-B704</f>
        <v/>
      </c>
      <c r="G705" s="4" t="n"/>
    </row>
    <row r="706">
      <c r="A706" s="54" t="n">
        <v>38838</v>
      </c>
      <c r="B706" s="55" t="n">
        <v>53.7</v>
      </c>
      <c r="C706" s="55">
        <f>Table9[[#This Row],[PMI]]-B705</f>
        <v/>
      </c>
      <c r="G706" s="4" t="n"/>
    </row>
    <row r="707">
      <c r="A707" s="54" t="n">
        <v>38869</v>
      </c>
      <c r="B707" s="55" t="n">
        <v>52</v>
      </c>
      <c r="C707" s="55">
        <f>Table9[[#This Row],[PMI]]-B706</f>
        <v/>
      </c>
      <c r="G707" s="4" t="n"/>
    </row>
    <row r="708">
      <c r="A708" s="54" t="n">
        <v>38899</v>
      </c>
      <c r="B708" s="55" t="n">
        <v>53</v>
      </c>
      <c r="C708" s="55">
        <f>Table9[[#This Row],[PMI]]-B707</f>
        <v/>
      </c>
      <c r="G708" s="4" t="n"/>
    </row>
    <row r="709">
      <c r="A709" s="54" t="n">
        <v>38930</v>
      </c>
      <c r="B709" s="55" t="n">
        <v>53.7</v>
      </c>
      <c r="C709" s="55">
        <f>Table9[[#This Row],[PMI]]-B708</f>
        <v/>
      </c>
      <c r="G709" s="4" t="n"/>
    </row>
    <row r="710">
      <c r="A710" s="54" t="n">
        <v>38961</v>
      </c>
      <c r="B710" s="55" t="n">
        <v>52.2</v>
      </c>
      <c r="C710" s="55">
        <f>Table9[[#This Row],[PMI]]-B709</f>
        <v/>
      </c>
      <c r="G710" s="4" t="n"/>
    </row>
    <row r="711">
      <c r="A711" s="54" t="n">
        <v>38991</v>
      </c>
      <c r="B711" s="55" t="n">
        <v>51.4</v>
      </c>
      <c r="C711" s="55">
        <f>Table9[[#This Row],[PMI]]-B710</f>
        <v/>
      </c>
      <c r="G711" s="4" t="n"/>
    </row>
    <row r="712">
      <c r="A712" s="54" t="n">
        <v>39022</v>
      </c>
      <c r="B712" s="55" t="n">
        <v>50.3</v>
      </c>
      <c r="C712" s="55">
        <f>Table9[[#This Row],[PMI]]-B711</f>
        <v/>
      </c>
      <c r="G712" s="4" t="n"/>
    </row>
    <row r="713">
      <c r="A713" s="54" t="n">
        <v>39052</v>
      </c>
      <c r="B713" s="55" t="n">
        <v>51.4</v>
      </c>
      <c r="C713" s="55">
        <f>Table9[[#This Row],[PMI]]-B712</f>
        <v/>
      </c>
      <c r="G713" s="4" t="n"/>
    </row>
    <row r="714">
      <c r="A714" s="54" t="n">
        <v>39083</v>
      </c>
      <c r="B714" s="55" t="n">
        <v>50.4</v>
      </c>
      <c r="C714" s="55">
        <f>Table9[[#This Row],[PMI]]-B713</f>
        <v/>
      </c>
      <c r="G714" s="4" t="n"/>
    </row>
    <row r="715">
      <c r="A715" s="54" t="n">
        <v>39114</v>
      </c>
      <c r="B715" s="55" t="n">
        <v>54.1</v>
      </c>
      <c r="C715" s="55">
        <f>Table9[[#This Row],[PMI]]-B714</f>
        <v/>
      </c>
      <c r="G715" s="4" t="n"/>
    </row>
    <row r="716">
      <c r="A716" s="54" t="n">
        <v>39142</v>
      </c>
      <c r="B716" s="55" t="n">
        <v>52.8</v>
      </c>
      <c r="C716" s="55">
        <f>Table9[[#This Row],[PMI]]-B715</f>
        <v/>
      </c>
      <c r="G716" s="4" t="n"/>
    </row>
    <row r="717">
      <c r="A717" s="54" t="n">
        <v>39173</v>
      </c>
      <c r="B717" s="55" t="n">
        <v>52.7</v>
      </c>
      <c r="C717" s="55">
        <f>Table9[[#This Row],[PMI]]-B716</f>
        <v/>
      </c>
      <c r="G717" s="4" t="n"/>
    </row>
    <row r="718">
      <c r="A718" s="54" t="n">
        <v>39203</v>
      </c>
      <c r="B718" s="55" t="n">
        <v>53.1</v>
      </c>
      <c r="C718" s="55">
        <f>Table9[[#This Row],[PMI]]-B717</f>
        <v/>
      </c>
      <c r="G718" s="4" t="n"/>
    </row>
    <row r="719">
      <c r="A719" s="54" t="n">
        <v>39234</v>
      </c>
      <c r="B719" s="55" t="n">
        <v>54</v>
      </c>
      <c r="C719" s="55">
        <f>Table9[[#This Row],[PMI]]-B718</f>
        <v/>
      </c>
      <c r="G719" s="4" t="n"/>
    </row>
    <row r="720">
      <c r="A720" s="54" t="n">
        <v>39264</v>
      </c>
      <c r="B720" s="55" t="n">
        <v>51.8</v>
      </c>
      <c r="C720" s="55">
        <f>Table9[[#This Row],[PMI]]-B719</f>
        <v/>
      </c>
      <c r="G720" s="4" t="n"/>
    </row>
    <row r="721">
      <c r="A721" s="54" t="n">
        <v>39295</v>
      </c>
      <c r="B721" s="55" t="n">
        <v>52.2</v>
      </c>
      <c r="C721" s="55">
        <f>Table9[[#This Row],[PMI]]-B720</f>
        <v/>
      </c>
      <c r="G721" s="4" t="n"/>
    </row>
    <row r="722">
      <c r="A722" s="54" t="n">
        <v>39326</v>
      </c>
      <c r="B722" s="55" t="n">
        <v>53.8</v>
      </c>
      <c r="C722" s="55">
        <f>Table9[[#This Row],[PMI]]-B721</f>
        <v/>
      </c>
      <c r="G722" s="4" t="n"/>
    </row>
    <row r="723">
      <c r="A723" s="54" t="n">
        <v>39356</v>
      </c>
      <c r="B723" s="55" t="n">
        <v>52.8</v>
      </c>
      <c r="C723" s="55">
        <f>Table9[[#This Row],[PMI]]-B722</f>
        <v/>
      </c>
      <c r="G723" s="4" t="n"/>
    </row>
    <row r="724">
      <c r="A724" s="54" t="n">
        <v>39387</v>
      </c>
      <c r="B724" s="55" t="n">
        <v>51.5</v>
      </c>
      <c r="C724" s="55">
        <f>Table9[[#This Row],[PMI]]-B723</f>
        <v/>
      </c>
      <c r="G724" s="4" t="n"/>
    </row>
    <row r="725">
      <c r="A725" s="54" t="n">
        <v>39417</v>
      </c>
      <c r="B725" s="55" t="n">
        <v>50.1</v>
      </c>
      <c r="C725" s="55">
        <f>Table9[[#This Row],[PMI]]-B724</f>
        <v/>
      </c>
      <c r="G725" s="4" t="n"/>
    </row>
    <row r="726">
      <c r="A726" s="54" t="n">
        <v>39448</v>
      </c>
      <c r="B726" s="55" t="n">
        <v>50.9</v>
      </c>
      <c r="C726" s="55">
        <f>Table9[[#This Row],[PMI]]-B725</f>
        <v/>
      </c>
      <c r="G726" s="4" t="n"/>
    </row>
    <row r="727">
      <c r="A727" s="54" t="n">
        <v>39479</v>
      </c>
      <c r="B727" s="55" t="n">
        <v>48.8</v>
      </c>
      <c r="C727" s="55">
        <f>Table9[[#This Row],[PMI]]-B726</f>
        <v/>
      </c>
      <c r="G727" s="4" t="n"/>
    </row>
    <row r="728">
      <c r="A728" s="54" t="n">
        <v>39508</v>
      </c>
      <c r="B728" s="55" t="n">
        <v>49.7</v>
      </c>
      <c r="C728" s="55">
        <f>Table9[[#This Row],[PMI]]-B727</f>
        <v/>
      </c>
      <c r="G728" s="4" t="n"/>
    </row>
    <row r="729">
      <c r="A729" s="54" t="n">
        <v>39539</v>
      </c>
      <c r="B729" s="55" t="n">
        <v>48.5</v>
      </c>
      <c r="C729" s="55">
        <f>Table9[[#This Row],[PMI]]-B728</f>
        <v/>
      </c>
      <c r="G729" s="4" t="n"/>
    </row>
    <row r="730">
      <c r="A730" s="54" t="n">
        <v>39569</v>
      </c>
      <c r="B730" s="55" t="n">
        <v>48.9</v>
      </c>
      <c r="C730" s="55">
        <f>Table9[[#This Row],[PMI]]-B729</f>
        <v/>
      </c>
      <c r="G730" s="4" t="n"/>
    </row>
    <row r="731">
      <c r="A731" s="54" t="n">
        <v>39600</v>
      </c>
      <c r="B731" s="55" t="n">
        <v>49.9</v>
      </c>
      <c r="C731" s="55">
        <f>Table9[[#This Row],[PMI]]-B730</f>
        <v/>
      </c>
      <c r="G731" s="4" t="n"/>
    </row>
    <row r="732">
      <c r="A732" s="54" t="n">
        <v>39630</v>
      </c>
      <c r="B732" s="55" t="n">
        <v>50.8</v>
      </c>
      <c r="C732" s="55">
        <f>Table9[[#This Row],[PMI]]-B731</f>
        <v/>
      </c>
      <c r="G732" s="4" t="n"/>
    </row>
    <row r="733">
      <c r="A733" s="54" t="n">
        <v>39661</v>
      </c>
      <c r="B733" s="55" t="n">
        <v>50.1</v>
      </c>
      <c r="C733" s="55">
        <f>Table9[[#This Row],[PMI]]-B732</f>
        <v/>
      </c>
      <c r="G733" s="4" t="n"/>
    </row>
    <row r="734">
      <c r="A734" s="54" t="n">
        <v>39692</v>
      </c>
      <c r="B734" s="55" t="n">
        <v>47.2</v>
      </c>
      <c r="C734" s="55">
        <f>Table9[[#This Row],[PMI]]-B733</f>
        <v/>
      </c>
      <c r="G734" s="4" t="n"/>
    </row>
    <row r="735">
      <c r="A735" s="54" t="n">
        <v>39722</v>
      </c>
      <c r="B735" s="55" t="n">
        <v>38.2</v>
      </c>
      <c r="C735" s="55">
        <f>Table9[[#This Row],[PMI]]-B734</f>
        <v/>
      </c>
      <c r="G735" s="4" t="n"/>
    </row>
    <row r="736">
      <c r="A736" s="54" t="n">
        <v>39753</v>
      </c>
      <c r="B736" s="55" t="n">
        <v>39</v>
      </c>
      <c r="C736" s="55">
        <f>Table9[[#This Row],[PMI]]-B735</f>
        <v/>
      </c>
      <c r="G736" s="4" t="n"/>
    </row>
    <row r="737">
      <c r="A737" s="54" t="n">
        <v>39783</v>
      </c>
      <c r="B737" s="55" t="n">
        <v>34.5</v>
      </c>
      <c r="C737" s="55">
        <f>Table9[[#This Row],[PMI]]-B736</f>
        <v/>
      </c>
      <c r="G737" s="4" t="n"/>
    </row>
    <row r="738">
      <c r="A738" s="54" t="n">
        <v>39814</v>
      </c>
      <c r="B738" s="55" t="n">
        <v>36.4</v>
      </c>
      <c r="C738" s="55">
        <f>Table9[[#This Row],[PMI]]-B737</f>
        <v/>
      </c>
      <c r="G738" s="4" t="n"/>
    </row>
    <row r="739">
      <c r="A739" s="54" t="n">
        <v>39845</v>
      </c>
      <c r="B739" s="55" t="n">
        <v>36.6</v>
      </c>
      <c r="C739" s="55">
        <f>Table9[[#This Row],[PMI]]-B738</f>
        <v/>
      </c>
      <c r="G739" s="4" t="n"/>
    </row>
    <row r="740">
      <c r="A740" s="54" t="n">
        <v>39873</v>
      </c>
      <c r="B740" s="55" t="n">
        <v>37.2</v>
      </c>
      <c r="C740" s="55">
        <f>Table9[[#This Row],[PMI]]-B739</f>
        <v/>
      </c>
      <c r="G740" s="4" t="n"/>
    </row>
    <row r="741">
      <c r="A741" s="54" t="n">
        <v>39904</v>
      </c>
      <c r="B741" s="55" t="n">
        <v>39.9</v>
      </c>
      <c r="C741" s="55">
        <f>Table9[[#This Row],[PMI]]-B740</f>
        <v/>
      </c>
      <c r="G741" s="4" t="n"/>
    </row>
    <row r="742">
      <c r="A742" s="54" t="n">
        <v>39934</v>
      </c>
      <c r="B742" s="55" t="n">
        <v>44.1</v>
      </c>
      <c r="C742" s="55">
        <f>Table9[[#This Row],[PMI]]-B741</f>
        <v/>
      </c>
      <c r="G742" s="4" t="n"/>
    </row>
    <row r="743">
      <c r="A743" s="54" t="n">
        <v>39965</v>
      </c>
      <c r="B743" s="55" t="n">
        <v>46.3</v>
      </c>
      <c r="C743" s="55">
        <f>Table9[[#This Row],[PMI]]-B742</f>
        <v/>
      </c>
      <c r="G743" s="4" t="n"/>
    </row>
    <row r="744">
      <c r="A744" s="54" t="n">
        <v>39995</v>
      </c>
      <c r="B744" s="55" t="n">
        <v>49.7</v>
      </c>
      <c r="C744" s="55">
        <f>Table9[[#This Row],[PMI]]-B743</f>
        <v/>
      </c>
      <c r="G744" s="4" t="n"/>
    </row>
    <row r="745">
      <c r="A745" s="54" t="n">
        <v>40026</v>
      </c>
      <c r="B745" s="55" t="n">
        <v>53.4</v>
      </c>
      <c r="C745" s="55">
        <f>Table9[[#This Row],[PMI]]-B744</f>
        <v/>
      </c>
      <c r="G745" s="4" t="n"/>
    </row>
    <row r="746">
      <c r="A746" s="54" t="n">
        <v>40057</v>
      </c>
      <c r="B746" s="55" t="n">
        <v>54.9</v>
      </c>
      <c r="C746" s="55">
        <f>Table9[[#This Row],[PMI]]-B745</f>
        <v/>
      </c>
      <c r="G746" s="4" t="n"/>
    </row>
    <row r="747">
      <c r="A747" s="54" t="n">
        <v>40087</v>
      </c>
      <c r="B747" s="55" t="n">
        <v>57.6</v>
      </c>
      <c r="C747" s="55">
        <f>Table9[[#This Row],[PMI]]-B746</f>
        <v/>
      </c>
      <c r="G747" s="4" t="n"/>
    </row>
    <row r="748">
      <c r="A748" s="54" t="n">
        <v>40118</v>
      </c>
      <c r="B748" s="55" t="n">
        <v>55.4</v>
      </c>
      <c r="C748" s="55">
        <f>Table9[[#This Row],[PMI]]-B747</f>
        <v/>
      </c>
      <c r="G748" s="4" t="n"/>
    </row>
    <row r="749">
      <c r="A749" s="54" t="n">
        <v>40148</v>
      </c>
      <c r="B749" s="55" t="n">
        <v>55.8</v>
      </c>
      <c r="C749" s="55">
        <f>Table9[[#This Row],[PMI]]-B748</f>
        <v/>
      </c>
      <c r="G749" s="4" t="n"/>
    </row>
    <row r="750">
      <c r="A750" s="54" t="n">
        <v>40179</v>
      </c>
      <c r="B750" s="55" t="n">
        <v>56.3</v>
      </c>
      <c r="C750" s="55">
        <f>Table9[[#This Row],[PMI]]-B749</f>
        <v/>
      </c>
      <c r="G750" s="4" t="n"/>
    </row>
    <row r="751">
      <c r="A751" s="54" t="n">
        <v>40210</v>
      </c>
      <c r="B751" s="55" t="n">
        <v>55.5</v>
      </c>
      <c r="C751" s="55">
        <f>Table9[[#This Row],[PMI]]-B750</f>
        <v/>
      </c>
      <c r="G751" s="4" t="n"/>
    </row>
    <row r="752">
      <c r="A752" s="54" t="n">
        <v>40238</v>
      </c>
      <c r="B752" s="55" t="n">
        <v>58.8</v>
      </c>
      <c r="C752" s="55">
        <f>Table9[[#This Row],[PMI]]-B751</f>
        <v/>
      </c>
      <c r="G752" s="4" t="n"/>
    </row>
    <row r="753">
      <c r="A753" s="54" t="n">
        <v>40269</v>
      </c>
      <c r="B753" s="55" t="n">
        <v>58.1</v>
      </c>
      <c r="C753" s="55">
        <f>Table9[[#This Row],[PMI]]-B752</f>
        <v/>
      </c>
      <c r="G753" s="4" t="n"/>
    </row>
    <row r="754">
      <c r="A754" s="54" t="n">
        <v>40299</v>
      </c>
      <c r="B754" s="55" t="n">
        <v>57.4</v>
      </c>
      <c r="C754" s="55">
        <f>Table9[[#This Row],[PMI]]-B753</f>
        <v/>
      </c>
      <c r="G754" s="4" t="n"/>
    </row>
    <row r="755">
      <c r="A755" s="54" t="n">
        <v>40330</v>
      </c>
      <c r="B755" s="55" t="n">
        <v>56.5</v>
      </c>
      <c r="C755" s="55">
        <f>Table9[[#This Row],[PMI]]-B754</f>
        <v/>
      </c>
      <c r="G755" s="4" t="n"/>
    </row>
    <row r="756">
      <c r="A756" s="54" t="n">
        <v>40360</v>
      </c>
      <c r="B756" s="55" t="n">
        <v>56.1</v>
      </c>
      <c r="C756" s="55">
        <f>Table9[[#This Row],[PMI]]-B755</f>
        <v/>
      </c>
      <c r="G756" s="4" t="n"/>
    </row>
    <row r="757">
      <c r="A757" s="54" t="n">
        <v>40391</v>
      </c>
      <c r="B757" s="55" t="n">
        <v>56.4</v>
      </c>
      <c r="C757" s="55">
        <f>Table9[[#This Row],[PMI]]-B756</f>
        <v/>
      </c>
      <c r="G757" s="4" t="n"/>
    </row>
    <row r="758">
      <c r="A758" s="54" t="n">
        <v>40422</v>
      </c>
      <c r="B758" s="55" t="n">
        <v>55.3</v>
      </c>
      <c r="C758" s="55">
        <f>Table9[[#This Row],[PMI]]-B757</f>
        <v/>
      </c>
      <c r="G758" s="4" t="n"/>
    </row>
    <row r="759">
      <c r="A759" s="54" t="n">
        <v>40452</v>
      </c>
      <c r="B759" s="55" t="n">
        <v>56.9</v>
      </c>
      <c r="C759" s="55">
        <f>Table9[[#This Row],[PMI]]-B758</f>
        <v/>
      </c>
      <c r="G759" s="4" t="n"/>
    </row>
    <row r="760">
      <c r="A760" s="54" t="n">
        <v>40483</v>
      </c>
      <c r="B760" s="55" t="n">
        <v>57.3</v>
      </c>
      <c r="C760" s="55">
        <f>Table9[[#This Row],[PMI]]-B759</f>
        <v/>
      </c>
      <c r="G760" s="4" t="n"/>
    </row>
    <row r="761">
      <c r="A761" s="54" t="n">
        <v>40513</v>
      </c>
      <c r="B761" s="55" t="n">
        <v>56.6</v>
      </c>
      <c r="C761" s="55">
        <f>Table9[[#This Row],[PMI]]-B760</f>
        <v/>
      </c>
      <c r="G761" s="4" t="n"/>
    </row>
    <row r="762">
      <c r="A762" s="54" t="n">
        <v>40544</v>
      </c>
      <c r="B762" s="55" t="n">
        <v>59.1</v>
      </c>
      <c r="C762" s="55">
        <f>Table9[[#This Row],[PMI]]-B761</f>
        <v/>
      </c>
      <c r="G762" s="4" t="n"/>
    </row>
    <row r="763">
      <c r="A763" s="54" t="n">
        <v>40575</v>
      </c>
      <c r="B763" s="55" t="n">
        <v>59.2</v>
      </c>
      <c r="C763" s="55">
        <f>Table9[[#This Row],[PMI]]-B762</f>
        <v/>
      </c>
      <c r="G763" s="4" t="n"/>
    </row>
    <row r="764">
      <c r="A764" s="54" t="n">
        <v>40603</v>
      </c>
      <c r="B764" s="55" t="n">
        <v>58.4</v>
      </c>
      <c r="C764" s="55">
        <f>Table9[[#This Row],[PMI]]-B763</f>
        <v/>
      </c>
      <c r="G764" s="4" t="n"/>
    </row>
    <row r="765">
      <c r="A765" s="54" t="n">
        <v>40634</v>
      </c>
      <c r="B765" s="55" t="n">
        <v>57.9</v>
      </c>
      <c r="C765" s="55">
        <f>Table9[[#This Row],[PMI]]-B764</f>
        <v/>
      </c>
      <c r="G765" s="4" t="n"/>
    </row>
    <row r="766">
      <c r="A766" s="54" t="n">
        <v>40664</v>
      </c>
      <c r="B766" s="55" t="n">
        <v>54.8</v>
      </c>
      <c r="C766" s="55">
        <f>Table9[[#This Row],[PMI]]-B765</f>
        <v/>
      </c>
      <c r="G766" s="4" t="n"/>
    </row>
    <row r="767">
      <c r="A767" s="54" t="n">
        <v>40695</v>
      </c>
      <c r="B767" s="55" t="n">
        <v>55.8</v>
      </c>
      <c r="C767" s="55">
        <f>Table9[[#This Row],[PMI]]-B766</f>
        <v/>
      </c>
      <c r="G767" s="4" t="n"/>
    </row>
    <row r="768">
      <c r="A768" s="54" t="n">
        <v>40725</v>
      </c>
      <c r="B768" s="55" t="n">
        <v>52.9</v>
      </c>
      <c r="C768" s="55">
        <f>Table9[[#This Row],[PMI]]-B767</f>
        <v/>
      </c>
      <c r="G768" s="4" t="n"/>
    </row>
    <row r="769">
      <c r="A769" s="54" t="n">
        <v>40756</v>
      </c>
      <c r="B769" s="55" t="n">
        <v>52.6</v>
      </c>
      <c r="C769" s="55">
        <f>Table9[[#This Row],[PMI]]-B768</f>
        <v/>
      </c>
      <c r="G769" s="4" t="n"/>
    </row>
    <row r="770">
      <c r="A770" s="54" t="n">
        <v>40787</v>
      </c>
      <c r="B770" s="55" t="n">
        <v>53.7</v>
      </c>
      <c r="C770" s="55">
        <f>Table9[[#This Row],[PMI]]-B769</f>
        <v/>
      </c>
      <c r="G770" s="4" t="n"/>
    </row>
    <row r="771">
      <c r="A771" s="54" t="n">
        <v>40817</v>
      </c>
      <c r="B771" s="55" t="n">
        <v>51.4</v>
      </c>
      <c r="C771" s="55">
        <f>Table9[[#This Row],[PMI]]-B770</f>
        <v/>
      </c>
      <c r="G771" s="4" t="n"/>
    </row>
    <row r="772">
      <c r="A772" s="54" t="n">
        <v>40848</v>
      </c>
      <c r="B772" s="55" t="n">
        <v>51.8</v>
      </c>
      <c r="C772" s="55">
        <f>Table9[[#This Row],[PMI]]-B771</f>
        <v/>
      </c>
      <c r="G772" s="4" t="n"/>
    </row>
    <row r="773">
      <c r="A773" s="54" t="n">
        <v>40878</v>
      </c>
      <c r="B773" s="55" t="n">
        <v>53</v>
      </c>
      <c r="C773" s="55">
        <f>Table9[[#This Row],[PMI]]-B772</f>
        <v/>
      </c>
      <c r="G773" s="4" t="n"/>
    </row>
    <row r="774">
      <c r="A774" s="54" t="n">
        <v>40909</v>
      </c>
      <c r="B774" s="55" t="n">
        <v>52.6</v>
      </c>
      <c r="C774" s="55">
        <f>Table9[[#This Row],[PMI]]-B773</f>
        <v/>
      </c>
      <c r="G774" s="4" t="n"/>
    </row>
    <row r="775">
      <c r="A775" s="54" t="n">
        <v>40940</v>
      </c>
      <c r="B775" s="55" t="n">
        <v>53.1</v>
      </c>
      <c r="C775" s="55">
        <f>Table9[[#This Row],[PMI]]-B774</f>
        <v/>
      </c>
      <c r="G775" s="4" t="n"/>
    </row>
    <row r="776">
      <c r="A776" s="54" t="n">
        <v>40969</v>
      </c>
      <c r="B776" s="55" t="n">
        <v>53.5</v>
      </c>
      <c r="C776" s="55">
        <f>Table9[[#This Row],[PMI]]-B775</f>
        <v/>
      </c>
      <c r="G776" s="4" t="n"/>
    </row>
    <row r="777">
      <c r="A777" s="54" t="n">
        <v>41000</v>
      </c>
      <c r="B777" s="55" t="n">
        <v>53.5</v>
      </c>
      <c r="C777" s="55">
        <f>Table9[[#This Row],[PMI]]-B776</f>
        <v/>
      </c>
      <c r="G777" s="4" t="n"/>
    </row>
    <row r="778">
      <c r="A778" s="54" t="n">
        <v>41030</v>
      </c>
      <c r="B778" s="55" t="n">
        <v>52.6</v>
      </c>
      <c r="C778" s="55">
        <f>Table9[[#This Row],[PMI]]-B777</f>
        <v/>
      </c>
      <c r="G778" s="4" t="n"/>
    </row>
    <row r="779">
      <c r="A779" s="54" t="n">
        <v>41061</v>
      </c>
      <c r="B779" s="55" t="n">
        <v>49.7</v>
      </c>
      <c r="C779" s="55">
        <f>Table9[[#This Row],[PMI]]-B778</f>
        <v/>
      </c>
      <c r="G779" s="4" t="n"/>
    </row>
    <row r="780">
      <c r="A780" s="54" t="n">
        <v>41091</v>
      </c>
      <c r="B780" s="55" t="n">
        <v>50</v>
      </c>
      <c r="C780" s="55">
        <f>Table9[[#This Row],[PMI]]-B779</f>
        <v/>
      </c>
      <c r="G780" s="4" t="n"/>
    </row>
    <row r="781">
      <c r="A781" s="54" t="n">
        <v>41122</v>
      </c>
      <c r="B781" s="55" t="n">
        <v>50.2</v>
      </c>
      <c r="C781" s="55">
        <f>Table9[[#This Row],[PMI]]-B780</f>
        <v/>
      </c>
      <c r="G781" s="4" t="n"/>
    </row>
    <row r="782">
      <c r="A782" s="54" t="n">
        <v>41153</v>
      </c>
      <c r="B782" s="55" t="n">
        <v>51.8</v>
      </c>
      <c r="C782" s="55">
        <f>Table9[[#This Row],[PMI]]-B781</f>
        <v/>
      </c>
      <c r="G782" s="4" t="n"/>
    </row>
    <row r="783">
      <c r="A783" s="54" t="n">
        <v>41183</v>
      </c>
      <c r="B783" s="55" t="n">
        <v>50.7</v>
      </c>
      <c r="C783" s="55">
        <f>Table9[[#This Row],[PMI]]-B782</f>
        <v/>
      </c>
      <c r="G783" s="4" t="n"/>
    </row>
    <row r="784">
      <c r="A784" s="54" t="n">
        <v>41214</v>
      </c>
      <c r="B784" s="55" t="n">
        <v>48.9</v>
      </c>
      <c r="C784" s="55">
        <f>Table9[[#This Row],[PMI]]-B783</f>
        <v/>
      </c>
      <c r="G784" s="4" t="n"/>
    </row>
    <row r="785">
      <c r="A785" s="54" t="n">
        <v>41244</v>
      </c>
      <c r="B785" s="55" t="n">
        <v>49.8</v>
      </c>
      <c r="C785" s="55">
        <f>Table9[[#This Row],[PMI]]-B784</f>
        <v/>
      </c>
      <c r="G785" s="4" t="n"/>
    </row>
    <row r="786">
      <c r="A786" s="54" t="n">
        <v>41275</v>
      </c>
      <c r="B786" s="55" t="n">
        <v>52</v>
      </c>
      <c r="C786" s="55">
        <f>Table9[[#This Row],[PMI]]-B785</f>
        <v/>
      </c>
      <c r="G786" s="4" t="n"/>
    </row>
    <row r="787">
      <c r="A787" s="54" t="n">
        <v>41306</v>
      </c>
      <c r="B787" s="55" t="n">
        <v>53.6</v>
      </c>
      <c r="C787" s="55">
        <f>Table9[[#This Row],[PMI]]-B786</f>
        <v/>
      </c>
      <c r="G787" s="4" t="n"/>
    </row>
    <row r="788">
      <c r="A788" s="54" t="n">
        <v>41334</v>
      </c>
      <c r="B788" s="55" t="n">
        <v>52</v>
      </c>
      <c r="C788" s="55">
        <f>Table9[[#This Row],[PMI]]-B787</f>
        <v/>
      </c>
      <c r="G788" s="4" t="n"/>
    </row>
    <row r="789">
      <c r="A789" s="54" t="n">
        <v>41365</v>
      </c>
      <c r="B789" s="55" t="n">
        <v>49.7</v>
      </c>
      <c r="C789" s="55">
        <f>Table9[[#This Row],[PMI]]-B788</f>
        <v/>
      </c>
      <c r="G789" s="4" t="n"/>
    </row>
    <row r="790">
      <c r="A790" s="54" t="n">
        <v>41395</v>
      </c>
      <c r="B790" s="55" t="n">
        <v>50.5</v>
      </c>
      <c r="C790" s="55">
        <f>Table9[[#This Row],[PMI]]-B789</f>
        <v/>
      </c>
      <c r="G790" s="4" t="n"/>
    </row>
    <row r="791">
      <c r="A791" s="54" t="n">
        <v>41426</v>
      </c>
      <c r="B791" s="55" t="n">
        <v>51.5</v>
      </c>
      <c r="C791" s="55">
        <f>Table9[[#This Row],[PMI]]-B790</f>
        <v/>
      </c>
      <c r="G791" s="4" t="n"/>
    </row>
    <row r="792">
      <c r="A792" s="54" t="n">
        <v>41456</v>
      </c>
      <c r="B792" s="55" t="n">
        <v>53.5</v>
      </c>
      <c r="C792" s="55">
        <f>Table9[[#This Row],[PMI]]-B791</f>
        <v/>
      </c>
      <c r="G792" s="4" t="n"/>
    </row>
    <row r="793">
      <c r="A793" s="54" t="n">
        <v>41487</v>
      </c>
      <c r="B793" s="55" t="n">
        <v>55.9</v>
      </c>
      <c r="C793" s="55">
        <f>Table9[[#This Row],[PMI]]-B792</f>
        <v/>
      </c>
      <c r="G793" s="4" t="n"/>
    </row>
    <row r="794">
      <c r="A794" s="54" t="n">
        <v>41518</v>
      </c>
      <c r="B794" s="55" t="n">
        <v>54.8</v>
      </c>
      <c r="C794" s="55">
        <f>Table9[[#This Row],[PMI]]-B793</f>
        <v/>
      </c>
      <c r="G794" s="4" t="n"/>
    </row>
    <row r="795">
      <c r="A795" s="54" t="n">
        <v>41548</v>
      </c>
      <c r="B795" s="55" t="n">
        <v>55.3</v>
      </c>
      <c r="C795" s="55">
        <f>Table9[[#This Row],[PMI]]-B794</f>
        <v/>
      </c>
      <c r="G795" s="4" t="n"/>
    </row>
    <row r="796">
      <c r="A796" s="54" t="n">
        <v>41579</v>
      </c>
      <c r="B796" s="55" t="n">
        <v>56.3</v>
      </c>
      <c r="C796" s="55">
        <f>Table9[[#This Row],[PMI]]-B795</f>
        <v/>
      </c>
      <c r="G796" s="4" t="n"/>
    </row>
    <row r="797">
      <c r="A797" s="54" t="n">
        <v>41609</v>
      </c>
      <c r="B797" s="55" t="n">
        <v>55.9</v>
      </c>
      <c r="C797" s="55">
        <f>Table9[[#This Row],[PMI]]-B796</f>
        <v/>
      </c>
      <c r="G797" s="4" t="n"/>
    </row>
    <row r="798">
      <c r="A798" s="54" t="n">
        <v>41640</v>
      </c>
      <c r="B798" s="55" t="n">
        <v>51.7</v>
      </c>
      <c r="C798" s="55">
        <f>Table9[[#This Row],[PMI]]-B797</f>
        <v/>
      </c>
      <c r="G798" s="4" t="n"/>
    </row>
    <row r="799">
      <c r="A799" s="54" t="n">
        <v>41671</v>
      </c>
      <c r="B799" s="55" t="n">
        <v>54.6</v>
      </c>
      <c r="C799" s="55">
        <f>Table9[[#This Row],[PMI]]-B798</f>
        <v/>
      </c>
      <c r="G799" s="4" t="n"/>
    </row>
    <row r="800">
      <c r="A800" s="54" t="n">
        <v>41699</v>
      </c>
      <c r="B800" s="55" t="n">
        <v>55.3</v>
      </c>
      <c r="C800" s="55">
        <f>Table9[[#This Row],[PMI]]-B799</f>
        <v/>
      </c>
      <c r="G800" s="4" t="n"/>
    </row>
    <row r="801">
      <c r="A801" s="54" t="n">
        <v>41730</v>
      </c>
      <c r="B801" s="55" t="n">
        <v>55.7</v>
      </c>
      <c r="C801" s="55">
        <f>Table9[[#This Row],[PMI]]-B800</f>
        <v/>
      </c>
      <c r="G801" s="4" t="n"/>
    </row>
    <row r="802">
      <c r="A802" s="54" t="n">
        <v>41760</v>
      </c>
      <c r="B802" s="55" t="n">
        <v>55.8</v>
      </c>
      <c r="C802" s="55">
        <f>Table9[[#This Row],[PMI]]-B801</f>
        <v/>
      </c>
      <c r="G802" s="4" t="n"/>
    </row>
    <row r="803">
      <c r="A803" s="54" t="n">
        <v>41791</v>
      </c>
      <c r="B803" s="55" t="n">
        <v>54.9</v>
      </c>
      <c r="C803" s="55">
        <f>Table9[[#This Row],[PMI]]-B802</f>
        <v/>
      </c>
      <c r="G803" s="4" t="n"/>
    </row>
    <row r="804">
      <c r="A804" s="54" t="n">
        <v>41821</v>
      </c>
      <c r="B804" s="55" t="n">
        <v>55.3</v>
      </c>
      <c r="C804" s="55">
        <f>Table9[[#This Row],[PMI]]-B803</f>
        <v/>
      </c>
      <c r="G804" s="4" t="n"/>
    </row>
    <row r="805">
      <c r="A805" s="54" t="n">
        <v>41852</v>
      </c>
      <c r="B805" s="55" t="n">
        <v>58.2</v>
      </c>
      <c r="C805" s="55">
        <f>Table9[[#This Row],[PMI]]-B804</f>
        <v/>
      </c>
      <c r="G805" s="4" t="n"/>
    </row>
    <row r="806">
      <c r="A806" s="54" t="n">
        <v>41883</v>
      </c>
      <c r="B806" s="55" t="n">
        <v>55.5</v>
      </c>
      <c r="C806" s="55">
        <f>Table9[[#This Row],[PMI]]-B805</f>
        <v/>
      </c>
      <c r="G806" s="4" t="n"/>
    </row>
    <row r="807">
      <c r="A807" s="54" t="n">
        <v>41913</v>
      </c>
      <c r="B807" s="55" t="n">
        <v>56.8</v>
      </c>
      <c r="C807" s="55">
        <f>Table9[[#This Row],[PMI]]-B806</f>
        <v/>
      </c>
      <c r="G807" s="4" t="n"/>
    </row>
    <row r="808">
      <c r="A808" s="54" t="n">
        <v>41944</v>
      </c>
      <c r="B808" s="55" t="n">
        <v>57</v>
      </c>
      <c r="C808" s="55">
        <f>Table9[[#This Row],[PMI]]-B807</f>
        <v/>
      </c>
      <c r="G808" s="4" t="n"/>
    </row>
    <row r="809">
      <c r="A809" s="54" t="n">
        <v>41974</v>
      </c>
      <c r="B809" s="55" t="n">
        <v>54.7</v>
      </c>
      <c r="C809" s="55">
        <f>Table9[[#This Row],[PMI]]-B808</f>
        <v/>
      </c>
      <c r="G809" s="4" t="n"/>
    </row>
    <row r="810">
      <c r="A810" s="54" t="n">
        <v>42005</v>
      </c>
      <c r="B810" s="55" t="n">
        <v>53.9</v>
      </c>
      <c r="C810" s="55">
        <f>Table9[[#This Row],[PMI]]-B809</f>
        <v/>
      </c>
      <c r="G810" s="4" t="n"/>
    </row>
    <row r="811">
      <c r="A811" s="54" t="n">
        <v>42036</v>
      </c>
      <c r="B811" s="55" t="n">
        <v>53</v>
      </c>
      <c r="C811" s="55">
        <f>Table9[[#This Row],[PMI]]-B810</f>
        <v/>
      </c>
      <c r="G811" s="4" t="n"/>
    </row>
    <row r="812">
      <c r="A812" s="54" t="n">
        <v>42064</v>
      </c>
      <c r="B812" s="55" t="n">
        <v>51.8</v>
      </c>
      <c r="C812" s="55">
        <f>Table9[[#This Row],[PMI]]-B811</f>
        <v/>
      </c>
      <c r="G812" s="4" t="n"/>
    </row>
    <row r="813">
      <c r="A813" s="54" t="n">
        <v>42095</v>
      </c>
      <c r="B813" s="55" t="n">
        <v>51.6</v>
      </c>
      <c r="C813" s="55">
        <f>Table9[[#This Row],[PMI]]-B812</f>
        <v/>
      </c>
      <c r="G813" s="4" t="n"/>
    </row>
    <row r="814">
      <c r="A814" s="54" t="n">
        <v>42125</v>
      </c>
      <c r="B814" s="55" t="n">
        <v>52.9</v>
      </c>
      <c r="C814" s="55">
        <f>Table9[[#This Row],[PMI]]-B813</f>
        <v/>
      </c>
      <c r="G814" s="4" t="n"/>
    </row>
    <row r="815">
      <c r="A815" s="54" t="n">
        <v>42156</v>
      </c>
      <c r="B815" s="55" t="n">
        <v>52.3</v>
      </c>
      <c r="C815" s="55">
        <f>Table9[[#This Row],[PMI]]-B814</f>
        <v/>
      </c>
      <c r="G815" s="4" t="n"/>
    </row>
    <row r="816">
      <c r="A816" s="54" t="n">
        <v>42186</v>
      </c>
      <c r="B816" s="55" t="n">
        <v>51.9</v>
      </c>
      <c r="C816" s="55">
        <f>Table9[[#This Row],[PMI]]-B815</f>
        <v/>
      </c>
      <c r="G816" s="4" t="n"/>
    </row>
    <row r="817">
      <c r="A817" s="54" t="n">
        <v>42217</v>
      </c>
      <c r="B817" s="55" t="n">
        <v>50.8</v>
      </c>
      <c r="C817" s="55">
        <f>Table9[[#This Row],[PMI]]-B816</f>
        <v/>
      </c>
      <c r="G817" s="4" t="n"/>
    </row>
    <row r="818">
      <c r="A818" s="54" t="n">
        <v>42248</v>
      </c>
      <c r="B818" s="55" t="n">
        <v>50.1</v>
      </c>
      <c r="C818" s="55">
        <f>Table9[[#This Row],[PMI]]-B817</f>
        <v/>
      </c>
      <c r="G818" s="4" t="n"/>
    </row>
    <row r="819">
      <c r="A819" s="54" t="n">
        <v>42278</v>
      </c>
      <c r="B819" s="55" t="n">
        <v>49.6</v>
      </c>
      <c r="C819" s="55">
        <f>Table9[[#This Row],[PMI]]-B818</f>
        <v/>
      </c>
      <c r="G819" s="4" t="n"/>
    </row>
    <row r="820">
      <c r="A820" s="54" t="n">
        <v>42309</v>
      </c>
      <c r="B820" s="55" t="n">
        <v>49.1</v>
      </c>
      <c r="C820" s="55">
        <f>Table9[[#This Row],[PMI]]-B819</f>
        <v/>
      </c>
      <c r="G820" s="4" t="n"/>
    </row>
    <row r="821">
      <c r="A821" s="54" t="n">
        <v>42339</v>
      </c>
      <c r="B821" s="55" t="n">
        <v>48.4</v>
      </c>
      <c r="C821" s="55">
        <f>Table9[[#This Row],[PMI]]-B820</f>
        <v/>
      </c>
      <c r="G821" s="4" t="n"/>
    </row>
    <row r="822">
      <c r="A822" s="54" t="n">
        <v>42370</v>
      </c>
      <c r="B822" s="55" t="n">
        <v>47.8</v>
      </c>
      <c r="C822" s="55">
        <f>Table9[[#This Row],[PMI]]-B821</f>
        <v/>
      </c>
      <c r="G822" s="4" t="n"/>
    </row>
    <row r="823">
      <c r="A823" s="54" t="n">
        <v>42401</v>
      </c>
      <c r="B823" s="55" t="n">
        <v>49.4</v>
      </c>
      <c r="C823" s="55">
        <f>Table9[[#This Row],[PMI]]-B822</f>
        <v/>
      </c>
      <c r="G823" s="4" t="n"/>
    </row>
    <row r="824">
      <c r="A824" s="54" t="n">
        <v>42430</v>
      </c>
      <c r="B824" s="55" t="n">
        <v>51.2</v>
      </c>
      <c r="C824" s="55">
        <f>Table9[[#This Row],[PMI]]-B823</f>
        <v/>
      </c>
      <c r="G824" s="4" t="n"/>
    </row>
    <row r="825">
      <c r="A825" s="54" t="n">
        <v>42461</v>
      </c>
      <c r="B825" s="55" t="n">
        <v>50.8</v>
      </c>
      <c r="C825" s="55">
        <f>Table9[[#This Row],[PMI]]-B824</f>
        <v/>
      </c>
      <c r="G825" s="4" t="n"/>
    </row>
    <row r="826">
      <c r="A826" s="54" t="n">
        <v>42491</v>
      </c>
      <c r="B826" s="55" t="n">
        <v>50.9</v>
      </c>
      <c r="C826" s="55">
        <f>Table9[[#This Row],[PMI]]-B825</f>
        <v/>
      </c>
      <c r="G826" s="4" t="n"/>
    </row>
    <row r="827">
      <c r="A827" s="54" t="n">
        <v>42522</v>
      </c>
      <c r="B827" s="55" t="n">
        <v>52.5</v>
      </c>
      <c r="C827" s="55">
        <f>Table9[[#This Row],[PMI]]-B826</f>
        <v/>
      </c>
      <c r="G827" s="4" t="n"/>
    </row>
    <row r="828">
      <c r="A828" s="54" t="n">
        <v>42552</v>
      </c>
      <c r="B828" s="55" t="n">
        <v>52.9</v>
      </c>
      <c r="C828" s="55">
        <f>Table9[[#This Row],[PMI]]-B827</f>
        <v/>
      </c>
      <c r="G828" s="4" t="n"/>
    </row>
    <row r="829">
      <c r="A829" s="54" t="n">
        <v>42583</v>
      </c>
      <c r="B829" s="55" t="n">
        <v>49.9</v>
      </c>
      <c r="C829" s="55">
        <f>Table9[[#This Row],[PMI]]-B828</f>
        <v/>
      </c>
      <c r="G829" s="4" t="n"/>
    </row>
    <row r="830">
      <c r="A830" s="54" t="n">
        <v>42614</v>
      </c>
      <c r="B830" s="55" t="n">
        <v>51.4</v>
      </c>
      <c r="C830" s="55">
        <f>Table9[[#This Row],[PMI]]-B829</f>
        <v/>
      </c>
      <c r="G830" s="4" t="n"/>
    </row>
    <row r="831">
      <c r="A831" s="54" t="n">
        <v>42644</v>
      </c>
      <c r="B831" s="55" t="n">
        <v>51.8</v>
      </c>
      <c r="C831" s="55">
        <f>Table9[[#This Row],[PMI]]-B830</f>
        <v/>
      </c>
      <c r="G831" s="4" t="n"/>
    </row>
    <row r="832">
      <c r="A832" s="54" t="n">
        <v>42675</v>
      </c>
      <c r="B832" s="55" t="n">
        <v>53.4</v>
      </c>
      <c r="C832" s="55">
        <f>Table9[[#This Row],[PMI]]-B831</f>
        <v/>
      </c>
      <c r="G832" s="4" t="n"/>
    </row>
    <row r="833">
      <c r="A833" s="54" t="n">
        <v>42705</v>
      </c>
      <c r="B833" s="55" t="n">
        <v>54.3</v>
      </c>
      <c r="C833" s="55">
        <f>Table9[[#This Row],[PMI]]-B832</f>
        <v/>
      </c>
      <c r="G833" s="4" t="n"/>
    </row>
    <row r="834">
      <c r="A834" s="54" t="n">
        <v>42736</v>
      </c>
      <c r="B834" s="55" t="n">
        <v>55.6</v>
      </c>
      <c r="C834" s="55">
        <f>Table9[[#This Row],[PMI]]-B833</f>
        <v/>
      </c>
      <c r="G834" s="4" t="n"/>
    </row>
    <row r="835">
      <c r="A835" s="54" t="n">
        <v>42767</v>
      </c>
      <c r="B835" s="55" t="n">
        <v>57.6</v>
      </c>
      <c r="C835" s="55">
        <f>Table9[[#This Row],[PMI]]-B834</f>
        <v/>
      </c>
      <c r="G835" s="4" t="n"/>
    </row>
    <row r="836">
      <c r="A836" s="54" t="n">
        <v>42795</v>
      </c>
      <c r="B836" s="55" t="n">
        <v>56.6</v>
      </c>
      <c r="C836" s="55">
        <f>Table9[[#This Row],[PMI]]-B835</f>
        <v/>
      </c>
      <c r="G836" s="4" t="n"/>
    </row>
    <row r="837">
      <c r="A837" s="54" t="n">
        <v>42826</v>
      </c>
      <c r="B837" s="55" t="n">
        <v>55.3</v>
      </c>
      <c r="C837" s="55">
        <f>Table9[[#This Row],[PMI]]-B836</f>
        <v/>
      </c>
      <c r="G837" s="4" t="n"/>
    </row>
    <row r="838">
      <c r="A838" s="54" t="n">
        <v>42856</v>
      </c>
      <c r="B838" s="55" t="n">
        <v>55.5</v>
      </c>
      <c r="C838" s="55">
        <f>Table9[[#This Row],[PMI]]-B837</f>
        <v/>
      </c>
      <c r="G838" s="4" t="n"/>
    </row>
    <row r="839">
      <c r="A839" s="54" t="n">
        <v>42887</v>
      </c>
      <c r="B839" s="55" t="n">
        <v>56.7</v>
      </c>
      <c r="C839" s="55">
        <f>Table9[[#This Row],[PMI]]-B838</f>
        <v/>
      </c>
      <c r="G839" s="4" t="n"/>
    </row>
    <row r="840">
      <c r="A840" s="54" t="n">
        <v>42917</v>
      </c>
      <c r="B840" s="55" t="n">
        <v>56.5</v>
      </c>
      <c r="C840" s="55">
        <f>Table9[[#This Row],[PMI]]-B839</f>
        <v/>
      </c>
      <c r="G840" s="4" t="n"/>
    </row>
    <row r="841">
      <c r="A841" s="54" t="n">
        <v>42948</v>
      </c>
      <c r="B841" s="55" t="n">
        <v>59.3</v>
      </c>
      <c r="C841" s="55">
        <f>Table9[[#This Row],[PMI]]-B840</f>
        <v/>
      </c>
      <c r="G841" s="4" t="n"/>
    </row>
    <row r="842">
      <c r="A842" s="54" t="n">
        <v>42979</v>
      </c>
      <c r="B842" s="55" t="n">
        <v>60.2</v>
      </c>
      <c r="C842" s="55">
        <f>Table9[[#This Row],[PMI]]-B841</f>
        <v/>
      </c>
      <c r="G842" s="4" t="n"/>
    </row>
    <row r="843">
      <c r="A843" s="54" t="n">
        <v>43009</v>
      </c>
      <c r="B843" s="55" t="n">
        <v>58.5</v>
      </c>
      <c r="C843" s="55">
        <f>Table9[[#This Row],[PMI]]-B842</f>
        <v/>
      </c>
      <c r="G843" s="4" t="n"/>
    </row>
    <row r="844">
      <c r="A844" s="54" t="n">
        <v>43040</v>
      </c>
      <c r="B844" s="55" t="n">
        <v>58.2</v>
      </c>
      <c r="C844" s="55">
        <f>Table9[[#This Row],[PMI]]-B843</f>
        <v/>
      </c>
      <c r="G844" s="4" t="n"/>
    </row>
    <row r="845">
      <c r="A845" s="54" t="n">
        <v>43070</v>
      </c>
      <c r="B845" s="55" t="n">
        <v>59.3</v>
      </c>
      <c r="C845" s="55">
        <f>Table9[[#This Row],[PMI]]-B844</f>
        <v/>
      </c>
      <c r="G845" s="4" t="n"/>
    </row>
    <row r="846">
      <c r="A846" s="54" t="n">
        <v>43101</v>
      </c>
      <c r="B846" s="55" t="n">
        <v>59.1</v>
      </c>
      <c r="C846" s="55">
        <f>Table9[[#This Row],[PMI]]-B845</f>
        <v/>
      </c>
      <c r="G846" s="4" t="n"/>
    </row>
    <row r="847">
      <c r="A847" s="60" t="n">
        <v>43132</v>
      </c>
      <c r="B847" s="55" t="n">
        <v>60.8</v>
      </c>
      <c r="C847" s="55">
        <f>Table9[[#This Row],[PMI]]-B846</f>
        <v/>
      </c>
      <c r="G847" s="4" t="n"/>
    </row>
    <row r="848">
      <c r="A848" s="54" t="n">
        <v>43160</v>
      </c>
      <c r="B848" s="55" t="n">
        <v>59.3</v>
      </c>
      <c r="C848" s="55">
        <f>Table9[[#This Row],[PMI]]-B847</f>
        <v/>
      </c>
    </row>
    <row r="849">
      <c r="A849" s="60" t="n">
        <v>43191</v>
      </c>
      <c r="B849" s="55" t="n">
        <v>57.3</v>
      </c>
      <c r="C849" s="55">
        <f>Table9[[#This Row],[PMI]]-B848</f>
        <v/>
      </c>
    </row>
    <row r="850">
      <c r="A850" s="54" t="n">
        <v>43221</v>
      </c>
      <c r="B850" s="55" t="n">
        <v>58.7</v>
      </c>
      <c r="C850" s="55">
        <f>Table9[[#This Row],[PMI]]-B849</f>
        <v/>
      </c>
    </row>
    <row r="851">
      <c r="A851" s="60" t="n">
        <v>43252</v>
      </c>
      <c r="B851" s="55" t="n">
        <v>60.2</v>
      </c>
      <c r="C851" s="55">
        <f>Table9[[#This Row],[PMI]]-B850</f>
        <v/>
      </c>
    </row>
    <row r="852">
      <c r="A852" s="54" t="n">
        <v>43282</v>
      </c>
      <c r="B852" s="55" t="n">
        <v>58.1</v>
      </c>
      <c r="C852" s="55">
        <f>Table9[[#This Row],[PMI]]-B851</f>
        <v/>
      </c>
    </row>
    <row r="853">
      <c r="A853" s="60" t="n">
        <v>43313</v>
      </c>
      <c r="B853" s="55" t="n">
        <v>61.3</v>
      </c>
      <c r="C853" s="55">
        <f>Table9[[#This Row],[PMI]]-B852</f>
        <v/>
      </c>
    </row>
    <row r="854">
      <c r="A854" s="54" t="n">
        <v>43344</v>
      </c>
      <c r="B854" s="55" t="n">
        <v>59.8</v>
      </c>
      <c r="C854" s="55">
        <f>Table9[[#This Row],[PMI]]-B853</f>
        <v/>
      </c>
    </row>
    <row r="855">
      <c r="A855" s="60" t="n">
        <v>43374</v>
      </c>
      <c r="B855" s="55" t="n">
        <v>57.7</v>
      </c>
      <c r="C855" s="55">
        <f>Table9[[#This Row],[PMI]]-B854</f>
        <v/>
      </c>
    </row>
    <row r="856">
      <c r="A856" s="54" t="n">
        <v>43405</v>
      </c>
      <c r="B856" s="55" t="n">
        <v>59.3</v>
      </c>
      <c r="C856" s="55">
        <f>Table9[[#This Row],[PMI]]-B855</f>
        <v/>
      </c>
    </row>
    <row r="857">
      <c r="A857" s="60" t="n">
        <v>43435</v>
      </c>
      <c r="B857" s="55" t="n">
        <v>54.3</v>
      </c>
      <c r="C857" s="55">
        <f>Table9[[#This Row],[PMI]]-B856</f>
        <v/>
      </c>
    </row>
    <row r="858">
      <c r="A858" s="54" t="n">
        <v>43466</v>
      </c>
      <c r="B858" s="55" t="n">
        <v>56.6</v>
      </c>
      <c r="C858" s="55">
        <f>Table9[[#This Row],[PMI]]-B857</f>
        <v/>
      </c>
    </row>
    <row r="859">
      <c r="A859" s="60" t="n">
        <v>43497</v>
      </c>
      <c r="B859" s="55" t="n">
        <v>54.2</v>
      </c>
      <c r="C859" s="55">
        <f>Table9[[#This Row],[PMI]]-B858</f>
        <v/>
      </c>
    </row>
    <row r="860">
      <c r="A860" s="54" t="n">
        <v>43525</v>
      </c>
      <c r="B860" s="55" t="n">
        <v>55.3</v>
      </c>
      <c r="C860" s="55">
        <f>Table9[[#This Row],[PMI]]-B859</f>
        <v/>
      </c>
    </row>
    <row r="861">
      <c r="A861" s="60" t="n">
        <v>43556</v>
      </c>
      <c r="B861" s="55" t="n">
        <v>52.8</v>
      </c>
      <c r="C861" s="55">
        <f>Table9[[#This Row],[PMI]]-B860</f>
        <v/>
      </c>
    </row>
    <row r="862">
      <c r="A862" s="54" t="n">
        <v>43586</v>
      </c>
      <c r="B862" s="55" t="n">
        <v>52.1</v>
      </c>
      <c r="C862" s="55">
        <f>Table9[[#This Row],[PMI]]-B861</f>
        <v/>
      </c>
    </row>
    <row r="863">
      <c r="A863" s="60" t="n">
        <v>43617</v>
      </c>
      <c r="B863" s="55" t="n">
        <v>51.7</v>
      </c>
      <c r="C863" s="55">
        <f>Table9[[#This Row],[PMI]]-B862</f>
        <v/>
      </c>
    </row>
    <row r="864">
      <c r="A864" s="54" t="n">
        <v>43647</v>
      </c>
      <c r="B864" s="55" t="n">
        <v>51.2</v>
      </c>
      <c r="C864" s="55">
        <f>Table9[[#This Row],[PMI]]-B863</f>
        <v/>
      </c>
    </row>
    <row r="865">
      <c r="A865" s="60" t="n">
        <v>43678</v>
      </c>
      <c r="B865" s="55" t="n">
        <v>49.1</v>
      </c>
      <c r="C865" s="55">
        <f>Table9[[#This Row],[PMI]]-B864</f>
        <v/>
      </c>
    </row>
    <row r="866">
      <c r="A866" s="54" t="n">
        <v>43709</v>
      </c>
      <c r="B866" s="55" t="n">
        <v>47.8</v>
      </c>
      <c r="C866" s="55">
        <f>Table9[[#This Row],[PMI]]-B865</f>
        <v/>
      </c>
    </row>
    <row r="867">
      <c r="A867" s="60" t="n">
        <v>43739</v>
      </c>
      <c r="B867" s="55" t="n">
        <v>48.3</v>
      </c>
      <c r="C867" s="55">
        <f>Table9[[#This Row],[PMI]]-B866</f>
        <v/>
      </c>
    </row>
    <row r="868">
      <c r="A868" s="54" t="n">
        <v>43770</v>
      </c>
      <c r="B868" s="55" t="n">
        <v>48.1</v>
      </c>
      <c r="C868" s="55">
        <f>Table9[[#This Row],[PMI]]-B867</f>
        <v/>
      </c>
    </row>
    <row r="869">
      <c r="A869" s="60" t="n">
        <v>43800</v>
      </c>
      <c r="B869" s="55" t="n">
        <v>47.8</v>
      </c>
      <c r="C869" s="55">
        <f>Table9[[#This Row],[PMI]]-B868</f>
        <v/>
      </c>
    </row>
    <row r="870">
      <c r="A870" s="54" t="n">
        <v>43831</v>
      </c>
      <c r="B870" s="55" t="n">
        <v>50.9</v>
      </c>
      <c r="C870" s="55">
        <f>Table9[[#This Row],[PMI]]-B869</f>
        <v/>
      </c>
    </row>
    <row r="871">
      <c r="A871" s="60" t="n">
        <v>43862</v>
      </c>
      <c r="B871" s="55" t="n">
        <v>50.1</v>
      </c>
      <c r="C871" s="55">
        <f>Table9[[#This Row],[PMI]]-B870</f>
        <v/>
      </c>
    </row>
    <row r="872">
      <c r="A872" s="54" t="n">
        <v>43891</v>
      </c>
      <c r="B872" s="55" t="n">
        <v>49.1</v>
      </c>
      <c r="C872" s="55">
        <f>Table9[[#This Row],[PMI]]-B871</f>
        <v/>
      </c>
    </row>
    <row r="873">
      <c r="A873" s="60" t="n">
        <v>43922</v>
      </c>
      <c r="B873" s="55" t="n">
        <v>41.5</v>
      </c>
      <c r="C873" s="55">
        <f>Table9[[#This Row],[PMI]]-B872</f>
        <v/>
      </c>
    </row>
    <row r="874">
      <c r="A874" s="54" t="n">
        <v>43952</v>
      </c>
      <c r="B874" s="55" t="n">
        <v>43.1</v>
      </c>
      <c r="C874" s="55">
        <f>Table9[[#This Row],[PMI]]-B873</f>
        <v/>
      </c>
    </row>
    <row r="875">
      <c r="A875" s="60" t="n">
        <v>43983</v>
      </c>
      <c r="B875" s="55" t="n">
        <v>52.6</v>
      </c>
      <c r="C875" s="55">
        <f>Table9[[#This Row],[PMI]]-B874</f>
        <v/>
      </c>
    </row>
    <row r="876">
      <c r="A876" s="54" t="n">
        <v>44013</v>
      </c>
      <c r="B876" s="55" t="n">
        <v>54.2</v>
      </c>
      <c r="C876" s="55">
        <f>Table9[[#This Row],[PMI]]-B875</f>
        <v/>
      </c>
    </row>
    <row r="877">
      <c r="A877" s="60" t="n">
        <v>44044</v>
      </c>
      <c r="B877" s="55" t="n">
        <v>56</v>
      </c>
      <c r="C877" s="55">
        <f>Table9[[#This Row],[PMI]]-B876</f>
        <v/>
      </c>
    </row>
    <row r="878">
      <c r="A878" s="54" t="n">
        <v>44075</v>
      </c>
      <c r="B878" s="55" t="n">
        <v>55.4</v>
      </c>
      <c r="C878" s="55">
        <f>Table9[[#This Row],[PMI]]-B877</f>
        <v/>
      </c>
    </row>
    <row r="879">
      <c r="A879" s="60" t="n">
        <v>44105</v>
      </c>
      <c r="B879" s="55" t="n">
        <v>59.3</v>
      </c>
      <c r="C879" s="55">
        <f>Table9[[#This Row],[PMI]]-B878</f>
        <v/>
      </c>
    </row>
    <row r="880">
      <c r="A880" s="54" t="n">
        <v>44136</v>
      </c>
      <c r="B880" s="55" t="n">
        <v>57.5</v>
      </c>
      <c r="C880" s="55">
        <f>Table9[[#This Row],[PMI]]-B879</f>
        <v/>
      </c>
    </row>
    <row r="881">
      <c r="A881" s="60" t="n">
        <v>44166</v>
      </c>
      <c r="B881" s="55" t="n">
        <v>60.5</v>
      </c>
      <c r="C881" s="55">
        <f>Table9[[#This Row],[PMI]]-B880</f>
        <v/>
      </c>
    </row>
    <row r="882">
      <c r="A882" s="54" t="n">
        <v>44197</v>
      </c>
      <c r="B882" s="55" t="n">
        <v>58.7</v>
      </c>
      <c r="C882" s="55">
        <f>Table9[[#This Row],[PMI]]-B881</f>
        <v/>
      </c>
    </row>
    <row r="883">
      <c r="A883" s="60" t="n">
        <v>44228</v>
      </c>
      <c r="B883" s="55" t="n">
        <v>60.8</v>
      </c>
      <c r="C883" s="55">
        <f>Table9[[#This Row],[PMI]]-B882</f>
        <v/>
      </c>
    </row>
    <row r="884">
      <c r="A884" s="54" t="n">
        <v>44256</v>
      </c>
      <c r="B884" s="55" t="n">
        <v>64.7</v>
      </c>
      <c r="C884" s="55">
        <f>Table9[[#This Row],[PMI]]-B883</f>
        <v/>
      </c>
    </row>
    <row r="885">
      <c r="A885" s="60" t="n">
        <v>44287</v>
      </c>
      <c r="B885" s="55" t="n">
        <v>60.7</v>
      </c>
      <c r="C885" s="55">
        <f>Table9[[#This Row],[PMI]]-B884</f>
        <v/>
      </c>
    </row>
    <row r="886">
      <c r="A886" s="54" t="n">
        <v>44317</v>
      </c>
      <c r="B886" s="55" t="n">
        <v>61.2</v>
      </c>
      <c r="C886" s="55">
        <f>Table9[[#This Row],[PMI]]-B885</f>
        <v/>
      </c>
    </row>
    <row r="887">
      <c r="A887" s="60" t="n">
        <v>44348</v>
      </c>
      <c r="B887" s="55" t="n">
        <v>60.6</v>
      </c>
      <c r="C887" s="55">
        <f>Table9[[#This Row],[PMI]]-B886</f>
        <v/>
      </c>
    </row>
    <row r="888">
      <c r="A888" s="54" t="n">
        <v>44378</v>
      </c>
      <c r="B888" s="55" t="n">
        <v>59.5</v>
      </c>
      <c r="C888" s="55">
        <f>Table9[[#This Row],[PMI]]-B887</f>
        <v/>
      </c>
    </row>
    <row r="889">
      <c r="A889" s="60" t="n">
        <v>44409</v>
      </c>
      <c r="B889" s="55" t="n">
        <v>59.9</v>
      </c>
      <c r="C889" s="55">
        <f>Table9[[#This Row],[PMI]]-B888</f>
        <v/>
      </c>
    </row>
    <row r="890">
      <c r="A890" s="54" t="n">
        <v>44440</v>
      </c>
      <c r="B890" s="55" t="n">
        <v>61.1</v>
      </c>
      <c r="C890" s="55">
        <f>Table9[[#This Row],[PMI]]-B889</f>
        <v/>
      </c>
    </row>
  </sheetData>
  <conditionalFormatting sqref="B750:B89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codeName="Sheet6">
    <outlinePr summaryBelow="1" summaryRight="1"/>
    <pageSetUpPr/>
  </sheetPr>
  <dimension ref="B2:D343"/>
  <sheetViews>
    <sheetView zoomScale="190" zoomScaleNormal="190" workbookViewId="0">
      <pane xSplit="1" ySplit="2" topLeftCell="B305" activePane="bottomRight" state="frozen"/>
      <selection pane="topRight" activeCell="B1" sqref="B1"/>
      <selection pane="bottomLeft" activeCell="A3" sqref="A3"/>
      <selection pane="bottomRight" activeCell="D194" sqref="D194"/>
    </sheetView>
  </sheetViews>
  <sheetFormatPr baseColWidth="10" defaultColWidth="8.83203125" defaultRowHeight="15"/>
  <cols>
    <col width="3.33203125" customWidth="1" style="116" min="1" max="1"/>
    <col width="19.1640625" customWidth="1" style="117" min="2" max="2"/>
    <col width="12.83203125" customWidth="1" style="45" min="3" max="3"/>
    <col width="193.6640625" customWidth="1" style="116" min="4" max="4"/>
    <col width="9.1640625" customWidth="1" style="116" min="5" max="257"/>
    <col width="19.1640625" customWidth="1" style="116" min="258" max="258"/>
    <col width="9.1640625" customWidth="1" style="116" min="259" max="259"/>
    <col width="141.1640625" customWidth="1" style="116" min="260" max="260"/>
    <col width="9.1640625" customWidth="1" style="116" min="261" max="513"/>
    <col width="19.1640625" customWidth="1" style="116" min="514" max="514"/>
    <col width="9.1640625" customWidth="1" style="116" min="515" max="515"/>
    <col width="141.1640625" customWidth="1" style="116" min="516" max="516"/>
    <col width="9.1640625" customWidth="1" style="116" min="517" max="769"/>
    <col width="19.1640625" customWidth="1" style="116" min="770" max="770"/>
    <col width="9.1640625" customWidth="1" style="116" min="771" max="771"/>
    <col width="141.1640625" customWidth="1" style="116" min="772" max="772"/>
    <col width="9.1640625" customWidth="1" style="116" min="773" max="1025"/>
    <col width="19.1640625" customWidth="1" style="116" min="1026" max="1026"/>
    <col width="9.1640625" customWidth="1" style="116" min="1027" max="1027"/>
    <col width="141.1640625" customWidth="1" style="116" min="1028" max="1028"/>
    <col width="9.1640625" customWidth="1" style="116" min="1029" max="1281"/>
    <col width="19.1640625" customWidth="1" style="116" min="1282" max="1282"/>
    <col width="9.1640625" customWidth="1" style="116" min="1283" max="1283"/>
    <col width="141.1640625" customWidth="1" style="116" min="1284" max="1284"/>
    <col width="9.1640625" customWidth="1" style="116" min="1285" max="1537"/>
    <col width="19.1640625" customWidth="1" style="116" min="1538" max="1538"/>
    <col width="9.1640625" customWidth="1" style="116" min="1539" max="1539"/>
    <col width="141.1640625" customWidth="1" style="116" min="1540" max="1540"/>
    <col width="9.1640625" customWidth="1" style="116" min="1541" max="1793"/>
    <col width="19.1640625" customWidth="1" style="116" min="1794" max="1794"/>
    <col width="9.1640625" customWidth="1" style="116" min="1795" max="1795"/>
    <col width="141.1640625" customWidth="1" style="116" min="1796" max="1796"/>
    <col width="9.1640625" customWidth="1" style="116" min="1797" max="2049"/>
    <col width="19.1640625" customWidth="1" style="116" min="2050" max="2050"/>
    <col width="9.1640625" customWidth="1" style="116" min="2051" max="2051"/>
    <col width="141.1640625" customWidth="1" style="116" min="2052" max="2052"/>
    <col width="9.1640625" customWidth="1" style="116" min="2053" max="2305"/>
    <col width="19.1640625" customWidth="1" style="116" min="2306" max="2306"/>
    <col width="9.1640625" customWidth="1" style="116" min="2307" max="2307"/>
    <col width="141.1640625" customWidth="1" style="116" min="2308" max="2308"/>
    <col width="9.1640625" customWidth="1" style="116" min="2309" max="2561"/>
    <col width="19.1640625" customWidth="1" style="116" min="2562" max="2562"/>
    <col width="9.1640625" customWidth="1" style="116" min="2563" max="2563"/>
    <col width="141.1640625" customWidth="1" style="116" min="2564" max="2564"/>
    <col width="9.1640625" customWidth="1" style="116" min="2565" max="2817"/>
    <col width="19.1640625" customWidth="1" style="116" min="2818" max="2818"/>
    <col width="9.1640625" customWidth="1" style="116" min="2819" max="2819"/>
    <col width="141.1640625" customWidth="1" style="116" min="2820" max="2820"/>
    <col width="9.1640625" customWidth="1" style="116" min="2821" max="3073"/>
    <col width="19.1640625" customWidth="1" style="116" min="3074" max="3074"/>
    <col width="9.1640625" customWidth="1" style="116" min="3075" max="3075"/>
    <col width="141.1640625" customWidth="1" style="116" min="3076" max="3076"/>
    <col width="9.1640625" customWidth="1" style="116" min="3077" max="3329"/>
    <col width="19.1640625" customWidth="1" style="116" min="3330" max="3330"/>
    <col width="9.1640625" customWidth="1" style="116" min="3331" max="3331"/>
    <col width="141.1640625" customWidth="1" style="116" min="3332" max="3332"/>
    <col width="9.1640625" customWidth="1" style="116" min="3333" max="3585"/>
    <col width="19.1640625" customWidth="1" style="116" min="3586" max="3586"/>
    <col width="9.1640625" customWidth="1" style="116" min="3587" max="3587"/>
    <col width="141.1640625" customWidth="1" style="116" min="3588" max="3588"/>
    <col width="9.1640625" customWidth="1" style="116" min="3589" max="3841"/>
    <col width="19.1640625" customWidth="1" style="116" min="3842" max="3842"/>
    <col width="9.1640625" customWidth="1" style="116" min="3843" max="3843"/>
    <col width="141.1640625" customWidth="1" style="116" min="3844" max="3844"/>
    <col width="9.1640625" customWidth="1" style="116" min="3845" max="4097"/>
    <col width="19.1640625" customWidth="1" style="116" min="4098" max="4098"/>
    <col width="9.1640625" customWidth="1" style="116" min="4099" max="4099"/>
    <col width="141.1640625" customWidth="1" style="116" min="4100" max="4100"/>
    <col width="9.1640625" customWidth="1" style="116" min="4101" max="4353"/>
    <col width="19.1640625" customWidth="1" style="116" min="4354" max="4354"/>
    <col width="9.1640625" customWidth="1" style="116" min="4355" max="4355"/>
    <col width="141.1640625" customWidth="1" style="116" min="4356" max="4356"/>
    <col width="9.1640625" customWidth="1" style="116" min="4357" max="4609"/>
    <col width="19.1640625" customWidth="1" style="116" min="4610" max="4610"/>
    <col width="9.1640625" customWidth="1" style="116" min="4611" max="4611"/>
    <col width="141.1640625" customWidth="1" style="116" min="4612" max="4612"/>
    <col width="9.1640625" customWidth="1" style="116" min="4613" max="4865"/>
    <col width="19.1640625" customWidth="1" style="116" min="4866" max="4866"/>
    <col width="9.1640625" customWidth="1" style="116" min="4867" max="4867"/>
    <col width="141.1640625" customWidth="1" style="116" min="4868" max="4868"/>
    <col width="9.1640625" customWidth="1" style="116" min="4869" max="5121"/>
    <col width="19.1640625" customWidth="1" style="116" min="5122" max="5122"/>
    <col width="9.1640625" customWidth="1" style="116" min="5123" max="5123"/>
    <col width="141.1640625" customWidth="1" style="116" min="5124" max="5124"/>
    <col width="9.1640625" customWidth="1" style="116" min="5125" max="5377"/>
    <col width="19.1640625" customWidth="1" style="116" min="5378" max="5378"/>
    <col width="9.1640625" customWidth="1" style="116" min="5379" max="5379"/>
    <col width="141.1640625" customWidth="1" style="116" min="5380" max="5380"/>
    <col width="9.1640625" customWidth="1" style="116" min="5381" max="5633"/>
    <col width="19.1640625" customWidth="1" style="116" min="5634" max="5634"/>
    <col width="9.1640625" customWidth="1" style="116" min="5635" max="5635"/>
    <col width="141.1640625" customWidth="1" style="116" min="5636" max="5636"/>
    <col width="9.1640625" customWidth="1" style="116" min="5637" max="5889"/>
    <col width="19.1640625" customWidth="1" style="116" min="5890" max="5890"/>
    <col width="9.1640625" customWidth="1" style="116" min="5891" max="5891"/>
    <col width="141.1640625" customWidth="1" style="116" min="5892" max="5892"/>
    <col width="9.1640625" customWidth="1" style="116" min="5893" max="6145"/>
    <col width="19.1640625" customWidth="1" style="116" min="6146" max="6146"/>
    <col width="9.1640625" customWidth="1" style="116" min="6147" max="6147"/>
    <col width="141.1640625" customWidth="1" style="116" min="6148" max="6148"/>
    <col width="9.1640625" customWidth="1" style="116" min="6149" max="6401"/>
    <col width="19.1640625" customWidth="1" style="116" min="6402" max="6402"/>
    <col width="9.1640625" customWidth="1" style="116" min="6403" max="6403"/>
    <col width="141.1640625" customWidth="1" style="116" min="6404" max="6404"/>
    <col width="9.1640625" customWidth="1" style="116" min="6405" max="6657"/>
    <col width="19.1640625" customWidth="1" style="116" min="6658" max="6658"/>
    <col width="9.1640625" customWidth="1" style="116" min="6659" max="6659"/>
    <col width="141.1640625" customWidth="1" style="116" min="6660" max="6660"/>
    <col width="9.1640625" customWidth="1" style="116" min="6661" max="6913"/>
    <col width="19.1640625" customWidth="1" style="116" min="6914" max="6914"/>
    <col width="9.1640625" customWidth="1" style="116" min="6915" max="6915"/>
    <col width="141.1640625" customWidth="1" style="116" min="6916" max="6916"/>
    <col width="9.1640625" customWidth="1" style="116" min="6917" max="7169"/>
    <col width="19.1640625" customWidth="1" style="116" min="7170" max="7170"/>
    <col width="9.1640625" customWidth="1" style="116" min="7171" max="7171"/>
    <col width="141.1640625" customWidth="1" style="116" min="7172" max="7172"/>
    <col width="9.1640625" customWidth="1" style="116" min="7173" max="7425"/>
    <col width="19.1640625" customWidth="1" style="116" min="7426" max="7426"/>
    <col width="9.1640625" customWidth="1" style="116" min="7427" max="7427"/>
    <col width="141.1640625" customWidth="1" style="116" min="7428" max="7428"/>
    <col width="9.1640625" customWidth="1" style="116" min="7429" max="7681"/>
    <col width="19.1640625" customWidth="1" style="116" min="7682" max="7682"/>
    <col width="9.1640625" customWidth="1" style="116" min="7683" max="7683"/>
    <col width="141.1640625" customWidth="1" style="116" min="7684" max="7684"/>
    <col width="9.1640625" customWidth="1" style="116" min="7685" max="7937"/>
    <col width="19.1640625" customWidth="1" style="116" min="7938" max="7938"/>
    <col width="9.1640625" customWidth="1" style="116" min="7939" max="7939"/>
    <col width="141.1640625" customWidth="1" style="116" min="7940" max="7940"/>
    <col width="9.1640625" customWidth="1" style="116" min="7941" max="8193"/>
    <col width="19.1640625" customWidth="1" style="116" min="8194" max="8194"/>
    <col width="9.1640625" customWidth="1" style="116" min="8195" max="8195"/>
    <col width="141.1640625" customWidth="1" style="116" min="8196" max="8196"/>
    <col width="9.1640625" customWidth="1" style="116" min="8197" max="8449"/>
    <col width="19.1640625" customWidth="1" style="116" min="8450" max="8450"/>
    <col width="9.1640625" customWidth="1" style="116" min="8451" max="8451"/>
    <col width="141.1640625" customWidth="1" style="116" min="8452" max="8452"/>
    <col width="9.1640625" customWidth="1" style="116" min="8453" max="8705"/>
    <col width="19.1640625" customWidth="1" style="116" min="8706" max="8706"/>
    <col width="9.1640625" customWidth="1" style="116" min="8707" max="8707"/>
    <col width="141.1640625" customWidth="1" style="116" min="8708" max="8708"/>
    <col width="9.1640625" customWidth="1" style="116" min="8709" max="8961"/>
    <col width="19.1640625" customWidth="1" style="116" min="8962" max="8962"/>
    <col width="9.1640625" customWidth="1" style="116" min="8963" max="8963"/>
    <col width="141.1640625" customWidth="1" style="116" min="8964" max="8964"/>
    <col width="9.1640625" customWidth="1" style="116" min="8965" max="9217"/>
    <col width="19.1640625" customWidth="1" style="116" min="9218" max="9218"/>
    <col width="9.1640625" customWidth="1" style="116" min="9219" max="9219"/>
    <col width="141.1640625" customWidth="1" style="116" min="9220" max="9220"/>
    <col width="9.1640625" customWidth="1" style="116" min="9221" max="9473"/>
    <col width="19.1640625" customWidth="1" style="116" min="9474" max="9474"/>
    <col width="9.1640625" customWidth="1" style="116" min="9475" max="9475"/>
    <col width="141.1640625" customWidth="1" style="116" min="9476" max="9476"/>
    <col width="9.1640625" customWidth="1" style="116" min="9477" max="9729"/>
    <col width="19.1640625" customWidth="1" style="116" min="9730" max="9730"/>
    <col width="9.1640625" customWidth="1" style="116" min="9731" max="9731"/>
    <col width="141.1640625" customWidth="1" style="116" min="9732" max="9732"/>
    <col width="9.1640625" customWidth="1" style="116" min="9733" max="9985"/>
    <col width="19.1640625" customWidth="1" style="116" min="9986" max="9986"/>
    <col width="9.1640625" customWidth="1" style="116" min="9987" max="9987"/>
    <col width="141.1640625" customWidth="1" style="116" min="9988" max="9988"/>
    <col width="9.1640625" customWidth="1" style="116" min="9989" max="10241"/>
    <col width="19.1640625" customWidth="1" style="116" min="10242" max="10242"/>
    <col width="9.1640625" customWidth="1" style="116" min="10243" max="10243"/>
    <col width="141.1640625" customWidth="1" style="116" min="10244" max="10244"/>
    <col width="9.1640625" customWidth="1" style="116" min="10245" max="10497"/>
    <col width="19.1640625" customWidth="1" style="116" min="10498" max="10498"/>
    <col width="9.1640625" customWidth="1" style="116" min="10499" max="10499"/>
    <col width="141.1640625" customWidth="1" style="116" min="10500" max="10500"/>
    <col width="9.1640625" customWidth="1" style="116" min="10501" max="10753"/>
    <col width="19.1640625" customWidth="1" style="116" min="10754" max="10754"/>
    <col width="9.1640625" customWidth="1" style="116" min="10755" max="10755"/>
    <col width="141.1640625" customWidth="1" style="116" min="10756" max="10756"/>
    <col width="9.1640625" customWidth="1" style="116" min="10757" max="11009"/>
    <col width="19.1640625" customWidth="1" style="116" min="11010" max="11010"/>
    <col width="9.1640625" customWidth="1" style="116" min="11011" max="11011"/>
    <col width="141.1640625" customWidth="1" style="116" min="11012" max="11012"/>
    <col width="9.1640625" customWidth="1" style="116" min="11013" max="11265"/>
    <col width="19.1640625" customWidth="1" style="116" min="11266" max="11266"/>
    <col width="9.1640625" customWidth="1" style="116" min="11267" max="11267"/>
    <col width="141.1640625" customWidth="1" style="116" min="11268" max="11268"/>
    <col width="9.1640625" customWidth="1" style="116" min="11269" max="11521"/>
    <col width="19.1640625" customWidth="1" style="116" min="11522" max="11522"/>
    <col width="9.1640625" customWidth="1" style="116" min="11523" max="11523"/>
    <col width="141.1640625" customWidth="1" style="116" min="11524" max="11524"/>
    <col width="9.1640625" customWidth="1" style="116" min="11525" max="11777"/>
    <col width="19.1640625" customWidth="1" style="116" min="11778" max="11778"/>
    <col width="9.1640625" customWidth="1" style="116" min="11779" max="11779"/>
    <col width="141.1640625" customWidth="1" style="116" min="11780" max="11780"/>
    <col width="9.1640625" customWidth="1" style="116" min="11781" max="12033"/>
    <col width="19.1640625" customWidth="1" style="116" min="12034" max="12034"/>
    <col width="9.1640625" customWidth="1" style="116" min="12035" max="12035"/>
    <col width="141.1640625" customWidth="1" style="116" min="12036" max="12036"/>
    <col width="9.1640625" customWidth="1" style="116" min="12037" max="12289"/>
    <col width="19.1640625" customWidth="1" style="116" min="12290" max="12290"/>
    <col width="9.1640625" customWidth="1" style="116" min="12291" max="12291"/>
    <col width="141.1640625" customWidth="1" style="116" min="12292" max="12292"/>
    <col width="9.1640625" customWidth="1" style="116" min="12293" max="12545"/>
    <col width="19.1640625" customWidth="1" style="116" min="12546" max="12546"/>
    <col width="9.1640625" customWidth="1" style="116" min="12547" max="12547"/>
    <col width="141.1640625" customWidth="1" style="116" min="12548" max="12548"/>
    <col width="9.1640625" customWidth="1" style="116" min="12549" max="12801"/>
    <col width="19.1640625" customWidth="1" style="116" min="12802" max="12802"/>
    <col width="9.1640625" customWidth="1" style="116" min="12803" max="12803"/>
    <col width="141.1640625" customWidth="1" style="116" min="12804" max="12804"/>
    <col width="9.1640625" customWidth="1" style="116" min="12805" max="13057"/>
    <col width="19.1640625" customWidth="1" style="116" min="13058" max="13058"/>
    <col width="9.1640625" customWidth="1" style="116" min="13059" max="13059"/>
    <col width="141.1640625" customWidth="1" style="116" min="13060" max="13060"/>
    <col width="9.1640625" customWidth="1" style="116" min="13061" max="13313"/>
    <col width="19.1640625" customWidth="1" style="116" min="13314" max="13314"/>
    <col width="9.1640625" customWidth="1" style="116" min="13315" max="13315"/>
    <col width="141.1640625" customWidth="1" style="116" min="13316" max="13316"/>
    <col width="9.1640625" customWidth="1" style="116" min="13317" max="13569"/>
    <col width="19.1640625" customWidth="1" style="116" min="13570" max="13570"/>
    <col width="9.1640625" customWidth="1" style="116" min="13571" max="13571"/>
    <col width="141.1640625" customWidth="1" style="116" min="13572" max="13572"/>
    <col width="9.1640625" customWidth="1" style="116" min="13573" max="13825"/>
    <col width="19.1640625" customWidth="1" style="116" min="13826" max="13826"/>
    <col width="9.1640625" customWidth="1" style="116" min="13827" max="13827"/>
    <col width="141.1640625" customWidth="1" style="116" min="13828" max="13828"/>
    <col width="9.1640625" customWidth="1" style="116" min="13829" max="14081"/>
    <col width="19.1640625" customWidth="1" style="116" min="14082" max="14082"/>
    <col width="9.1640625" customWidth="1" style="116" min="14083" max="14083"/>
    <col width="141.1640625" customWidth="1" style="116" min="14084" max="14084"/>
    <col width="9.1640625" customWidth="1" style="116" min="14085" max="14337"/>
    <col width="19.1640625" customWidth="1" style="116" min="14338" max="14338"/>
    <col width="9.1640625" customWidth="1" style="116" min="14339" max="14339"/>
    <col width="141.1640625" customWidth="1" style="116" min="14340" max="14340"/>
    <col width="9.1640625" customWidth="1" style="116" min="14341" max="14593"/>
    <col width="19.1640625" customWidth="1" style="116" min="14594" max="14594"/>
    <col width="9.1640625" customWidth="1" style="116" min="14595" max="14595"/>
    <col width="141.1640625" customWidth="1" style="116" min="14596" max="14596"/>
    <col width="9.1640625" customWidth="1" style="116" min="14597" max="14849"/>
    <col width="19.1640625" customWidth="1" style="116" min="14850" max="14850"/>
    <col width="9.1640625" customWidth="1" style="116" min="14851" max="14851"/>
    <col width="141.1640625" customWidth="1" style="116" min="14852" max="14852"/>
    <col width="9.1640625" customWidth="1" style="116" min="14853" max="15105"/>
    <col width="19.1640625" customWidth="1" style="116" min="15106" max="15106"/>
    <col width="9.1640625" customWidth="1" style="116" min="15107" max="15107"/>
    <col width="141.1640625" customWidth="1" style="116" min="15108" max="15108"/>
    <col width="9.1640625" customWidth="1" style="116" min="15109" max="15361"/>
    <col width="19.1640625" customWidth="1" style="116" min="15362" max="15362"/>
    <col width="9.1640625" customWidth="1" style="116" min="15363" max="15363"/>
    <col width="141.1640625" customWidth="1" style="116" min="15364" max="15364"/>
    <col width="9.1640625" customWidth="1" style="116" min="15365" max="15617"/>
    <col width="19.1640625" customWidth="1" style="116" min="15618" max="15618"/>
    <col width="9.1640625" customWidth="1" style="116" min="15619" max="15619"/>
    <col width="141.1640625" customWidth="1" style="116" min="15620" max="15620"/>
    <col width="9.1640625" customWidth="1" style="116" min="15621" max="15873"/>
    <col width="19.1640625" customWidth="1" style="116" min="15874" max="15874"/>
    <col width="9.1640625" customWidth="1" style="116" min="15875" max="15875"/>
    <col width="141.1640625" customWidth="1" style="116" min="15876" max="15876"/>
    <col width="9.1640625" customWidth="1" style="116" min="15877" max="16129"/>
    <col width="19.1640625" customWidth="1" style="116" min="16130" max="16130"/>
    <col width="9.1640625" customWidth="1" style="116" min="16131" max="16131"/>
    <col width="141.1640625" customWidth="1" style="116" min="16132" max="16132"/>
    <col width="9.1640625" customWidth="1" style="116" min="16133" max="16384"/>
  </cols>
  <sheetData>
    <row r="2" ht="16" customHeight="1" thickBot="1">
      <c r="B2" s="35" t="inlineStr">
        <is>
          <t>Sector</t>
        </is>
      </c>
      <c r="C2" s="36" t="inlineStr">
        <is>
          <t>Month</t>
        </is>
      </c>
      <c r="D2" s="34" t="inlineStr">
        <is>
          <t>Comments</t>
        </is>
      </c>
    </row>
    <row r="3" ht="30" customHeight="1">
      <c r="B3" s="38" t="inlineStr">
        <is>
          <t>Apparel, Leather &amp; Allied Products</t>
        </is>
      </c>
      <c r="C3" s="47" t="n">
        <v>43922</v>
      </c>
      <c r="D3" s="39"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4" ht="16" customHeight="1" thickBot="1">
      <c r="B4" s="43" t="n"/>
      <c r="C4" s="49" t="n">
        <v>43525</v>
      </c>
      <c r="D4" s="41" t="inlineStr">
        <is>
          <t>“Skilled labor is still tough to find.” (Apparel, Leather &amp; Allied Products)</t>
        </is>
      </c>
    </row>
    <row r="5">
      <c r="B5" s="38" t="inlineStr">
        <is>
          <t>Chemical Products</t>
        </is>
      </c>
      <c r="C5" s="47" t="n">
        <v>44440</v>
      </c>
      <c r="D5" s="39"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6">
      <c r="B6" s="42" t="n"/>
      <c r="C6" s="48" t="n">
        <v>44409</v>
      </c>
      <c r="D6" s="40"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7">
      <c r="B7" s="42" t="n"/>
      <c r="C7" s="48" t="n">
        <v>44348</v>
      </c>
      <c r="D7" s="40"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8">
      <c r="B8" s="42" t="n"/>
      <c r="C8" s="48" t="n">
        <v>44348</v>
      </c>
      <c r="D8" s="40" t="inlineStr">
        <is>
          <t>“Continue to see very strong demand across all business units. In many cases, we are limited on our ability to supply by raw-materials availability. Still running at record volume but could be producing much more. Even if we were able to get all the raw materials needed, we would have capacity issues on many of our production units. Manpower has been a concern.” [Chemical Products]</t>
        </is>
      </c>
    </row>
    <row r="9">
      <c r="B9" s="42" t="n"/>
      <c r="C9" s="48" t="n">
        <v>44317</v>
      </c>
      <c r="D9" s="40" t="inlineStr">
        <is>
          <t>“Changes in currency exchange rates favorably contributed to our quarterly performance. Continued strong consumer demand for our high-quality products also provided increased sales.” [Chemical Products]</t>
        </is>
      </c>
    </row>
    <row r="10">
      <c r="B10" s="42" t="n"/>
      <c r="C10" s="48" t="n">
        <v>44287</v>
      </c>
      <c r="D10" s="40"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11">
      <c r="B11" s="42" t="n"/>
      <c r="C11" s="48" t="n">
        <v>44256</v>
      </c>
      <c r="D11" s="40" t="inlineStr">
        <is>
          <t>“Demand remains strong. Significant supply impacts on raw materials due to the Texas freeze. All major raw-material and suppliers on force majeure.” (Chemical Products)</t>
        </is>
      </c>
    </row>
    <row r="12">
      <c r="B12" s="42" t="n"/>
      <c r="C12" s="48" t="n">
        <v>44228</v>
      </c>
      <c r="D12" s="40" t="inlineStr">
        <is>
          <t>“Supply chains are depleted; inventories up and down the supply chain are empty. Lead times increasing, prices increasing, [and] demand increasing. Deep freeze in the Gulf Coast expected to extend duration of shortages.” (Chemical Products)</t>
        </is>
      </c>
    </row>
    <row r="13">
      <c r="B13" s="42" t="n"/>
      <c r="C13" s="48" t="n">
        <v>44197</v>
      </c>
      <c r="D13" s="40" t="inlineStr">
        <is>
          <t>“Business remains strong. Manufacturing running at full capacity.” (Chemical Products)</t>
        </is>
      </c>
    </row>
    <row r="14">
      <c r="B14" s="42" t="n"/>
      <c r="C14" s="48" t="n">
        <v>44166</v>
      </c>
      <c r="D14" s="40" t="inlineStr">
        <is>
          <t>“Continued to survive COVID-19 shutdowns, customer restrictions and personnel issues (work from home and COVID-19 outbreaks) and managed to maintain slight growth over 2019.” (Chemical Products)</t>
        </is>
      </c>
    </row>
    <row r="15">
      <c r="B15" s="42" t="n"/>
      <c r="C15" s="48" t="n">
        <v>44136</v>
      </c>
      <c r="D15" s="40" t="inlineStr">
        <is>
          <t>“Production issues for petrochemicals are getting resolved after a very active hurricane season. That is helping balance supply and demand.” (Chemical Products)</t>
        </is>
      </c>
    </row>
    <row r="16">
      <c r="B16" s="42" t="n"/>
      <c r="C16" s="48" t="n">
        <v>44105</v>
      </c>
      <c r="D16" s="40"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17">
      <c r="B17" s="42" t="n"/>
      <c r="C17" s="48" t="n">
        <v>44075</v>
      </c>
      <c r="D17" s="40" t="inlineStr">
        <is>
          <t>“Volume remains lower than one year ago but has steadily improved over the past two periods.” (Chemical Products)</t>
        </is>
      </c>
    </row>
    <row r="18">
      <c r="B18" s="42" t="n"/>
      <c r="C18" s="48" t="n">
        <v>44044</v>
      </c>
      <c r="D18" s="40" t="inlineStr">
        <is>
          <t>"Business is very good. Production cannot keep up with demand. Some upstream supply chains are starting to have issues with raw material and/or transportation availability. "(Chemical Products)</t>
        </is>
      </c>
    </row>
    <row r="19">
      <c r="B19" s="42" t="n"/>
      <c r="C19" s="48" t="n">
        <v>44013</v>
      </c>
      <c r="D19" s="40" t="inlineStr">
        <is>
          <t>“Orders starting to pick up. [An] increase of about 35 percent to 40 percent.” (Chemical Products)</t>
        </is>
      </c>
    </row>
    <row r="20">
      <c r="B20" s="42" t="n"/>
      <c r="C20" s="48" t="n">
        <v>43983</v>
      </c>
      <c r="D20" s="40" t="inlineStr">
        <is>
          <t>“While we are seeing signs of an uptick in business activity, it is a slow recovery at this point.” (Chemical Products)</t>
        </is>
      </c>
    </row>
    <row r="21">
      <c r="B21" s="42" t="n"/>
      <c r="C21" s="48" t="n">
        <v>43952</v>
      </c>
      <c r="D21" s="40" t="inlineStr">
        <is>
          <t>“Current conditions in the automotive, construction, oil and gas, agriculture equipment, and tube/pipe markets are all adversely impacting our business results.” (Chemical Products)</t>
        </is>
      </c>
    </row>
    <row r="22">
      <c r="B22" s="42" t="n"/>
      <c r="C22" s="48" t="n">
        <v>43922</v>
      </c>
      <c r="D22" s="40" t="inlineStr">
        <is>
          <t>“Production stopped, other than to make hand sanitizer for those in need.” (Chemical Products)</t>
        </is>
      </c>
    </row>
    <row r="23">
      <c r="B23" s="42" t="n"/>
      <c r="C23" s="48" t="n">
        <v>43891</v>
      </c>
      <c r="D23" s="40" t="inlineStr">
        <is>
          <t>“The two main issues affecting our business [are] COVID-19 and the oil-price war. We are in daily discussions and meeting constantly, updating tracking logs to document high risk concerns.” (Chemical Products)</t>
        </is>
      </c>
    </row>
    <row r="24">
      <c r="B24" s="42" t="n"/>
      <c r="C24" s="48" t="n">
        <v>43862</v>
      </c>
      <c r="D24" s="40"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25">
      <c r="B25" s="42" t="n"/>
      <c r="C25" s="48" t="n">
        <v>43831</v>
      </c>
      <c r="D25" s="40" t="inlineStr">
        <is>
          <t>"Small signs of increased global demand in the chemical segment." (Chemical Products)</t>
        </is>
      </c>
    </row>
    <row r="26">
      <c r="B26" s="42" t="n"/>
      <c r="C26" s="48" t="n">
        <v>43800</v>
      </c>
      <c r="D26" s="40" t="inlineStr">
        <is>
          <t>"Due to sluggish sales, we have introduced promotions to generate increased sales." (Chemical Products)</t>
        </is>
      </c>
    </row>
    <row r="27">
      <c r="B27" s="42" t="n"/>
      <c r="C27" s="48" t="n">
        <v>43770</v>
      </c>
      <c r="D27" s="40" t="inlineStr">
        <is>
          <t>“Chemical industry has been slow globally, but the curve seems to be flattening.” (Chemical Products)</t>
        </is>
      </c>
    </row>
    <row r="28">
      <c r="B28" s="42" t="n"/>
      <c r="C28" s="48" t="n">
        <v>43739</v>
      </c>
      <c r="D28" s="40" t="inlineStr">
        <is>
          <t>“The chemical manufacturing industry is depressed; demand across many markets globally is down, and pricing is as a result.” (Chemical Products)</t>
        </is>
      </c>
    </row>
    <row r="29">
      <c r="B29" s="42" t="n"/>
      <c r="C29" s="48" t="n">
        <v>43709</v>
      </c>
      <c r="D29" s="40" t="inlineStr">
        <is>
          <t>“Continued softening in the global automotive market. Trade-war impacts also have localized effects, particularly in select export markets. Seeing warehouses filling again after what appeared to be a short reduction of demand.” (Chemical Products)</t>
        </is>
      </c>
    </row>
    <row r="30">
      <c r="B30" s="42" t="n"/>
      <c r="C30" s="48" t="n">
        <v>43678</v>
      </c>
      <c r="D30" s="40" t="inlineStr">
        <is>
          <t>"While business is strong, there is an undercurrent of fear and alarm regarding the trade wars and a potential recession." (Chemical Products)</t>
        </is>
      </c>
    </row>
    <row r="31">
      <c r="B31" s="42" t="n"/>
      <c r="C31" s="48" t="n">
        <v>43647</v>
      </c>
      <c r="D31" s="40" t="inlineStr">
        <is>
          <t>“Weakness in end markets accelerating rapidly. Continuing to reduce production based on weakening demand and declining current orders.” (Chemical Products)</t>
        </is>
      </c>
    </row>
    <row r="32">
      <c r="B32" s="42" t="n"/>
      <c r="C32" s="48" t="n">
        <v>43617</v>
      </c>
      <c r="D32" s="40" t="inlineStr">
        <is>
          <t>“Tariffs are causing an increase in cost of goods, meaning U.S. consumers are paying more for products.” (Chemical Products)</t>
        </is>
      </c>
    </row>
    <row r="33">
      <c r="B33" s="42" t="n"/>
      <c r="C33" s="48" t="n">
        <v>43586</v>
      </c>
      <c r="D33" s="40" t="inlineStr">
        <is>
          <t>“The threat of additional tariffs has forced a change in our supply chain strategy; we are shifting business from China to Mexico, which will not increase the number of U.S. jobs.” (Chemical Products)</t>
        </is>
      </c>
    </row>
    <row r="34">
      <c r="B34" s="42" t="n"/>
      <c r="C34" s="48" t="n">
        <v>43556</v>
      </c>
      <c r="D34" s="40" t="inlineStr">
        <is>
          <t>"January and February were strong months. March softened significantly, eroding some of the [previous months'] gains." (Chemical Products)</t>
        </is>
      </c>
    </row>
    <row r="35">
      <c r="B35" s="42" t="n"/>
      <c r="C35" s="48" t="n">
        <v>43525</v>
      </c>
      <c r="D35" s="40" t="inlineStr">
        <is>
          <t>“Brexit continues to be a concern, despite the fact that our organization has already rolled out a plan to minimize its impact.” (Chemical Products)</t>
        </is>
      </c>
    </row>
    <row r="36">
      <c r="B36" s="42" t="n"/>
      <c r="C36" s="48" t="n">
        <v>43497</v>
      </c>
      <c r="D36" s="40" t="inlineStr">
        <is>
          <t>“Strong start to the year, though weather has been a challenge.” (Chemical Products)</t>
        </is>
      </c>
    </row>
    <row r="37" ht="16" customHeight="1" thickBot="1">
      <c r="B37" s="43" t="n"/>
      <c r="C37" s="49" t="n">
        <v>43466</v>
      </c>
      <c r="D37" s="41" t="inlineStr">
        <is>
          <t>“Concerns about oil prices are fueling questions of how strong the economy will be the first half of 2019.” (Chemical Products)</t>
        </is>
      </c>
    </row>
    <row r="38" ht="30" customHeight="1">
      <c r="B38" s="38" t="inlineStr">
        <is>
          <t>Computer &amp; Electronic Products</t>
        </is>
      </c>
      <c r="C38" s="47" t="n">
        <v>44440</v>
      </c>
      <c r="D38" s="39"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39">
      <c r="B39" s="42" t="n"/>
      <c r="C39" s="48" t="n">
        <v>44409</v>
      </c>
      <c r="D39" s="40" t="inlineStr">
        <is>
          <t>“Some factories have been impacted by COVID-19 cases. Malaysian government says factories can operate at only 60 percent of capacity.” [Computer &amp; Electronic Products]</t>
        </is>
      </c>
    </row>
    <row r="40">
      <c r="B40" s="42" t="n"/>
      <c r="C40" s="48" t="n">
        <v>44409</v>
      </c>
      <c r="D40" s="40" t="inlineStr">
        <is>
          <t>“The chip shortage is impacting supply lines. So far, we’ve been able to manage it without impacting clients." [Computer &amp; Electronic Products]</t>
        </is>
      </c>
    </row>
    <row r="41">
      <c r="B41" s="42" t="n"/>
      <c r="C41" s="48" t="n">
        <v>44378</v>
      </c>
      <c r="D41" s="40"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42">
      <c r="B42" s="42" t="n"/>
      <c r="C42" s="48" t="n">
        <v>44348</v>
      </c>
      <c r="D42" s="40"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43">
      <c r="B43" s="42" t="n"/>
      <c r="C43" s="48" t="n">
        <v>44317</v>
      </c>
      <c r="D43" s="40" t="inlineStr">
        <is>
          <t>“Supplier performance — deliveries, quality, it’s all suffering. Demand is high, and we are struggling to find employees to help us keep up.” [Computer &amp; Electronic Products]</t>
        </is>
      </c>
    </row>
    <row r="44">
      <c r="B44" s="42" t="n"/>
      <c r="C44" s="48" t="n">
        <v>44287</v>
      </c>
      <c r="D44" s="40" t="inlineStr">
        <is>
          <t>“The current electronics/semiconductor shortage is having tremendous impacts on lead times and pricing. Additionally, there appears to be a general inflation of prices across most, if not all, supply lines.” (Computer &amp; Electronic Products)</t>
        </is>
      </c>
    </row>
    <row r="45">
      <c r="B45" s="42" t="n"/>
      <c r="C45" s="48" t="n">
        <v>44256</v>
      </c>
      <c r="D45" s="40"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46">
      <c r="B46" s="42" t="n"/>
      <c r="C46" s="48" t="n">
        <v>44228</v>
      </c>
      <c r="D46" s="40"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47">
      <c r="B47" s="42" t="n"/>
      <c r="C47" s="48" t="n">
        <v>44197</v>
      </c>
      <c r="D47" s="40" t="inlineStr">
        <is>
          <t>“Supplier factory capacity is well utilized. Increased demand, labor constraints and upstream supply delays are pushing lead times. This is more prevalent with international than U.S.-based suppliers.” (Computer &amp; Electronic Products)</t>
        </is>
      </c>
    </row>
    <row r="48">
      <c r="B48" s="42" t="n"/>
      <c r="C48" s="48" t="n">
        <v>44166</v>
      </c>
      <c r="D48" s="40"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49">
      <c r="B49" s="42" t="n"/>
      <c r="C49" s="48" t="n">
        <v>44136</v>
      </c>
      <c r="D49" s="40" t="inlineStr">
        <is>
          <t>“Suppliers are still experiencing labor shortages resulting in component constraints. However, we're seeing life from customers, so there's a positive outlook moving into the first quarter of 2021.” (Computer &amp; Electronic Products)</t>
        </is>
      </c>
    </row>
    <row r="50">
      <c r="B50" s="42" t="n"/>
      <c r="C50" s="48" t="n">
        <v>44105</v>
      </c>
      <c r="D50" s="40" t="inlineStr">
        <is>
          <t>“COVID-19 continues to have an effect on supplier support and operations, more from a decreased labor perspective rather than unavailable material.” (Computer &amp; Electronic Products)</t>
        </is>
      </c>
    </row>
    <row r="51">
      <c r="B51" s="42" t="n"/>
      <c r="C51" s="48" t="n">
        <v>44075</v>
      </c>
      <c r="D51" s="40" t="inlineStr">
        <is>
          <t>“Still struggling with long lead times for components coming from China [contract manufacturers].” (Computer &amp; Electronic Products)</t>
        </is>
      </c>
    </row>
    <row r="52">
      <c r="B52" s="42" t="n"/>
      <c r="C52" s="48" t="n">
        <v>44044</v>
      </c>
      <c r="D52" s="40" t="inlineStr">
        <is>
          <t xml:space="preserve">Watching COVID-19 situations in Mexico, Brazil, Philippines [and] Hong Kong. High rates of COVID-19 surging. Currently, lines of supply no longer impacted by COVID-19 related events. (Computer &amp; Electronic Products) </t>
        </is>
      </c>
    </row>
    <row r="53">
      <c r="B53" s="42" t="n"/>
      <c r="C53" s="48" t="n">
        <v>44013</v>
      </c>
      <c r="D53" s="40" t="inlineStr">
        <is>
          <t>“Manufacturing outlook has improved greatly in June, as business has resumed at nearly 100 percent. We have implemented a number of safeguards that are costing extra money, but we are running.” (Computer &amp; Electronic Products)</t>
        </is>
      </c>
    </row>
    <row r="54">
      <c r="B54" s="42" t="n"/>
      <c r="C54" s="48" t="n">
        <v>43952</v>
      </c>
      <c r="D54" s="40" t="inlineStr">
        <is>
          <t>“Despite the COVID-19 issues, we are seeing an increase of quoting activity. This has not turned into orders yet, but it is a positive sign.” (Computer &amp; Electronic Products)</t>
        </is>
      </c>
    </row>
    <row r="55">
      <c r="B55" s="42" t="n"/>
      <c r="C55" s="48" t="n">
        <v>43922</v>
      </c>
      <c r="D55" s="40" t="inlineStr">
        <is>
          <t>“Thirty-percent decrease for April due to COVID-19 impact on both customers and suppliers.” (Computer &amp; Electronic Products)</t>
        </is>
      </c>
    </row>
    <row r="56">
      <c r="B56" s="42" t="n"/>
      <c r="C56" s="48" t="n">
        <v>43891</v>
      </c>
      <c r="D56" s="40" t="inlineStr">
        <is>
          <t>“COVID-19 is impacting China’s raw material supply chain. We are now seeing revenue impact in that region. Our operations team is reviewing plans for spread of the virus.” (Computer &amp; Electronic Products)</t>
        </is>
      </c>
    </row>
    <row r="57">
      <c r="B57" s="42" t="n"/>
      <c r="C57" s="48" t="n">
        <v>43862</v>
      </c>
      <c r="D57" s="40"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58">
      <c r="B58" s="42" t="n"/>
      <c r="C58" s="48" t="n">
        <v>43831</v>
      </c>
      <c r="D58" s="40"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59">
      <c r="B59" s="42" t="n"/>
      <c r="C59" s="48" t="n">
        <v>43800</v>
      </c>
      <c r="D59" s="40" t="inlineStr">
        <is>
          <t>"Backlog of orders is shrinking due to new order pace continuing to fall." (Computer &amp; Electronic Products)</t>
        </is>
      </c>
    </row>
    <row r="60">
      <c r="B60" s="42" t="n"/>
      <c r="C60" s="48" t="n">
        <v>43770</v>
      </c>
      <c r="D60" s="40" t="inlineStr">
        <is>
          <t>“Business level is similar to October.” (Computer &amp; Electronic Products)</t>
        </is>
      </c>
    </row>
    <row r="61">
      <c r="B61" s="42" t="n"/>
      <c r="C61" s="48" t="n">
        <v>43739</v>
      </c>
      <c r="D61" s="40"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62">
      <c r="B62" s="42" t="n"/>
      <c r="C62" s="48" t="n">
        <v>43709</v>
      </c>
      <c r="D62" s="40" t="inlineStr">
        <is>
          <t>“Second month in a row in which shipments have outpaced new orders.” (Computer &amp; Electronic Products)</t>
        </is>
      </c>
    </row>
    <row r="63">
      <c r="B63" s="42" t="n"/>
      <c r="C63" s="48" t="n">
        <v>43678</v>
      </c>
      <c r="D63" s="40"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64">
      <c r="B64" s="42" t="n"/>
      <c r="C64" s="48" t="n">
        <v>43617</v>
      </c>
      <c r="D64" s="40" t="inlineStr">
        <is>
          <t>“China tariffs continue to be a concern. The uncertainty of future tariffs involving China, Canada, and Mexico is also a concern. China tariffs for electronic parts are averaging 17 percent.” (Computer &amp; Electronic Products)</t>
        </is>
      </c>
    </row>
    <row r="65">
      <c r="B65" s="42" t="n"/>
      <c r="C65" s="48" t="n">
        <v>43617</v>
      </c>
      <c r="D65" s="40" t="inlineStr">
        <is>
          <t>“China tariffs and pending Mexico tariffs are wreaking havoc with supply chains and costs. The situation is crazy, driving a huge amount of work [and] costs, as well as potential supply disruptions.” (Computer &amp; Electronic Products)</t>
        </is>
      </c>
    </row>
    <row r="66">
      <c r="B66" s="42" t="n"/>
      <c r="C66" s="48" t="n">
        <v>43586</v>
      </c>
      <c r="D66" s="40" t="inlineStr">
        <is>
          <t>“Ongoing tariffs [issue is] impacting costs and influencing supplier realignment on country of origin. Border issue is causing delays in imports from Mexico.” (Computer &amp; Electronic Products)</t>
        </is>
      </c>
    </row>
    <row r="67">
      <c r="B67" s="42" t="n"/>
      <c r="C67" s="48" t="n">
        <v>43556</v>
      </c>
      <c r="D67" s="40"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68">
      <c r="B68" s="42" t="n"/>
      <c r="C68" s="48" t="n">
        <v>43525</v>
      </c>
      <c r="D68" s="40" t="inlineStr">
        <is>
          <t>“The electronics industry seems to be slowly coming out of crisis mode. Lead times and costs have leveled out in some commodities, and dynamic random access memory (DRAM) prices are actually coming down.” (Computer &amp; Electronic Products)</t>
        </is>
      </c>
    </row>
    <row r="69">
      <c r="B69" s="42" t="n"/>
      <c r="C69" s="48" t="n">
        <v>43497</v>
      </c>
      <c r="D69" s="40"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70" ht="16" customHeight="1" thickBot="1">
      <c r="B70" s="43" t="n"/>
      <c r="C70" s="49" t="n">
        <v>43466</v>
      </c>
      <c r="D70" s="41" t="inlineStr">
        <is>
          <t>“Steady supply and production environment.” (Computer &amp; Electronic Products)</t>
        </is>
      </c>
    </row>
    <row r="71" ht="30" customHeight="1">
      <c r="B71" s="38" t="inlineStr">
        <is>
          <t>Electrical Equipment, Appliances &amp; Components</t>
        </is>
      </c>
      <c r="C71" s="47" t="n">
        <v>44440</v>
      </c>
      <c r="D71" s="39"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72">
      <c r="B72" s="42" t="n"/>
      <c r="C72" s="48" t="n">
        <v>44409</v>
      </c>
      <c r="D72" s="40"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73">
      <c r="B73" s="42" t="n"/>
      <c r="C73" s="48" t="n">
        <v>44348</v>
      </c>
      <c r="D73" s="40" t="inlineStr">
        <is>
          <t>“Higher prices, inflation and lack of available labor are impacting all organizations in our supply chain.” [Electrical Equipment, Appliances &amp; Components]</t>
        </is>
      </c>
    </row>
    <row r="74">
      <c r="B74" s="42" t="n"/>
      <c r="C74" s="48" t="n">
        <v>44317</v>
      </c>
      <c r="D74" s="40" t="inlineStr">
        <is>
          <t>“Labor shortages impacting internal and supplier production. Logistics performance is terrible.” [Electrical Equipment, Appliances &amp; Components]</t>
        </is>
      </c>
    </row>
    <row r="75">
      <c r="B75" s="42" t="n"/>
      <c r="C75" s="48" t="n">
        <v>44287</v>
      </c>
      <c r="D75" s="40" t="inlineStr">
        <is>
          <t>“It’s getting much more difficult to supply production with materials that are made with copper or steel. Lots of work on the floor, but I am worried about getting the materials to support.” (Electrical Equipment, Appliances &amp; Components)</t>
        </is>
      </c>
    </row>
    <row r="76">
      <c r="B76" s="42" t="n"/>
      <c r="C76" s="48" t="n">
        <v>44256</v>
      </c>
      <c r="D76" s="40" t="inlineStr">
        <is>
          <t>“Business is even stronger for us this year through the third quarter, and we expect a very healthy growth of our manufacturing sales.” (Electrical Equipment, Appliances &amp; Components)</t>
        </is>
      </c>
    </row>
    <row r="77">
      <c r="B77" s="42" t="n"/>
      <c r="C77" s="48" t="n">
        <v>44228</v>
      </c>
      <c r="D77" s="40" t="inlineStr">
        <is>
          <t>“Things are now out of control. Everything is a mess, and we are seeing wide-scale shortages.” (Electrical Equipment, Appliances &amp; Components)</t>
        </is>
      </c>
    </row>
    <row r="78">
      <c r="B78" s="42" t="n"/>
      <c r="C78" s="48" t="n">
        <v>44197</v>
      </c>
      <c r="D78" s="40"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79">
      <c r="B79" s="42" t="n"/>
      <c r="C79" s="48" t="n">
        <v>44166</v>
      </c>
      <c r="D79" s="40" t="inlineStr">
        <is>
          <t>“Business is stronger than expected, with higher demand for many products. Volatility continues due to the very persistent pandemic and associated risks.” (Electrical Equipment, Appliances &amp; Components)</t>
        </is>
      </c>
    </row>
    <row r="80">
      <c r="B80" s="42" t="n"/>
      <c r="C80" s="48" t="n">
        <v>44075</v>
      </c>
      <c r="D80" s="40"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81">
      <c r="B81" s="42" t="n"/>
      <c r="C81" s="48" t="n">
        <v>43678</v>
      </c>
      <c r="D81" s="40"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82">
      <c r="B82" s="42" t="n"/>
      <c r="C82" s="48" t="n">
        <v>43739</v>
      </c>
      <c r="D82" s="40" t="inlineStr">
        <is>
          <t>"The annual holiday slowdown was slightly more significant compared to the previous three years, heightening concerns over the 2020 first-quarter forecast." (Electrical Equipment, Appliances &amp; Components)</t>
        </is>
      </c>
    </row>
    <row r="83">
      <c r="B83" s="42" t="n"/>
      <c r="C83" s="48" t="n">
        <v>43739</v>
      </c>
      <c r="D83" s="40" t="inlineStr">
        <is>
          <t>“Our business levels have softened over the last three to five months, in the U.S. market [and] globally. Germany and China are both experiencing similar slowdowns. We are in the industrial industry, and the outlook appears to remain soft into Q1 of 2020.” (Electrical Equipment, Appliances &amp; Components)</t>
        </is>
      </c>
    </row>
    <row r="84">
      <c r="B84" s="42" t="n"/>
      <c r="C84" s="48" t="n">
        <v>43709</v>
      </c>
      <c r="D84" s="40" t="inlineStr">
        <is>
          <t>“Economy seems to be softening. The tariffs have caused much confusion in the industry.” (Electrical Equipment, Appliances &amp; Components)</t>
        </is>
      </c>
    </row>
    <row r="85">
      <c r="B85" s="42" t="n"/>
      <c r="C85" s="48" t="n">
        <v>43647</v>
      </c>
      <c r="D85" s="40" t="inlineStr">
        <is>
          <t>“General business trends are continuing to show signs of weakness resulting from tariffs and cost impacts of importing and exporting.” (Electrical Equipment, Appliances &amp; Components)</t>
        </is>
      </c>
    </row>
    <row r="86" ht="16" customHeight="1" thickBot="1">
      <c r="B86" s="43" t="n"/>
      <c r="C86" s="49" t="n">
        <v>43556</v>
      </c>
      <c r="D86" s="41"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87">
      <c r="B87" s="38" t="inlineStr">
        <is>
          <t>Fabricated Metal Products</t>
        </is>
      </c>
      <c r="C87" s="47" t="n">
        <v>44440</v>
      </c>
      <c r="D87" s="39" t="inlineStr">
        <is>
          <t>“Delivery and availability of raw materials, primarily carbon steel, are becoming more and more difficult to source. This has resulted in delaying order deliveries. Computer numerical control (CNC) machining services are at a premium; it’s difficult to get the deliveries needed to complete jobs. Traditional in-house machining now has to be outsourced due to a lack of experienced machinists. All this has had a negative impact on production throughput.” [Fabricated Metal Products]</t>
        </is>
      </c>
    </row>
    <row r="88">
      <c r="B88" s="42" t="n"/>
      <c r="C88" s="48" t="n">
        <v>44409</v>
      </c>
      <c r="D88" s="40" t="inlineStr">
        <is>
          <t>“Continue to be unable to hire hourly personnel or machine operators due to few applicants. Steel and aluminum remain in short supply. New business continues to grow and come in. Unable to handle influx of orders without staff, both hourly and salaried.” [Fabricated Metal Products]</t>
        </is>
      </c>
    </row>
    <row r="89">
      <c r="B89" s="42" t="n"/>
      <c r="C89" s="48" t="n">
        <v>44378</v>
      </c>
      <c r="D89" s="40"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90">
      <c r="B90" s="42" t="n"/>
      <c r="C90" s="48" t="n">
        <v>44348</v>
      </c>
      <c r="D90" s="40" t="inlineStr">
        <is>
          <t>“Demand continues to be strong, and customer-ordering patterns are shifting to include long-term demand. Customers are now placing orders for fourth quarter 2021 and first quarter 2022 due to global supply chain issues.” [Fabricated Metal Products]</t>
        </is>
      </c>
    </row>
    <row r="91">
      <c r="B91" s="42" t="n"/>
      <c r="C91" s="48" t="n">
        <v>44317</v>
      </c>
      <c r="D91" s="40" t="inlineStr">
        <is>
          <t>“[A] lack of qualified candidates to fill both open office and shop positions is having a negative impact on production throughput. Challenges mounting for meeting delivery dates to customers due to material and services shortages and protracted lead times. This situation does not look to improve until possibly the fourth quarter of 2021 or beyond.” [Fabricated Metal Products]</t>
        </is>
      </c>
    </row>
    <row r="92">
      <c r="B92" s="42" t="n"/>
      <c r="C92" s="48" t="n">
        <v>44287</v>
      </c>
      <c r="D92" s="40" t="inlineStr">
        <is>
          <t>“Steel prices are crazy high. The normal checks on the domestic steel mills are not functioning — imported steel is distorted by the Section 232 tariffs.” (Fabricated Metal Products)</t>
        </is>
      </c>
    </row>
    <row r="93">
      <c r="B93" s="42" t="n"/>
      <c r="C93" s="48" t="n">
        <v>44256</v>
      </c>
      <c r="D93" s="40" t="inlineStr">
        <is>
          <t>“A lack of qualified machine and fabrication shop talent makes it difficult to keep up with production demands when there is no backup (second string). Qualified new hires are an ongoing challenge. We have had to provide better compensation to keep qualified talent. Raw-material prices are up 50 percent to 60 percent over the last six months, which results in increased prices to our customers and a disincentive to build inventory.” (Fabricated Metal Products)</t>
        </is>
      </c>
    </row>
    <row r="94">
      <c r="B94" s="42" t="n"/>
      <c r="C94" s="48" t="n">
        <v>44228</v>
      </c>
      <c r="D94" s="40" t="inlineStr">
        <is>
          <t>“Overall capacities are full across our industry. Logistics times are at record times. Continuing to fight through shipping and increased lead times on both raw materials and finished goods due to the pandemic.” (Fabricated Metal Products)</t>
        </is>
      </c>
    </row>
    <row r="95">
      <c r="B95" s="42" t="n"/>
      <c r="C95" s="48" t="n">
        <v>44197</v>
      </c>
      <c r="D95" s="40" t="inlineStr">
        <is>
          <t>“Our current business demand is going way past pre-COVID-19 [levels].” (Fabricated Metal Products)</t>
        </is>
      </c>
    </row>
    <row r="96">
      <c r="B96" s="42" t="n"/>
      <c r="C96" s="48" t="n">
        <v>44166</v>
      </c>
      <c r="D96" s="40" t="inlineStr">
        <is>
          <t>“Current business outlook is strong through the first quarter of 2021. We are anticipating 20 percent growth in sales for 2021.” (Fabricated Metal Products)</t>
        </is>
      </c>
    </row>
    <row r="97">
      <c r="B97" s="42" t="n"/>
      <c r="C97" s="48" t="n">
        <v>44136</v>
      </c>
      <c r="D97" s="40" t="inlineStr">
        <is>
          <t>“We will finish out the fourth quarter very strong. Customers have increased demand and 2021 is expected to continue to grow.” (Fabricated Metal Products)</t>
        </is>
      </c>
    </row>
    <row r="98">
      <c r="B98" s="42" t="n"/>
      <c r="C98" s="48" t="n">
        <v>44105</v>
      </c>
      <c r="D98" s="40" t="inlineStr">
        <is>
          <t>“Continue to see increases in customer demand. We still are not back to pre-COVID-19 levels but are continually improving.” (Fabricated Metal Products)</t>
        </is>
      </c>
    </row>
    <row r="99">
      <c r="B99" s="42" t="n"/>
      <c r="C99" s="48" t="n">
        <v>44075</v>
      </c>
      <c r="D99" s="40" t="inlineStr">
        <is>
          <t>“Overall business conditions are improving, but not at the rates we saw them decline.” (Fabricated Metal Products)</t>
        </is>
      </c>
    </row>
    <row r="100">
      <c r="B100" s="42" t="n"/>
      <c r="C100" s="48" t="n">
        <v>44044</v>
      </c>
      <c r="D100" s="40"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101">
      <c r="B101" s="42" t="n"/>
      <c r="C101" s="48" t="n">
        <v>44013</v>
      </c>
      <c r="D101" s="40"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102">
      <c r="B102" s="42" t="n"/>
      <c r="C102" s="48" t="n">
        <v>43983</v>
      </c>
      <c r="D102" s="40" t="inlineStr">
        <is>
          <t>“Thankfully, we are in quite a few industries, so impact wasn't as harsh on us and more stable. However, during the last two weeks, our bookings have grown, and supply seems to be more readily available.” (Fabricated Metal Products)</t>
        </is>
      </c>
    </row>
    <row r="103">
      <c r="B103" s="42" t="n"/>
      <c r="C103" s="48" t="n">
        <v>43952</v>
      </c>
      <c r="D103" s="40" t="inlineStr">
        <is>
          <t>“Returning to full production for automotive, ramp-up will still depend on speed of automotive start-ups. We have built up inventory to stock. Ready to ship.” (Fabricated Metal Products)</t>
        </is>
      </c>
    </row>
    <row r="104">
      <c r="B104" s="42" t="n"/>
      <c r="C104" s="48" t="n">
        <v>43891</v>
      </c>
      <c r="D104" s="40" t="inlineStr">
        <is>
          <t>“COVID-19’s spread in the U.S. may start impacting our domestic business. As for Asian suppliers, they are starting to get back up to speed.” (Fabricated Metal Products)</t>
        </is>
      </c>
    </row>
    <row r="105">
      <c r="B105" s="42" t="n"/>
      <c r="C105" s="48" t="n">
        <v>43862</v>
      </c>
      <c r="D105" s="40" t="inlineStr">
        <is>
          <t>“Coronavirus continues to be front and center as a major supply chain risk to our company. Access to information in China — from our supply base and customers — is slow to come by.” (Fabricated Metal Products)</t>
        </is>
      </c>
    </row>
    <row r="106">
      <c r="B106" s="42" t="n"/>
      <c r="C106" s="48" t="n">
        <v>43831</v>
      </c>
      <c r="D106" s="40" t="inlineStr">
        <is>
          <t>"Our business is starting 2020 stronger than we finished 2019, as we saw a dramatic downturn in orders over the last four months of 2019. Orders are up to start the year, but slightly behind where they were one year ago." (Fabricated Metal Products)</t>
        </is>
      </c>
    </row>
    <row r="107">
      <c r="B107" s="42" t="n"/>
      <c r="C107" s="48" t="n">
        <v>43800</v>
      </c>
      <c r="D107" s="40" t="inlineStr">
        <is>
          <t>"Anticipated large export orders did not materialize. As a result, expected U.S. production has decreased." (Fabricated Metal Products)</t>
        </is>
      </c>
    </row>
    <row r="108">
      <c r="B108" s="42" t="n"/>
      <c r="C108" s="48" t="n">
        <v>43466</v>
      </c>
      <c r="D108" s="40"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09">
      <c r="B109" s="42" t="n"/>
      <c r="C109" s="48" t="n">
        <v>43739</v>
      </c>
      <c r="D109" s="40" t="inlineStr">
        <is>
          <t>“Been hearing from lots of my suppliers that their business is down and [they are] looking for more work in the metal processing [and] machining areas. We remain very busy.” (Fabricated Metal Products)</t>
        </is>
      </c>
    </row>
    <row r="110">
      <c r="B110" s="42" t="n"/>
      <c r="C110" s="48" t="n">
        <v>43709</v>
      </c>
      <c r="D110" s="40" t="inlineStr">
        <is>
          <t>“General market is slowing even more than a normal fourth-quarter slowdown.” (Fabricated Metal Products)</t>
        </is>
      </c>
    </row>
    <row r="111">
      <c r="B111" s="42" t="n"/>
      <c r="C111" s="48" t="n">
        <v>43678</v>
      </c>
      <c r="D111" s="40" t="inlineStr">
        <is>
          <t>"Slightly lower rate of incoming orders may be seasonal or a sign of a general slowdown. Monitoring closely." (Fabricated Metal Products)</t>
        </is>
      </c>
    </row>
    <row r="112">
      <c r="B112" s="42" t="n"/>
      <c r="C112" s="48" t="n">
        <v>43647</v>
      </c>
      <c r="D112" s="40" t="inlineStr">
        <is>
          <t>“There is a drop in demand for steel products, which has had a major impact on steel prices and the domestic scrap market.” (Fabricated Metal Products)</t>
        </is>
      </c>
    </row>
    <row r="113">
      <c r="B113" s="42" t="n"/>
      <c r="C113" s="48" t="n">
        <v>43617</v>
      </c>
      <c r="D113" s="40" t="inlineStr">
        <is>
          <t>“Tariffs continue to adversely impact decisions and forecasting. Our increasing fear is that current trends will weaken the global economy, influencing our ability to grow in 2020 and beyond.” (Fabricated Metal Products)</t>
        </is>
      </c>
    </row>
    <row r="114">
      <c r="B114" s="42" t="n"/>
      <c r="C114" s="48" t="n">
        <v>43556</v>
      </c>
      <c r="D114" s="40" t="inlineStr">
        <is>
          <t>"Business is steady. We expect business to grow throughout the second quarter, then level in the third and fourth quarter." (Fabricated Metal Products)</t>
        </is>
      </c>
    </row>
    <row r="115">
      <c r="B115" s="42" t="n"/>
      <c r="C115" s="48" t="n">
        <v>43525</v>
      </c>
      <c r="D115" s="40"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16">
      <c r="B116" s="42" t="n"/>
      <c r="C116" s="48" t="n">
        <v>43497</v>
      </c>
      <c r="D116" s="40" t="inlineStr">
        <is>
          <t>“Business so far this year is meeting, but not exceeding, our forecast. We are concerned about indicators showing a slight recession for the second half of the calendar year.” (Fabricated Metal Products)</t>
        </is>
      </c>
    </row>
    <row r="117" ht="16" customHeight="1" thickBot="1">
      <c r="B117" s="43" t="n"/>
      <c r="C117" s="49" t="n">
        <v>43466</v>
      </c>
      <c r="D117" s="41" t="inlineStr">
        <is>
          <t>“Going to be a very strong spring. Business levels will be just as good [compared to] the same time frame in 2018.” (Fabricated Metal Products)</t>
        </is>
      </c>
    </row>
    <row r="118" ht="30" customHeight="1">
      <c r="B118" s="38" t="inlineStr">
        <is>
          <t>Food, Beverage &amp; Tobacco Products</t>
        </is>
      </c>
      <c r="C118" s="47" t="n">
        <v>44440</v>
      </c>
      <c r="D118" s="39" t="inlineStr">
        <is>
          <t>“Lack of labor and escalating costs from every direction are very concerning.” [Food, Beverage &amp; Tobacco Products]</t>
        </is>
      </c>
    </row>
    <row r="119">
      <c r="B119" s="42" t="n"/>
      <c r="C119" s="48" t="n">
        <v>44409</v>
      </c>
      <c r="D119" s="40"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20">
      <c r="B120" s="42" t="n"/>
      <c r="C120" s="48" t="n">
        <v>44378</v>
      </c>
      <c r="D120" s="40" t="inlineStr">
        <is>
          <t>Still dealing with price increases from force majeure issues as well as overseas shipping premiums and higher costs of items like fuel. Customer demand still high; pushing plant to max production rates. [Food, Beverage &amp; Tobacco Products]</t>
        </is>
      </c>
    </row>
    <row r="121">
      <c r="B121" s="42" t="n"/>
      <c r="C121" s="48" t="n">
        <v>44348</v>
      </c>
      <c r="D121" s="40" t="inlineStr">
        <is>
          <t>“Poultry markets are higher, as demand for chicken has been very strong. Higher costs are starting to be passed along to customers.” [Food, Beverage &amp; Tobacco Products]</t>
        </is>
      </c>
    </row>
    <row r="122">
      <c r="B122" s="42" t="n"/>
      <c r="C122" s="48" t="n">
        <v>44317</v>
      </c>
      <c r="D122" s="40"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23">
      <c r="B123" s="42" t="n"/>
      <c r="C123" s="48" t="n">
        <v>44287</v>
      </c>
      <c r="D123" s="40" t="inlineStr">
        <is>
          <t>“Business is picking up as restaurants open.” (Food, Beverage &amp; Tobacco Products)</t>
        </is>
      </c>
    </row>
    <row r="124">
      <c r="B124" s="42" t="n"/>
      <c r="C124" s="48" t="n">
        <v>44256</v>
      </c>
      <c r="D124" s="40" t="inlineStr">
        <is>
          <t>“Winter Storm Uri has made daily life in supply chain quite a challenge. Everything from plastic substrates to adhesives have been significantly impacted by the production interruptions.” (Food, Beverage &amp; Tobacco Products)</t>
        </is>
      </c>
    </row>
    <row r="125">
      <c r="B125" s="42" t="n"/>
      <c r="C125" s="48" t="n">
        <v>44228</v>
      </c>
      <c r="D125" s="40"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26">
      <c r="B126" s="42" t="n"/>
      <c r="C126" s="48" t="n">
        <v>44197</v>
      </c>
      <c r="D126" s="40" t="inlineStr">
        <is>
          <t>“Labor continues to be one of our largest challenges.” (Food, Beverage &amp; Tobacco Products)</t>
        </is>
      </c>
    </row>
    <row r="127">
      <c r="B127" s="42" t="n"/>
      <c r="C127" s="48" t="n">
        <v>44166</v>
      </c>
      <c r="D127" s="40"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28">
      <c r="B128" s="42" t="n"/>
      <c r="C128" s="48" t="n">
        <v>44136</v>
      </c>
      <c r="D128" s="40"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29">
      <c r="B129" s="42" t="n"/>
      <c r="C129" s="48" t="n">
        <v>44105</v>
      </c>
      <c r="D129" s="40" t="inlineStr">
        <is>
          <t>“Increased production due to stores stocking up for the second wave of COVID-19.” (Food, Beverage &amp; Tobacco Products)</t>
        </is>
      </c>
    </row>
    <row r="130">
      <c r="B130" s="42" t="n"/>
      <c r="C130" s="48" t="n">
        <v>44075</v>
      </c>
      <c r="D130" s="40"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31">
      <c r="B131" s="42" t="n"/>
      <c r="C131" s="48" t="n">
        <v>44044</v>
      </c>
      <c r="D131" s="40"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32">
      <c r="B132" s="42" t="n"/>
      <c r="C132" s="48" t="n">
        <v>44013</v>
      </c>
      <c r="D132" s="40"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33">
      <c r="B133" s="42" t="n"/>
      <c r="C133" s="48" t="n">
        <v>43983</v>
      </c>
      <c r="D133" s="40"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34">
      <c r="B134" s="42" t="n"/>
      <c r="C134" s="48" t="n">
        <v>43952</v>
      </c>
      <c r="D134" s="40" t="inlineStr">
        <is>
          <t>"Increased COVID-19 sales in the food business has really stressed our production capabilities.” (Food, Beverage &amp; Tobacco Products)</t>
        </is>
      </c>
    </row>
    <row r="135">
      <c r="B135" s="42" t="n"/>
      <c r="C135" s="48" t="n">
        <v>43922</v>
      </c>
      <c r="D135" s="40"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36">
      <c r="B136" s="42" t="n"/>
      <c r="C136" s="48" t="n">
        <v>43891</v>
      </c>
      <c r="D136" s="40" t="inlineStr">
        <is>
          <t>“We are experiencing a record number of orders due to COVID-19.” (Food, Beverage &amp; Tobacco Products)</t>
        </is>
      </c>
    </row>
    <row r="137">
      <c r="B137" s="42" t="n"/>
      <c r="C137" s="48" t="n">
        <v>43862</v>
      </c>
      <c r="D137" s="40" t="inlineStr">
        <is>
          <t>“Coronavirus and its impact on the supply chain: We will see some softness in demand, but also [experience] havoc on items sourced from China that may cause significant delays to production.” (Food, Beverage &amp; Tobacco Products)</t>
        </is>
      </c>
    </row>
    <row r="138">
      <c r="B138" s="42" t="n"/>
      <c r="C138" s="48" t="n">
        <v>43831</v>
      </c>
      <c r="D138" s="40" t="inlineStr">
        <is>
          <t>"Demand for prepared frozen food continues to be strong, but margins compressing as inputs rise with price elasticity preventing accompanying increases." (Food, Beverage &amp; Tobacco Products)</t>
        </is>
      </c>
    </row>
    <row r="139">
      <c r="B139" s="42" t="n"/>
      <c r="C139" s="48" t="n">
        <v>43800</v>
      </c>
      <c r="D139" s="40" t="inlineStr">
        <is>
          <t>"Starting to see suppliers try to pass on costs associated with tariffs. Uncertainty on the trade front continues to keep agricultural markets on the defensive." (Food, Beverage &amp; Tobacco Products)</t>
        </is>
      </c>
    </row>
    <row r="140">
      <c r="B140" s="42" t="n"/>
      <c r="C140" s="48" t="n">
        <v>43739</v>
      </c>
      <c r="D140" s="40" t="inlineStr">
        <is>
          <t>“Economy is showing slight signs of weakening. The same business headwinds on trade, tariffs, and currency uncertainty are making the environment challenging.” (Food, Beverage &amp; Tobacco Products)</t>
        </is>
      </c>
    </row>
    <row r="141">
      <c r="B141" s="42" t="n"/>
      <c r="C141" s="48" t="n">
        <v>43709</v>
      </c>
      <c r="D141" s="40" t="inlineStr">
        <is>
          <t>“Chinese tariffs going up are hurting our business. Most of the materials are not made in the U.S. and made only in China.” (Food, Beverage &amp; Tobacco Products)</t>
        </is>
      </c>
    </row>
    <row r="142">
      <c r="B142" s="42" t="n"/>
      <c r="C142" s="48" t="n">
        <v>43678</v>
      </c>
      <c r="D142" s="40" t="inlineStr">
        <is>
          <t>"Late planting of the corn and soybean crops has increased uncertainty over the final acres and yields. This is leading to volatile markets." (Food, Beverage &amp; Tobacco Products)</t>
        </is>
      </c>
    </row>
    <row r="143">
      <c r="B143" s="42" t="n"/>
      <c r="C143" s="48" t="n">
        <v>43647</v>
      </c>
      <c r="D143" s="40"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144">
      <c r="B144" s="42" t="n"/>
      <c r="C144" s="48" t="n">
        <v>43617</v>
      </c>
      <c r="D144" s="40" t="inlineStr">
        <is>
          <t>“Global demand remains very strong. [We] shifted shipments to China from our U.S. plants to our Canadian and European plants because of tariffs.” (Food, Beverage &amp; Tobacco Products)</t>
        </is>
      </c>
    </row>
    <row r="145">
      <c r="B145" s="42" t="n"/>
      <c r="C145" s="48" t="n">
        <v>43586</v>
      </c>
      <c r="D145" s="40" t="inlineStr">
        <is>
          <t>"Sales remain strong. Labor remains tight. Tariffs are having a significant impact on cost of goods. No impact on where we buy our goods." (Food, Beverage &amp; Tobacco Products)</t>
        </is>
      </c>
    </row>
    <row r="146">
      <c r="B146" s="42" t="n"/>
      <c r="C146" s="48" t="n">
        <v>43525</v>
      </c>
      <c r="D146" s="40" t="inlineStr">
        <is>
          <t>“Strong customer orders continue.” (Food, Beverage &amp; Tobacco Products)</t>
        </is>
      </c>
    </row>
    <row r="147">
      <c r="B147" s="42" t="n"/>
      <c r="C147" s="48" t="n">
        <v>43556</v>
      </c>
      <c r="D147" s="40" t="inlineStr">
        <is>
          <t>"Economy is holding steady, and so are prices. Supply availability is generally OK, yet risk remains in chemicals and some longer lead-time packaging." (Food, Beverage &amp; Tobacco Products)</t>
        </is>
      </c>
    </row>
    <row r="148">
      <c r="B148" s="42" t="n"/>
      <c r="C148" s="48" t="n">
        <v>43466</v>
      </c>
      <c r="D148" s="40" t="inlineStr">
        <is>
          <t>“Economy showing general strength, especially in manufacturing. Cost pressures and tariff challenges persist but are manageable. General outlook is for stability and potential improvement in the second half of 2019.” (Food, Beverage &amp; Tobacco Products)</t>
        </is>
      </c>
    </row>
    <row r="149" ht="16" customHeight="1" thickBot="1">
      <c r="B149" s="43" t="n"/>
      <c r="C149" s="49" t="n">
        <v>43466</v>
      </c>
      <c r="D149" s="41" t="inlineStr">
        <is>
          <t>“The federal government shutdown is impacting our ability to get new products launched. All wines need TTB [Alcohol and Tobacco Tax and Trade Bureau] approval. We are reforecasting accordingly.” (Food, Beverage &amp; Tobacco Products)</t>
        </is>
      </c>
    </row>
    <row r="150" ht="30" customHeight="1">
      <c r="B150" s="38" t="inlineStr">
        <is>
          <t>Furniture &amp; Related Products</t>
        </is>
      </c>
      <c r="C150" s="47" t="n">
        <v>44440</v>
      </c>
      <c r="D150" s="39" t="inlineStr">
        <is>
          <t>“Ocean freight delays creating disruptions in many areas. Southeast Asia supply continues to be challenged due to COVID-19 outbreaks.” [Furniture &amp; Related Products]</t>
        </is>
      </c>
    </row>
    <row r="151">
      <c r="B151" s="42" t="n"/>
      <c r="C151" s="48" t="n">
        <v>44409</v>
      </c>
      <c r="D151" s="40"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152">
      <c r="B152" s="42" t="n"/>
      <c r="C152" s="48" t="n">
        <v>44378</v>
      </c>
      <c r="D152" s="40" t="inlineStr">
        <is>
          <t>Incoming bookings continue to be strong, and economy continues to return. Still struggling with inflation and availability (of materials, labor and freight). [Furniture &amp; Related Products]</t>
        </is>
      </c>
    </row>
    <row r="153">
      <c r="B153" s="42" t="n"/>
      <c r="C153" s="48" t="n">
        <v>44348</v>
      </c>
      <c r="D153" s="40"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154">
      <c r="B154" s="42" t="n"/>
      <c r="C154" s="48" t="n">
        <v>44317</v>
      </c>
      <c r="D154" s="40" t="inlineStr">
        <is>
          <t>“Business is good, but labor and raw materials are becoming very problematic, driving increases in costs.” [Furniture &amp; Related Products]</t>
        </is>
      </c>
    </row>
    <row r="155">
      <c r="B155" s="42" t="n"/>
      <c r="C155" s="48" t="n">
        <v>44287</v>
      </c>
      <c r="D155" s="40" t="inlineStr">
        <is>
          <t>“Market capacity in most areas is oversold, with no realistic improvement on the horizon. In fact, it appears that demand will continue to strengthen, leading to more significant disruptions.” (Furniture &amp; Related Products)</t>
        </is>
      </c>
    </row>
    <row r="156">
      <c r="B156" s="42" t="n"/>
      <c r="C156" s="48" t="n">
        <v>44256</v>
      </c>
      <c r="D156" s="40" t="inlineStr">
        <is>
          <t>“Business bottomed out in February; we are expecting steady improvement through the end of the year. Inflation and material availability, along with logistics, are major concerns.” (Furniture &amp; Related Products)</t>
        </is>
      </c>
    </row>
    <row r="157">
      <c r="B157" s="42" t="n"/>
      <c r="C157" s="48" t="n">
        <v>44136</v>
      </c>
      <c r="D157" s="40" t="inlineStr">
        <is>
          <t>“Sales have been steady, but down 30 percent year over year. Work hours for production are going up, but still have several on lay-off. Starting to see some inflationary pressure on materials.” (Furniture &amp; Related Products)</t>
        </is>
      </c>
    </row>
    <row r="158">
      <c r="B158" s="42" t="n"/>
      <c r="C158" s="48" t="n">
        <v>44105</v>
      </c>
      <c r="D158" s="40"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159">
      <c r="B159" s="42" t="n"/>
      <c r="C159" s="48" t="n">
        <v>44013</v>
      </c>
      <c r="D159" s="40" t="inlineStr">
        <is>
          <t>“Incoming orders are slow. This is usually our busiest time of the year, but production is reduced due to lack of demand. Additional layoffs expected.” (Furniture &amp; Related Products)</t>
        </is>
      </c>
    </row>
    <row r="160">
      <c r="B160" s="42" t="n"/>
      <c r="C160" s="48" t="n">
        <v>43922</v>
      </c>
      <c r="D160" s="40" t="inlineStr">
        <is>
          <t>“Dealing with the effects of coronavirus and having 65 percent of our operations down.” (Furniture &amp; Related Products)</t>
        </is>
      </c>
    </row>
    <row r="161">
      <c r="B161" s="42" t="n"/>
      <c r="C161" s="48" t="n">
        <v>43891</v>
      </c>
      <c r="D161" s="40" t="inlineStr">
        <is>
          <t>“Volumes are down 4.3 percent, and some areas of the supply chain are being affected by the coronavirus.” (Furniture &amp; Related Products)</t>
        </is>
      </c>
    </row>
    <row r="162">
      <c r="B162" s="42" t="n"/>
      <c r="C162" s="48" t="n">
        <v>43862</v>
      </c>
      <c r="D162" s="40" t="inlineStr">
        <is>
          <t>“We have seen an increase of sales for our products.” (Furniture &amp; Related Products)</t>
        </is>
      </c>
    </row>
    <row r="163">
      <c r="B163" s="42" t="n"/>
      <c r="C163" s="48" t="n">
        <v>43831</v>
      </c>
      <c r="D163" s="40" t="inlineStr">
        <is>
          <t>"Business is good — above last year, though a little below plan." (Furniture &amp; Related Products)</t>
        </is>
      </c>
    </row>
    <row r="164">
      <c r="B164" s="42" t="n"/>
      <c r="C164" s="48" t="n">
        <v>43770</v>
      </c>
      <c r="D164" s="40" t="inlineStr">
        <is>
          <t>“Incoming orders and production have ticked back up. Tariffs are still a question.” (Furniture &amp; Related Products)</t>
        </is>
      </c>
    </row>
    <row r="165">
      <c r="B165" s="42" t="n"/>
      <c r="C165" s="48" t="n">
        <v>43709</v>
      </c>
      <c r="D165" s="40" t="inlineStr">
        <is>
          <t>“Incoming sales are sluggish for this time of year.” (Furniture &amp; Related Products)</t>
        </is>
      </c>
    </row>
    <row r="166">
      <c r="B166" s="42" t="n"/>
      <c r="C166" s="48" t="n">
        <v>43678</v>
      </c>
      <c r="D166" s="40" t="inlineStr">
        <is>
          <t>"Incoming sales seem to be slowing down, and this is usually our busiest season. Concerns about the economy and tariffs." (Furniture &amp; Related Products)</t>
        </is>
      </c>
    </row>
    <row r="167">
      <c r="B167" s="42" t="n"/>
      <c r="C167" s="48" t="n">
        <v>43647</v>
      </c>
      <c r="D167" s="40" t="inlineStr">
        <is>
          <t>“Business is strong mostly due to seasonality. Tariffs surcharges are now being passed through to all customers. Labor is tight, putting pressure on wages costs.” (Furniture &amp; Related Products)</t>
        </is>
      </c>
    </row>
    <row r="168">
      <c r="B168" s="42" t="n"/>
      <c r="C168" s="48" t="n">
        <v>43525</v>
      </c>
      <c r="D168" s="40" t="inlineStr">
        <is>
          <t>“Business is very strong and has been for over two years.” (Furniture &amp; Related Products)</t>
        </is>
      </c>
    </row>
    <row r="169" ht="16" customHeight="1" thickBot="1">
      <c r="B169" s="43" t="n"/>
      <c r="C169" s="49" t="n">
        <v>43466</v>
      </c>
      <c r="D169" s="41" t="inlineStr">
        <is>
          <t>“Incoming orders have been steady, but we’re starting to see signs of slowing going into February and March.” (Furniture &amp; Related Products)</t>
        </is>
      </c>
    </row>
    <row r="170">
      <c r="B170" s="38" t="inlineStr">
        <is>
          <t>Machinery</t>
        </is>
      </c>
      <c r="C170" s="47" t="n">
        <v>44440</v>
      </c>
      <c r="D170" s="39"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171">
      <c r="B171" s="42" t="n"/>
      <c r="C171" s="48" t="n">
        <v>44409</v>
      </c>
      <c r="D171" s="40"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172">
      <c r="B172" s="42" t="n"/>
      <c r="C172" s="48" t="n">
        <v>44378</v>
      </c>
      <c r="D172" s="40" t="inlineStr">
        <is>
          <t>Supply chain continues to be extremely challenging in a variety of categories. Having to place orders months ahead of time just to get a place in line. [Machinery]</t>
        </is>
      </c>
    </row>
    <row r="173">
      <c r="B173" s="42" t="n"/>
      <c r="C173" s="48" t="n">
        <v>44348</v>
      </c>
      <c r="D173" s="40" t="inlineStr">
        <is>
          <t>“Customer demand remains strong. Supply chain issues continue to hamper materials availability and impact production scheduling. Supplier costs continue to rise due to increasing materials, labor and shipping costs.” [Machinery]</t>
        </is>
      </c>
    </row>
    <row r="174">
      <c r="B174" s="42" t="n"/>
      <c r="C174" s="48" t="n">
        <v>44287</v>
      </c>
      <c r="D174" s="40" t="inlineStr">
        <is>
          <t>“Demand continues to be very strong. Supply chain delays hamper our availability and ability to sell more.” (Machinery)</t>
        </is>
      </c>
    </row>
    <row r="175">
      <c r="B175" s="42" t="n"/>
      <c r="C175" s="48" t="n">
        <v>44256</v>
      </c>
      <c r="D175" s="40" t="inlineStr">
        <is>
          <t>“Widespread supply chain issues. Suppliers are struggling to manage demand and capacity in the face of chronic logistics and labor issues. No end in sight.” (Machinery)</t>
        </is>
      </c>
    </row>
    <row r="176">
      <c r="B176" s="42" t="n"/>
      <c r="C176" s="48" t="n">
        <v>44228</v>
      </c>
      <c r="D176" s="40" t="inlineStr">
        <is>
          <t>“Prices are going up, and lead times are growing longer by the day. While business and backlog remain strong, the supply chain is going to be stretched very [thin] to keep up.” (Machinery)</t>
        </is>
      </c>
    </row>
    <row r="177">
      <c r="B177" s="42" t="n"/>
      <c r="C177" s="48" t="n">
        <v>44197</v>
      </c>
      <c r="D177" s="40"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178">
      <c r="B178" s="42" t="n"/>
      <c r="C178" s="48" t="n">
        <v>44166</v>
      </c>
      <c r="D178" s="40" t="inlineStr">
        <is>
          <t>“Sales are now slightly above pre-COVID-19 sales.” (Machinery)</t>
        </is>
      </c>
    </row>
    <row r="179">
      <c r="B179" s="42" t="n"/>
      <c r="C179" s="48" t="n">
        <v>44136</v>
      </c>
      <c r="D179" s="40"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180">
      <c r="B180" s="42" t="n"/>
      <c r="C180" s="48" t="n">
        <v>44105</v>
      </c>
      <c r="D180" s="40" t="inlineStr">
        <is>
          <t>“Business is almost back to normal levels; however, customers are still cautious with capital spending.” (Machinery)</t>
        </is>
      </c>
    </row>
    <row r="181">
      <c r="B181" s="42" t="n"/>
      <c r="C181" s="48" t="n">
        <v>44075</v>
      </c>
      <c r="D181" s="40" t="inlineStr">
        <is>
          <t>“Our customer order intake is increasing significantly for deliveries in the first half of 2021. Outlook is generally positive.” (Machinery)</t>
        </is>
      </c>
    </row>
    <row r="182">
      <c r="B182" s="42" t="n"/>
      <c r="C182" s="48" t="n">
        <v>44044</v>
      </c>
      <c r="D182" s="40" t="inlineStr">
        <is>
          <t>"Capital equipment new orders have slowed again. Quoting is active. Many customers waiting for the fourth quarter to make any commitments." (Machinery)</t>
        </is>
      </c>
    </row>
    <row r="183">
      <c r="B183" s="42" t="n"/>
      <c r="C183" s="48" t="n">
        <v>44013</v>
      </c>
      <c r="D183" s="40" t="inlineStr">
        <is>
          <t>“General business climate continues to be subdued, driving highly conservative forecasting due to variability in the ongoing pandemic-driven conditions and economic response.” (Machinery)</t>
        </is>
      </c>
    </row>
    <row r="184">
      <c r="B184" s="42" t="n"/>
      <c r="C184" s="48" t="n">
        <v>43983</v>
      </c>
      <c r="D184" s="40" t="inlineStr">
        <is>
          <t>“Looks like May was the bottom in terms of orders. June is stronger, and our order books are rebuilding.” (Machinery)</t>
        </is>
      </c>
    </row>
    <row r="185">
      <c r="B185" s="42" t="n"/>
      <c r="C185" s="48" t="n">
        <v>43952</v>
      </c>
      <c r="D185" s="40" t="inlineStr">
        <is>
          <t>“Getting out from under several suppliers being closed worldwide. Also, looking at what really needs to be in China.” (Machinery)</t>
        </is>
      </c>
    </row>
    <row r="186">
      <c r="B186" s="42" t="n"/>
      <c r="C186" s="48" t="n">
        <v>43891</v>
      </c>
      <c r="D186" s="40" t="inlineStr">
        <is>
          <t>“COVID-19 has caused a 30-percent reduction in productivity in our factory.” (Machinery)</t>
        </is>
      </c>
    </row>
    <row r="187">
      <c r="B187" s="42" t="n"/>
      <c r="C187" s="48" t="n">
        <v>43862</v>
      </c>
      <c r="D187" s="40"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188">
      <c r="B188" s="42" t="n"/>
      <c r="C188" s="48" t="n">
        <v>43831</v>
      </c>
      <c r="D188" s="40" t="inlineStr">
        <is>
          <t>"The lack of faith in the economy seems to be why we cannot sell capital projects." (Machinery)</t>
        </is>
      </c>
    </row>
    <row r="189">
      <c r="B189" s="42" t="n"/>
      <c r="C189" s="48" t="n">
        <v>43800</v>
      </c>
      <c r="D189" s="40" t="inlineStr">
        <is>
          <t>"Dealer inventories have rebounded, and overall customer market has softened, resulting in corrections to near-term production schedules and a tentative forecast outlook." (Machinery)</t>
        </is>
      </c>
    </row>
    <row r="190">
      <c r="B190" s="42" t="n"/>
      <c r="C190" s="48" t="n">
        <v>43770</v>
      </c>
      <c r="D190" s="40" t="inlineStr">
        <is>
          <t>“Demand has stabilized for the last half of [the fourth quarter], and production will be stable for the rest of this year.” (Machinery)</t>
        </is>
      </c>
    </row>
    <row r="191">
      <c r="B191" s="42" t="n"/>
      <c r="C191" s="48" t="n">
        <v>43739</v>
      </c>
      <c r="D191" s="40" t="inlineStr">
        <is>
          <t>“Production demand is softening; some [of it is] due to seasonality, [but] much [is] due to customer order rate declining and dealer inventory stabilizing.” (Machinery)</t>
        </is>
      </c>
    </row>
    <row r="192">
      <c r="B192" s="42" t="n"/>
      <c r="C192" s="48" t="n">
        <v>43709</v>
      </c>
      <c r="D192" s="40" t="inlineStr">
        <is>
          <t>“Demand softening on some product lines, backlogs have reduced, and dealer inventories are growing.” (Machinery)</t>
        </is>
      </c>
    </row>
    <row r="193">
      <c r="B193" s="42" t="n"/>
      <c r="C193" s="48" t="n">
        <v>43678</v>
      </c>
      <c r="D193" s="40" t="inlineStr">
        <is>
          <t>"Business is starting to show signs of a broad slowdown." (Machinery)</t>
        </is>
      </c>
    </row>
    <row r="194">
      <c r="B194" s="42" t="n"/>
      <c r="C194" s="48" t="n">
        <v>43647</v>
      </c>
      <c r="D194" s="40" t="inlineStr">
        <is>
          <t>“Business has slowed, but it is still steady and expected to pick up next month.” (Machinery)</t>
        </is>
      </c>
    </row>
    <row r="195">
      <c r="B195" s="42" t="n"/>
      <c r="C195" s="48" t="n">
        <v>43617</v>
      </c>
      <c r="D195" s="40" t="inlineStr">
        <is>
          <t>“A late planting season has caused a slowdown in our agricultural business. Seeing higher prices due to tariffs and tariff-related supply chain issues.” (Machinery)</t>
        </is>
      </c>
    </row>
    <row r="196">
      <c r="B196" s="42" t="n"/>
      <c r="C196" s="48" t="n">
        <v>43586</v>
      </c>
      <c r="D196" s="40"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197">
      <c r="B197" s="42" t="n"/>
      <c r="C197" s="48" t="n">
        <v>43556</v>
      </c>
      <c r="D197" s="40"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198">
      <c r="B198" s="42" t="n"/>
      <c r="C198" s="48" t="n">
        <v>43525</v>
      </c>
      <c r="D198" s="40" t="inlineStr">
        <is>
          <t>“Current weather conditions causing significant delivery delays [and] diminishing our production capabilities.” (Machinery)</t>
        </is>
      </c>
    </row>
    <row r="199">
      <c r="B199" s="42" t="n"/>
      <c r="C199" s="48" t="n">
        <v>43497</v>
      </c>
      <c r="D199" s="40" t="inlineStr">
        <is>
          <t>“Orders remain strong. Supplier delivery continues to be challenged on some commodities.” (Machinery)</t>
        </is>
      </c>
    </row>
    <row r="200" ht="16" customHeight="1" thickBot="1">
      <c r="B200" s="43" t="n"/>
      <c r="C200" s="49" t="n">
        <v>43466</v>
      </c>
      <c r="D200" s="41" t="inlineStr">
        <is>
          <t>“We continue to enjoy the benefits of a strong general economy. We are busy and maintain a backlog of sales orders.” (Machinery)</t>
        </is>
      </c>
    </row>
    <row r="201" ht="30" customHeight="1">
      <c r="B201" s="38" t="inlineStr">
        <is>
          <t>Miscellaneous Manufacturing</t>
        </is>
      </c>
      <c r="C201" s="47" t="n">
        <v>44440</v>
      </c>
      <c r="D201" s="39" t="inlineStr">
        <is>
          <t>“Global supply chain constraints are still a major concern and focus. Inventory builds continue to compensate for potential supply disruption.” [Miscellaneous Manufacturing]</t>
        </is>
      </c>
    </row>
    <row r="202">
      <c r="B202" s="42" t="n"/>
      <c r="C202" s="48" t="n">
        <v>44378</v>
      </c>
      <c r="D202" s="40"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203">
      <c r="B203" s="42" t="n"/>
      <c r="C203" s="48" t="n">
        <v>44197</v>
      </c>
      <c r="D203" s="40" t="inlineStr">
        <is>
          <t>“We have had an increase in employees testing positive for COVID-19, negatively impacting manufacturing.” (Miscellaneous Manufacturing)</t>
        </is>
      </c>
    </row>
    <row r="204">
      <c r="B204" s="42" t="n"/>
      <c r="C204" s="48" t="n">
        <v>44166</v>
      </c>
      <c r="D204" s="40" t="inlineStr">
        <is>
          <t>“Sales are now exceeding pre-COVID-19 levels, but uncertainty remains through the winter months while COVID-19 is still rampant.” (Miscellaneous Manufacturing)</t>
        </is>
      </c>
    </row>
    <row r="205">
      <c r="B205" s="42" t="n"/>
      <c r="C205" s="48" t="n">
        <v>44105</v>
      </c>
      <c r="D205" s="40" t="inlineStr">
        <is>
          <t>“Business levels have just about returned to pre-COVID-19 levels. Our company is remaining conservative with fixed-cost spending, knowing the uncertainties that lie ahead with COVID-19 and its potential impact globally.” (Miscellaneous Manufacturing)</t>
        </is>
      </c>
    </row>
    <row r="206">
      <c r="B206" s="42" t="n"/>
      <c r="C206" s="48" t="n">
        <v>44013</v>
      </c>
      <c r="D206" s="40" t="inlineStr">
        <is>
          <t>“We are still seeing our customers shut down or effected by COVID-19. We are hoping for a bounce back in September.” (Miscellaneous Manufacturing)</t>
        </is>
      </c>
    </row>
    <row r="207">
      <c r="B207" s="42" t="n"/>
      <c r="C207" s="48" t="n">
        <v>43983</v>
      </c>
      <c r="D207" s="40" t="inlineStr">
        <is>
          <t>“Demand is down significantly due to COVID-19 but is starting to stabilize. We are hopeful for recovery in the second half of the year.” (Miscellaneous Manufacturing)</t>
        </is>
      </c>
    </row>
    <row r="208">
      <c r="B208" s="42" t="n"/>
      <c r="C208" s="48" t="n">
        <v>43891</v>
      </c>
      <c r="D208" s="40" t="inlineStr">
        <is>
          <t>“A big part of our business is hospitality, and we are seeing demand drop and an increase in cancellations.” (Nonmetallic Mineral Products)</t>
        </is>
      </c>
    </row>
    <row r="209">
      <c r="B209" s="42" t="n"/>
      <c r="C209" s="48" t="n">
        <v>43800</v>
      </c>
      <c r="D209" s="40" t="inlineStr">
        <is>
          <t>"Down month-to-month, but up over last year." (Miscellaneous Manufacturing)</t>
        </is>
      </c>
    </row>
    <row r="210">
      <c r="B210" s="42" t="n"/>
      <c r="C210" s="48" t="n">
        <v>43709</v>
      </c>
      <c r="D210" s="40" t="inlineStr">
        <is>
          <t>“Business has been flat for us. Year-over-year growth has slowed dramatically.” (Miscellaneous Manufacturing)</t>
        </is>
      </c>
    </row>
    <row r="211">
      <c r="B211" s="42" t="n"/>
      <c r="C211" s="48" t="n">
        <v>43678</v>
      </c>
      <c r="D211" s="40" t="inlineStr">
        <is>
          <t>"Generally, business remains steady. However, we continue to plan for a hard Brexit and a long trade war between the U.S. and China." (Miscellaneous Manufacturing)</t>
        </is>
      </c>
    </row>
    <row r="212">
      <c r="B212" s="42" t="n"/>
      <c r="C212" s="48" t="n">
        <v>43647</v>
      </c>
      <c r="D212" s="40" t="inlineStr">
        <is>
          <t>“We are a third-tier supplier to [a major aircraft manufacturer], and it appears its production slowdown of [an aircraft] is having a direct effect on our slowing orders.” (Miscellaneous Manufacturing)</t>
        </is>
      </c>
    </row>
    <row r="213">
      <c r="B213" s="42" t="n"/>
      <c r="C213" s="48" t="n">
        <v>43617</v>
      </c>
      <c r="D213" s="40" t="inlineStr">
        <is>
          <t>“Business has slowed in the last 30 to 60 days. The last 30 days have tracked 4 percent below plan, but still 6 to 8 percent above the previous year to date.” (Miscellaneous Manufacturing)</t>
        </is>
      </c>
    </row>
    <row r="214">
      <c r="B214" s="42" t="n"/>
      <c r="C214" s="48" t="n">
        <v>43586</v>
      </c>
      <c r="D214" s="40" t="inlineStr">
        <is>
          <t>“Business is continuing to grow and expand. The pressure for driving out costs has increased significantly, and my company is facing major changes over the next several years to remain cost competitive.” (Miscellaneous Manufacturing)</t>
        </is>
      </c>
    </row>
    <row r="215">
      <c r="B215" s="42" t="n"/>
      <c r="C215" s="48" t="n">
        <v>43525</v>
      </c>
      <c r="D215" s="40" t="inlineStr">
        <is>
          <t>“Strong business momentum coming into January and early February has slowed to typical seasonal business conditions for our industry.” (Miscellaneous Manufacturing)</t>
        </is>
      </c>
    </row>
    <row r="216">
      <c r="B216" s="42" t="n"/>
      <c r="C216" s="48" t="n">
        <v>43497</v>
      </c>
      <c r="D216" s="40" t="inlineStr">
        <is>
          <t>“Aerospace engine-related business continues to be strong. Energy and general industry-related business is flat to down.” (Miscellaneous Manufacturing)</t>
        </is>
      </c>
    </row>
    <row r="217" ht="16" customHeight="1" thickBot="1">
      <c r="B217" s="43" t="n"/>
      <c r="C217" s="49" t="n">
        <v>43466</v>
      </c>
      <c r="D217" s="41" t="inlineStr">
        <is>
          <t>“Business conditions are good, and our demand and production are tracking to our forecasted growth levels for the year.” (Miscellaneous Manufacturing)</t>
        </is>
      </c>
    </row>
    <row r="218" ht="30" customHeight="1">
      <c r="B218" s="38" t="inlineStr">
        <is>
          <t>Nonmetallic Mineral Products</t>
        </is>
      </c>
      <c r="C218" s="47" t="n">
        <v>44378</v>
      </c>
      <c r="D218" s="39" t="inlineStr">
        <is>
          <t>Sales are above last year by a good percentage, but meeting demand is just not possible due to force majeure situations, logistics, and labor shortages. We don't anticipate this ending until well into 2022. [Nonmetallic Mineral Products]</t>
        </is>
      </c>
    </row>
    <row r="219">
      <c r="B219" s="42" t="n"/>
      <c r="C219" s="48" t="n">
        <v>44348</v>
      </c>
      <c r="D219" s="40" t="inlineStr">
        <is>
          <t>“Supply disruptions continue, with no end in sight!” [Nonmetallic Mineral Products]</t>
        </is>
      </c>
    </row>
    <row r="220">
      <c r="B220" s="42" t="n"/>
      <c r="C220" s="48" t="n">
        <v>44317</v>
      </c>
      <c r="D220" s="40"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221">
      <c r="B221" s="42" t="n"/>
      <c r="C221" s="48" t="n">
        <v>44013</v>
      </c>
      <c r="D221" s="40"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222">
      <c r="B222" s="42" t="n"/>
      <c r="C222" s="48" t="n">
        <v>43952</v>
      </c>
      <c r="D222" s="40" t="inlineStr">
        <is>
          <t>“We see a lot of positive signs, despite what's going on. People seem to continue to be building and looking to projects for fall of 2020 and beyond. There is good optimism out there.” (Nonmetallic Mineral Products)</t>
        </is>
      </c>
    </row>
    <row r="223">
      <c r="B223" s="42" t="n"/>
      <c r="C223" s="48" t="n">
        <v>43922</v>
      </c>
      <c r="D223" s="40" t="inlineStr">
        <is>
          <t>“COVID-19 has destroyed our market and our company. Without a full recovery very soon, and some assistance, I fear for our ability to continue operations.” (Nonmetallic Mineral Products)</t>
        </is>
      </c>
    </row>
    <row r="224">
      <c r="B224" s="42" t="n"/>
      <c r="C224" s="48" t="n">
        <v>43800</v>
      </c>
      <c r="D224" s="40" t="inlineStr">
        <is>
          <t>"The construction market seems to have slowed for end of year. Overall, it’s marginally up." (Nonmetallic Mineral Products)</t>
        </is>
      </c>
    </row>
    <row r="225">
      <c r="B225" s="42" t="n"/>
      <c r="C225" s="48" t="n">
        <v>43678</v>
      </c>
      <c r="D225" s="40" t="inlineStr">
        <is>
          <t>"The market for large building structures is slowing." (Nonmetallic Mineral Products)</t>
        </is>
      </c>
    </row>
    <row r="226">
      <c r="B226" s="42" t="n"/>
      <c r="C226" s="48" t="n">
        <v>43586</v>
      </c>
      <c r="D226" s="40" t="inlineStr">
        <is>
          <t>“Weather in the middle of the country has slowed construction and infrastructure projects.” (Nonmetallic Mineral Products)</t>
        </is>
      </c>
    </row>
    <row r="227">
      <c r="B227" s="42" t="n"/>
      <c r="C227" s="48" t="n">
        <v>43556</v>
      </c>
      <c r="D227" s="40" t="inlineStr">
        <is>
          <t>"Orders continue to be strong, especially from the steel industry." (Nonmetallic Mineral Products)</t>
        </is>
      </c>
    </row>
    <row r="228">
      <c r="B228" s="42" t="n"/>
      <c r="C228" s="48" t="n">
        <v>43525</v>
      </c>
      <c r="D228" s="40" t="inlineStr">
        <is>
          <t>“Steel in U.S. remains strong, driving numerous product lines.” (Nonmetallic Mineral Products)</t>
        </is>
      </c>
    </row>
    <row r="229" ht="16" customHeight="1" thickBot="1">
      <c r="B229" s="43" t="n"/>
      <c r="C229" s="49" t="n">
        <v>43466</v>
      </c>
      <c r="D229" s="41" t="inlineStr">
        <is>
          <t>“Sales nationally appear to be on target for 2019 and slightly ahead of 2018.” (Nonmetallic Mineral Products)</t>
        </is>
      </c>
    </row>
    <row r="230">
      <c r="B230" s="38" t="inlineStr">
        <is>
          <t>Paper Products</t>
        </is>
      </c>
      <c r="C230" s="47" t="n">
        <v>44105</v>
      </c>
      <c r="D230" s="39" t="inlineStr">
        <is>
          <t>“We are still amazed by the labor market. We used to have 100 applicants for an opening; we are now seeing about 10 — and often, the applicant does not show for the interview.” [Paper Products]</t>
        </is>
      </c>
    </row>
    <row r="231">
      <c r="B231" s="42" t="n"/>
      <c r="C231" s="48" t="n">
        <v>44105</v>
      </c>
      <c r="D231" s="40" t="inlineStr">
        <is>
          <t>“October order books are the strongest we have seen in the past six months.” (Paper Products)</t>
        </is>
      </c>
    </row>
    <row r="232">
      <c r="B232" s="42" t="n"/>
      <c r="C232" s="48" t="n">
        <v>44075</v>
      </c>
      <c r="D232" s="40" t="inlineStr">
        <is>
          <t>“We are seeing a marked increase in international demand in Q4 compared to Q2 and Q3. Still not at historical levels; however, a positive outlook.” (Paper Products)</t>
        </is>
      </c>
    </row>
    <row r="233">
      <c r="B233" s="42" t="n"/>
      <c r="C233" s="48" t="n">
        <v>44044</v>
      </c>
      <c r="D233" s="40" t="inlineStr">
        <is>
          <t>"We are starting to see parts of our business rebound in August, while other parts remained weak. Some of our export business has come back for the first time since the start of COVID-19; however, domestic portfolios remain mixed." (Paper Products)</t>
        </is>
      </c>
    </row>
    <row r="234">
      <c r="B234" s="42" t="n"/>
      <c r="C234" s="48" t="n">
        <v>43922</v>
      </c>
      <c r="D234" s="40" t="inlineStr">
        <is>
          <t>“Our packaging business is starting to see signs of a slowdown in May after two strong months into COVID-19.” (Paper Products)</t>
        </is>
      </c>
    </row>
    <row r="235">
      <c r="B235" s="42" t="n"/>
      <c r="C235" s="48" t="n">
        <v>43739</v>
      </c>
      <c r="D235" s="40" t="inlineStr">
        <is>
          <t>“Trade cost pressures continue to be a headwind in our business.” (Paper Products)</t>
        </is>
      </c>
    </row>
    <row r="236">
      <c r="B236" s="42" t="n"/>
      <c r="C236" s="48" t="n">
        <v>43497</v>
      </c>
      <c r="D236" s="40" t="inlineStr">
        <is>
          <t>“Strong domestics market. Slow export markets.” (Paper Products)</t>
        </is>
      </c>
    </row>
    <row r="237" ht="16" customHeight="1" thickBot="1">
      <c r="B237" s="43" t="n"/>
      <c r="C237" s="49" t="n">
        <v>43466</v>
      </c>
      <c r="D237" s="41" t="inlineStr">
        <is>
          <t>“Unlike in the last few years, we are experiencing a first quarter slowdown.” (Paper Products)</t>
        </is>
      </c>
    </row>
    <row r="238">
      <c r="B238" s="38" t="inlineStr">
        <is>
          <t>Petroleum &amp; Coal Products</t>
        </is>
      </c>
      <c r="C238" s="47" t="n">
        <v>44409</v>
      </c>
      <c r="D238" s="39" t="inlineStr">
        <is>
          <t>“Oil prices have remained higher than planned and is helping to secure capital funds and project sanctions for 2021-22 projects.” [Petroleum &amp; Coal Products]</t>
        </is>
      </c>
    </row>
    <row r="239">
      <c r="B239" s="42" t="n"/>
      <c r="C239" s="48" t="n">
        <v>44348</v>
      </c>
      <c r="D239" s="40"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240">
      <c r="B240" s="42" t="n"/>
      <c r="C240" s="48" t="n">
        <v>44287</v>
      </c>
      <c r="D240" s="40" t="inlineStr">
        <is>
          <t>“Oil production has been steady, along with market prices and capital expenditures.” (Petroleum &amp; Coal Products)</t>
        </is>
      </c>
    </row>
    <row r="241">
      <c r="B241" s="42" t="n"/>
      <c r="C241" s="48" t="n">
        <v>44256</v>
      </c>
      <c r="D241" s="40" t="inlineStr">
        <is>
          <t>“The spring and summer months look great for the national oil markets.” (Petroleum &amp; Coal Products)</t>
        </is>
      </c>
    </row>
    <row r="242">
      <c r="B242" s="42" t="n"/>
      <c r="C242" s="48" t="n">
        <v>44136</v>
      </c>
      <c r="D242" s="40" t="inlineStr">
        <is>
          <t>“Jet fuel being down in consumption really hurts the refining market.” (Petroleum &amp; Coal Products)</t>
        </is>
      </c>
    </row>
    <row r="243">
      <c r="B243" s="42" t="n"/>
      <c r="C243" s="48" t="n">
        <v>44075</v>
      </c>
      <c r="D243" s="40" t="inlineStr">
        <is>
          <t>“Our business has not begun to recover.” (Petroleum &amp; Coal Products)</t>
        </is>
      </c>
    </row>
    <row r="244">
      <c r="B244" s="42" t="n"/>
      <c r="C244" s="48" t="n">
        <v>44013</v>
      </c>
      <c r="D244" s="40" t="inlineStr">
        <is>
          <t>“Uncertainty regarding our industry and business has not improved. We are developing the 2021 budget around multiple scenarios.” (Petroleum &amp; Coal Products)</t>
        </is>
      </c>
    </row>
    <row r="245">
      <c r="B245" s="42" t="n"/>
      <c r="C245" s="48" t="n">
        <v>43983</v>
      </c>
      <c r="D245" s="40" t="inlineStr">
        <is>
          <t>“Market demand for refined products has increased as statewide quarantines have been lifted, but it is still below normal volumes.” (Petroleum &amp; Coal Products)</t>
        </is>
      </c>
    </row>
    <row r="246">
      <c r="B246" s="42" t="n"/>
      <c r="C246" s="48" t="n">
        <v>43952</v>
      </c>
      <c r="D246" s="40" t="inlineStr">
        <is>
          <t>“Fuel sales demand are beginning to rebound in May as stay-at-home orders are lifted across the country.” (Petroleum &amp; Coal Products)</t>
        </is>
      </c>
    </row>
    <row r="247">
      <c r="B247" s="42" t="n"/>
      <c r="C247" s="48" t="n">
        <v>43922</v>
      </c>
      <c r="D247" s="40" t="inlineStr">
        <is>
          <t>“Our refinery is losing money making gasoline due to the falling demand.” (Petroleum &amp; Coal Products)</t>
        </is>
      </c>
    </row>
    <row r="248">
      <c r="B248" s="42" t="n"/>
      <c r="C248" s="48" t="n">
        <v>43891</v>
      </c>
      <c r="D248" s="40" t="inlineStr">
        <is>
          <t>“World demand for petroleum products is declining, while supply is ramping up. We have lost supply chain visibility to certain locations.” (Petroleum &amp; Coal Products)</t>
        </is>
      </c>
    </row>
    <row r="249">
      <c r="B249" s="42" t="n"/>
      <c r="C249" s="48" t="n">
        <v>43862</v>
      </c>
      <c r="D249" s="40" t="inlineStr">
        <is>
          <t>“Energy markets seem to be responding to a potential drop in demand that may be related to responses [to] the coronavirus.” (Petroleum &amp; Coal Products)</t>
        </is>
      </c>
    </row>
    <row r="250">
      <c r="B250" s="42" t="n"/>
      <c r="C250" s="48" t="n">
        <v>43831</v>
      </c>
      <c r="D250" s="40" t="inlineStr">
        <is>
          <t>"Our customer slowdown has not reached the bottom." (Petroleum &amp; Coal Products)</t>
        </is>
      </c>
    </row>
    <row r="251">
      <c r="B251" s="42" t="n"/>
      <c r="C251" s="48" t="n">
        <v>43770</v>
      </c>
      <c r="D251" s="40" t="inlineStr">
        <is>
          <t>“Slowdown in business has us revising our 2020-21 capital spend.” (Petroleum &amp; Coal Products)</t>
        </is>
      </c>
    </row>
    <row r="252">
      <c r="B252" s="42" t="n"/>
      <c r="C252" s="48" t="n">
        <v>43617</v>
      </c>
      <c r="D252" s="40" t="inlineStr">
        <is>
          <t>“Tariffs continue to be a challenge. We are concerned about the implementation of Mexican tariffs and the cost pressures it will have on our Latin American business.” (Petroleum &amp; Coal Products)</t>
        </is>
      </c>
    </row>
    <row r="253">
      <c r="B253" s="42" t="n"/>
      <c r="C253" s="48" t="n">
        <v>43586</v>
      </c>
      <c r="D253" s="40"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254">
      <c r="B254" s="42" t="n"/>
      <c r="C254" s="48" t="n">
        <v>43556</v>
      </c>
      <c r="D254" s="40"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255">
      <c r="B255" s="42" t="n"/>
      <c r="C255" s="48" t="n">
        <v>43525</v>
      </c>
      <c r="D255" s="40" t="inlineStr">
        <is>
          <t>“Steel tariffs continue to put upward pressure on our input costs. The government shutdown delayed the process of gaining exemptions to the tariffs.” (Petroleum &amp; Coal Products)</t>
        </is>
      </c>
    </row>
    <row r="256" ht="16" customHeight="1" thickBot="1">
      <c r="B256" s="43" t="n"/>
      <c r="C256" s="49" t="n">
        <v>43497</v>
      </c>
      <c r="D256" s="41" t="inlineStr">
        <is>
          <t>"Uncertainty of steel prices due to Section 232 tariffs on imported steel and lack of resolution of the anti-dumping trade cases.” (Petroleum &amp; Coal Products)</t>
        </is>
      </c>
    </row>
    <row r="257">
      <c r="B257" s="38" t="inlineStr">
        <is>
          <t>Plastics &amp; Rubber Products</t>
        </is>
      </c>
      <c r="C257" s="47" t="n">
        <v>44409</v>
      </c>
      <c r="D257" s="39" t="inlineStr">
        <is>
          <t>“Business is going strong, but raw material prices still under increasing price pressure. Labor is still an issue.” [Plastics &amp; Rubber Products]</t>
        </is>
      </c>
    </row>
    <row r="258">
      <c r="B258" s="42" t="n"/>
      <c r="C258" s="48" t="n">
        <v>44317</v>
      </c>
      <c r="D258" s="40" t="inlineStr">
        <is>
          <t>“Seeing a high demand and backlog of orders.” [Plastics &amp; Rubber Products]</t>
        </is>
      </c>
    </row>
    <row r="259">
      <c r="B259" s="42" t="n"/>
      <c r="C259" s="48" t="n">
        <v>44287</v>
      </c>
      <c r="D259" s="40"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260">
      <c r="B260" s="42" t="n"/>
      <c r="C260" s="48" t="n">
        <v>44256</v>
      </c>
      <c r="D260" s="40" t="inlineStr">
        <is>
          <t>“Tremendous stress on the supply chain since the winter storm in Texas. Chemicals are on allocations or unavailable. Resin is on allocation and unavailable.” (Plastics &amp; Rubber Products)</t>
        </is>
      </c>
    </row>
    <row r="261">
      <c r="B261" s="42" t="n"/>
      <c r="C261" s="48" t="n">
        <v>44228</v>
      </c>
      <c r="D261" s="40" t="inlineStr">
        <is>
          <t>“Labor shortages at suppliers are affecting material deliveries and prices.” (Plastics &amp; Rubber Products)</t>
        </is>
      </c>
    </row>
    <row r="262">
      <c r="B262" s="42" t="n"/>
      <c r="C262" s="48" t="n">
        <v>44197</v>
      </c>
      <c r="D262" s="40"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263">
      <c r="B263" s="42" t="n"/>
      <c r="C263" s="48" t="n">
        <v>44166</v>
      </c>
      <c r="D263" s="40" t="inlineStr">
        <is>
          <t>“Suppliers are having difficulty finding and retaining labor leading to supply constraints.” (Plastics &amp; Rubber Products)</t>
        </is>
      </c>
    </row>
    <row r="264">
      <c r="B264" s="42" t="n"/>
      <c r="C264" s="48" t="n">
        <v>44136</v>
      </c>
      <c r="D264" s="40" t="inlineStr">
        <is>
          <t>“Customer order volumes are very strong, but our suppliers are having issues meeting our orders due to people shortages.” (Plastics &amp; Rubber Products)</t>
        </is>
      </c>
    </row>
    <row r="265">
      <c r="B265" s="42" t="n"/>
      <c r="C265" s="48" t="n">
        <v>44105</v>
      </c>
      <c r="D265" s="40" t="inlineStr">
        <is>
          <t>“We continue to see stronger month-over-month orders in plastic injection molding.” (Plastics &amp; Rubber Products)</t>
        </is>
      </c>
    </row>
    <row r="266">
      <c r="B266" s="42" t="n"/>
      <c r="C266" s="48" t="n">
        <v>44075</v>
      </c>
      <c r="D266" s="40" t="inlineStr">
        <is>
          <t>“Business has continued to be strong, with September following August. October is also shaping up to be a good sales month as well.” (Plastics &amp; Rubber Products)</t>
        </is>
      </c>
    </row>
    <row r="267">
      <c r="B267" s="42" t="n"/>
      <c r="C267" s="48" t="n">
        <v>44044</v>
      </c>
      <c r="D267" s="40" t="inlineStr">
        <is>
          <t>"We are seeing solid month-over-month order improvement in all manufacturing sectors such as electrical, auto and industrial goods. Looking to add a few factory operators." (Plastics &amp; Rubber Products)</t>
        </is>
      </c>
    </row>
    <row r="268">
      <c r="B268" s="42" t="n"/>
      <c r="C268" s="48" t="n">
        <v>43983</v>
      </c>
      <c r="D268" s="40" t="inlineStr">
        <is>
          <t>“Orders have picked up and are trending toward normal production requirements [volume similar to 2019 production].” (Plastics &amp; Rubber Products)</t>
        </is>
      </c>
    </row>
    <row r="269">
      <c r="B269" s="42" t="n"/>
      <c r="C269" s="48" t="n">
        <v>43952</v>
      </c>
      <c r="D269" s="40" t="inlineStr">
        <is>
          <t>“Business activity remains strong for consumable applications and very weak in durable segments.” (Plastics &amp; Rubber Products)</t>
        </is>
      </c>
    </row>
    <row r="270">
      <c r="B270" s="42" t="n"/>
      <c r="C270" s="48" t="n">
        <v>43891</v>
      </c>
      <c r="D270" s="40" t="inlineStr">
        <is>
          <t>“All North American manufacturing plants have ceased operations or drastically scaled back as a result of customer plant closings and other responses to COVID-19.” (Plastics &amp; Rubber Products)</t>
        </is>
      </c>
    </row>
    <row r="271">
      <c r="B271" s="42" t="n"/>
      <c r="C271" s="48" t="n">
        <v>43862</v>
      </c>
      <c r="D271" s="40" t="inlineStr">
        <is>
          <t>“Business continues to be strong. We had a little January slowdown, but February has been fantastic.” (Plastics &amp; Rubber Products)</t>
        </is>
      </c>
    </row>
    <row r="272">
      <c r="B272" s="42" t="n"/>
      <c r="C272" s="48" t="n">
        <v>43831</v>
      </c>
      <c r="D272" s="40" t="inlineStr">
        <is>
          <t>"Tariffs on injection molds will impact selection of mold builder for future jobs. We are more likely to choose domestic rather than offshore." (Plastics &amp; Rubber Products)</t>
        </is>
      </c>
    </row>
    <row r="273">
      <c r="B273" s="42" t="n"/>
      <c r="C273" s="48" t="n">
        <v>43800</v>
      </c>
      <c r="D273" s="40" t="inlineStr">
        <is>
          <t>"Export markets continue to weaken for plastic resins — Mexican producers are actually trying to sell product back into the U.S. due to weak in-country demand." (Plastics &amp; Rubber Products)</t>
        </is>
      </c>
    </row>
    <row r="274">
      <c r="B274" s="42" t="n"/>
      <c r="C274" s="48" t="n">
        <v>43770</v>
      </c>
      <c r="D274" s="40" t="inlineStr">
        <is>
          <t>“Heading into the holiday season, we are seeing the backlog decrease as new orders for 2020 seem lighter than in past years.” (Plastics &amp; Rubber Products)</t>
        </is>
      </c>
    </row>
    <row r="275">
      <c r="B275" s="42" t="n"/>
      <c r="C275" s="48" t="n">
        <v>43739</v>
      </c>
      <c r="D275" s="40" t="inlineStr">
        <is>
          <t>“Business for thermoplastic resins is very strong, but margins continue to be under pressure due to tariffs and global economy uncertainty.” (Plastics &amp; Rubber Products)</t>
        </is>
      </c>
    </row>
    <row r="276">
      <c r="B276" s="42" t="n"/>
      <c r="C276" s="48" t="n">
        <v>43709</v>
      </c>
      <c r="D276" s="40" t="inlineStr">
        <is>
          <t>“We have seen a reduction in sales orders and, therefore, a lower demand for products we order. We have also reduced our workforce by 10 percent.” (Plastics &amp; Rubber Products)</t>
        </is>
      </c>
    </row>
    <row r="277">
      <c r="B277" s="42" t="n"/>
      <c r="C277" s="48" t="n">
        <v>43678</v>
      </c>
      <c r="D277" s="40" t="inlineStr">
        <is>
          <t>"Current business is OK, nothing to brag about. Under projections and slightly below last year, [but] margins are hanging in there." (Plastics &amp; Rubber Products)</t>
        </is>
      </c>
    </row>
    <row r="278">
      <c r="B278" s="42" t="n"/>
      <c r="C278" s="48" t="n">
        <v>43647</v>
      </c>
      <c r="D278" s="40" t="inlineStr">
        <is>
          <t>“All aspects of business remain strong, but we’re starting to see the frictional effect of tariffs on exports.” (Plastics &amp; Rubber Products)</t>
        </is>
      </c>
    </row>
    <row r="279">
      <c r="B279" s="42" t="n"/>
      <c r="C279" s="48" t="n">
        <v>43617</v>
      </c>
      <c r="D279" s="40" t="inlineStr">
        <is>
          <t>“Business is still strong. Pricing on raw materials has stabilized.” (Plastics &amp; Rubber Products)</t>
        </is>
      </c>
    </row>
    <row r="280">
      <c r="B280" s="42" t="n"/>
      <c r="C280" s="48" t="n">
        <v>43586</v>
      </c>
      <c r="D280" s="40" t="inlineStr">
        <is>
          <t>“Newly increased tariffs on Chinese imports pose an issue on a number of chemicals and materials that are solely produced in China. We are expecting increases in raw materials starting June 1.” (Plastics &amp; Rubber Products)</t>
        </is>
      </c>
    </row>
    <row r="281">
      <c r="B281" s="42" t="n"/>
      <c r="C281" s="48" t="n">
        <v>43556</v>
      </c>
      <c r="D281" s="40" t="inlineStr">
        <is>
          <t>"Business seems to keep humming along." (Plastics &amp; Rubber Products)</t>
        </is>
      </c>
    </row>
    <row r="282">
      <c r="B282" s="42" t="n"/>
      <c r="C282" s="48" t="n">
        <v>43525</v>
      </c>
      <c r="D282" s="40" t="inlineStr">
        <is>
          <t>“Awaiting with anticipation the outcome of the U.S.-China trade deal.” (Plastics and Rubber Products)</t>
        </is>
      </c>
    </row>
    <row r="283">
      <c r="B283" s="42" t="n"/>
      <c r="C283" s="48" t="n">
        <v>43497</v>
      </c>
      <c r="D283" s="40" t="inlineStr">
        <is>
          <t>“General business conditions started to slow at the end of January, continuing through February.” (Plastics and Rubber Products)</t>
        </is>
      </c>
    </row>
    <row r="284" ht="16" customHeight="1" thickBot="1">
      <c r="B284" s="43" t="n"/>
      <c r="C284" s="49" t="n">
        <v>43466</v>
      </c>
      <c r="D284" s="41" t="inlineStr">
        <is>
          <t>“January is off to a good start versus a lower November and December. We are ahead of both plan and January 2018 performance.” (Plastics and Rubber Products)</t>
        </is>
      </c>
    </row>
    <row r="285">
      <c r="B285" s="38" t="inlineStr">
        <is>
          <t>Primary Metals</t>
        </is>
      </c>
      <c r="C285" s="47" t="n">
        <v>44378</v>
      </c>
      <c r="D285" s="39" t="inlineStr">
        <is>
          <t>Business levels continue to be very strong, but we also continue to struggle finding employees. We can only fill 75 percent of our order requirements due to the labor shortage. [Primary Metals]</t>
        </is>
      </c>
    </row>
    <row r="286">
      <c r="B286" s="42" t="n"/>
      <c r="C286" s="48" t="n">
        <v>44348</v>
      </c>
      <c r="D286" s="40" t="inlineStr">
        <is>
          <t>“We continue to be oversold, based on what we are currently capable of producing. Lack of labor is killing us.” [Primary Metals]</t>
        </is>
      </c>
    </row>
    <row r="287">
      <c r="B287" s="42" t="n"/>
      <c r="C287" s="48" t="n">
        <v>44317</v>
      </c>
      <c r="D287" s="40" t="inlineStr">
        <is>
          <t>“Very busy, but still experiencing labor shortages.” [Primary Metals]</t>
        </is>
      </c>
    </row>
    <row r="288">
      <c r="B288" s="42" t="n"/>
      <c r="C288" s="48" t="n">
        <v>44287</v>
      </c>
      <c r="D288" s="40" t="inlineStr">
        <is>
          <t>“The metals markets remain very challenging at best. Shortages of raw materials have increased, especially in aluminum and carbon steel. Prices continue to rapidly increase. Transportation and trucking [are] also a big challenge.” (Primary Metals)</t>
        </is>
      </c>
    </row>
    <row r="289">
      <c r="B289" s="42" t="n"/>
      <c r="C289" s="48" t="n">
        <v>44228</v>
      </c>
      <c r="D289" s="40" t="inlineStr">
        <is>
          <t>“We have seen our new-order log increase by 40 percent over the last two months. We are overloaded with orders and do not have the personnel to get product out the door on schedule.” (Primary Metals)</t>
        </is>
      </c>
    </row>
    <row r="290">
      <c r="B290" s="42" t="n"/>
      <c r="C290" s="48" t="n">
        <v>44197</v>
      </c>
      <c r="D290" s="40" t="inlineStr">
        <is>
          <t>“Business is improving, but we are still struggling with a shortage of available labor.” (Primary Metals)</t>
        </is>
      </c>
    </row>
    <row r="291">
      <c r="B291" s="42" t="n"/>
      <c r="C291" s="48" t="n">
        <v>44166</v>
      </c>
      <c r="D291" s="40" t="inlineStr">
        <is>
          <t>“Fourth-quarter production improved more than anticipated, both against the rolling forecast and compared to typical Q4 business.” (Primary Metals)</t>
        </is>
      </c>
    </row>
    <row r="292">
      <c r="B292" s="42" t="n"/>
      <c r="C292" s="48" t="n">
        <v>44136</v>
      </c>
      <c r="D292" s="40" t="inlineStr">
        <is>
          <t>“Our business is booming, as many customers need products ASAP. A great situation.” (Primary Metals)</t>
        </is>
      </c>
    </row>
    <row r="293">
      <c r="B293" s="42" t="n"/>
      <c r="C293" s="48" t="n">
        <v>44044</v>
      </c>
      <c r="D293" s="40" t="inlineStr">
        <is>
          <t>"Rolling production forecasts are increasing each week compared to prior forecast." (Primary Metals)</t>
        </is>
      </c>
    </row>
    <row r="294">
      <c r="B294" s="42" t="n"/>
      <c r="C294" s="48" t="n">
        <v>43983</v>
      </c>
      <c r="D294" s="40" t="inlineStr">
        <is>
          <t>“We are seeing an increase in orders as the economy starts to get rolling again. Slow and steady, sales are increasing. So far, so good.” (Primary Metals)</t>
        </is>
      </c>
    </row>
    <row r="295">
      <c r="B295" s="42" t="n"/>
      <c r="C295" s="48" t="n">
        <v>43952</v>
      </c>
      <c r="D295" s="40" t="inlineStr">
        <is>
          <t>“We have been fortunate that most of our customer base is considered to be a part of the critical workforce, so we have been running at around 80 percent of our normal production volume.” (Primary Metals)</t>
        </is>
      </c>
    </row>
    <row r="296">
      <c r="B296" s="42" t="n"/>
      <c r="C296" s="48" t="n">
        <v>43862</v>
      </c>
      <c r="D296" s="40" t="inlineStr">
        <is>
          <t>“Current favorable forecast to budget for first-quarter sales.” (Primary Metals)</t>
        </is>
      </c>
    </row>
    <row r="297">
      <c r="B297" s="42" t="n"/>
      <c r="C297" s="48" t="n">
        <v>43739</v>
      </c>
      <c r="D297" s="40"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298">
      <c r="B298" s="42" t="n"/>
      <c r="C298" s="48" t="n">
        <v>43586</v>
      </c>
      <c r="D298" s="40" t="inlineStr">
        <is>
          <t>“General slowing due to inventory correction.” (Primary Metals)</t>
        </is>
      </c>
    </row>
    <row r="299">
      <c r="B299" s="42" t="n"/>
      <c r="C299" s="48" t="n">
        <v>43556</v>
      </c>
      <c r="D299" s="40" t="inlineStr">
        <is>
          <t>"Order book remains strong; future outlook is beginning to soften a little." (Primary Metals)</t>
        </is>
      </c>
    </row>
    <row r="300" ht="16" customHeight="1" thickBot="1">
      <c r="B300" s="43" t="n"/>
      <c r="C300" s="49" t="n">
        <v>43525</v>
      </c>
      <c r="D300" s="41" t="inlineStr">
        <is>
          <t>“Experienced a reduction in orders, with forecasted softness going into Q2.” (Primary Metals)</t>
        </is>
      </c>
    </row>
    <row r="301" ht="31" customHeight="1" thickBot="1">
      <c r="B301" s="37" t="inlineStr">
        <is>
          <t>Printing &amp; Related Support Activities</t>
        </is>
      </c>
      <c r="C301" s="46" t="n"/>
      <c r="D301" s="44" t="n"/>
    </row>
    <row r="302">
      <c r="B302" s="38" t="inlineStr">
        <is>
          <t>Textile Mills</t>
        </is>
      </c>
      <c r="C302" s="47" t="n">
        <v>44228</v>
      </c>
      <c r="D302" s="39" t="inlineStr">
        <is>
          <t>“A sense of urgency is being felt regarding new orders. Customers are giving an impression that a presence of stability is forthcoming and order flow is increasing.” (Textile Mills)</t>
        </is>
      </c>
    </row>
    <row r="303">
      <c r="B303" s="42" t="n"/>
      <c r="C303" s="48" t="n">
        <v>43800</v>
      </c>
      <c r="D303" s="40" t="inlineStr">
        <is>
          <t>"Our outlook for the first quarter of 2020 is positive. We have secured contracts from a number of former customers and expect sales growth of about 5 percent over Q4 of 2019." (Textile Mills)</t>
        </is>
      </c>
    </row>
    <row r="304" ht="16" customHeight="1" thickBot="1">
      <c r="B304" s="43" t="n"/>
      <c r="C304" s="49" t="n">
        <v>43525</v>
      </c>
      <c r="D304" s="41" t="inlineStr">
        <is>
          <t>“Customer orders remain strong.” (Textile Mills)</t>
        </is>
      </c>
    </row>
    <row r="305">
      <c r="B305" s="42" t="inlineStr">
        <is>
          <t>Transportation Equipment</t>
        </is>
      </c>
      <c r="C305" s="48" t="n">
        <v>44440</v>
      </c>
      <c r="D305" s="40"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306">
      <c r="B306" s="42" t="n"/>
      <c r="C306" s="48" t="n">
        <v>44409</v>
      </c>
      <c r="D306" s="40" t="inlineStr">
        <is>
          <t>“Strong sales continue, but production is limited due to supply issues with chips.” [Transportation Equipment]</t>
        </is>
      </c>
    </row>
    <row r="307">
      <c r="B307" s="42" t="n"/>
      <c r="C307" s="48" t="n">
        <v>44378</v>
      </c>
      <c r="D307" s="40" t="inlineStr">
        <is>
          <t>Strong sales continue, and inventories are low as the chip shortage is keeping production numbers down — we have idled several of our assembly plants to reduce the strain on the chip supply base. [Transportation Equipment]</t>
        </is>
      </c>
    </row>
    <row r="308">
      <c r="B308" s="42" t="n"/>
      <c r="C308" s="48" t="n">
        <v>44348</v>
      </c>
      <c r="D308" s="40"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309">
      <c r="B309" s="42" t="n"/>
      <c r="C309" s="48" t="n">
        <v>44317</v>
      </c>
      <c r="D309" s="40" t="inlineStr">
        <is>
          <t>“Ongoing component shortages are driving dual sourcing and longer-term supply plans to be implemented.” [Transportation Equipment]</t>
        </is>
      </c>
    </row>
    <row r="310">
      <c r="B310" s="42" t="n"/>
      <c r="C310" s="48" t="n">
        <v>44287</v>
      </c>
      <c r="D310" s="40"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311">
      <c r="B311" s="42" t="n"/>
      <c r="C311" s="48" t="n">
        <v>44256</v>
      </c>
      <c r="D311" s="40" t="inlineStr">
        <is>
          <t>“Business conditions are positive for our industry and company. The constraints are mainly related to parts availability (imports, supply chain congestion). Manpower is also a constraint; hiring new members is a challenge.” (Transportation Equipment)</t>
        </is>
      </c>
    </row>
    <row r="312">
      <c r="B312" s="42" t="n"/>
      <c r="C312" s="48" t="n">
        <v>44228</v>
      </c>
      <c r="D312" s="40"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313">
      <c r="B313" s="42" t="n"/>
      <c r="C313" s="48" t="n">
        <v>44197</v>
      </c>
      <c r="D313" s="40" t="inlineStr">
        <is>
          <t>“Very strong demand with limitations in supply to meet increased demand.” (Transportation Equipment)</t>
        </is>
      </c>
    </row>
    <row r="314">
      <c r="B314" s="42" t="n"/>
      <c r="C314" s="48" t="n">
        <v>44166</v>
      </c>
      <c r="D314" s="40"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315">
      <c r="B315" s="42" t="n"/>
      <c r="C315" s="48" t="n">
        <v>44136</v>
      </c>
      <c r="D315" s="40"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316">
      <c r="B316" s="42" t="n"/>
      <c r="C316" s="48" t="n">
        <v>44105</v>
      </c>
      <c r="D316" s="40"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317">
      <c r="B317" s="42" t="n"/>
      <c r="C317" s="48" t="n">
        <v>44075</v>
      </c>
      <c r="D317" s="40"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318">
      <c r="B318" s="42" t="n"/>
      <c r="C318" s="48" t="n">
        <v>44044</v>
      </c>
      <c r="D318" s="40" t="inlineStr">
        <is>
          <t>Airline industry continues to be under great pressure. (Transportation Equipment)</t>
        </is>
      </c>
    </row>
    <row r="319">
      <c r="B319" s="42" t="n"/>
      <c r="C319" s="48" t="n">
        <v>44013</v>
      </c>
      <c r="D319" s="40" t="inlineStr">
        <is>
          <t>“Overall business remains down almost 70 percent. We are hanging on to as many employees as possible, but we will have to lay off 30 percent or more for at least two to three months until September or October.” (Transportation Equipment)</t>
        </is>
      </c>
    </row>
    <row r="320">
      <c r="B320" s="42" t="n"/>
      <c r="C320" s="48" t="n">
        <v>43983</v>
      </c>
      <c r="D320" s="40" t="inlineStr">
        <is>
          <t>“Gradually ramping production back in our plants. Most of our supply base continued to operate during COVID-19, so we are not seeing a significant supply risk. Will be monitoring supply chain financial health closely.” (Transportation Equipment)</t>
        </is>
      </c>
    </row>
    <row r="321">
      <c r="B321" s="42" t="n"/>
      <c r="C321" s="48" t="n">
        <v>43952</v>
      </c>
      <c r="D321" s="40" t="inlineStr">
        <is>
          <t>“We see an issue with suppliers that are affecting production. At the same time, social distancing measures in [the] manufacturing plant and customer demand are impacting the rate of production.” (Transportation Equipment)</t>
        </is>
      </c>
    </row>
    <row r="322">
      <c r="B322" s="42" t="n"/>
      <c r="C322" s="48" t="n">
        <v>43922</v>
      </c>
      <c r="D322" s="40" t="inlineStr">
        <is>
          <t>“COVID-19 has created a wave of activities, including vendors closing, vendors focusing only on the medical industry, employees not coming to work, delayed shipments from overseas, [and] etcetera.” (Transportation Equipment)</t>
        </is>
      </c>
    </row>
    <row r="323">
      <c r="B323" s="42" t="n"/>
      <c r="C323" s="48" t="n">
        <v>43891</v>
      </c>
      <c r="D323" s="40"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324">
      <c r="B324" s="42" t="n"/>
      <c r="C324" s="48" t="n">
        <v>43831</v>
      </c>
      <c r="D324" s="40" t="inlineStr">
        <is>
          <t>"Continued signs of slowdown in manufacturing." (Transportation Equipment)</t>
        </is>
      </c>
    </row>
    <row r="325">
      <c r="B325" s="42" t="n"/>
      <c r="C325" s="48" t="n">
        <v>43800</v>
      </c>
      <c r="D325" s="40" t="inlineStr">
        <is>
          <t>"Cautiously optimistic is the rule these days. Sales are decent, but we're wondering what 2020 will bring. Still hedging that it will be successful — but maybe not as much as this year." (Transportation Equipment)</t>
        </is>
      </c>
    </row>
    <row r="326">
      <c r="B326" s="42" t="n"/>
      <c r="C326" s="48" t="n">
        <v>43770</v>
      </c>
      <c r="D326" s="40" t="inlineStr">
        <is>
          <t>“Economic uncertainty continues. Our outlook on future business is cautious, yet positive.” (Transportation Equipment)</t>
        </is>
      </c>
    </row>
    <row r="327">
      <c r="B327" s="42" t="n"/>
      <c r="C327" s="48" t="n">
        <v>43739</v>
      </c>
      <c r="D327" s="40" t="inlineStr">
        <is>
          <t>“Automotive sales continue to decrease; however, trucks and SUVs are still providing decent revenue. Cautiously optimistic for the near term.” (Transportation Equipment)</t>
        </is>
      </c>
    </row>
    <row r="328">
      <c r="B328" s="42" t="n"/>
      <c r="C328" s="48" t="n">
        <v>43709</v>
      </c>
      <c r="D328" s="40" t="inlineStr">
        <is>
          <t>“Business outlook remains cautious. Orders seem to be decreasing, but luckily not as sharp of a decrease as we were expecting.” (Transportation Equipment)</t>
        </is>
      </c>
    </row>
    <row r="329">
      <c r="B329" s="42" t="n"/>
      <c r="C329" s="48" t="n">
        <v>43678</v>
      </c>
      <c r="D329" s="40" t="inlineStr">
        <is>
          <t>"Slowest month (July) this year so far in sales." (Transportation Equipment)</t>
        </is>
      </c>
    </row>
    <row r="330">
      <c r="B330" s="42" t="n"/>
      <c r="C330" s="48" t="n">
        <v>43647</v>
      </c>
      <c r="D330" s="40" t="inlineStr">
        <is>
          <t>“[Automotive] sales continue to decline, and forecasts have been reduced due to softer predicted demand. Attention to product cost — not sales price — is increasing.” (Transportation Equipment)</t>
        </is>
      </c>
    </row>
    <row r="331">
      <c r="B331" s="42" t="n"/>
      <c r="C331" s="48" t="n">
        <v>43617</v>
      </c>
      <c r="D331" s="40"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332">
      <c r="B332" s="42" t="n"/>
      <c r="C332" s="48" t="n">
        <v>43586</v>
      </c>
      <c r="D332" s="40" t="inlineStr">
        <is>
          <t>“Sales continue to decline. Volumes are off, [and] profits haven't decreased in proportion to sales. Higher-margin vehicles continue strong sales, but low- to mid-range sales are down.” (Transportation Equipment)</t>
        </is>
      </c>
    </row>
    <row r="333">
      <c r="B333" s="42" t="n"/>
      <c r="C333" s="48" t="n">
        <v>43556</v>
      </c>
      <c r="D333" s="40" t="inlineStr">
        <is>
          <t>"[We are] closely watching the Mexico border situation as well as the tariff situation." (Transportation Equipment)</t>
        </is>
      </c>
    </row>
    <row r="334">
      <c r="B334" s="42" t="n"/>
      <c r="C334" s="48" t="n">
        <v>43525</v>
      </c>
      <c r="D334" s="40" t="inlineStr">
        <is>
          <t>“Business remains very strong amid rumors of a slowdown, but forecasts do not indicate this. Electronics are at tight capacity from manufacturers, with no [change] in the near future.” (Transportation Equipment)</t>
        </is>
      </c>
    </row>
    <row r="335">
      <c r="B335" s="42" t="n"/>
      <c r="C335" s="48" t="n">
        <v>43497</v>
      </c>
      <c r="D335" s="40" t="inlineStr">
        <is>
          <t>“Still fairly steady with production and services.” (Transportation Equipment)</t>
        </is>
      </c>
    </row>
    <row r="336" ht="16" customHeight="1" thickBot="1">
      <c r="B336" s="43" t="n"/>
      <c r="C336" s="49" t="n">
        <v>43466</v>
      </c>
      <c r="D336" s="41" t="inlineStr">
        <is>
          <t>“Overall, business continues to be good; however, margins are being squeezed.” (Transportation Equipment)</t>
        </is>
      </c>
    </row>
    <row r="337">
      <c r="B337" s="38" t="inlineStr">
        <is>
          <t>Wood Products</t>
        </is>
      </c>
      <c r="C337" s="47" t="n">
        <v>44228</v>
      </c>
      <c r="D337" s="39" t="inlineStr">
        <is>
          <t>“Prices are rising so rapidly that many are wondering if [the situation] is sustainable. Shortages have the industry concerned for supply going forward, at least deep into the second quarter.” (Wood Products)</t>
        </is>
      </c>
    </row>
    <row r="338">
      <c r="B338" s="42" t="n"/>
      <c r="C338" s="48" t="n">
        <v>44075</v>
      </c>
      <c r="D338" s="40" t="inlineStr">
        <is>
          <t>“Raw material shortages, especially of hardwood logs, are starting to impact overall supply. Domestic market demand is fragmented but remains sound. Export demand, especially to China, is robust.” (Wood Products)</t>
        </is>
      </c>
    </row>
    <row r="339">
      <c r="B339" s="42" t="n"/>
      <c r="C339" s="48" t="n">
        <v>44044</v>
      </c>
      <c r="D339" s="40" t="inlineStr">
        <is>
          <t>Homebuilder business continues to be robust, with month-over-month gains continuing since May. Business remains favorable and will only be held back by supply issues across the entire industry. (Wood Products)</t>
        </is>
      </c>
    </row>
    <row r="340">
      <c r="B340" s="42" t="n"/>
      <c r="C340" s="48" t="n">
        <v>43983</v>
      </c>
      <c r="D340" s="40"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341">
      <c r="B341" s="42" t="n"/>
      <c r="C341" s="48" t="n">
        <v>43770</v>
      </c>
      <c r="D341" s="40" t="inlineStr">
        <is>
          <t>“Economic uncertainty continues. Our outlook on future business is cautious, yet positive.” (Transportation Equipment)</t>
        </is>
      </c>
    </row>
    <row r="342">
      <c r="B342" s="42" t="n"/>
      <c r="C342" s="48" t="n">
        <v>43617</v>
      </c>
      <c r="D342" s="40" t="inlineStr">
        <is>
          <t>“Weather in various markets across the country has improved month over month, which has positively affected our daily output. If the trend continues, we will have to replenish [at] an increased month-over-month rate.” (Wood Products)</t>
        </is>
      </c>
    </row>
    <row r="343" ht="16" customHeight="1" thickBot="1">
      <c r="B343" s="43" t="n"/>
      <c r="C343" s="49" t="n">
        <v>43525</v>
      </c>
      <c r="D343" s="41"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sheetData>
  <autoFilter ref="B2:D343"/>
  <pageMargins left="0.7" right="0.7" top="0.75" bottom="0.75" header="0.3" footer="0.3"/>
  <pageSetup orientation="portrait" paperSize="9"/>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2022-01-15T09:04:09Z</dcterms:modified>
  <cp:lastModifiedBy>Mark Mukherjee</cp:lastModifiedBy>
</cp:coreProperties>
</file>